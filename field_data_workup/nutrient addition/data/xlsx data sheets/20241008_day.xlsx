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rrensc/Documents/R_working/Modelscape/space-time-rivers/field_data_workup/nutrient addition/data/"/>
    </mc:Choice>
  </mc:AlternateContent>
  <xr:revisionPtr revIDLastSave="0" documentId="13_ncr:1_{5EA44640-9261-C744-8999-8FAAE36C29B1}" xr6:coauthVersionLast="47" xr6:coauthVersionMax="47" xr10:uidLastSave="{00000000-0000-0000-0000-000000000000}"/>
  <bookViews>
    <workbookView xWindow="1360" yWindow="500" windowWidth="24240" windowHeight="13400" xr2:uid="{E05CD6A7-8DD5-1043-90CA-73802ECE7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Q2" i="1" s="1"/>
  <c r="O2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</calcChain>
</file>

<file path=xl/sharedStrings.xml><?xml version="1.0" encoding="utf-8"?>
<sst xmlns="http://schemas.openxmlformats.org/spreadsheetml/2006/main" count="21" uniqueCount="20">
  <si>
    <t>Date</t>
  </si>
  <si>
    <t>clock_time</t>
  </si>
  <si>
    <t>elapsed_time</t>
  </si>
  <si>
    <t>sc</t>
  </si>
  <si>
    <t>corr_sc</t>
  </si>
  <si>
    <t>n_conc</t>
  </si>
  <si>
    <t>corr_n_conc</t>
  </si>
  <si>
    <t>AUC_salt</t>
  </si>
  <si>
    <t>AUC_n</t>
  </si>
  <si>
    <t>R</t>
  </si>
  <si>
    <t>Q</t>
  </si>
  <si>
    <t>notes</t>
  </si>
  <si>
    <t>bkgd_sc</t>
  </si>
  <si>
    <t>bkgd_n</t>
  </si>
  <si>
    <t>sc_add</t>
  </si>
  <si>
    <t>n_add</t>
  </si>
  <si>
    <t>R0</t>
  </si>
  <si>
    <t>bkgd</t>
  </si>
  <si>
    <t>reach_length</t>
  </si>
  <si>
    <t>str_width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</si>
</sst>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h:mm;@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2" borderId="0" xfId="0" applyNumberFormat="1" applyFill="1"/>
    <xf numFmtId="164" fontId="0" fillId="2" borderId="0" xfId="0" applyNumberFormat="1" applyFill="1"/>
    <xf numFmtId="2" fontId="0" fillId="2" borderId="0" xfId="0" applyNumberFormat="1" applyFill="1"/>
    <xf numFmtId="165" fontId="0" fillId="0" borderId="0" xfId="0" applyNumberFormat="1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80AD-537A-1940-8FC3-51AA8D71CA3E}">
  <dimension ref="A1:S75"/>
  <sheetViews>
    <sheetView tabSelected="1" topLeftCell="D1" workbookViewId="0">
      <selection activeCell="R2" sqref="R2:S2"/>
    </sheetView>
  </sheetViews>
  <sheetFormatPr baseColWidth="10" defaultRowHeight="16" x14ac:dyDescent="0.2"/>
  <cols>
    <col min="1" max="1" width="14.83203125" style="7" customWidth="1"/>
    <col min="17" max="17" width="12.1640625" bestFit="1" customWidth="1"/>
  </cols>
  <sheetData>
    <row r="1" spans="1:19" x14ac:dyDescent="0.2">
      <c r="A1" s="7" t="s">
        <v>0</v>
      </c>
      <c r="B1" t="s">
        <v>1</v>
      </c>
      <c r="C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19</v>
      </c>
    </row>
    <row r="2" spans="1:19" s="9" customFormat="1" x14ac:dyDescent="0.2">
      <c r="A2" s="8">
        <v>45573</v>
      </c>
      <c r="B2" s="3">
        <v>45573.631944444445</v>
      </c>
      <c r="C2" s="3">
        <v>45573.087500000001</v>
      </c>
      <c r="D2" s="4">
        <v>211</v>
      </c>
      <c r="E2" s="4">
        <v>0</v>
      </c>
      <c r="F2" s="5">
        <v>7.9899999999999993</v>
      </c>
      <c r="G2" s="5">
        <v>0</v>
      </c>
      <c r="J2" s="9">
        <v>0</v>
      </c>
      <c r="L2" s="9" t="s">
        <v>17</v>
      </c>
      <c r="M2" s="4">
        <v>211</v>
      </c>
      <c r="N2" s="4">
        <v>8</v>
      </c>
      <c r="O2" s="9">
        <f>(23.27-0.08)*2060*1000</f>
        <v>47771400</v>
      </c>
      <c r="P2" s="9">
        <f>(2000*0.97)</f>
        <v>1940</v>
      </c>
      <c r="Q2" s="9">
        <f>P2/O2</f>
        <v>4.0610072135210605E-5</v>
      </c>
      <c r="R2" s="9">
        <v>900</v>
      </c>
      <c r="S2" s="9">
        <v>17.5</v>
      </c>
    </row>
    <row r="3" spans="1:19" s="9" customFormat="1" x14ac:dyDescent="0.2">
      <c r="A3" s="8">
        <v>45573</v>
      </c>
      <c r="B3" s="3">
        <v>45573.633333333331</v>
      </c>
      <c r="C3" s="3">
        <v>45573.088888888888</v>
      </c>
      <c r="D3" s="4">
        <v>210.9</v>
      </c>
      <c r="E3" s="4">
        <v>0</v>
      </c>
      <c r="F3" s="5">
        <v>8.0233333333333334</v>
      </c>
      <c r="G3" s="5">
        <v>0</v>
      </c>
      <c r="J3" s="9">
        <v>0</v>
      </c>
      <c r="L3" s="9" t="s">
        <v>17</v>
      </c>
    </row>
    <row r="4" spans="1:19" x14ac:dyDescent="0.2">
      <c r="A4" s="7">
        <v>45573</v>
      </c>
      <c r="B4" s="6">
        <v>45573.634722222225</v>
      </c>
      <c r="C4" s="6">
        <v>45573.090277777781</v>
      </c>
      <c r="D4" s="1">
        <v>211</v>
      </c>
      <c r="E4" s="1">
        <v>0</v>
      </c>
      <c r="F4" s="2">
        <v>8.0299999999999994</v>
      </c>
      <c r="G4" s="2">
        <v>2.9999999999999361E-2</v>
      </c>
      <c r="J4">
        <v>0</v>
      </c>
    </row>
    <row r="5" spans="1:19" x14ac:dyDescent="0.2">
      <c r="A5" s="7">
        <v>45573</v>
      </c>
      <c r="B5" s="6">
        <v>45573.636111111111</v>
      </c>
      <c r="C5" s="6">
        <v>45573.091666666667</v>
      </c>
      <c r="D5" s="1">
        <v>211.1</v>
      </c>
      <c r="E5" s="1">
        <v>8.4000000000003183E-2</v>
      </c>
      <c r="F5" s="2">
        <v>8.0500000000000007</v>
      </c>
      <c r="G5" s="2">
        <v>5.0000000000000711E-2</v>
      </c>
      <c r="J5">
        <f t="shared" ref="J5:J66" si="0">G5/E5</f>
        <v>0.59523809523808113</v>
      </c>
    </row>
    <row r="6" spans="1:19" x14ac:dyDescent="0.2">
      <c r="A6" s="7">
        <v>45573</v>
      </c>
      <c r="B6" s="6">
        <v>45573.637499999997</v>
      </c>
      <c r="C6" s="6">
        <v>45573.093055555553</v>
      </c>
      <c r="D6" s="1">
        <v>211.1</v>
      </c>
      <c r="E6" s="1">
        <v>8.4000000000003183E-2</v>
      </c>
      <c r="F6" s="2">
        <v>8.1766666666666676</v>
      </c>
      <c r="G6" s="2">
        <v>0.17666666666666764</v>
      </c>
      <c r="J6">
        <f t="shared" si="0"/>
        <v>2.1031746031745349</v>
      </c>
    </row>
    <row r="7" spans="1:19" x14ac:dyDescent="0.2">
      <c r="A7" s="7">
        <v>45573</v>
      </c>
      <c r="B7" s="6">
        <v>45573.638888888891</v>
      </c>
      <c r="C7" s="6">
        <v>45573.094444444447</v>
      </c>
      <c r="D7" s="1">
        <v>211.5</v>
      </c>
      <c r="E7" s="1">
        <v>0.48400000000000887</v>
      </c>
      <c r="F7" s="2">
        <v>8.2566666666666659</v>
      </c>
      <c r="G7" s="2">
        <v>0.25666666666666593</v>
      </c>
      <c r="J7">
        <f t="shared" si="0"/>
        <v>0.53030303030301906</v>
      </c>
    </row>
    <row r="8" spans="1:19" x14ac:dyDescent="0.2">
      <c r="A8" s="7">
        <v>45573</v>
      </c>
      <c r="B8" s="6">
        <v>45573.640277777777</v>
      </c>
      <c r="C8" s="6">
        <v>45573.095833333333</v>
      </c>
      <c r="D8" s="1">
        <v>212.1</v>
      </c>
      <c r="E8" s="1">
        <v>1.0840000000000032</v>
      </c>
      <c r="F8" s="2">
        <v>8.5466666666666669</v>
      </c>
      <c r="G8" s="2">
        <v>0.54666666666666686</v>
      </c>
      <c r="J8">
        <f t="shared" si="0"/>
        <v>0.50430504305042922</v>
      </c>
    </row>
    <row r="9" spans="1:19" x14ac:dyDescent="0.2">
      <c r="A9" s="7">
        <v>45573</v>
      </c>
      <c r="B9" s="6">
        <v>45573.64166666667</v>
      </c>
      <c r="C9" s="6">
        <v>45573.097222222226</v>
      </c>
      <c r="D9" s="1">
        <v>212.1</v>
      </c>
      <c r="E9" s="1">
        <v>1.0840000000000032</v>
      </c>
      <c r="F9" s="2">
        <v>8.68</v>
      </c>
      <c r="G9" s="2">
        <v>0.67999999999999972</v>
      </c>
      <c r="J9">
        <f t="shared" si="0"/>
        <v>0.62730627306272857</v>
      </c>
    </row>
    <row r="10" spans="1:19" x14ac:dyDescent="0.2">
      <c r="A10" s="7">
        <v>45573</v>
      </c>
      <c r="B10" s="6">
        <v>45573.643055555556</v>
      </c>
      <c r="C10" s="6">
        <v>45573.098611111112</v>
      </c>
      <c r="D10" s="1">
        <v>213.6</v>
      </c>
      <c r="E10" s="1">
        <v>2.5840000000000032</v>
      </c>
      <c r="F10" s="2">
        <v>9.2933333333333312</v>
      </c>
      <c r="G10" s="2">
        <v>1.2933333333333312</v>
      </c>
      <c r="J10">
        <f t="shared" si="0"/>
        <v>0.50051599587203155</v>
      </c>
    </row>
    <row r="11" spans="1:19" x14ac:dyDescent="0.2">
      <c r="A11" s="7">
        <v>45573</v>
      </c>
      <c r="B11" s="6">
        <v>45573.644444444442</v>
      </c>
      <c r="C11" s="6">
        <v>45573.1</v>
      </c>
      <c r="D11" s="1">
        <v>215.3</v>
      </c>
      <c r="E11" s="1">
        <v>4.2840000000000202</v>
      </c>
      <c r="F11" s="2">
        <v>9.7299999999999986</v>
      </c>
      <c r="G11" s="2">
        <v>1.7299999999999986</v>
      </c>
      <c r="J11">
        <f t="shared" si="0"/>
        <v>0.40382819794584279</v>
      </c>
    </row>
    <row r="12" spans="1:19" x14ac:dyDescent="0.2">
      <c r="A12" s="7">
        <v>45573</v>
      </c>
      <c r="B12" s="6">
        <v>45573.645833333336</v>
      </c>
      <c r="C12" s="6">
        <v>45573.101388888892</v>
      </c>
      <c r="D12" s="1">
        <v>216.7</v>
      </c>
      <c r="E12" s="1">
        <v>5.6839999999999975</v>
      </c>
      <c r="F12" s="2">
        <v>10.156666666666666</v>
      </c>
      <c r="G12" s="2">
        <v>2.1566666666666663</v>
      </c>
      <c r="J12">
        <f t="shared" si="0"/>
        <v>0.3794276331222145</v>
      </c>
    </row>
    <row r="13" spans="1:19" x14ac:dyDescent="0.2">
      <c r="A13" s="7">
        <v>45573</v>
      </c>
      <c r="B13" s="6">
        <v>45573.647222222222</v>
      </c>
      <c r="C13" s="6">
        <v>45573.102777777778</v>
      </c>
      <c r="D13" s="1">
        <v>217.5</v>
      </c>
      <c r="E13" s="1">
        <v>6.4840000000000089</v>
      </c>
      <c r="F13" s="2">
        <v>10.659999999999998</v>
      </c>
      <c r="G13" s="2">
        <v>2.6599999999999984</v>
      </c>
      <c r="J13">
        <f t="shared" si="0"/>
        <v>0.41024059222701953</v>
      </c>
    </row>
    <row r="14" spans="1:19" x14ac:dyDescent="0.2">
      <c r="A14" s="7">
        <v>45573</v>
      </c>
      <c r="B14" s="6">
        <v>45573.648611111108</v>
      </c>
      <c r="C14" s="6">
        <v>45573.104166666664</v>
      </c>
      <c r="D14" s="1">
        <v>218.5</v>
      </c>
      <c r="E14" s="1">
        <v>7.4840000000000089</v>
      </c>
      <c r="F14" s="2">
        <v>11.046666666666667</v>
      </c>
      <c r="G14" s="2">
        <v>3.0466666666666669</v>
      </c>
      <c r="J14">
        <f t="shared" si="0"/>
        <v>0.40709068234455681</v>
      </c>
    </row>
    <row r="15" spans="1:19" x14ac:dyDescent="0.2">
      <c r="A15" s="7">
        <v>45573</v>
      </c>
      <c r="B15" s="6">
        <v>45573.65</v>
      </c>
      <c r="C15" s="6">
        <v>45573.105555555558</v>
      </c>
      <c r="D15" s="1">
        <v>220</v>
      </c>
      <c r="E15" s="1">
        <v>8.9840000000000089</v>
      </c>
      <c r="F15" s="2">
        <v>11.593333333333334</v>
      </c>
      <c r="G15" s="2">
        <v>3.5933333333333337</v>
      </c>
      <c r="J15">
        <f t="shared" si="0"/>
        <v>0.39997031760166185</v>
      </c>
    </row>
    <row r="16" spans="1:19" x14ac:dyDescent="0.2">
      <c r="A16" s="7">
        <v>45573</v>
      </c>
      <c r="B16" s="6">
        <v>45573.651388888888</v>
      </c>
      <c r="C16" s="6">
        <v>45573.106944444444</v>
      </c>
      <c r="D16" s="1">
        <v>221.9</v>
      </c>
      <c r="E16" s="1">
        <v>10.884000000000015</v>
      </c>
      <c r="F16" s="2">
        <v>11.769999999999998</v>
      </c>
      <c r="G16" s="2">
        <v>3.7699999999999978</v>
      </c>
      <c r="J16">
        <f t="shared" si="0"/>
        <v>0.34638000735023822</v>
      </c>
    </row>
    <row r="17" spans="1:10" x14ac:dyDescent="0.2">
      <c r="A17" s="7">
        <v>45573</v>
      </c>
      <c r="B17" s="6">
        <v>45573.652777777781</v>
      </c>
      <c r="C17" s="6">
        <v>45573.108333333337</v>
      </c>
      <c r="D17" s="1">
        <v>223</v>
      </c>
      <c r="E17" s="1">
        <v>11.984000000000009</v>
      </c>
      <c r="F17" s="2">
        <v>12.636666666666668</v>
      </c>
      <c r="G17" s="2">
        <v>4.6366666666666685</v>
      </c>
      <c r="J17">
        <f t="shared" si="0"/>
        <v>0.38690476190476175</v>
      </c>
    </row>
    <row r="18" spans="1:10" x14ac:dyDescent="0.2">
      <c r="A18" s="7">
        <v>45573</v>
      </c>
      <c r="B18" s="6">
        <v>45573.654166666667</v>
      </c>
      <c r="C18" s="6">
        <v>45573.109722222223</v>
      </c>
      <c r="D18" s="1">
        <v>222.7</v>
      </c>
      <c r="E18" s="1">
        <v>11.683999999999997</v>
      </c>
      <c r="F18" s="2">
        <v>13.089999999999998</v>
      </c>
      <c r="G18" s="2">
        <v>5.0899999999999981</v>
      </c>
      <c r="J18">
        <f t="shared" si="0"/>
        <v>0.43563847997261207</v>
      </c>
    </row>
    <row r="19" spans="1:10" x14ac:dyDescent="0.2">
      <c r="A19" s="7">
        <v>45573</v>
      </c>
      <c r="B19" s="6">
        <v>45573.655555555553</v>
      </c>
      <c r="C19" s="6">
        <v>45573.111111111109</v>
      </c>
      <c r="D19" s="1">
        <v>224.1</v>
      </c>
      <c r="E19" s="1">
        <v>13.084000000000003</v>
      </c>
      <c r="F19" s="2">
        <v>13.293333333333335</v>
      </c>
      <c r="G19" s="2">
        <v>5.2933333333333348</v>
      </c>
      <c r="J19">
        <f t="shared" si="0"/>
        <v>0.40456537246509733</v>
      </c>
    </row>
    <row r="20" spans="1:10" x14ac:dyDescent="0.2">
      <c r="A20" s="7">
        <v>45573</v>
      </c>
      <c r="B20" s="6">
        <v>45573.656944444447</v>
      </c>
      <c r="C20" s="6">
        <v>45573.112500000003</v>
      </c>
      <c r="D20" s="1">
        <v>224.6</v>
      </c>
      <c r="E20" s="1">
        <v>13.584000000000003</v>
      </c>
      <c r="F20" s="2">
        <v>13.596666666666666</v>
      </c>
      <c r="G20" s="2">
        <v>5.5966666666666658</v>
      </c>
      <c r="J20">
        <f t="shared" si="0"/>
        <v>0.41200431880643879</v>
      </c>
    </row>
    <row r="21" spans="1:10" x14ac:dyDescent="0.2">
      <c r="A21" s="7">
        <v>45573</v>
      </c>
      <c r="B21" s="6">
        <v>45573.658333333333</v>
      </c>
      <c r="C21" s="6">
        <v>45573.113888888889</v>
      </c>
      <c r="D21" s="1">
        <v>224.1</v>
      </c>
      <c r="E21" s="1">
        <v>13.084000000000003</v>
      </c>
      <c r="F21" s="2">
        <v>13.61</v>
      </c>
      <c r="G21" s="2">
        <v>5.6099999999999994</v>
      </c>
      <c r="J21">
        <f t="shared" si="0"/>
        <v>0.42876796086823588</v>
      </c>
    </row>
    <row r="22" spans="1:10" x14ac:dyDescent="0.2">
      <c r="A22" s="7">
        <v>45573</v>
      </c>
      <c r="B22" s="6">
        <v>45573.659722222219</v>
      </c>
      <c r="C22" s="6">
        <v>45573.115277777775</v>
      </c>
      <c r="D22" s="1">
        <v>224.3</v>
      </c>
      <c r="E22" s="1">
        <v>13.28400000000002</v>
      </c>
      <c r="F22" s="2">
        <v>14.163333333333332</v>
      </c>
      <c r="G22" s="2">
        <v>6.1633333333333322</v>
      </c>
      <c r="J22">
        <f t="shared" si="0"/>
        <v>0.46396667670380326</v>
      </c>
    </row>
    <row r="23" spans="1:10" x14ac:dyDescent="0.2">
      <c r="A23" s="7">
        <v>45573</v>
      </c>
      <c r="B23" s="6">
        <v>45573.661111111112</v>
      </c>
      <c r="C23" s="6">
        <v>45573.116666666669</v>
      </c>
      <c r="D23" s="1">
        <v>223.8</v>
      </c>
      <c r="E23" s="1">
        <v>12.78400000000002</v>
      </c>
      <c r="F23" s="2">
        <v>13.549999999999999</v>
      </c>
      <c r="G23" s="2">
        <v>5.5499999999999989</v>
      </c>
      <c r="J23">
        <f t="shared" si="0"/>
        <v>0.43413642052565632</v>
      </c>
    </row>
    <row r="24" spans="1:10" x14ac:dyDescent="0.2">
      <c r="A24" s="7">
        <v>45573</v>
      </c>
      <c r="B24" s="6">
        <v>45573.662499999999</v>
      </c>
      <c r="C24" s="6">
        <v>45573.118055555555</v>
      </c>
      <c r="D24" s="1">
        <v>224.4</v>
      </c>
      <c r="E24" s="1">
        <v>13.384000000000015</v>
      </c>
      <c r="F24" s="2">
        <v>13.633333333333335</v>
      </c>
      <c r="G24" s="2">
        <v>5.6333333333333346</v>
      </c>
      <c r="J24">
        <f t="shared" si="0"/>
        <v>0.42090057780434315</v>
      </c>
    </row>
    <row r="25" spans="1:10" x14ac:dyDescent="0.2">
      <c r="A25" s="7">
        <v>45573</v>
      </c>
      <c r="B25" s="6">
        <v>45573.663888888892</v>
      </c>
      <c r="C25" s="6">
        <v>45573.119444444448</v>
      </c>
      <c r="D25" s="1">
        <v>224.3</v>
      </c>
      <c r="E25" s="1">
        <v>13.28400000000002</v>
      </c>
      <c r="F25" s="2">
        <v>13.693333333333333</v>
      </c>
      <c r="G25" s="2">
        <v>5.6933333333333334</v>
      </c>
      <c r="J25">
        <f t="shared" si="0"/>
        <v>0.42858576733915421</v>
      </c>
    </row>
    <row r="26" spans="1:10" x14ac:dyDescent="0.2">
      <c r="A26" s="7">
        <v>45573</v>
      </c>
      <c r="B26" s="6">
        <v>45573.665277777778</v>
      </c>
      <c r="C26" s="6">
        <v>45573.120833333334</v>
      </c>
      <c r="D26" s="1">
        <v>224.2</v>
      </c>
      <c r="E26" s="1">
        <v>13.183999999999997</v>
      </c>
      <c r="F26" s="2">
        <v>13.596666666666666</v>
      </c>
      <c r="G26" s="2">
        <v>5.5966666666666658</v>
      </c>
      <c r="J26">
        <f t="shared" si="0"/>
        <v>0.42450444983818769</v>
      </c>
    </row>
    <row r="27" spans="1:10" x14ac:dyDescent="0.2">
      <c r="A27" s="7">
        <v>45573</v>
      </c>
      <c r="B27" s="6">
        <v>45573.666666666664</v>
      </c>
      <c r="C27" s="6">
        <v>45573.12222222222</v>
      </c>
      <c r="D27" s="1">
        <v>224.4</v>
      </c>
      <c r="E27" s="1">
        <v>13.384000000000015</v>
      </c>
      <c r="F27" s="2">
        <v>13.540000000000001</v>
      </c>
      <c r="G27" s="2">
        <v>5.5400000000000009</v>
      </c>
      <c r="J27">
        <f t="shared" si="0"/>
        <v>0.41392707710699306</v>
      </c>
    </row>
    <row r="28" spans="1:10" x14ac:dyDescent="0.2">
      <c r="A28" s="7">
        <v>45573</v>
      </c>
      <c r="B28" s="6">
        <v>45573.668055555558</v>
      </c>
      <c r="C28" s="6">
        <v>45573.123611111114</v>
      </c>
      <c r="D28" s="1">
        <v>224.3</v>
      </c>
      <c r="E28" s="1">
        <v>13.28400000000002</v>
      </c>
      <c r="F28" s="2">
        <v>13.803333333333335</v>
      </c>
      <c r="G28" s="2">
        <v>5.8033333333333346</v>
      </c>
      <c r="J28">
        <f t="shared" si="0"/>
        <v>0.43686640570109347</v>
      </c>
    </row>
    <row r="29" spans="1:10" x14ac:dyDescent="0.2">
      <c r="A29" s="7">
        <v>45573</v>
      </c>
      <c r="B29" s="6">
        <v>45573.669444444444</v>
      </c>
      <c r="C29" s="6">
        <v>45573.125</v>
      </c>
      <c r="D29" s="1">
        <v>224.1</v>
      </c>
      <c r="E29" s="1">
        <v>13.084000000000003</v>
      </c>
      <c r="F29" s="2">
        <v>13.573333333333332</v>
      </c>
      <c r="G29" s="2">
        <v>5.5733333333333324</v>
      </c>
      <c r="J29">
        <f t="shared" si="0"/>
        <v>0.42596555589524082</v>
      </c>
    </row>
    <row r="30" spans="1:10" x14ac:dyDescent="0.2">
      <c r="A30" s="7">
        <v>45573</v>
      </c>
      <c r="B30" s="6">
        <v>45573.67083333333</v>
      </c>
      <c r="C30" s="6">
        <v>45573.126388888886</v>
      </c>
      <c r="D30" s="1">
        <v>225.4</v>
      </c>
      <c r="E30" s="1">
        <v>14.384000000000015</v>
      </c>
      <c r="F30" s="2">
        <v>13.823333333333332</v>
      </c>
      <c r="G30" s="2">
        <v>5.8233333333333324</v>
      </c>
      <c r="J30">
        <f t="shared" si="0"/>
        <v>0.40484797923618787</v>
      </c>
    </row>
    <row r="31" spans="1:10" x14ac:dyDescent="0.2">
      <c r="A31" s="7">
        <v>45573</v>
      </c>
      <c r="B31" s="6">
        <v>45573.672222222223</v>
      </c>
      <c r="C31" s="6">
        <v>45573.12777777778</v>
      </c>
      <c r="D31" s="1">
        <v>224.8</v>
      </c>
      <c r="E31" s="1">
        <v>13.78400000000002</v>
      </c>
      <c r="F31" s="2">
        <v>13.703333333333333</v>
      </c>
      <c r="G31" s="2">
        <v>5.7033333333333331</v>
      </c>
      <c r="J31">
        <f t="shared" si="0"/>
        <v>0.41376475140259178</v>
      </c>
    </row>
    <row r="32" spans="1:10" x14ac:dyDescent="0.2">
      <c r="A32" s="7">
        <v>45573</v>
      </c>
      <c r="B32" s="6">
        <v>45573.673611111109</v>
      </c>
      <c r="C32" s="6">
        <v>45573.129166666666</v>
      </c>
      <c r="D32" s="1">
        <v>224.5</v>
      </c>
      <c r="E32" s="1">
        <v>13.484000000000009</v>
      </c>
      <c r="F32" s="2">
        <v>13.686666666666667</v>
      </c>
      <c r="G32" s="2">
        <v>5.6866666666666674</v>
      </c>
      <c r="J32">
        <f t="shared" si="0"/>
        <v>0.42173440126569739</v>
      </c>
    </row>
    <row r="33" spans="1:10" x14ac:dyDescent="0.2">
      <c r="A33" s="7">
        <v>45573</v>
      </c>
      <c r="B33" s="6">
        <v>45573.675000000003</v>
      </c>
      <c r="C33" s="6">
        <v>45573.130555555559</v>
      </c>
      <c r="D33" s="1">
        <v>224.5</v>
      </c>
      <c r="E33" s="1">
        <v>13.484000000000009</v>
      </c>
      <c r="F33" s="2">
        <v>13.659999999999998</v>
      </c>
      <c r="G33" s="2">
        <v>5.6599999999999984</v>
      </c>
      <c r="J33">
        <f t="shared" si="0"/>
        <v>0.41975674873924612</v>
      </c>
    </row>
    <row r="34" spans="1:10" x14ac:dyDescent="0.2">
      <c r="A34" s="7">
        <v>45573</v>
      </c>
      <c r="B34" s="6">
        <v>45573.676388888889</v>
      </c>
      <c r="C34" s="6">
        <v>45573.131944444445</v>
      </c>
      <c r="D34" s="1">
        <v>223.2</v>
      </c>
      <c r="E34" s="1">
        <v>12.183999999999997</v>
      </c>
      <c r="F34" s="2">
        <v>13.386666666666668</v>
      </c>
      <c r="G34" s="2">
        <v>5.3866666666666685</v>
      </c>
      <c r="J34">
        <f t="shared" si="0"/>
        <v>0.44210987086889936</v>
      </c>
    </row>
    <row r="35" spans="1:10" x14ac:dyDescent="0.2">
      <c r="A35" s="7">
        <v>45573</v>
      </c>
      <c r="B35" s="6">
        <v>45573.677777777775</v>
      </c>
      <c r="C35" s="6">
        <v>45573.133333333331</v>
      </c>
      <c r="D35" s="1">
        <v>223.9</v>
      </c>
      <c r="E35" s="1">
        <v>12.884000000000015</v>
      </c>
      <c r="F35" s="2">
        <v>13.366666666666667</v>
      </c>
      <c r="G35" s="2">
        <v>5.3666666666666671</v>
      </c>
      <c r="J35">
        <f t="shared" si="0"/>
        <v>0.41653730725447541</v>
      </c>
    </row>
    <row r="36" spans="1:10" x14ac:dyDescent="0.2">
      <c r="A36" s="7">
        <v>45573</v>
      </c>
      <c r="B36" s="6">
        <v>45573.679166666669</v>
      </c>
      <c r="C36" s="6">
        <v>45573.134722222225</v>
      </c>
      <c r="D36" s="1">
        <v>223.9</v>
      </c>
      <c r="E36" s="1">
        <v>12.884000000000015</v>
      </c>
      <c r="F36" s="2">
        <v>13.296666666666667</v>
      </c>
      <c r="G36" s="2">
        <v>5.2966666666666669</v>
      </c>
      <c r="J36">
        <f t="shared" si="0"/>
        <v>0.4111042119424605</v>
      </c>
    </row>
    <row r="37" spans="1:10" x14ac:dyDescent="0.2">
      <c r="A37" s="7">
        <v>45573</v>
      </c>
      <c r="B37" s="6">
        <v>45573.680555555555</v>
      </c>
      <c r="C37" s="6">
        <v>45573.136111111111</v>
      </c>
      <c r="D37" s="1">
        <v>223.5</v>
      </c>
      <c r="E37" s="1">
        <v>12.484000000000009</v>
      </c>
      <c r="F37" s="2">
        <v>13.236666666666666</v>
      </c>
      <c r="G37" s="2">
        <v>5.2366666666666664</v>
      </c>
      <c r="J37">
        <f t="shared" si="0"/>
        <v>0.41947025526006587</v>
      </c>
    </row>
    <row r="38" spans="1:10" x14ac:dyDescent="0.2">
      <c r="A38" s="7">
        <v>45573</v>
      </c>
      <c r="B38" s="6">
        <v>45573.681944444441</v>
      </c>
      <c r="C38" s="6">
        <v>45573.137499999997</v>
      </c>
      <c r="D38" s="1">
        <v>223.5</v>
      </c>
      <c r="E38" s="1">
        <v>12.484000000000009</v>
      </c>
      <c r="F38" s="2">
        <v>13.203333333333333</v>
      </c>
      <c r="G38" s="2">
        <v>5.2033333333333331</v>
      </c>
      <c r="J38">
        <f t="shared" si="0"/>
        <v>0.41680017088539967</v>
      </c>
    </row>
    <row r="39" spans="1:10" x14ac:dyDescent="0.2">
      <c r="A39" s="7">
        <v>45573</v>
      </c>
      <c r="B39" s="6">
        <v>45573.683333333334</v>
      </c>
      <c r="C39" s="6">
        <v>45573.138888888891</v>
      </c>
      <c r="D39" s="1">
        <v>222.9</v>
      </c>
      <c r="E39" s="1">
        <v>11.884000000000015</v>
      </c>
      <c r="F39" s="2">
        <v>13</v>
      </c>
      <c r="G39" s="2">
        <v>5</v>
      </c>
      <c r="J39">
        <f t="shared" si="0"/>
        <v>0.42073375967687598</v>
      </c>
    </row>
    <row r="40" spans="1:10" x14ac:dyDescent="0.2">
      <c r="A40" s="7">
        <v>45573</v>
      </c>
      <c r="B40" s="6">
        <v>45573.68472222222</v>
      </c>
      <c r="C40" s="6">
        <v>45573.140277777777</v>
      </c>
      <c r="D40" s="1">
        <v>222.6</v>
      </c>
      <c r="E40" s="1">
        <v>11.584000000000003</v>
      </c>
      <c r="F40" s="2">
        <v>12.816666666666668</v>
      </c>
      <c r="G40" s="2">
        <v>4.8166666666666682</v>
      </c>
      <c r="J40">
        <f t="shared" si="0"/>
        <v>0.41580340699815838</v>
      </c>
    </row>
    <row r="41" spans="1:10" x14ac:dyDescent="0.2">
      <c r="A41" s="7">
        <v>45573</v>
      </c>
      <c r="B41" s="6">
        <v>45573.686111111114</v>
      </c>
      <c r="C41" s="6">
        <v>45573.14166666667</v>
      </c>
      <c r="D41" s="1">
        <v>222.3</v>
      </c>
      <c r="E41" s="1">
        <v>11.28400000000002</v>
      </c>
      <c r="F41" s="2">
        <v>12.746666666666668</v>
      </c>
      <c r="G41" s="2">
        <v>4.7466666666666679</v>
      </c>
      <c r="J41">
        <f t="shared" si="0"/>
        <v>0.42065461420300065</v>
      </c>
    </row>
    <row r="42" spans="1:10" x14ac:dyDescent="0.2">
      <c r="A42" s="7">
        <v>45573</v>
      </c>
      <c r="B42" s="6">
        <v>45573.6875</v>
      </c>
      <c r="C42" s="6">
        <v>45573.143055555556</v>
      </c>
      <c r="D42" s="1">
        <v>222.3</v>
      </c>
      <c r="E42" s="1">
        <v>11.28400000000002</v>
      </c>
      <c r="F42" s="2">
        <v>12.579999999999998</v>
      </c>
      <c r="G42" s="2">
        <v>4.5799999999999983</v>
      </c>
      <c r="J42">
        <f t="shared" si="0"/>
        <v>0.4058844381425018</v>
      </c>
    </row>
    <row r="43" spans="1:10" x14ac:dyDescent="0.2">
      <c r="A43" s="7">
        <v>45573</v>
      </c>
      <c r="B43" s="6">
        <v>45573.688888888886</v>
      </c>
      <c r="C43" s="6">
        <v>45573.144444444442</v>
      </c>
      <c r="D43" s="1">
        <v>221.6</v>
      </c>
      <c r="E43" s="1">
        <v>10.584000000000003</v>
      </c>
      <c r="F43" s="2">
        <v>12.459999999999999</v>
      </c>
      <c r="G43" s="2">
        <v>4.4599999999999991</v>
      </c>
      <c r="J43">
        <f t="shared" si="0"/>
        <v>0.42139077853363544</v>
      </c>
    </row>
    <row r="44" spans="1:10" x14ac:dyDescent="0.2">
      <c r="A44" s="7">
        <v>45573</v>
      </c>
      <c r="B44" s="6">
        <v>45573.69027777778</v>
      </c>
      <c r="C44" s="6">
        <v>45573.145833333336</v>
      </c>
      <c r="D44" s="1">
        <v>221.5</v>
      </c>
      <c r="E44" s="1">
        <v>10.484000000000009</v>
      </c>
      <c r="F44" s="2">
        <v>12.483333333333334</v>
      </c>
      <c r="G44" s="2">
        <v>4.4833333333333343</v>
      </c>
      <c r="J44">
        <f t="shared" si="0"/>
        <v>0.42763576243164159</v>
      </c>
    </row>
    <row r="45" spans="1:10" x14ac:dyDescent="0.2">
      <c r="A45" s="7">
        <v>45573</v>
      </c>
      <c r="B45" s="6">
        <v>45573.691666666666</v>
      </c>
      <c r="C45" s="6">
        <v>45573.147222222222</v>
      </c>
      <c r="D45" s="1">
        <v>221.3</v>
      </c>
      <c r="E45" s="1">
        <v>10.28400000000002</v>
      </c>
      <c r="F45" s="2">
        <v>12.323333333333332</v>
      </c>
      <c r="G45" s="2">
        <v>4.3233333333333324</v>
      </c>
      <c r="J45">
        <f t="shared" si="0"/>
        <v>0.42039413976403384</v>
      </c>
    </row>
    <row r="46" spans="1:10" x14ac:dyDescent="0.2">
      <c r="A46" s="7">
        <v>45573</v>
      </c>
      <c r="B46" s="6">
        <v>45573.693055555559</v>
      </c>
      <c r="C46" s="6">
        <v>45573.148611111115</v>
      </c>
      <c r="D46" s="1">
        <v>221.3</v>
      </c>
      <c r="E46" s="1">
        <v>10.28400000000002</v>
      </c>
      <c r="F46" s="2">
        <v>12.263333333333334</v>
      </c>
      <c r="G46" s="2">
        <v>4.2633333333333336</v>
      </c>
      <c r="J46">
        <f t="shared" si="0"/>
        <v>0.41455983404641433</v>
      </c>
    </row>
    <row r="47" spans="1:10" x14ac:dyDescent="0.2">
      <c r="A47" s="7">
        <v>45573</v>
      </c>
      <c r="B47" s="6">
        <v>45573.694444444445</v>
      </c>
      <c r="C47" s="6">
        <v>45573.15</v>
      </c>
      <c r="D47" s="1">
        <v>221.2</v>
      </c>
      <c r="E47" s="1">
        <v>10.183999999999997</v>
      </c>
      <c r="F47" s="2">
        <v>12.203333333333333</v>
      </c>
      <c r="G47" s="2">
        <v>4.2033333333333331</v>
      </c>
      <c r="J47">
        <f t="shared" si="0"/>
        <v>0.41273893689447505</v>
      </c>
    </row>
    <row r="48" spans="1:10" x14ac:dyDescent="0.2">
      <c r="A48" s="7">
        <v>45573</v>
      </c>
      <c r="B48" s="6">
        <v>45573.695833333331</v>
      </c>
      <c r="C48" s="6">
        <v>45573.151388888888</v>
      </c>
      <c r="D48" s="1">
        <v>220.9</v>
      </c>
      <c r="E48" s="1">
        <v>9.8840000000000146</v>
      </c>
      <c r="F48" s="2">
        <v>12.053333333333333</v>
      </c>
      <c r="G48" s="2">
        <v>4.0533333333333328</v>
      </c>
      <c r="J48">
        <f t="shared" si="0"/>
        <v>0.41009038176176921</v>
      </c>
    </row>
    <row r="49" spans="1:10" x14ac:dyDescent="0.2">
      <c r="A49" s="7">
        <v>45573</v>
      </c>
      <c r="B49" s="6">
        <v>45573.697222222225</v>
      </c>
      <c r="C49" s="6">
        <v>45573.152777777781</v>
      </c>
      <c r="D49" s="1">
        <v>220.5</v>
      </c>
      <c r="E49" s="1">
        <v>9.4840000000000089</v>
      </c>
      <c r="F49" s="2">
        <v>11.969999999999999</v>
      </c>
      <c r="G49" s="2">
        <v>3.9699999999999989</v>
      </c>
      <c r="J49">
        <f t="shared" si="0"/>
        <v>0.41859974694221797</v>
      </c>
    </row>
    <row r="50" spans="1:10" x14ac:dyDescent="0.2">
      <c r="A50" s="7">
        <v>45573</v>
      </c>
      <c r="B50" s="6">
        <v>45573.698611111111</v>
      </c>
      <c r="C50" s="6">
        <v>45573.154166666667</v>
      </c>
      <c r="D50" s="1">
        <v>220.2</v>
      </c>
      <c r="E50" s="1">
        <v>9.1839999999999975</v>
      </c>
      <c r="F50" s="2">
        <v>11.839999999999998</v>
      </c>
      <c r="G50" s="2">
        <v>3.8399999999999981</v>
      </c>
      <c r="J50">
        <f t="shared" si="0"/>
        <v>0.4181184668989546</v>
      </c>
    </row>
    <row r="51" spans="1:10" x14ac:dyDescent="0.2">
      <c r="A51" s="7">
        <v>45573</v>
      </c>
      <c r="B51" s="6">
        <v>45573.7</v>
      </c>
      <c r="C51" s="6">
        <v>45573.155555555553</v>
      </c>
      <c r="D51" s="1">
        <v>220.2</v>
      </c>
      <c r="E51" s="1">
        <v>9.1839999999999975</v>
      </c>
      <c r="F51" s="2">
        <v>11.743333333333334</v>
      </c>
      <c r="G51" s="2">
        <v>3.7433333333333341</v>
      </c>
      <c r="J51">
        <f t="shared" si="0"/>
        <v>0.40759291521486662</v>
      </c>
    </row>
    <row r="52" spans="1:10" x14ac:dyDescent="0.2">
      <c r="A52" s="7">
        <v>45573</v>
      </c>
      <c r="B52" s="6">
        <v>45573.701388888891</v>
      </c>
      <c r="C52" s="6">
        <v>45573.156944444447</v>
      </c>
      <c r="D52" s="1">
        <v>219.4</v>
      </c>
      <c r="E52" s="1">
        <v>8.3840000000000146</v>
      </c>
      <c r="F52" s="2">
        <v>11.616666666666667</v>
      </c>
      <c r="G52" s="2">
        <v>3.6166666666666671</v>
      </c>
      <c r="J52">
        <f t="shared" si="0"/>
        <v>0.43137722646310361</v>
      </c>
    </row>
    <row r="53" spans="1:10" x14ac:dyDescent="0.2">
      <c r="A53" s="7">
        <v>45573</v>
      </c>
      <c r="B53" s="6">
        <v>45573.702777777777</v>
      </c>
      <c r="C53" s="6">
        <v>45573.158333333333</v>
      </c>
      <c r="D53" s="1">
        <v>219.4</v>
      </c>
      <c r="E53" s="1">
        <v>8.3840000000000146</v>
      </c>
      <c r="F53" s="2">
        <v>11.493333333333334</v>
      </c>
      <c r="G53" s="2">
        <v>3.4933333333333341</v>
      </c>
      <c r="J53">
        <f t="shared" si="0"/>
        <v>0.41666666666666602</v>
      </c>
    </row>
    <row r="54" spans="1:10" x14ac:dyDescent="0.2">
      <c r="A54" s="7">
        <v>45573</v>
      </c>
      <c r="B54" s="6">
        <v>45573.70416666667</v>
      </c>
      <c r="C54" s="6">
        <v>45573.159722222226</v>
      </c>
      <c r="D54" s="1">
        <v>219.3</v>
      </c>
      <c r="E54" s="1">
        <v>8.2840000000000202</v>
      </c>
      <c r="F54" s="2">
        <v>11.43</v>
      </c>
      <c r="G54" s="2">
        <v>3.4299999999999997</v>
      </c>
      <c r="J54">
        <f t="shared" si="0"/>
        <v>0.41405118300337895</v>
      </c>
    </row>
    <row r="55" spans="1:10" x14ac:dyDescent="0.2">
      <c r="A55" s="7">
        <v>45573</v>
      </c>
      <c r="B55" s="6">
        <v>45573.705555555556</v>
      </c>
      <c r="C55" s="6">
        <v>45573.161111111112</v>
      </c>
      <c r="D55" s="1">
        <v>219.2</v>
      </c>
      <c r="E55" s="1">
        <v>8.1839999999999975</v>
      </c>
      <c r="F55" s="2">
        <v>11.346666666666666</v>
      </c>
      <c r="G55" s="2">
        <v>3.3466666666666658</v>
      </c>
      <c r="J55">
        <f t="shared" si="0"/>
        <v>0.40892798957315091</v>
      </c>
    </row>
    <row r="56" spans="1:10" x14ac:dyDescent="0.2">
      <c r="A56" s="7">
        <v>45573</v>
      </c>
      <c r="B56" s="6">
        <v>45573.706944444442</v>
      </c>
      <c r="C56" s="6">
        <v>45573.162499999999</v>
      </c>
      <c r="D56" s="1">
        <v>218.9</v>
      </c>
      <c r="E56" s="1">
        <v>7.8840000000000146</v>
      </c>
      <c r="F56" s="2">
        <v>11.283333333333331</v>
      </c>
      <c r="G56" s="2">
        <v>3.2833333333333314</v>
      </c>
      <c r="J56">
        <f t="shared" si="0"/>
        <v>0.41645526805344057</v>
      </c>
    </row>
    <row r="57" spans="1:10" x14ac:dyDescent="0.2">
      <c r="A57" s="7">
        <v>45573</v>
      </c>
      <c r="B57" s="6">
        <v>45573.708333333336</v>
      </c>
      <c r="C57" s="6">
        <v>45573.163888888892</v>
      </c>
      <c r="D57" s="1">
        <v>219</v>
      </c>
      <c r="E57" s="1">
        <v>7.9840000000000089</v>
      </c>
      <c r="F57" s="2">
        <v>11.25</v>
      </c>
      <c r="G57" s="2">
        <v>3.25</v>
      </c>
      <c r="J57">
        <f t="shared" si="0"/>
        <v>0.40706412825651256</v>
      </c>
    </row>
    <row r="58" spans="1:10" x14ac:dyDescent="0.2">
      <c r="A58" s="7">
        <v>45573</v>
      </c>
      <c r="B58" s="6">
        <v>45573.709722222222</v>
      </c>
      <c r="C58" s="6">
        <v>45573.165277777778</v>
      </c>
      <c r="D58" s="1">
        <v>218.7</v>
      </c>
      <c r="E58" s="1">
        <v>7.6839999999999975</v>
      </c>
      <c r="F58" s="2">
        <v>11.196666666666667</v>
      </c>
      <c r="G58" s="2">
        <v>3.1966666666666672</v>
      </c>
      <c r="J58">
        <f t="shared" si="0"/>
        <v>0.41601596390768719</v>
      </c>
    </row>
    <row r="59" spans="1:10" x14ac:dyDescent="0.2">
      <c r="A59" s="7">
        <v>45573</v>
      </c>
      <c r="B59" s="6">
        <v>45573.711111111108</v>
      </c>
      <c r="C59" s="6">
        <v>45573.166666666664</v>
      </c>
      <c r="D59" s="1">
        <v>218.5</v>
      </c>
      <c r="E59" s="1">
        <v>7.4840000000000089</v>
      </c>
      <c r="F59" s="2">
        <v>11.016666666666666</v>
      </c>
      <c r="G59" s="2">
        <v>3.0166666666666657</v>
      </c>
      <c r="J59">
        <f t="shared" si="0"/>
        <v>0.4030821307678597</v>
      </c>
    </row>
    <row r="60" spans="1:10" x14ac:dyDescent="0.2">
      <c r="A60" s="7">
        <v>45573</v>
      </c>
      <c r="B60" s="6">
        <v>45573.712500000001</v>
      </c>
      <c r="C60" s="6">
        <v>45573.168055555558</v>
      </c>
      <c r="D60" s="1">
        <v>218.3</v>
      </c>
      <c r="E60" s="1">
        <v>7.2840000000000202</v>
      </c>
      <c r="F60" s="2">
        <v>10.979999999999999</v>
      </c>
      <c r="G60" s="2">
        <v>2.9799999999999986</v>
      </c>
      <c r="J60">
        <f t="shared" si="0"/>
        <v>0.40911587040087732</v>
      </c>
    </row>
    <row r="61" spans="1:10" x14ac:dyDescent="0.2">
      <c r="A61" s="7">
        <v>45573</v>
      </c>
      <c r="B61" s="6">
        <v>45573.713888888888</v>
      </c>
      <c r="C61" s="6">
        <v>45573.169444444444</v>
      </c>
      <c r="D61" s="1">
        <v>218.2</v>
      </c>
      <c r="E61" s="1">
        <v>7.1839999999999975</v>
      </c>
      <c r="F61" s="2">
        <v>10.930000000000001</v>
      </c>
      <c r="G61" s="2">
        <v>2.9300000000000015</v>
      </c>
      <c r="J61">
        <f t="shared" si="0"/>
        <v>0.40785077951002263</v>
      </c>
    </row>
    <row r="62" spans="1:10" x14ac:dyDescent="0.2">
      <c r="A62" s="7">
        <v>45573</v>
      </c>
      <c r="B62" s="6">
        <v>45573.715277777781</v>
      </c>
      <c r="C62" s="6">
        <v>45573.170833333337</v>
      </c>
      <c r="D62" s="1">
        <v>217.8</v>
      </c>
      <c r="E62" s="1">
        <v>6.7840000000000202</v>
      </c>
      <c r="F62" s="2">
        <v>10.856666666666667</v>
      </c>
      <c r="G62" s="2">
        <v>2.8566666666666674</v>
      </c>
      <c r="J62">
        <f t="shared" si="0"/>
        <v>0.42108883647798628</v>
      </c>
    </row>
    <row r="63" spans="1:10" x14ac:dyDescent="0.2">
      <c r="A63" s="7">
        <v>45573</v>
      </c>
      <c r="B63" s="6">
        <v>45573.716666666667</v>
      </c>
      <c r="C63" s="6">
        <v>45573.172222222223</v>
      </c>
      <c r="D63" s="1">
        <v>218</v>
      </c>
      <c r="E63" s="1">
        <v>6.9840000000000089</v>
      </c>
      <c r="F63" s="2">
        <v>10.903333333333334</v>
      </c>
      <c r="G63" s="2">
        <v>2.9033333333333342</v>
      </c>
      <c r="J63">
        <f t="shared" si="0"/>
        <v>0.41571210385643337</v>
      </c>
    </row>
    <row r="64" spans="1:10" x14ac:dyDescent="0.2">
      <c r="A64" s="7">
        <v>45573</v>
      </c>
      <c r="B64" s="6">
        <v>45573.718055555553</v>
      </c>
      <c r="C64" s="6">
        <v>45573.173611111109</v>
      </c>
      <c r="D64" s="1">
        <v>217.7</v>
      </c>
      <c r="E64" s="1">
        <v>6.6839999999999975</v>
      </c>
      <c r="F64" s="2">
        <v>10.703333333333333</v>
      </c>
      <c r="G64" s="2">
        <v>2.7033333333333331</v>
      </c>
      <c r="J64">
        <f t="shared" si="0"/>
        <v>0.40444843407141445</v>
      </c>
    </row>
    <row r="65" spans="1:10" x14ac:dyDescent="0.2">
      <c r="A65" s="7">
        <v>45573</v>
      </c>
      <c r="B65" s="6">
        <v>45573.719444444447</v>
      </c>
      <c r="C65" s="6">
        <v>45573.175000000003</v>
      </c>
      <c r="D65" s="1">
        <v>217.6</v>
      </c>
      <c r="E65" s="1">
        <v>6.5840000000000032</v>
      </c>
      <c r="F65" s="2">
        <v>10.673333333333332</v>
      </c>
      <c r="G65" s="2">
        <v>2.673333333333332</v>
      </c>
      <c r="J65">
        <f t="shared" si="0"/>
        <v>0.40603483191575496</v>
      </c>
    </row>
    <row r="66" spans="1:10" x14ac:dyDescent="0.2">
      <c r="A66" s="7">
        <v>45573</v>
      </c>
      <c r="B66" s="6">
        <v>45573.720833333333</v>
      </c>
      <c r="C66" s="6">
        <v>45573.176388888889</v>
      </c>
      <c r="D66" s="1">
        <v>216.9</v>
      </c>
      <c r="E66" s="1">
        <v>5.8840000000000146</v>
      </c>
      <c r="F66" s="2">
        <v>10.57</v>
      </c>
      <c r="G66" s="2">
        <v>2.5700000000000003</v>
      </c>
      <c r="J66">
        <f t="shared" si="0"/>
        <v>0.43677770224337081</v>
      </c>
    </row>
    <row r="67" spans="1:10" x14ac:dyDescent="0.2">
      <c r="A67" s="7">
        <v>45573</v>
      </c>
      <c r="B67" s="6">
        <v>45573.722222222219</v>
      </c>
      <c r="C67" s="6">
        <v>45573.177777777775</v>
      </c>
      <c r="D67" s="1">
        <v>217.1</v>
      </c>
      <c r="E67" s="1">
        <v>6.0840000000000032</v>
      </c>
      <c r="F67" s="2">
        <v>10.456666666666667</v>
      </c>
      <c r="G67" s="2">
        <v>2.456666666666667</v>
      </c>
      <c r="J67">
        <f t="shared" ref="J67:J75" si="1">G67/E67</f>
        <v>0.40379136532982673</v>
      </c>
    </row>
    <row r="68" spans="1:10" x14ac:dyDescent="0.2">
      <c r="A68" s="7">
        <v>45573</v>
      </c>
      <c r="B68" s="6">
        <v>45573.723611111112</v>
      </c>
      <c r="C68" s="6">
        <v>45573.179166666669</v>
      </c>
      <c r="D68" s="1">
        <v>217.1</v>
      </c>
      <c r="E68" s="1">
        <v>6.0840000000000032</v>
      </c>
      <c r="F68" s="2">
        <v>10.396666666666668</v>
      </c>
      <c r="G68" s="2">
        <v>2.3966666666666683</v>
      </c>
      <c r="J68">
        <f t="shared" si="1"/>
        <v>0.39392943239097089</v>
      </c>
    </row>
    <row r="69" spans="1:10" x14ac:dyDescent="0.2">
      <c r="A69" s="7">
        <v>45573</v>
      </c>
      <c r="B69" s="6">
        <v>45573.724999999999</v>
      </c>
      <c r="C69" s="6">
        <v>45573.180555555555</v>
      </c>
      <c r="D69" s="1">
        <v>216.8</v>
      </c>
      <c r="E69" s="1">
        <v>5.7840000000000202</v>
      </c>
      <c r="F69" s="2">
        <v>10.326666666666666</v>
      </c>
      <c r="G69" s="2">
        <v>2.3266666666666662</v>
      </c>
      <c r="J69">
        <f t="shared" si="1"/>
        <v>0.40225910557860617</v>
      </c>
    </row>
    <row r="70" spans="1:10" x14ac:dyDescent="0.2">
      <c r="A70" s="7">
        <v>45573</v>
      </c>
      <c r="B70" s="6">
        <v>45573.726388888892</v>
      </c>
      <c r="C70" s="6">
        <v>45573.181944444448</v>
      </c>
      <c r="D70" s="1">
        <v>216.9</v>
      </c>
      <c r="E70" s="1">
        <v>5.8840000000000146</v>
      </c>
      <c r="F70" s="2">
        <v>10.37</v>
      </c>
      <c r="G70" s="2">
        <v>2.3699999999999992</v>
      </c>
      <c r="J70">
        <f t="shared" si="1"/>
        <v>0.40278721957851688</v>
      </c>
    </row>
    <row r="71" spans="1:10" x14ac:dyDescent="0.2">
      <c r="A71" s="7">
        <v>45573</v>
      </c>
      <c r="B71" s="6">
        <v>45573.727777777778</v>
      </c>
      <c r="C71" s="6">
        <v>45573.183333333334</v>
      </c>
      <c r="D71" s="1">
        <v>216.5</v>
      </c>
      <c r="E71" s="1">
        <v>5.4840000000000089</v>
      </c>
      <c r="F71" s="2">
        <v>10.236666666666666</v>
      </c>
      <c r="G71" s="2">
        <v>2.2366666666666664</v>
      </c>
      <c r="J71">
        <f t="shared" si="1"/>
        <v>0.40785314855336663</v>
      </c>
    </row>
    <row r="72" spans="1:10" x14ac:dyDescent="0.2">
      <c r="A72" s="7">
        <v>45573</v>
      </c>
      <c r="B72" s="6">
        <v>45573.729166666664</v>
      </c>
      <c r="C72" s="6">
        <v>45573.18472222222</v>
      </c>
      <c r="D72" s="1">
        <v>216.3</v>
      </c>
      <c r="E72" s="1">
        <v>5.2840000000000202</v>
      </c>
      <c r="F72" s="2">
        <v>10.210000000000001</v>
      </c>
      <c r="G72" s="2">
        <v>2.2100000000000009</v>
      </c>
      <c r="J72">
        <f t="shared" si="1"/>
        <v>0.41824375473126274</v>
      </c>
    </row>
    <row r="73" spans="1:10" x14ac:dyDescent="0.2">
      <c r="A73" s="7">
        <v>45573</v>
      </c>
      <c r="B73" s="6">
        <v>45573.730555555558</v>
      </c>
      <c r="C73" s="6">
        <v>45573.186111111114</v>
      </c>
      <c r="D73" s="1">
        <v>216.4</v>
      </c>
      <c r="E73" s="1">
        <v>5.3840000000000146</v>
      </c>
      <c r="F73" s="2">
        <v>10.18</v>
      </c>
      <c r="G73" s="2">
        <v>2.1799999999999997</v>
      </c>
      <c r="J73">
        <f t="shared" si="1"/>
        <v>0.40490341753343123</v>
      </c>
    </row>
    <row r="74" spans="1:10" x14ac:dyDescent="0.2">
      <c r="A74" s="7">
        <v>45573</v>
      </c>
      <c r="B74" s="6">
        <v>45573.731944444444</v>
      </c>
      <c r="C74" s="6">
        <v>45573.1875</v>
      </c>
      <c r="D74" s="1">
        <v>216.1</v>
      </c>
      <c r="E74" s="1">
        <v>5.0840000000000032</v>
      </c>
      <c r="F74" s="2">
        <v>10.073333333333332</v>
      </c>
      <c r="G74" s="2">
        <v>2.0733333333333324</v>
      </c>
      <c r="J74">
        <f t="shared" si="1"/>
        <v>0.40781536847626498</v>
      </c>
    </row>
    <row r="75" spans="1:10" x14ac:dyDescent="0.2">
      <c r="A75" s="7">
        <v>45573</v>
      </c>
      <c r="B75" s="6">
        <v>45573.73333333333</v>
      </c>
      <c r="C75" s="6">
        <v>45573.188888888886</v>
      </c>
      <c r="D75" s="1">
        <v>216.2</v>
      </c>
      <c r="E75" s="1">
        <v>5.1839999999999975</v>
      </c>
      <c r="F75" s="2">
        <v>10.093333333333334</v>
      </c>
      <c r="G75" s="2">
        <v>2.0933333333333337</v>
      </c>
      <c r="J75">
        <f t="shared" si="1"/>
        <v>0.40380658436214018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Torrens, Christa</dc:creator>
  <cp:lastModifiedBy>Torrens, Christa</cp:lastModifiedBy>
  <dcterms:created xsi:type="dcterms:W3CDTF">2024-10-18T16:52:56Z</dcterms:created>
  <dcterms:modified xsi:type="dcterms:W3CDTF">2024-10-18T17:35:07Z</dcterms:modified>
</cp:coreProperties>
</file>