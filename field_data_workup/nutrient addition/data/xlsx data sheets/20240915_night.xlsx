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/field_data_workup/nutrient addition/data/"/>
    </mc:Choice>
  </mc:AlternateContent>
  <xr:revisionPtr revIDLastSave="0" documentId="13_ncr:1_{4625C89C-9CC4-8F49-AC9D-6D5C03E1EA39}" xr6:coauthVersionLast="47" xr6:coauthVersionMax="47" xr10:uidLastSave="{00000000-0000-0000-0000-000000000000}"/>
  <bookViews>
    <workbookView xWindow="960" yWindow="500" windowWidth="24640" windowHeight="13900" activeTab="1" xr2:uid="{A2DBDACE-DA14-244A-B3F2-9BED0931BB6A}"/>
  </bookViews>
  <sheets>
    <sheet name="20240915" sheetId="1" r:id="rId1"/>
    <sheet name="Sheet2" sheetId="2" r:id="rId2"/>
  </sheets>
  <definedNames>
    <definedName name="_xlnm._FilterDatabase" localSheetId="0" hidden="1">'20240915'!#REF!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23" i="1"/>
  <c r="P2" i="2"/>
  <c r="O2" i="2"/>
  <c r="H1" i="1"/>
  <c r="H2" i="1"/>
  <c r="H3" i="1" s="1"/>
  <c r="B11" i="1"/>
  <c r="D11" i="1"/>
  <c r="F11" i="1"/>
  <c r="H11" i="1"/>
  <c r="B12" i="1"/>
  <c r="D12" i="1"/>
  <c r="F12" i="1"/>
  <c r="H12" i="1"/>
  <c r="B13" i="1"/>
  <c r="D13" i="1"/>
  <c r="F13" i="1"/>
  <c r="H13" i="1"/>
  <c r="B14" i="1"/>
  <c r="D14" i="1"/>
  <c r="F14" i="1"/>
  <c r="H14" i="1"/>
  <c r="B15" i="1"/>
  <c r="D15" i="1"/>
  <c r="F15" i="1"/>
  <c r="H15" i="1"/>
  <c r="B16" i="1"/>
  <c r="D16" i="1"/>
  <c r="F16" i="1"/>
  <c r="H16" i="1"/>
  <c r="B17" i="1"/>
  <c r="D17" i="1"/>
  <c r="F17" i="1"/>
  <c r="H17" i="1"/>
  <c r="B18" i="1"/>
  <c r="D18" i="1"/>
  <c r="F18" i="1"/>
  <c r="H18" i="1"/>
  <c r="B19" i="1"/>
  <c r="D19" i="1"/>
  <c r="F19" i="1"/>
  <c r="H19" i="1"/>
  <c r="B20" i="1"/>
  <c r="D20" i="1"/>
  <c r="F20" i="1"/>
  <c r="H20" i="1"/>
  <c r="B21" i="1"/>
  <c r="D21" i="1"/>
  <c r="F21" i="1"/>
  <c r="H21" i="1"/>
  <c r="B22" i="1"/>
  <c r="D22" i="1"/>
  <c r="F22" i="1"/>
  <c r="H22" i="1"/>
  <c r="B23" i="1"/>
  <c r="D23" i="1"/>
  <c r="F23" i="1"/>
  <c r="H23" i="1"/>
  <c r="I23" i="1"/>
  <c r="B24" i="1"/>
  <c r="D24" i="1"/>
  <c r="F24" i="1"/>
  <c r="H24" i="1"/>
  <c r="I24" i="1"/>
  <c r="B25" i="1"/>
  <c r="D25" i="1"/>
  <c r="F25" i="1"/>
  <c r="I25" i="1" s="1"/>
  <c r="H25" i="1"/>
  <c r="J25" i="1"/>
  <c r="B26" i="1"/>
  <c r="D26" i="1"/>
  <c r="F26" i="1"/>
  <c r="H26" i="1"/>
  <c r="J26" i="1" s="1"/>
  <c r="B27" i="1"/>
  <c r="D27" i="1"/>
  <c r="F27" i="1"/>
  <c r="H27" i="1"/>
  <c r="B28" i="1"/>
  <c r="D28" i="1"/>
  <c r="F28" i="1"/>
  <c r="H28" i="1"/>
  <c r="I28" i="1"/>
  <c r="B29" i="1"/>
  <c r="D29" i="1"/>
  <c r="F29" i="1"/>
  <c r="I29" i="1" s="1"/>
  <c r="H29" i="1"/>
  <c r="J29" i="1"/>
  <c r="B30" i="1"/>
  <c r="D30" i="1"/>
  <c r="F30" i="1"/>
  <c r="H30" i="1"/>
  <c r="J30" i="1" s="1"/>
  <c r="B31" i="1"/>
  <c r="D31" i="1"/>
  <c r="F31" i="1"/>
  <c r="H31" i="1"/>
  <c r="B32" i="1"/>
  <c r="D32" i="1"/>
  <c r="F32" i="1"/>
  <c r="H32" i="1"/>
  <c r="I32" i="1"/>
  <c r="B33" i="1"/>
  <c r="D33" i="1"/>
  <c r="F33" i="1"/>
  <c r="I33" i="1" s="1"/>
  <c r="H33" i="1"/>
  <c r="J33" i="1"/>
  <c r="B34" i="1"/>
  <c r="D34" i="1"/>
  <c r="F34" i="1"/>
  <c r="H34" i="1"/>
  <c r="J34" i="1" s="1"/>
  <c r="B35" i="1"/>
  <c r="D35" i="1"/>
  <c r="F35" i="1"/>
  <c r="H35" i="1"/>
  <c r="B36" i="1"/>
  <c r="D36" i="1"/>
  <c r="F36" i="1"/>
  <c r="H36" i="1"/>
  <c r="I36" i="1"/>
  <c r="B37" i="1"/>
  <c r="D37" i="1"/>
  <c r="F37" i="1"/>
  <c r="I37" i="1" s="1"/>
  <c r="H37" i="1"/>
  <c r="J37" i="1"/>
  <c r="B38" i="1"/>
  <c r="D38" i="1"/>
  <c r="F38" i="1"/>
  <c r="H38" i="1"/>
  <c r="J38" i="1" s="1"/>
  <c r="B39" i="1"/>
  <c r="D39" i="1"/>
  <c r="F39" i="1"/>
  <c r="H39" i="1"/>
  <c r="B40" i="1"/>
  <c r="D40" i="1"/>
  <c r="F40" i="1"/>
  <c r="H40" i="1"/>
  <c r="I40" i="1"/>
  <c r="B41" i="1"/>
  <c r="D41" i="1"/>
  <c r="F41" i="1"/>
  <c r="I41" i="1" s="1"/>
  <c r="H41" i="1"/>
  <c r="J41" i="1"/>
  <c r="B42" i="1"/>
  <c r="D42" i="1"/>
  <c r="F42" i="1"/>
  <c r="H42" i="1"/>
  <c r="J42" i="1" s="1"/>
  <c r="B43" i="1"/>
  <c r="D43" i="1"/>
  <c r="F43" i="1"/>
  <c r="H43" i="1"/>
  <c r="B44" i="1"/>
  <c r="D44" i="1"/>
  <c r="F44" i="1"/>
  <c r="H44" i="1"/>
  <c r="I44" i="1"/>
  <c r="B45" i="1"/>
  <c r="D45" i="1"/>
  <c r="F45" i="1"/>
  <c r="I45" i="1" s="1"/>
  <c r="H45" i="1"/>
  <c r="J45" i="1"/>
  <c r="B46" i="1"/>
  <c r="D46" i="1"/>
  <c r="F46" i="1"/>
  <c r="H46" i="1"/>
  <c r="J46" i="1" s="1"/>
  <c r="B47" i="1"/>
  <c r="D47" i="1"/>
  <c r="F47" i="1"/>
  <c r="H47" i="1"/>
  <c r="B48" i="1"/>
  <c r="D48" i="1"/>
  <c r="F48" i="1"/>
  <c r="H48" i="1"/>
  <c r="I48" i="1"/>
  <c r="B49" i="1"/>
  <c r="D49" i="1"/>
  <c r="F49" i="1"/>
  <c r="I49" i="1" s="1"/>
  <c r="H49" i="1"/>
  <c r="J49" i="1"/>
  <c r="B50" i="1"/>
  <c r="D50" i="1"/>
  <c r="F50" i="1"/>
  <c r="H50" i="1"/>
  <c r="J50" i="1" s="1"/>
  <c r="B51" i="1"/>
  <c r="D51" i="1"/>
  <c r="F51" i="1"/>
  <c r="H51" i="1"/>
  <c r="B52" i="1"/>
  <c r="D52" i="1"/>
  <c r="F52" i="1"/>
  <c r="H52" i="1"/>
  <c r="I52" i="1"/>
  <c r="B53" i="1"/>
  <c r="D53" i="1"/>
  <c r="F53" i="1"/>
  <c r="I53" i="1" s="1"/>
  <c r="H53" i="1"/>
  <c r="J53" i="1"/>
  <c r="B54" i="1"/>
  <c r="D54" i="1"/>
  <c r="F54" i="1"/>
  <c r="H54" i="1"/>
  <c r="J54" i="1" s="1"/>
  <c r="B55" i="1"/>
  <c r="D55" i="1"/>
  <c r="F55" i="1"/>
  <c r="H55" i="1"/>
  <c r="B56" i="1"/>
  <c r="D56" i="1"/>
  <c r="F56" i="1"/>
  <c r="H56" i="1"/>
  <c r="I56" i="1"/>
  <c r="B57" i="1"/>
  <c r="D57" i="1"/>
  <c r="F57" i="1"/>
  <c r="I57" i="1" s="1"/>
  <c r="H57" i="1"/>
  <c r="J57" i="1"/>
  <c r="B58" i="1"/>
  <c r="D58" i="1"/>
  <c r="F58" i="1"/>
  <c r="H58" i="1"/>
  <c r="J58" i="1" s="1"/>
  <c r="B59" i="1"/>
  <c r="D59" i="1"/>
  <c r="F59" i="1"/>
  <c r="H59" i="1"/>
  <c r="B60" i="1"/>
  <c r="D60" i="1"/>
  <c r="F60" i="1"/>
  <c r="H60" i="1"/>
  <c r="I60" i="1"/>
  <c r="B61" i="1"/>
  <c r="D61" i="1"/>
  <c r="F61" i="1"/>
  <c r="I61" i="1" s="1"/>
  <c r="H61" i="1"/>
  <c r="J61" i="1"/>
  <c r="B62" i="1"/>
  <c r="D62" i="1"/>
  <c r="F62" i="1"/>
  <c r="H62" i="1"/>
  <c r="J62" i="1" s="1"/>
  <c r="B63" i="1"/>
  <c r="D63" i="1"/>
  <c r="F63" i="1"/>
  <c r="H63" i="1"/>
  <c r="B64" i="1"/>
  <c r="D64" i="1"/>
  <c r="F64" i="1"/>
  <c r="H64" i="1"/>
  <c r="I64" i="1"/>
  <c r="B65" i="1"/>
  <c r="D65" i="1"/>
  <c r="F65" i="1"/>
  <c r="I65" i="1" s="1"/>
  <c r="H65" i="1"/>
  <c r="J65" i="1"/>
  <c r="B66" i="1"/>
  <c r="D66" i="1"/>
  <c r="F66" i="1"/>
  <c r="H66" i="1"/>
  <c r="J66" i="1" s="1"/>
  <c r="B67" i="1"/>
  <c r="D67" i="1"/>
  <c r="F67" i="1"/>
  <c r="H67" i="1"/>
  <c r="B68" i="1"/>
  <c r="D68" i="1"/>
  <c r="F68" i="1"/>
  <c r="H68" i="1"/>
  <c r="I68" i="1"/>
  <c r="B69" i="1"/>
  <c r="D69" i="1"/>
  <c r="F69" i="1"/>
  <c r="I69" i="1" s="1"/>
  <c r="H69" i="1"/>
  <c r="J69" i="1"/>
  <c r="B70" i="1"/>
  <c r="D70" i="1"/>
  <c r="F70" i="1"/>
  <c r="H70" i="1"/>
  <c r="J70" i="1" s="1"/>
  <c r="B71" i="1"/>
  <c r="D71" i="1"/>
  <c r="F71" i="1"/>
  <c r="H71" i="1"/>
  <c r="B72" i="1"/>
  <c r="D72" i="1"/>
  <c r="F72" i="1"/>
  <c r="H72" i="1"/>
  <c r="I72" i="1"/>
  <c r="B73" i="1"/>
  <c r="D73" i="1"/>
  <c r="F73" i="1"/>
  <c r="I73" i="1" s="1"/>
  <c r="H73" i="1"/>
  <c r="J73" i="1"/>
  <c r="B74" i="1"/>
  <c r="D74" i="1"/>
  <c r="F74" i="1"/>
  <c r="H74" i="1"/>
  <c r="J74" i="1" s="1"/>
  <c r="B75" i="1"/>
  <c r="D75" i="1"/>
  <c r="F75" i="1"/>
  <c r="H75" i="1"/>
  <c r="B76" i="1"/>
  <c r="D76" i="1"/>
  <c r="F76" i="1"/>
  <c r="H76" i="1"/>
  <c r="I76" i="1"/>
  <c r="B77" i="1"/>
  <c r="D77" i="1"/>
  <c r="F77" i="1"/>
  <c r="I77" i="1" s="1"/>
  <c r="H77" i="1"/>
  <c r="J77" i="1"/>
  <c r="B78" i="1"/>
  <c r="D78" i="1"/>
  <c r="F78" i="1"/>
  <c r="H78" i="1"/>
  <c r="J78" i="1" s="1"/>
  <c r="B79" i="1"/>
  <c r="D79" i="1"/>
  <c r="F79" i="1"/>
  <c r="H79" i="1"/>
  <c r="B80" i="1"/>
  <c r="D80" i="1"/>
  <c r="F80" i="1"/>
  <c r="H80" i="1"/>
  <c r="I80" i="1"/>
  <c r="B81" i="1"/>
  <c r="D81" i="1"/>
  <c r="F81" i="1"/>
  <c r="I81" i="1" s="1"/>
  <c r="H81" i="1"/>
  <c r="J81" i="1"/>
  <c r="B82" i="1"/>
  <c r="D82" i="1"/>
  <c r="F82" i="1"/>
  <c r="H82" i="1"/>
  <c r="J82" i="1" s="1"/>
  <c r="B83" i="1"/>
  <c r="D83" i="1"/>
  <c r="F83" i="1"/>
  <c r="H83" i="1"/>
  <c r="B84" i="1"/>
  <c r="D84" i="1"/>
  <c r="F84" i="1"/>
  <c r="H84" i="1"/>
  <c r="I84" i="1"/>
  <c r="B85" i="1"/>
  <c r="D85" i="1"/>
  <c r="F85" i="1"/>
  <c r="I85" i="1" s="1"/>
  <c r="H85" i="1"/>
  <c r="J85" i="1"/>
  <c r="B86" i="1"/>
  <c r="D86" i="1"/>
  <c r="F86" i="1"/>
  <c r="H86" i="1"/>
  <c r="J86" i="1" s="1"/>
  <c r="B87" i="1"/>
  <c r="D87" i="1"/>
  <c r="F87" i="1"/>
  <c r="H87" i="1"/>
  <c r="B88" i="1"/>
  <c r="D88" i="1"/>
  <c r="F88" i="1"/>
  <c r="H88" i="1"/>
  <c r="I88" i="1"/>
  <c r="B89" i="1"/>
  <c r="D89" i="1"/>
  <c r="F89" i="1"/>
  <c r="I89" i="1" s="1"/>
  <c r="H89" i="1"/>
  <c r="J89" i="1"/>
  <c r="B90" i="1"/>
  <c r="D90" i="1"/>
  <c r="F90" i="1"/>
  <c r="I90" i="1" s="1"/>
  <c r="H90" i="1"/>
  <c r="J90" i="1" s="1"/>
  <c r="B91" i="1"/>
  <c r="D91" i="1"/>
  <c r="F91" i="1"/>
  <c r="H91" i="1"/>
  <c r="B92" i="1"/>
  <c r="D92" i="1"/>
  <c r="F92" i="1"/>
  <c r="H92" i="1"/>
  <c r="I92" i="1"/>
  <c r="B93" i="1"/>
  <c r="D93" i="1"/>
  <c r="F93" i="1"/>
  <c r="I93" i="1" s="1"/>
  <c r="H93" i="1"/>
  <c r="J93" i="1"/>
  <c r="B94" i="1"/>
  <c r="D94" i="1"/>
  <c r="F94" i="1"/>
  <c r="H94" i="1"/>
  <c r="J94" i="1" s="1"/>
  <c r="B95" i="1"/>
  <c r="D95" i="1"/>
  <c r="F95" i="1"/>
  <c r="H95" i="1"/>
  <c r="J95" i="1"/>
  <c r="B96" i="1"/>
  <c r="D96" i="1"/>
  <c r="F96" i="1"/>
  <c r="I96" i="1" s="1"/>
  <c r="H96" i="1"/>
  <c r="J96" i="1"/>
  <c r="B97" i="1"/>
  <c r="D97" i="1"/>
  <c r="F97" i="1"/>
  <c r="I97" i="1" s="1"/>
  <c r="H97" i="1"/>
  <c r="J97" i="1"/>
  <c r="B98" i="1"/>
  <c r="D98" i="1"/>
  <c r="F98" i="1"/>
  <c r="I98" i="1" s="1"/>
  <c r="H98" i="1"/>
  <c r="B99" i="1"/>
  <c r="D99" i="1"/>
  <c r="F99" i="1"/>
  <c r="H99" i="1"/>
  <c r="J99" i="1" s="1"/>
  <c r="B100" i="1"/>
  <c r="D100" i="1"/>
  <c r="F100" i="1"/>
  <c r="I100" i="1" s="1"/>
  <c r="H100" i="1"/>
  <c r="J100" i="1"/>
  <c r="B101" i="1"/>
  <c r="D101" i="1"/>
  <c r="F101" i="1"/>
  <c r="H101" i="1"/>
  <c r="J101" i="1" s="1"/>
  <c r="B102" i="1"/>
  <c r="D102" i="1"/>
  <c r="F102" i="1"/>
  <c r="H102" i="1"/>
  <c r="I102" i="1"/>
  <c r="B103" i="1"/>
  <c r="D103" i="1"/>
  <c r="F103" i="1"/>
  <c r="H103" i="1"/>
  <c r="J103" i="1" s="1"/>
  <c r="I103" i="1"/>
  <c r="B104" i="1"/>
  <c r="D104" i="1"/>
  <c r="F104" i="1"/>
  <c r="H104" i="1"/>
  <c r="I104" i="1"/>
  <c r="J104" i="1"/>
  <c r="B105" i="1"/>
  <c r="D105" i="1"/>
  <c r="F105" i="1"/>
  <c r="I105" i="1" s="1"/>
  <c r="H105" i="1"/>
  <c r="J105" i="1"/>
  <c r="B106" i="1"/>
  <c r="D106" i="1"/>
  <c r="F106" i="1"/>
  <c r="H106" i="1"/>
  <c r="J106" i="1" s="1"/>
  <c r="B107" i="1"/>
  <c r="D107" i="1"/>
  <c r="F107" i="1"/>
  <c r="H107" i="1"/>
  <c r="I107" i="1"/>
  <c r="J107" i="1"/>
  <c r="B108" i="1"/>
  <c r="D108" i="1"/>
  <c r="F108" i="1"/>
  <c r="H108" i="1"/>
  <c r="I108" i="1"/>
  <c r="J108" i="1"/>
  <c r="B109" i="1"/>
  <c r="D109" i="1"/>
  <c r="F109" i="1"/>
  <c r="H109" i="1"/>
  <c r="J109" i="1" s="1"/>
  <c r="B110" i="1"/>
  <c r="D110" i="1"/>
  <c r="F110" i="1"/>
  <c r="I110" i="1" s="1"/>
  <c r="H110" i="1"/>
  <c r="J110" i="1" s="1"/>
  <c r="B111" i="1"/>
  <c r="D111" i="1"/>
  <c r="F111" i="1"/>
  <c r="H111" i="1"/>
  <c r="I111" i="1"/>
  <c r="B112" i="1"/>
  <c r="D112" i="1"/>
  <c r="F112" i="1"/>
  <c r="I112" i="1" s="1"/>
  <c r="H112" i="1"/>
  <c r="J112" i="1"/>
  <c r="B113" i="1"/>
  <c r="D113" i="1"/>
  <c r="F113" i="1"/>
  <c r="I113" i="1" s="1"/>
  <c r="H113" i="1"/>
  <c r="J113" i="1"/>
  <c r="B114" i="1"/>
  <c r="D114" i="1"/>
  <c r="F114" i="1"/>
  <c r="I114" i="1" s="1"/>
  <c r="H114" i="1"/>
  <c r="B115" i="1"/>
  <c r="D115" i="1"/>
  <c r="F115" i="1"/>
  <c r="H115" i="1"/>
  <c r="J115" i="1" s="1"/>
  <c r="I115" i="1"/>
  <c r="B116" i="1"/>
  <c r="D116" i="1"/>
  <c r="F116" i="1"/>
  <c r="I116" i="1" s="1"/>
  <c r="H116" i="1"/>
  <c r="J116" i="1"/>
  <c r="B117" i="1"/>
  <c r="D117" i="1"/>
  <c r="F117" i="1"/>
  <c r="H117" i="1"/>
  <c r="J117" i="1" s="1"/>
  <c r="B118" i="1"/>
  <c r="D118" i="1"/>
  <c r="F118" i="1"/>
  <c r="H118" i="1"/>
  <c r="I118" i="1"/>
  <c r="B119" i="1"/>
  <c r="D119" i="1"/>
  <c r="F119" i="1"/>
  <c r="H119" i="1"/>
  <c r="J119" i="1" s="1"/>
  <c r="I119" i="1"/>
  <c r="B120" i="1"/>
  <c r="D120" i="1"/>
  <c r="F120" i="1"/>
  <c r="H120" i="1"/>
  <c r="I120" i="1"/>
  <c r="B121" i="1"/>
  <c r="D121" i="1"/>
  <c r="F121" i="1"/>
  <c r="I121" i="1" s="1"/>
  <c r="H121" i="1"/>
  <c r="J121" i="1"/>
  <c r="B122" i="1"/>
  <c r="D122" i="1"/>
  <c r="F122" i="1"/>
  <c r="H122" i="1"/>
  <c r="J122" i="1" s="1"/>
  <c r="B123" i="1"/>
  <c r="D123" i="1"/>
  <c r="F123" i="1"/>
  <c r="H123" i="1"/>
  <c r="I123" i="1"/>
  <c r="J123" i="1"/>
  <c r="B124" i="1"/>
  <c r="D124" i="1"/>
  <c r="F124" i="1"/>
  <c r="H124" i="1"/>
  <c r="I124" i="1"/>
  <c r="J124" i="1"/>
  <c r="B125" i="1"/>
  <c r="D125" i="1"/>
  <c r="F125" i="1"/>
  <c r="H125" i="1"/>
  <c r="J125" i="1" s="1"/>
  <c r="B126" i="1"/>
  <c r="D126" i="1"/>
  <c r="F126" i="1"/>
  <c r="I126" i="1" s="1"/>
  <c r="H126" i="1"/>
  <c r="J126" i="1" s="1"/>
  <c r="B127" i="1"/>
  <c r="D127" i="1"/>
  <c r="F127" i="1"/>
  <c r="H127" i="1"/>
  <c r="I127" i="1"/>
  <c r="J127" i="1"/>
  <c r="B128" i="1"/>
  <c r="D128" i="1"/>
  <c r="F128" i="1"/>
  <c r="I128" i="1" s="1"/>
  <c r="H128" i="1"/>
  <c r="J128" i="1"/>
  <c r="B129" i="1"/>
  <c r="D129" i="1"/>
  <c r="F129" i="1"/>
  <c r="H129" i="1"/>
  <c r="J129" i="1"/>
  <c r="B130" i="1"/>
  <c r="D130" i="1"/>
  <c r="F130" i="1"/>
  <c r="I130" i="1" s="1"/>
  <c r="H130" i="1"/>
  <c r="B131" i="1"/>
  <c r="D131" i="1"/>
  <c r="F131" i="1"/>
  <c r="H131" i="1"/>
  <c r="J131" i="1" s="1"/>
  <c r="I131" i="1"/>
  <c r="B132" i="1"/>
  <c r="D132" i="1"/>
  <c r="F132" i="1"/>
  <c r="I132" i="1" s="1"/>
  <c r="H132" i="1"/>
  <c r="J132" i="1"/>
  <c r="B133" i="1"/>
  <c r="D133" i="1"/>
  <c r="F133" i="1"/>
  <c r="H133" i="1"/>
  <c r="J133" i="1" s="1"/>
  <c r="B134" i="1"/>
  <c r="D134" i="1"/>
  <c r="F134" i="1"/>
  <c r="H134" i="1"/>
  <c r="I134" i="1"/>
  <c r="J134" i="1"/>
  <c r="B135" i="1"/>
  <c r="D135" i="1"/>
  <c r="F135" i="1"/>
  <c r="I135" i="1" s="1"/>
  <c r="H135" i="1"/>
  <c r="J135" i="1"/>
  <c r="B136" i="1"/>
  <c r="D136" i="1"/>
  <c r="F136" i="1"/>
  <c r="I136" i="1" s="1"/>
  <c r="H136" i="1"/>
  <c r="J136" i="1" s="1"/>
  <c r="B137" i="1"/>
  <c r="D137" i="1"/>
  <c r="F137" i="1"/>
  <c r="H137" i="1"/>
  <c r="J137" i="1" s="1"/>
  <c r="I137" i="1"/>
  <c r="B138" i="1"/>
  <c r="D138" i="1"/>
  <c r="F138" i="1"/>
  <c r="H138" i="1"/>
  <c r="I138" i="1"/>
  <c r="J138" i="1"/>
  <c r="B139" i="1"/>
  <c r="D139" i="1"/>
  <c r="F139" i="1"/>
  <c r="I139" i="1" s="1"/>
  <c r="H139" i="1"/>
  <c r="J139" i="1"/>
  <c r="B140" i="1"/>
  <c r="D140" i="1"/>
  <c r="F140" i="1"/>
  <c r="H140" i="1"/>
  <c r="J140" i="1" s="1"/>
  <c r="B141" i="1"/>
  <c r="D141" i="1"/>
  <c r="F141" i="1"/>
  <c r="H141" i="1"/>
  <c r="I141" i="1"/>
  <c r="B142" i="1"/>
  <c r="D142" i="1"/>
  <c r="F142" i="1"/>
  <c r="H142" i="1"/>
  <c r="I142" i="1"/>
  <c r="J142" i="1"/>
  <c r="B143" i="1"/>
  <c r="D143" i="1"/>
  <c r="F143" i="1"/>
  <c r="I143" i="1" s="1"/>
  <c r="H143" i="1"/>
  <c r="J143" i="1"/>
  <c r="B144" i="1"/>
  <c r="D144" i="1"/>
  <c r="F144" i="1"/>
  <c r="H144" i="1"/>
  <c r="J144" i="1" s="1"/>
  <c r="B145" i="1"/>
  <c r="D145" i="1"/>
  <c r="F145" i="1"/>
  <c r="H145" i="1"/>
  <c r="J145" i="1" s="1"/>
  <c r="B146" i="1"/>
  <c r="D146" i="1"/>
  <c r="F146" i="1"/>
  <c r="H146" i="1"/>
  <c r="I146" i="1"/>
  <c r="B147" i="1"/>
  <c r="D147" i="1"/>
  <c r="F147" i="1"/>
  <c r="I147" i="1" s="1"/>
  <c r="H147" i="1"/>
  <c r="J147" i="1"/>
  <c r="B148" i="1"/>
  <c r="D148" i="1"/>
  <c r="F148" i="1"/>
  <c r="I148" i="1" s="1"/>
  <c r="H148" i="1"/>
  <c r="J148" i="1" s="1"/>
  <c r="B149" i="1"/>
  <c r="D149" i="1"/>
  <c r="F149" i="1"/>
  <c r="H149" i="1"/>
  <c r="J149" i="1" s="1"/>
  <c r="B150" i="1"/>
  <c r="D150" i="1"/>
  <c r="F150" i="1"/>
  <c r="H150" i="1"/>
  <c r="I150" i="1"/>
  <c r="B151" i="1"/>
  <c r="D151" i="1"/>
  <c r="F151" i="1"/>
  <c r="I151" i="1" s="1"/>
  <c r="H151" i="1"/>
  <c r="J151" i="1"/>
  <c r="B152" i="1"/>
  <c r="D152" i="1"/>
  <c r="F152" i="1"/>
  <c r="H152" i="1"/>
  <c r="J152" i="1" s="1"/>
  <c r="B153" i="1"/>
  <c r="D153" i="1"/>
  <c r="F153" i="1"/>
  <c r="H153" i="1"/>
  <c r="J153" i="1" s="1"/>
  <c r="B154" i="1"/>
  <c r="D154" i="1"/>
  <c r="F154" i="1"/>
  <c r="H154" i="1"/>
  <c r="I154" i="1"/>
  <c r="B155" i="1"/>
  <c r="D155" i="1"/>
  <c r="F155" i="1"/>
  <c r="I155" i="1" s="1"/>
  <c r="H155" i="1"/>
  <c r="J155" i="1"/>
  <c r="B156" i="1"/>
  <c r="D156" i="1"/>
  <c r="F156" i="1"/>
  <c r="I156" i="1" s="1"/>
  <c r="H156" i="1"/>
  <c r="J156" i="1" s="1"/>
  <c r="B157" i="1"/>
  <c r="D157" i="1"/>
  <c r="F157" i="1"/>
  <c r="H157" i="1"/>
  <c r="J157" i="1" s="1"/>
  <c r="B158" i="1"/>
  <c r="D158" i="1"/>
  <c r="F158" i="1"/>
  <c r="H158" i="1"/>
  <c r="I158" i="1"/>
  <c r="B159" i="1"/>
  <c r="D159" i="1"/>
  <c r="F159" i="1"/>
  <c r="I159" i="1" s="1"/>
  <c r="H159" i="1"/>
  <c r="J159" i="1"/>
  <c r="B160" i="1"/>
  <c r="D160" i="1"/>
  <c r="F160" i="1"/>
  <c r="H160" i="1"/>
  <c r="J160" i="1"/>
  <c r="B161" i="1"/>
  <c r="D161" i="1"/>
  <c r="F161" i="1"/>
  <c r="I161" i="1" s="1"/>
  <c r="H161" i="1"/>
  <c r="J44" i="1" l="1"/>
  <c r="J43" i="1"/>
  <c r="I157" i="1"/>
  <c r="J154" i="1"/>
  <c r="J120" i="1"/>
  <c r="J91" i="1"/>
  <c r="J92" i="1"/>
  <c r="I51" i="1"/>
  <c r="I50" i="1"/>
  <c r="J28" i="1"/>
  <c r="J27" i="1"/>
  <c r="J24" i="1"/>
  <c r="J23" i="1"/>
  <c r="I67" i="1"/>
  <c r="I66" i="1"/>
  <c r="J146" i="1"/>
  <c r="I106" i="1"/>
  <c r="J76" i="1"/>
  <c r="J75" i="1"/>
  <c r="I35" i="1"/>
  <c r="I34" i="1"/>
  <c r="I94" i="1"/>
  <c r="I95" i="1"/>
  <c r="I149" i="1"/>
  <c r="I160" i="1"/>
  <c r="I152" i="1"/>
  <c r="I144" i="1"/>
  <c r="J141" i="1"/>
  <c r="J161" i="1"/>
  <c r="J158" i="1"/>
  <c r="I153" i="1"/>
  <c r="J150" i="1"/>
  <c r="I145" i="1"/>
  <c r="I140" i="1"/>
  <c r="I122" i="1"/>
  <c r="J111" i="1"/>
  <c r="I99" i="1"/>
  <c r="I83" i="1"/>
  <c r="I82" i="1"/>
  <c r="J60" i="1"/>
  <c r="J59" i="1"/>
  <c r="I133" i="1"/>
  <c r="I117" i="1"/>
  <c r="I101" i="1"/>
  <c r="I87" i="1"/>
  <c r="I86" i="1"/>
  <c r="J80" i="1"/>
  <c r="J79" i="1"/>
  <c r="I71" i="1"/>
  <c r="I70" i="1"/>
  <c r="J64" i="1"/>
  <c r="J63" i="1"/>
  <c r="I55" i="1"/>
  <c r="I54" i="1"/>
  <c r="J48" i="1"/>
  <c r="J47" i="1"/>
  <c r="I39" i="1"/>
  <c r="I38" i="1"/>
  <c r="J32" i="1"/>
  <c r="J31" i="1"/>
  <c r="I129" i="1"/>
  <c r="J118" i="1"/>
  <c r="J102" i="1"/>
  <c r="J84" i="1"/>
  <c r="J83" i="1"/>
  <c r="I75" i="1"/>
  <c r="I74" i="1"/>
  <c r="J68" i="1"/>
  <c r="J67" i="1"/>
  <c r="I59" i="1"/>
  <c r="I58" i="1"/>
  <c r="J52" i="1"/>
  <c r="J51" i="1"/>
  <c r="I43" i="1"/>
  <c r="I42" i="1"/>
  <c r="J36" i="1"/>
  <c r="J35" i="1"/>
  <c r="I27" i="1"/>
  <c r="I26" i="1"/>
  <c r="J130" i="1"/>
  <c r="I125" i="1"/>
  <c r="J114" i="1"/>
  <c r="I109" i="1"/>
  <c r="J98" i="1"/>
  <c r="I91" i="1"/>
  <c r="J88" i="1"/>
  <c r="J87" i="1"/>
  <c r="I79" i="1"/>
  <c r="I78" i="1"/>
  <c r="J72" i="1"/>
  <c r="J71" i="1"/>
  <c r="I63" i="1"/>
  <c r="I62" i="1"/>
  <c r="J56" i="1"/>
  <c r="J55" i="1"/>
  <c r="I47" i="1"/>
  <c r="I46" i="1"/>
  <c r="J40" i="1"/>
  <c r="J39" i="1"/>
  <c r="I31" i="1"/>
  <c r="I30" i="1"/>
  <c r="I163" i="1" l="1"/>
  <c r="K3" i="1" s="1"/>
  <c r="K4" i="1" s="1"/>
  <c r="J163" i="1"/>
  <c r="L163" i="1" l="1"/>
  <c r="P4" i="1" s="1"/>
  <c r="P6" i="1" s="1"/>
  <c r="P7" i="1" l="1"/>
</calcChain>
</file>

<file path=xl/sharedStrings.xml><?xml version="1.0" encoding="utf-8"?>
<sst xmlns="http://schemas.openxmlformats.org/spreadsheetml/2006/main" count="72" uniqueCount="50">
  <si>
    <t xml:space="preserve">deltat corrected to 1min (multiplied AUC by 2) </t>
  </si>
  <si>
    <t>N/salt</t>
  </si>
  <si>
    <t>N</t>
  </si>
  <si>
    <t>salt</t>
  </si>
  <si>
    <t>bkgd</t>
  </si>
  <si>
    <t>notes</t>
  </si>
  <si>
    <t>ratio</t>
  </si>
  <si>
    <t>AUC_n</t>
  </si>
  <si>
    <t>AUC_salt</t>
  </si>
  <si>
    <t>corr_no3</t>
  </si>
  <si>
    <t>no3_um</t>
  </si>
  <si>
    <t>time_elapsed</t>
  </si>
  <si>
    <t>clock_time_MDT</t>
  </si>
  <si>
    <t>DateTime_MDT</t>
  </si>
  <si>
    <t>DateTime (UTC+00:00:00)</t>
  </si>
  <si>
    <t>Vf</t>
  </si>
  <si>
    <t>Sw</t>
  </si>
  <si>
    <t>Q = spc_add/(sum[(spc_corr[i]*(t[i]-t[i-1])) ; each timestep is 1 minute so the t is just *1…</t>
  </si>
  <si>
    <t>cms</t>
  </si>
  <si>
    <t>k =( LN(Rx)-LN(R0))/x</t>
  </si>
  <si>
    <t>L/min</t>
  </si>
  <si>
    <t>Q</t>
  </si>
  <si>
    <t>ratio_init</t>
  </si>
  <si>
    <t>local diff from UTC</t>
  </si>
  <si>
    <t>bkgd_n</t>
  </si>
  <si>
    <t>width (m)</t>
  </si>
  <si>
    <t>g   (97% pure)</t>
  </si>
  <si>
    <t>n_add</t>
  </si>
  <si>
    <t>SUNA: 9 values per min, every 2 min - averaged</t>
  </si>
  <si>
    <t>x = distance downstream</t>
  </si>
  <si>
    <t>ln(R0) = ln(Rx) - kx</t>
  </si>
  <si>
    <t>length (m)</t>
  </si>
  <si>
    <t>uS/L (from g nacl)</t>
  </si>
  <si>
    <t>start time</t>
  </si>
  <si>
    <t>09/15/2024 - overnight addition</t>
  </si>
  <si>
    <t>reach_length</t>
  </si>
  <si>
    <t>str_width</t>
  </si>
  <si>
    <t>Date</t>
  </si>
  <si>
    <t>clock_time</t>
  </si>
  <si>
    <t>elapsed_time</t>
  </si>
  <si>
    <t>sc</t>
  </si>
  <si>
    <t>corr_sc</t>
  </si>
  <si>
    <t>n_conc</t>
  </si>
  <si>
    <t>corr_n_conc</t>
  </si>
  <si>
    <t>bkgd_sc</t>
  </si>
  <si>
    <t>sc_add</t>
  </si>
  <si>
    <t>R0</t>
  </si>
  <si>
    <t>R_auc</t>
  </si>
  <si>
    <t>ratio = n/sc</t>
  </si>
  <si>
    <t>ratio = N/salt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</si>
</sst>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h:mm;@"/>
    <numFmt numFmtId="165" formatCode="m/d/yy\ hh:mm:ss"/>
    <numFmt numFmtId="166" formatCode="0.0"/>
    <numFmt numFmtId="167" formatCode="0.0000000"/>
    <numFmt numFmtId="168" formatCode="[$-F400]h:mm:ss\ AM/PM"/>
  </numFmts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22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165" fontId="0" fillId="2" borderId="0" xfId="0" applyNumberFormat="1" applyFill="1"/>
    <xf numFmtId="2" fontId="0" fillId="2" borderId="0" xfId="0" applyNumberFormat="1" applyFill="1"/>
    <xf numFmtId="166" fontId="0" fillId="2" borderId="0" xfId="0" applyNumberFormat="1" applyFill="1"/>
    <xf numFmtId="164" fontId="0" fillId="2" borderId="0" xfId="0" applyNumberFormat="1" applyFill="1"/>
    <xf numFmtId="22" fontId="0" fillId="2" borderId="0" xfId="0" applyNumberFormat="1" applyFill="1"/>
    <xf numFmtId="1" fontId="0" fillId="0" borderId="0" xfId="0" applyNumberFormat="1"/>
    <xf numFmtId="0" fontId="1" fillId="0" borderId="0" xfId="0" applyFont="1"/>
    <xf numFmtId="0" fontId="1" fillId="3" borderId="0" xfId="0" applyFont="1" applyFill="1"/>
    <xf numFmtId="0" fontId="2" fillId="0" borderId="0" xfId="0" applyFont="1"/>
    <xf numFmtId="2" fontId="1" fillId="3" borderId="0" xfId="0" applyNumberFormat="1" applyFont="1" applyFill="1"/>
    <xf numFmtId="0" fontId="0" fillId="0" borderId="0" xfId="0" quotePrefix="1"/>
    <xf numFmtId="167" fontId="0" fillId="0" borderId="0" xfId="0" applyNumberFormat="1"/>
    <xf numFmtId="20" fontId="0" fillId="0" borderId="0" xfId="0" applyNumberFormat="1"/>
    <xf numFmtId="2" fontId="0" fillId="3" borderId="0" xfId="0" applyNumberFormat="1" applyFill="1"/>
    <xf numFmtId="0" fontId="0" fillId="3" borderId="0" xfId="0" applyFill="1"/>
    <xf numFmtId="168" fontId="0" fillId="0" borderId="0" xfId="0" applyNumberFormat="1"/>
    <xf numFmtId="22" fontId="3" fillId="0" borderId="0" xfId="0" applyNumberFormat="1" applyFont="1"/>
    <xf numFmtId="166" fontId="0" fillId="3" borderId="0" xfId="0" applyNumberFormat="1" applyFill="1"/>
    <xf numFmtId="2" fontId="1" fillId="4" borderId="0" xfId="0" applyNumberFormat="1" applyFont="1" applyFill="1"/>
    <xf numFmtId="22" fontId="2" fillId="0" borderId="0" xfId="0" applyNumberFormat="1" applyFont="1"/>
    <xf numFmtId="14" fontId="0" fillId="0" borderId="0" xfId="0" applyNumberFormat="1"/>
    <xf numFmtId="14" fontId="0" fillId="2" borderId="0" xfId="0" applyNumberFormat="1" applyFill="1"/>
    <xf numFmtId="20" fontId="0" fillId="2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166" fontId="0" fillId="0" borderId="0" xfId="0" applyNumberFormat="1" applyFill="1"/>
    <xf numFmtId="2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'20240915'!$E$10</c:f>
              <c:strCache>
                <c:ptCount val="1"/>
                <c:pt idx="0">
                  <c:v>sc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'20240915'!$D$11:$D$161</c:f>
              <c:numCache>
                <c:formatCode>h:mm;@</c:formatCode>
                <c:ptCount val="151"/>
                <c:pt idx="0">
                  <c:v>45550.061863425923</c:v>
                </c:pt>
                <c:pt idx="1">
                  <c:v>45550.063252314816</c:v>
                </c:pt>
                <c:pt idx="2">
                  <c:v>45550.064641203702</c:v>
                </c:pt>
                <c:pt idx="3">
                  <c:v>45550.066030092588</c:v>
                </c:pt>
                <c:pt idx="4">
                  <c:v>45550.067418981482</c:v>
                </c:pt>
                <c:pt idx="5">
                  <c:v>45550.068807870368</c:v>
                </c:pt>
                <c:pt idx="6">
                  <c:v>45550.070196759254</c:v>
                </c:pt>
                <c:pt idx="7">
                  <c:v>45550.071585648147</c:v>
                </c:pt>
                <c:pt idx="8">
                  <c:v>45550.072974537034</c:v>
                </c:pt>
                <c:pt idx="9">
                  <c:v>45550.074363425927</c:v>
                </c:pt>
                <c:pt idx="10">
                  <c:v>45550.075752314813</c:v>
                </c:pt>
                <c:pt idx="11">
                  <c:v>45550.077141203699</c:v>
                </c:pt>
                <c:pt idx="12">
                  <c:v>45550.078530092593</c:v>
                </c:pt>
                <c:pt idx="13">
                  <c:v>45550.079918981479</c:v>
                </c:pt>
                <c:pt idx="14">
                  <c:v>45550.081307870365</c:v>
                </c:pt>
                <c:pt idx="15">
                  <c:v>45550.082696759258</c:v>
                </c:pt>
                <c:pt idx="16">
                  <c:v>45550.084085648145</c:v>
                </c:pt>
                <c:pt idx="17">
                  <c:v>45550.085474537038</c:v>
                </c:pt>
                <c:pt idx="18">
                  <c:v>45550.086863425924</c:v>
                </c:pt>
                <c:pt idx="19">
                  <c:v>45550.08825231481</c:v>
                </c:pt>
                <c:pt idx="20">
                  <c:v>45550.089641203704</c:v>
                </c:pt>
                <c:pt idx="21">
                  <c:v>45550.09103009259</c:v>
                </c:pt>
                <c:pt idx="22">
                  <c:v>45550.092418981476</c:v>
                </c:pt>
                <c:pt idx="23">
                  <c:v>45550.093807870369</c:v>
                </c:pt>
                <c:pt idx="24">
                  <c:v>45550.095196759255</c:v>
                </c:pt>
                <c:pt idx="25">
                  <c:v>45550.096585648149</c:v>
                </c:pt>
                <c:pt idx="26">
                  <c:v>45550.097974537035</c:v>
                </c:pt>
                <c:pt idx="27">
                  <c:v>45550.099363425921</c:v>
                </c:pt>
                <c:pt idx="28">
                  <c:v>45550.100752314815</c:v>
                </c:pt>
                <c:pt idx="29">
                  <c:v>45550.102141203701</c:v>
                </c:pt>
                <c:pt idx="30">
                  <c:v>45550.103530092587</c:v>
                </c:pt>
                <c:pt idx="31">
                  <c:v>45550.10491898148</c:v>
                </c:pt>
                <c:pt idx="32">
                  <c:v>45550.106307870366</c:v>
                </c:pt>
                <c:pt idx="33">
                  <c:v>45550.10769675926</c:v>
                </c:pt>
                <c:pt idx="34">
                  <c:v>45550.109085648146</c:v>
                </c:pt>
                <c:pt idx="35">
                  <c:v>45550.110474537032</c:v>
                </c:pt>
                <c:pt idx="36">
                  <c:v>45550.111863425926</c:v>
                </c:pt>
                <c:pt idx="37">
                  <c:v>45550.113252314812</c:v>
                </c:pt>
                <c:pt idx="38">
                  <c:v>45550.114641203698</c:v>
                </c:pt>
                <c:pt idx="39">
                  <c:v>45550.116030092591</c:v>
                </c:pt>
                <c:pt idx="40">
                  <c:v>45550.117418981477</c:v>
                </c:pt>
                <c:pt idx="41">
                  <c:v>45550.118807870371</c:v>
                </c:pt>
                <c:pt idx="42">
                  <c:v>45550.120196759257</c:v>
                </c:pt>
                <c:pt idx="43">
                  <c:v>45550.121585648143</c:v>
                </c:pt>
                <c:pt idx="44">
                  <c:v>45550.122974537036</c:v>
                </c:pt>
                <c:pt idx="45">
                  <c:v>45550.124363425923</c:v>
                </c:pt>
                <c:pt idx="46">
                  <c:v>45550.125752314816</c:v>
                </c:pt>
                <c:pt idx="47">
                  <c:v>45550.127141203702</c:v>
                </c:pt>
                <c:pt idx="48">
                  <c:v>45550.128530092588</c:v>
                </c:pt>
                <c:pt idx="49">
                  <c:v>45550.129918981482</c:v>
                </c:pt>
                <c:pt idx="50">
                  <c:v>45550.131307870368</c:v>
                </c:pt>
                <c:pt idx="51">
                  <c:v>45550.132696759254</c:v>
                </c:pt>
                <c:pt idx="52">
                  <c:v>45550.134085648147</c:v>
                </c:pt>
                <c:pt idx="53">
                  <c:v>45550.135474537034</c:v>
                </c:pt>
                <c:pt idx="54">
                  <c:v>45550.136863425927</c:v>
                </c:pt>
                <c:pt idx="55">
                  <c:v>45550.138252314813</c:v>
                </c:pt>
                <c:pt idx="56">
                  <c:v>45550.139641203699</c:v>
                </c:pt>
                <c:pt idx="57">
                  <c:v>45550.141030092593</c:v>
                </c:pt>
                <c:pt idx="58">
                  <c:v>45550.142418981479</c:v>
                </c:pt>
                <c:pt idx="59">
                  <c:v>45550.143807870365</c:v>
                </c:pt>
                <c:pt idx="60">
                  <c:v>45550.145196759258</c:v>
                </c:pt>
                <c:pt idx="61">
                  <c:v>45550.146585648145</c:v>
                </c:pt>
                <c:pt idx="62">
                  <c:v>45550.147974537038</c:v>
                </c:pt>
                <c:pt idx="63">
                  <c:v>45550.149363425924</c:v>
                </c:pt>
                <c:pt idx="64">
                  <c:v>45550.15075231481</c:v>
                </c:pt>
                <c:pt idx="65">
                  <c:v>45550.152141203704</c:v>
                </c:pt>
                <c:pt idx="66">
                  <c:v>45550.15353009259</c:v>
                </c:pt>
                <c:pt idx="67">
                  <c:v>45550.154918981476</c:v>
                </c:pt>
                <c:pt idx="68">
                  <c:v>45550.156307870369</c:v>
                </c:pt>
                <c:pt idx="69">
                  <c:v>45550.157696759255</c:v>
                </c:pt>
                <c:pt idx="70">
                  <c:v>45550.159085648149</c:v>
                </c:pt>
                <c:pt idx="71">
                  <c:v>45550.160474537035</c:v>
                </c:pt>
                <c:pt idx="72">
                  <c:v>45550.161863425921</c:v>
                </c:pt>
                <c:pt idx="73">
                  <c:v>45550.163252314815</c:v>
                </c:pt>
                <c:pt idx="74">
                  <c:v>45550.164641203701</c:v>
                </c:pt>
                <c:pt idx="75">
                  <c:v>45550.166030092587</c:v>
                </c:pt>
                <c:pt idx="76">
                  <c:v>45550.16741898148</c:v>
                </c:pt>
                <c:pt idx="77">
                  <c:v>45550.168807870366</c:v>
                </c:pt>
                <c:pt idx="78">
                  <c:v>45550.17019675926</c:v>
                </c:pt>
                <c:pt idx="79">
                  <c:v>45550.171585648146</c:v>
                </c:pt>
                <c:pt idx="80">
                  <c:v>45550.172974537032</c:v>
                </c:pt>
                <c:pt idx="81">
                  <c:v>45550.174363425926</c:v>
                </c:pt>
                <c:pt idx="82">
                  <c:v>45550.175752314812</c:v>
                </c:pt>
                <c:pt idx="83">
                  <c:v>45550.177141203698</c:v>
                </c:pt>
                <c:pt idx="84">
                  <c:v>45550.178530092591</c:v>
                </c:pt>
                <c:pt idx="85">
                  <c:v>45550.179918981477</c:v>
                </c:pt>
                <c:pt idx="86">
                  <c:v>45550.181307870371</c:v>
                </c:pt>
                <c:pt idx="87">
                  <c:v>45550.182696759257</c:v>
                </c:pt>
                <c:pt idx="88">
                  <c:v>45550.184085648143</c:v>
                </c:pt>
                <c:pt idx="89">
                  <c:v>45550.185474537036</c:v>
                </c:pt>
                <c:pt idx="90">
                  <c:v>45550.186863425923</c:v>
                </c:pt>
                <c:pt idx="91">
                  <c:v>45550.188252314816</c:v>
                </c:pt>
                <c:pt idx="92">
                  <c:v>45550.189641203702</c:v>
                </c:pt>
                <c:pt idx="93">
                  <c:v>45550.191030092588</c:v>
                </c:pt>
                <c:pt idx="94">
                  <c:v>45550.192418981482</c:v>
                </c:pt>
                <c:pt idx="95">
                  <c:v>45550.193807870368</c:v>
                </c:pt>
                <c:pt idx="96">
                  <c:v>45550.195196759254</c:v>
                </c:pt>
                <c:pt idx="97">
                  <c:v>45550.196585648147</c:v>
                </c:pt>
                <c:pt idx="98">
                  <c:v>45550.197974537034</c:v>
                </c:pt>
                <c:pt idx="99">
                  <c:v>45550.199363425927</c:v>
                </c:pt>
                <c:pt idx="100">
                  <c:v>45550.200752314813</c:v>
                </c:pt>
                <c:pt idx="101">
                  <c:v>45550.202141203699</c:v>
                </c:pt>
                <c:pt idx="102">
                  <c:v>45550.203530092593</c:v>
                </c:pt>
                <c:pt idx="103">
                  <c:v>45550.204918981479</c:v>
                </c:pt>
                <c:pt idx="104">
                  <c:v>45550.206307870365</c:v>
                </c:pt>
                <c:pt idx="105">
                  <c:v>45550.207696759258</c:v>
                </c:pt>
                <c:pt idx="106">
                  <c:v>45550.209085648145</c:v>
                </c:pt>
                <c:pt idx="107">
                  <c:v>45550.210474537038</c:v>
                </c:pt>
                <c:pt idx="108">
                  <c:v>45550.211863425924</c:v>
                </c:pt>
                <c:pt idx="109">
                  <c:v>45550.21325231481</c:v>
                </c:pt>
                <c:pt idx="110">
                  <c:v>45550.214641203704</c:v>
                </c:pt>
                <c:pt idx="111">
                  <c:v>45550.21603009259</c:v>
                </c:pt>
                <c:pt idx="112">
                  <c:v>45550.217418981476</c:v>
                </c:pt>
                <c:pt idx="113">
                  <c:v>45550.218807870369</c:v>
                </c:pt>
                <c:pt idx="114">
                  <c:v>45550.220196759255</c:v>
                </c:pt>
                <c:pt idx="115">
                  <c:v>45550.221585648149</c:v>
                </c:pt>
                <c:pt idx="116">
                  <c:v>45550.222974537035</c:v>
                </c:pt>
                <c:pt idx="117">
                  <c:v>45550.224363425921</c:v>
                </c:pt>
                <c:pt idx="118">
                  <c:v>45550.225752314815</c:v>
                </c:pt>
                <c:pt idx="119">
                  <c:v>45550.227141203701</c:v>
                </c:pt>
                <c:pt idx="120">
                  <c:v>45550.228530092587</c:v>
                </c:pt>
                <c:pt idx="121">
                  <c:v>45550.22991898148</c:v>
                </c:pt>
                <c:pt idx="122">
                  <c:v>45550.231307870366</c:v>
                </c:pt>
                <c:pt idx="123">
                  <c:v>45550.23269675926</c:v>
                </c:pt>
                <c:pt idx="124">
                  <c:v>45550.234085648146</c:v>
                </c:pt>
                <c:pt idx="125">
                  <c:v>45550.235474537032</c:v>
                </c:pt>
                <c:pt idx="126">
                  <c:v>45550.236863425926</c:v>
                </c:pt>
                <c:pt idx="127">
                  <c:v>45550.238252314812</c:v>
                </c:pt>
                <c:pt idx="128">
                  <c:v>45550.239641203698</c:v>
                </c:pt>
                <c:pt idx="129">
                  <c:v>45550.241030092591</c:v>
                </c:pt>
                <c:pt idx="130">
                  <c:v>45550.242418981477</c:v>
                </c:pt>
                <c:pt idx="131">
                  <c:v>45550.243807870371</c:v>
                </c:pt>
                <c:pt idx="132">
                  <c:v>45550.245196759257</c:v>
                </c:pt>
                <c:pt idx="133">
                  <c:v>45550.246585648143</c:v>
                </c:pt>
                <c:pt idx="134">
                  <c:v>45550.247974537036</c:v>
                </c:pt>
                <c:pt idx="135">
                  <c:v>45550.249363425923</c:v>
                </c:pt>
                <c:pt idx="136">
                  <c:v>45550.250752314816</c:v>
                </c:pt>
                <c:pt idx="137">
                  <c:v>45550.252141203702</c:v>
                </c:pt>
                <c:pt idx="138">
                  <c:v>45550.253530092588</c:v>
                </c:pt>
                <c:pt idx="139">
                  <c:v>45550.254918981482</c:v>
                </c:pt>
                <c:pt idx="140">
                  <c:v>45550.256307870368</c:v>
                </c:pt>
                <c:pt idx="141">
                  <c:v>45550.257696759254</c:v>
                </c:pt>
                <c:pt idx="142">
                  <c:v>45550.259085648147</c:v>
                </c:pt>
                <c:pt idx="143">
                  <c:v>45550.260474537034</c:v>
                </c:pt>
                <c:pt idx="144">
                  <c:v>45550.261863425927</c:v>
                </c:pt>
                <c:pt idx="145">
                  <c:v>45550.263252314813</c:v>
                </c:pt>
                <c:pt idx="146">
                  <c:v>45550.264641203699</c:v>
                </c:pt>
                <c:pt idx="147">
                  <c:v>45550.266030092593</c:v>
                </c:pt>
                <c:pt idx="148">
                  <c:v>45550.267418981479</c:v>
                </c:pt>
                <c:pt idx="149">
                  <c:v>45550.268807870365</c:v>
                </c:pt>
                <c:pt idx="150">
                  <c:v>45550.270196759258</c:v>
                </c:pt>
              </c:numCache>
            </c:numRef>
          </c:xVal>
          <c:yVal>
            <c:numRef>
              <c:f>'20240915'!$E$11:$E$161</c:f>
              <c:numCache>
                <c:formatCode>0.0</c:formatCode>
                <c:ptCount val="151"/>
                <c:pt idx="0">
                  <c:v>212.3</c:v>
                </c:pt>
                <c:pt idx="1">
                  <c:v>212.3</c:v>
                </c:pt>
                <c:pt idx="2">
                  <c:v>212.3</c:v>
                </c:pt>
                <c:pt idx="3">
                  <c:v>212.2</c:v>
                </c:pt>
                <c:pt idx="4">
                  <c:v>212.3</c:v>
                </c:pt>
                <c:pt idx="5">
                  <c:v>212.4</c:v>
                </c:pt>
                <c:pt idx="6">
                  <c:v>212.4</c:v>
                </c:pt>
                <c:pt idx="7">
                  <c:v>212.5</c:v>
                </c:pt>
                <c:pt idx="8">
                  <c:v>212.4</c:v>
                </c:pt>
                <c:pt idx="9">
                  <c:v>212.4</c:v>
                </c:pt>
                <c:pt idx="10">
                  <c:v>212.4</c:v>
                </c:pt>
                <c:pt idx="11">
                  <c:v>212.4</c:v>
                </c:pt>
                <c:pt idx="12">
                  <c:v>212.5</c:v>
                </c:pt>
                <c:pt idx="13">
                  <c:v>212.7</c:v>
                </c:pt>
                <c:pt idx="14">
                  <c:v>213.1</c:v>
                </c:pt>
                <c:pt idx="15">
                  <c:v>213.7</c:v>
                </c:pt>
                <c:pt idx="16">
                  <c:v>214.2</c:v>
                </c:pt>
                <c:pt idx="17">
                  <c:v>214.7</c:v>
                </c:pt>
                <c:pt idx="18">
                  <c:v>215</c:v>
                </c:pt>
                <c:pt idx="19">
                  <c:v>216.3</c:v>
                </c:pt>
                <c:pt idx="20">
                  <c:v>219.4</c:v>
                </c:pt>
                <c:pt idx="21">
                  <c:v>219.4</c:v>
                </c:pt>
                <c:pt idx="22">
                  <c:v>222.5</c:v>
                </c:pt>
                <c:pt idx="23">
                  <c:v>222.5</c:v>
                </c:pt>
                <c:pt idx="24">
                  <c:v>223.4</c:v>
                </c:pt>
                <c:pt idx="25">
                  <c:v>225.4</c:v>
                </c:pt>
                <c:pt idx="26">
                  <c:v>226.5</c:v>
                </c:pt>
                <c:pt idx="27">
                  <c:v>225.6</c:v>
                </c:pt>
                <c:pt idx="28">
                  <c:v>226.6</c:v>
                </c:pt>
                <c:pt idx="29">
                  <c:v>226.5</c:v>
                </c:pt>
                <c:pt idx="30">
                  <c:v>227.2</c:v>
                </c:pt>
                <c:pt idx="31">
                  <c:v>226.9</c:v>
                </c:pt>
                <c:pt idx="32">
                  <c:v>225.7</c:v>
                </c:pt>
                <c:pt idx="33">
                  <c:v>227</c:v>
                </c:pt>
                <c:pt idx="34">
                  <c:v>226.4</c:v>
                </c:pt>
                <c:pt idx="35">
                  <c:v>227</c:v>
                </c:pt>
                <c:pt idx="36">
                  <c:v>225.8</c:v>
                </c:pt>
                <c:pt idx="37">
                  <c:v>225.8</c:v>
                </c:pt>
                <c:pt idx="38">
                  <c:v>225.6</c:v>
                </c:pt>
                <c:pt idx="39">
                  <c:v>224.7</c:v>
                </c:pt>
                <c:pt idx="40">
                  <c:v>224.9</c:v>
                </c:pt>
                <c:pt idx="41">
                  <c:v>224.3</c:v>
                </c:pt>
                <c:pt idx="42">
                  <c:v>223.8</c:v>
                </c:pt>
                <c:pt idx="43">
                  <c:v>223.7</c:v>
                </c:pt>
                <c:pt idx="44">
                  <c:v>223.4</c:v>
                </c:pt>
                <c:pt idx="45">
                  <c:v>223.2</c:v>
                </c:pt>
                <c:pt idx="46">
                  <c:v>222.4</c:v>
                </c:pt>
                <c:pt idx="47">
                  <c:v>222.2</c:v>
                </c:pt>
                <c:pt idx="48">
                  <c:v>222.2</c:v>
                </c:pt>
                <c:pt idx="49">
                  <c:v>221.8</c:v>
                </c:pt>
                <c:pt idx="50">
                  <c:v>221.2</c:v>
                </c:pt>
                <c:pt idx="51">
                  <c:v>221</c:v>
                </c:pt>
                <c:pt idx="52">
                  <c:v>220.8</c:v>
                </c:pt>
                <c:pt idx="53">
                  <c:v>220.1</c:v>
                </c:pt>
                <c:pt idx="54">
                  <c:v>220.3</c:v>
                </c:pt>
                <c:pt idx="55">
                  <c:v>219.6</c:v>
                </c:pt>
                <c:pt idx="56">
                  <c:v>219.6</c:v>
                </c:pt>
                <c:pt idx="57">
                  <c:v>218.7</c:v>
                </c:pt>
                <c:pt idx="58">
                  <c:v>219.1</c:v>
                </c:pt>
                <c:pt idx="59">
                  <c:v>218.5</c:v>
                </c:pt>
                <c:pt idx="60">
                  <c:v>218.5</c:v>
                </c:pt>
                <c:pt idx="61">
                  <c:v>218.5</c:v>
                </c:pt>
                <c:pt idx="62">
                  <c:v>218.4</c:v>
                </c:pt>
                <c:pt idx="63">
                  <c:v>218.4</c:v>
                </c:pt>
                <c:pt idx="64">
                  <c:v>218.3</c:v>
                </c:pt>
                <c:pt idx="65">
                  <c:v>218.2</c:v>
                </c:pt>
                <c:pt idx="66">
                  <c:v>218</c:v>
                </c:pt>
                <c:pt idx="67">
                  <c:v>217.4</c:v>
                </c:pt>
                <c:pt idx="68">
                  <c:v>217.4</c:v>
                </c:pt>
                <c:pt idx="69">
                  <c:v>217.4</c:v>
                </c:pt>
                <c:pt idx="70">
                  <c:v>217.6</c:v>
                </c:pt>
                <c:pt idx="71">
                  <c:v>217.2</c:v>
                </c:pt>
                <c:pt idx="72">
                  <c:v>216.7</c:v>
                </c:pt>
                <c:pt idx="73">
                  <c:v>216.6</c:v>
                </c:pt>
                <c:pt idx="74">
                  <c:v>216.5</c:v>
                </c:pt>
                <c:pt idx="75">
                  <c:v>216.4</c:v>
                </c:pt>
                <c:pt idx="76">
                  <c:v>216.2</c:v>
                </c:pt>
                <c:pt idx="77">
                  <c:v>216.7</c:v>
                </c:pt>
                <c:pt idx="78">
                  <c:v>216.2</c:v>
                </c:pt>
                <c:pt idx="79">
                  <c:v>216.2</c:v>
                </c:pt>
                <c:pt idx="80">
                  <c:v>216</c:v>
                </c:pt>
                <c:pt idx="81">
                  <c:v>215.6</c:v>
                </c:pt>
                <c:pt idx="82">
                  <c:v>215.5</c:v>
                </c:pt>
                <c:pt idx="83">
                  <c:v>215.6</c:v>
                </c:pt>
                <c:pt idx="84">
                  <c:v>215.3</c:v>
                </c:pt>
                <c:pt idx="85">
                  <c:v>215.5</c:v>
                </c:pt>
                <c:pt idx="86">
                  <c:v>214.9</c:v>
                </c:pt>
                <c:pt idx="87">
                  <c:v>215.6</c:v>
                </c:pt>
                <c:pt idx="88">
                  <c:v>214.9</c:v>
                </c:pt>
                <c:pt idx="89">
                  <c:v>215</c:v>
                </c:pt>
                <c:pt idx="90">
                  <c:v>214.8</c:v>
                </c:pt>
                <c:pt idx="91">
                  <c:v>214.8</c:v>
                </c:pt>
                <c:pt idx="92">
                  <c:v>214.7</c:v>
                </c:pt>
                <c:pt idx="93">
                  <c:v>214.5</c:v>
                </c:pt>
                <c:pt idx="94">
                  <c:v>214.5</c:v>
                </c:pt>
                <c:pt idx="95">
                  <c:v>214.5</c:v>
                </c:pt>
                <c:pt idx="96">
                  <c:v>214.5</c:v>
                </c:pt>
                <c:pt idx="97">
                  <c:v>214.3</c:v>
                </c:pt>
                <c:pt idx="98">
                  <c:v>214.2</c:v>
                </c:pt>
                <c:pt idx="99">
                  <c:v>214</c:v>
                </c:pt>
                <c:pt idx="100">
                  <c:v>214.1</c:v>
                </c:pt>
                <c:pt idx="101">
                  <c:v>213.8</c:v>
                </c:pt>
                <c:pt idx="102">
                  <c:v>213.9</c:v>
                </c:pt>
                <c:pt idx="103">
                  <c:v>213.9</c:v>
                </c:pt>
                <c:pt idx="104">
                  <c:v>213.9</c:v>
                </c:pt>
                <c:pt idx="105">
                  <c:v>213.6</c:v>
                </c:pt>
                <c:pt idx="106">
                  <c:v>213.7</c:v>
                </c:pt>
                <c:pt idx="107">
                  <c:v>213.6</c:v>
                </c:pt>
                <c:pt idx="108">
                  <c:v>213.3</c:v>
                </c:pt>
                <c:pt idx="109">
                  <c:v>213.4</c:v>
                </c:pt>
                <c:pt idx="110">
                  <c:v>213.4</c:v>
                </c:pt>
                <c:pt idx="111">
                  <c:v>213.3</c:v>
                </c:pt>
                <c:pt idx="112">
                  <c:v>213.1</c:v>
                </c:pt>
                <c:pt idx="113">
                  <c:v>213.3</c:v>
                </c:pt>
                <c:pt idx="114">
                  <c:v>213.3</c:v>
                </c:pt>
                <c:pt idx="115">
                  <c:v>213</c:v>
                </c:pt>
                <c:pt idx="116">
                  <c:v>213.1</c:v>
                </c:pt>
                <c:pt idx="117">
                  <c:v>213</c:v>
                </c:pt>
                <c:pt idx="118">
                  <c:v>213</c:v>
                </c:pt>
                <c:pt idx="119">
                  <c:v>213</c:v>
                </c:pt>
                <c:pt idx="120">
                  <c:v>213</c:v>
                </c:pt>
                <c:pt idx="121">
                  <c:v>213</c:v>
                </c:pt>
                <c:pt idx="122">
                  <c:v>212.9</c:v>
                </c:pt>
                <c:pt idx="123">
                  <c:v>213</c:v>
                </c:pt>
                <c:pt idx="124">
                  <c:v>212.9</c:v>
                </c:pt>
                <c:pt idx="125">
                  <c:v>212.8</c:v>
                </c:pt>
                <c:pt idx="126">
                  <c:v>212.9</c:v>
                </c:pt>
                <c:pt idx="127">
                  <c:v>212.6</c:v>
                </c:pt>
                <c:pt idx="128">
                  <c:v>212.9</c:v>
                </c:pt>
                <c:pt idx="129">
                  <c:v>212.7</c:v>
                </c:pt>
                <c:pt idx="130">
                  <c:v>212.7</c:v>
                </c:pt>
                <c:pt idx="131">
                  <c:v>212.6</c:v>
                </c:pt>
                <c:pt idx="132">
                  <c:v>212.5</c:v>
                </c:pt>
                <c:pt idx="133">
                  <c:v>212.6</c:v>
                </c:pt>
                <c:pt idx="134">
                  <c:v>212.6</c:v>
                </c:pt>
                <c:pt idx="135">
                  <c:v>212.6</c:v>
                </c:pt>
                <c:pt idx="136">
                  <c:v>212.5</c:v>
                </c:pt>
                <c:pt idx="137">
                  <c:v>212.3</c:v>
                </c:pt>
                <c:pt idx="138">
                  <c:v>212.5</c:v>
                </c:pt>
                <c:pt idx="139">
                  <c:v>212.6</c:v>
                </c:pt>
                <c:pt idx="140">
                  <c:v>212.5</c:v>
                </c:pt>
                <c:pt idx="141">
                  <c:v>212.3</c:v>
                </c:pt>
                <c:pt idx="142">
                  <c:v>212.2</c:v>
                </c:pt>
                <c:pt idx="143">
                  <c:v>212.2</c:v>
                </c:pt>
                <c:pt idx="144">
                  <c:v>212.3</c:v>
                </c:pt>
                <c:pt idx="145">
                  <c:v>212.1</c:v>
                </c:pt>
                <c:pt idx="146">
                  <c:v>212.3</c:v>
                </c:pt>
                <c:pt idx="147">
                  <c:v>212.3</c:v>
                </c:pt>
                <c:pt idx="148">
                  <c:v>212.3</c:v>
                </c:pt>
                <c:pt idx="149">
                  <c:v>212.1</c:v>
                </c:pt>
                <c:pt idx="150">
                  <c:v>212.2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10-5546-9E34-C87136F9F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27504"/>
        <c:axId val="64258528"/>
      </c:scatterChart>
      <c:scatterChart>
        <c:scatterStyle val="lineMarker"/>
        <c:varyColors val="0"/>
        <c:ser>
          <c:idx val="1"/>
          <c:order val="1"/>
          <c:tx>
            <c:strRef>
              <c:f>'20240915'!$G$10</c:f>
              <c:strCache>
                <c:ptCount val="1"/>
                <c:pt idx="0">
                  <c:v>no3_um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'20240915'!$D$11:$D$161</c:f>
              <c:numCache>
                <c:formatCode>h:mm;@</c:formatCode>
                <c:ptCount val="151"/>
                <c:pt idx="0">
                  <c:v>45550.061863425923</c:v>
                </c:pt>
                <c:pt idx="1">
                  <c:v>45550.063252314816</c:v>
                </c:pt>
                <c:pt idx="2">
                  <c:v>45550.064641203702</c:v>
                </c:pt>
                <c:pt idx="3">
                  <c:v>45550.066030092588</c:v>
                </c:pt>
                <c:pt idx="4">
                  <c:v>45550.067418981482</c:v>
                </c:pt>
                <c:pt idx="5">
                  <c:v>45550.068807870368</c:v>
                </c:pt>
                <c:pt idx="6">
                  <c:v>45550.070196759254</c:v>
                </c:pt>
                <c:pt idx="7">
                  <c:v>45550.071585648147</c:v>
                </c:pt>
                <c:pt idx="8">
                  <c:v>45550.072974537034</c:v>
                </c:pt>
                <c:pt idx="9">
                  <c:v>45550.074363425927</c:v>
                </c:pt>
                <c:pt idx="10">
                  <c:v>45550.075752314813</c:v>
                </c:pt>
                <c:pt idx="11">
                  <c:v>45550.077141203699</c:v>
                </c:pt>
                <c:pt idx="12">
                  <c:v>45550.078530092593</c:v>
                </c:pt>
                <c:pt idx="13">
                  <c:v>45550.079918981479</c:v>
                </c:pt>
                <c:pt idx="14">
                  <c:v>45550.081307870365</c:v>
                </c:pt>
                <c:pt idx="15">
                  <c:v>45550.082696759258</c:v>
                </c:pt>
                <c:pt idx="16">
                  <c:v>45550.084085648145</c:v>
                </c:pt>
                <c:pt idx="17">
                  <c:v>45550.085474537038</c:v>
                </c:pt>
                <c:pt idx="18">
                  <c:v>45550.086863425924</c:v>
                </c:pt>
                <c:pt idx="19">
                  <c:v>45550.08825231481</c:v>
                </c:pt>
                <c:pt idx="20">
                  <c:v>45550.089641203704</c:v>
                </c:pt>
                <c:pt idx="21">
                  <c:v>45550.09103009259</c:v>
                </c:pt>
                <c:pt idx="22">
                  <c:v>45550.092418981476</c:v>
                </c:pt>
                <c:pt idx="23">
                  <c:v>45550.093807870369</c:v>
                </c:pt>
                <c:pt idx="24">
                  <c:v>45550.095196759255</c:v>
                </c:pt>
                <c:pt idx="25">
                  <c:v>45550.096585648149</c:v>
                </c:pt>
                <c:pt idx="26">
                  <c:v>45550.097974537035</c:v>
                </c:pt>
                <c:pt idx="27">
                  <c:v>45550.099363425921</c:v>
                </c:pt>
                <c:pt idx="28">
                  <c:v>45550.100752314815</c:v>
                </c:pt>
                <c:pt idx="29">
                  <c:v>45550.102141203701</c:v>
                </c:pt>
                <c:pt idx="30">
                  <c:v>45550.103530092587</c:v>
                </c:pt>
                <c:pt idx="31">
                  <c:v>45550.10491898148</c:v>
                </c:pt>
                <c:pt idx="32">
                  <c:v>45550.106307870366</c:v>
                </c:pt>
                <c:pt idx="33">
                  <c:v>45550.10769675926</c:v>
                </c:pt>
                <c:pt idx="34">
                  <c:v>45550.109085648146</c:v>
                </c:pt>
                <c:pt idx="35">
                  <c:v>45550.110474537032</c:v>
                </c:pt>
                <c:pt idx="36">
                  <c:v>45550.111863425926</c:v>
                </c:pt>
                <c:pt idx="37">
                  <c:v>45550.113252314812</c:v>
                </c:pt>
                <c:pt idx="38">
                  <c:v>45550.114641203698</c:v>
                </c:pt>
                <c:pt idx="39">
                  <c:v>45550.116030092591</c:v>
                </c:pt>
                <c:pt idx="40">
                  <c:v>45550.117418981477</c:v>
                </c:pt>
                <c:pt idx="41">
                  <c:v>45550.118807870371</c:v>
                </c:pt>
                <c:pt idx="42">
                  <c:v>45550.120196759257</c:v>
                </c:pt>
                <c:pt idx="43">
                  <c:v>45550.121585648143</c:v>
                </c:pt>
                <c:pt idx="44">
                  <c:v>45550.122974537036</c:v>
                </c:pt>
                <c:pt idx="45">
                  <c:v>45550.124363425923</c:v>
                </c:pt>
                <c:pt idx="46">
                  <c:v>45550.125752314816</c:v>
                </c:pt>
                <c:pt idx="47">
                  <c:v>45550.127141203702</c:v>
                </c:pt>
                <c:pt idx="48">
                  <c:v>45550.128530092588</c:v>
                </c:pt>
                <c:pt idx="49">
                  <c:v>45550.129918981482</c:v>
                </c:pt>
                <c:pt idx="50">
                  <c:v>45550.131307870368</c:v>
                </c:pt>
                <c:pt idx="51">
                  <c:v>45550.132696759254</c:v>
                </c:pt>
                <c:pt idx="52">
                  <c:v>45550.134085648147</c:v>
                </c:pt>
                <c:pt idx="53">
                  <c:v>45550.135474537034</c:v>
                </c:pt>
                <c:pt idx="54">
                  <c:v>45550.136863425927</c:v>
                </c:pt>
                <c:pt idx="55">
                  <c:v>45550.138252314813</c:v>
                </c:pt>
                <c:pt idx="56">
                  <c:v>45550.139641203699</c:v>
                </c:pt>
                <c:pt idx="57">
                  <c:v>45550.141030092593</c:v>
                </c:pt>
                <c:pt idx="58">
                  <c:v>45550.142418981479</c:v>
                </c:pt>
                <c:pt idx="59">
                  <c:v>45550.143807870365</c:v>
                </c:pt>
                <c:pt idx="60">
                  <c:v>45550.145196759258</c:v>
                </c:pt>
                <c:pt idx="61">
                  <c:v>45550.146585648145</c:v>
                </c:pt>
                <c:pt idx="62">
                  <c:v>45550.147974537038</c:v>
                </c:pt>
                <c:pt idx="63">
                  <c:v>45550.149363425924</c:v>
                </c:pt>
                <c:pt idx="64">
                  <c:v>45550.15075231481</c:v>
                </c:pt>
                <c:pt idx="65">
                  <c:v>45550.152141203704</c:v>
                </c:pt>
                <c:pt idx="66">
                  <c:v>45550.15353009259</c:v>
                </c:pt>
                <c:pt idx="67">
                  <c:v>45550.154918981476</c:v>
                </c:pt>
                <c:pt idx="68">
                  <c:v>45550.156307870369</c:v>
                </c:pt>
                <c:pt idx="69">
                  <c:v>45550.157696759255</c:v>
                </c:pt>
                <c:pt idx="70">
                  <c:v>45550.159085648149</c:v>
                </c:pt>
                <c:pt idx="71">
                  <c:v>45550.160474537035</c:v>
                </c:pt>
                <c:pt idx="72">
                  <c:v>45550.161863425921</c:v>
                </c:pt>
                <c:pt idx="73">
                  <c:v>45550.163252314815</c:v>
                </c:pt>
                <c:pt idx="74">
                  <c:v>45550.164641203701</c:v>
                </c:pt>
                <c:pt idx="75">
                  <c:v>45550.166030092587</c:v>
                </c:pt>
                <c:pt idx="76">
                  <c:v>45550.16741898148</c:v>
                </c:pt>
                <c:pt idx="77">
                  <c:v>45550.168807870366</c:v>
                </c:pt>
                <c:pt idx="78">
                  <c:v>45550.17019675926</c:v>
                </c:pt>
                <c:pt idx="79">
                  <c:v>45550.171585648146</c:v>
                </c:pt>
                <c:pt idx="80">
                  <c:v>45550.172974537032</c:v>
                </c:pt>
                <c:pt idx="81">
                  <c:v>45550.174363425926</c:v>
                </c:pt>
                <c:pt idx="82">
                  <c:v>45550.175752314812</c:v>
                </c:pt>
                <c:pt idx="83">
                  <c:v>45550.177141203698</c:v>
                </c:pt>
                <c:pt idx="84">
                  <c:v>45550.178530092591</c:v>
                </c:pt>
                <c:pt idx="85">
                  <c:v>45550.179918981477</c:v>
                </c:pt>
                <c:pt idx="86">
                  <c:v>45550.181307870371</c:v>
                </c:pt>
                <c:pt idx="87">
                  <c:v>45550.182696759257</c:v>
                </c:pt>
                <c:pt idx="88">
                  <c:v>45550.184085648143</c:v>
                </c:pt>
                <c:pt idx="89">
                  <c:v>45550.185474537036</c:v>
                </c:pt>
                <c:pt idx="90">
                  <c:v>45550.186863425923</c:v>
                </c:pt>
                <c:pt idx="91">
                  <c:v>45550.188252314816</c:v>
                </c:pt>
                <c:pt idx="92">
                  <c:v>45550.189641203702</c:v>
                </c:pt>
                <c:pt idx="93">
                  <c:v>45550.191030092588</c:v>
                </c:pt>
                <c:pt idx="94">
                  <c:v>45550.192418981482</c:v>
                </c:pt>
                <c:pt idx="95">
                  <c:v>45550.193807870368</c:v>
                </c:pt>
                <c:pt idx="96">
                  <c:v>45550.195196759254</c:v>
                </c:pt>
                <c:pt idx="97">
                  <c:v>45550.196585648147</c:v>
                </c:pt>
                <c:pt idx="98">
                  <c:v>45550.197974537034</c:v>
                </c:pt>
                <c:pt idx="99">
                  <c:v>45550.199363425927</c:v>
                </c:pt>
                <c:pt idx="100">
                  <c:v>45550.200752314813</c:v>
                </c:pt>
                <c:pt idx="101">
                  <c:v>45550.202141203699</c:v>
                </c:pt>
                <c:pt idx="102">
                  <c:v>45550.203530092593</c:v>
                </c:pt>
                <c:pt idx="103">
                  <c:v>45550.204918981479</c:v>
                </c:pt>
                <c:pt idx="104">
                  <c:v>45550.206307870365</c:v>
                </c:pt>
                <c:pt idx="105">
                  <c:v>45550.207696759258</c:v>
                </c:pt>
                <c:pt idx="106">
                  <c:v>45550.209085648145</c:v>
                </c:pt>
                <c:pt idx="107">
                  <c:v>45550.210474537038</c:v>
                </c:pt>
                <c:pt idx="108">
                  <c:v>45550.211863425924</c:v>
                </c:pt>
                <c:pt idx="109">
                  <c:v>45550.21325231481</c:v>
                </c:pt>
                <c:pt idx="110">
                  <c:v>45550.214641203704</c:v>
                </c:pt>
                <c:pt idx="111">
                  <c:v>45550.21603009259</c:v>
                </c:pt>
                <c:pt idx="112">
                  <c:v>45550.217418981476</c:v>
                </c:pt>
                <c:pt idx="113">
                  <c:v>45550.218807870369</c:v>
                </c:pt>
                <c:pt idx="114">
                  <c:v>45550.220196759255</c:v>
                </c:pt>
                <c:pt idx="115">
                  <c:v>45550.221585648149</c:v>
                </c:pt>
                <c:pt idx="116">
                  <c:v>45550.222974537035</c:v>
                </c:pt>
                <c:pt idx="117">
                  <c:v>45550.224363425921</c:v>
                </c:pt>
                <c:pt idx="118">
                  <c:v>45550.225752314815</c:v>
                </c:pt>
                <c:pt idx="119">
                  <c:v>45550.227141203701</c:v>
                </c:pt>
                <c:pt idx="120">
                  <c:v>45550.228530092587</c:v>
                </c:pt>
                <c:pt idx="121">
                  <c:v>45550.22991898148</c:v>
                </c:pt>
                <c:pt idx="122">
                  <c:v>45550.231307870366</c:v>
                </c:pt>
                <c:pt idx="123">
                  <c:v>45550.23269675926</c:v>
                </c:pt>
                <c:pt idx="124">
                  <c:v>45550.234085648146</c:v>
                </c:pt>
                <c:pt idx="125">
                  <c:v>45550.235474537032</c:v>
                </c:pt>
                <c:pt idx="126">
                  <c:v>45550.236863425926</c:v>
                </c:pt>
                <c:pt idx="127">
                  <c:v>45550.238252314812</c:v>
                </c:pt>
                <c:pt idx="128">
                  <c:v>45550.239641203698</c:v>
                </c:pt>
                <c:pt idx="129">
                  <c:v>45550.241030092591</c:v>
                </c:pt>
                <c:pt idx="130">
                  <c:v>45550.242418981477</c:v>
                </c:pt>
                <c:pt idx="131">
                  <c:v>45550.243807870371</c:v>
                </c:pt>
                <c:pt idx="132">
                  <c:v>45550.245196759257</c:v>
                </c:pt>
                <c:pt idx="133">
                  <c:v>45550.246585648143</c:v>
                </c:pt>
                <c:pt idx="134">
                  <c:v>45550.247974537036</c:v>
                </c:pt>
                <c:pt idx="135">
                  <c:v>45550.249363425923</c:v>
                </c:pt>
                <c:pt idx="136">
                  <c:v>45550.250752314816</c:v>
                </c:pt>
                <c:pt idx="137">
                  <c:v>45550.252141203702</c:v>
                </c:pt>
                <c:pt idx="138">
                  <c:v>45550.253530092588</c:v>
                </c:pt>
                <c:pt idx="139">
                  <c:v>45550.254918981482</c:v>
                </c:pt>
                <c:pt idx="140">
                  <c:v>45550.256307870368</c:v>
                </c:pt>
                <c:pt idx="141">
                  <c:v>45550.257696759254</c:v>
                </c:pt>
                <c:pt idx="142">
                  <c:v>45550.259085648147</c:v>
                </c:pt>
                <c:pt idx="143">
                  <c:v>45550.260474537034</c:v>
                </c:pt>
                <c:pt idx="144">
                  <c:v>45550.261863425927</c:v>
                </c:pt>
                <c:pt idx="145">
                  <c:v>45550.263252314813</c:v>
                </c:pt>
                <c:pt idx="146">
                  <c:v>45550.264641203699</c:v>
                </c:pt>
                <c:pt idx="147">
                  <c:v>45550.266030092593</c:v>
                </c:pt>
                <c:pt idx="148">
                  <c:v>45550.267418981479</c:v>
                </c:pt>
                <c:pt idx="149">
                  <c:v>45550.268807870365</c:v>
                </c:pt>
                <c:pt idx="150">
                  <c:v>45550.270196759258</c:v>
                </c:pt>
              </c:numCache>
            </c:numRef>
          </c:xVal>
          <c:yVal>
            <c:numRef>
              <c:f>'20240915'!$G$11:$G$161</c:f>
              <c:numCache>
                <c:formatCode>0.00</c:formatCode>
                <c:ptCount val="151"/>
                <c:pt idx="0">
                  <c:v>9.1666666666666661</c:v>
                </c:pt>
                <c:pt idx="1">
                  <c:v>9.17</c:v>
                </c:pt>
                <c:pt idx="2">
                  <c:v>9.18</c:v>
                </c:pt>
                <c:pt idx="3">
                  <c:v>9.1866666666666656</c:v>
                </c:pt>
                <c:pt idx="4">
                  <c:v>9.1877777777777769</c:v>
                </c:pt>
                <c:pt idx="5">
                  <c:v>9.1944444444444446</c:v>
                </c:pt>
                <c:pt idx="6">
                  <c:v>9.2144444444444442</c:v>
                </c:pt>
                <c:pt idx="7">
                  <c:v>9.2133333333333347</c:v>
                </c:pt>
                <c:pt idx="8">
                  <c:v>9.2211111111111119</c:v>
                </c:pt>
                <c:pt idx="9">
                  <c:v>9.206666666666667</c:v>
                </c:pt>
                <c:pt idx="10">
                  <c:v>9.2177777777777781</c:v>
                </c:pt>
                <c:pt idx="11">
                  <c:v>9.2266666666666666</c:v>
                </c:pt>
                <c:pt idx="12">
                  <c:v>9.2477777777777774</c:v>
                </c:pt>
                <c:pt idx="13">
                  <c:v>9.3055555555555554</c:v>
                </c:pt>
                <c:pt idx="14">
                  <c:v>9.3733333333333348</c:v>
                </c:pt>
                <c:pt idx="15">
                  <c:v>9.5344444444444445</c:v>
                </c:pt>
                <c:pt idx="16">
                  <c:v>9.7133333333333329</c:v>
                </c:pt>
                <c:pt idx="17">
                  <c:v>9.8422222222222242</c:v>
                </c:pt>
                <c:pt idx="18">
                  <c:v>10.045555555555556</c:v>
                </c:pt>
                <c:pt idx="19">
                  <c:v>10.447777777777778</c:v>
                </c:pt>
                <c:pt idx="20">
                  <c:v>11.296666666666667</c:v>
                </c:pt>
                <c:pt idx="21">
                  <c:v>11.286666666666669</c:v>
                </c:pt>
                <c:pt idx="22">
                  <c:v>12.042222222222225</c:v>
                </c:pt>
                <c:pt idx="23">
                  <c:v>12.058888888888889</c:v>
                </c:pt>
                <c:pt idx="24">
                  <c:v>12.256666666666668</c:v>
                </c:pt>
                <c:pt idx="25">
                  <c:v>12.883333333333333</c:v>
                </c:pt>
                <c:pt idx="26">
                  <c:v>13.048888888888889</c:v>
                </c:pt>
                <c:pt idx="27">
                  <c:v>13.044444444444444</c:v>
                </c:pt>
                <c:pt idx="28">
                  <c:v>13.20777777777778</c:v>
                </c:pt>
                <c:pt idx="29">
                  <c:v>13.232222222222223</c:v>
                </c:pt>
                <c:pt idx="30">
                  <c:v>13.28888888888889</c:v>
                </c:pt>
                <c:pt idx="31">
                  <c:v>13.312222222222223</c:v>
                </c:pt>
                <c:pt idx="32">
                  <c:v>13.033333333333335</c:v>
                </c:pt>
                <c:pt idx="33">
                  <c:v>13.363333333333335</c:v>
                </c:pt>
                <c:pt idx="34">
                  <c:v>13.295555555555556</c:v>
                </c:pt>
                <c:pt idx="35">
                  <c:v>13.31</c:v>
                </c:pt>
                <c:pt idx="36">
                  <c:v>13.083333333333334</c:v>
                </c:pt>
                <c:pt idx="37">
                  <c:v>12.946666666666665</c:v>
                </c:pt>
                <c:pt idx="38">
                  <c:v>12.922222222222224</c:v>
                </c:pt>
                <c:pt idx="39">
                  <c:v>12.72111111111111</c:v>
                </c:pt>
                <c:pt idx="40">
                  <c:v>12.733333333333336</c:v>
                </c:pt>
                <c:pt idx="41">
                  <c:v>12.626666666666669</c:v>
                </c:pt>
                <c:pt idx="42">
                  <c:v>12.506666666666666</c:v>
                </c:pt>
                <c:pt idx="43">
                  <c:v>12.41111111111111</c:v>
                </c:pt>
                <c:pt idx="44">
                  <c:v>12.50111111111111</c:v>
                </c:pt>
                <c:pt idx="45">
                  <c:v>12.299999999999999</c:v>
                </c:pt>
                <c:pt idx="46">
                  <c:v>12.14</c:v>
                </c:pt>
                <c:pt idx="47">
                  <c:v>12.077777777777776</c:v>
                </c:pt>
                <c:pt idx="48">
                  <c:v>12.034444444444443</c:v>
                </c:pt>
                <c:pt idx="49">
                  <c:v>11.963333333333331</c:v>
                </c:pt>
                <c:pt idx="50">
                  <c:v>11.82111111111111</c:v>
                </c:pt>
                <c:pt idx="51">
                  <c:v>11.795555555555556</c:v>
                </c:pt>
                <c:pt idx="52">
                  <c:v>11.724444444444442</c:v>
                </c:pt>
                <c:pt idx="53">
                  <c:v>11.517777777777775</c:v>
                </c:pt>
                <c:pt idx="54">
                  <c:v>11.453333333333335</c:v>
                </c:pt>
                <c:pt idx="55">
                  <c:v>11.386666666666668</c:v>
                </c:pt>
                <c:pt idx="56">
                  <c:v>11.368888888888888</c:v>
                </c:pt>
                <c:pt idx="57">
                  <c:v>11.267777777777779</c:v>
                </c:pt>
                <c:pt idx="58">
                  <c:v>11.222222222222221</c:v>
                </c:pt>
                <c:pt idx="59">
                  <c:v>11.130000000000003</c:v>
                </c:pt>
                <c:pt idx="60">
                  <c:v>11.13111111111111</c:v>
                </c:pt>
                <c:pt idx="61">
                  <c:v>11.077777777777776</c:v>
                </c:pt>
                <c:pt idx="62">
                  <c:v>11.078888888888887</c:v>
                </c:pt>
                <c:pt idx="63">
                  <c:v>11.037777777777777</c:v>
                </c:pt>
                <c:pt idx="64">
                  <c:v>11.027777777777779</c:v>
                </c:pt>
                <c:pt idx="65">
                  <c:v>10.975555555555554</c:v>
                </c:pt>
                <c:pt idx="66">
                  <c:v>10.946666666666665</c:v>
                </c:pt>
                <c:pt idx="67">
                  <c:v>10.851111111111111</c:v>
                </c:pt>
                <c:pt idx="68">
                  <c:v>10.833333333333334</c:v>
                </c:pt>
                <c:pt idx="69">
                  <c:v>10.763333333333332</c:v>
                </c:pt>
                <c:pt idx="70">
                  <c:v>10.74111111111111</c:v>
                </c:pt>
                <c:pt idx="71">
                  <c:v>10.732222222222223</c:v>
                </c:pt>
                <c:pt idx="72">
                  <c:v>10.673333333333334</c:v>
                </c:pt>
                <c:pt idx="73">
                  <c:v>10.583333333333334</c:v>
                </c:pt>
                <c:pt idx="74">
                  <c:v>10.545555555555556</c:v>
                </c:pt>
                <c:pt idx="75">
                  <c:v>10.505555555555555</c:v>
                </c:pt>
                <c:pt idx="76">
                  <c:v>10.545555555555556</c:v>
                </c:pt>
                <c:pt idx="77">
                  <c:v>10.564444444444442</c:v>
                </c:pt>
                <c:pt idx="78">
                  <c:v>10.53</c:v>
                </c:pt>
                <c:pt idx="79">
                  <c:v>10.488888888888887</c:v>
                </c:pt>
                <c:pt idx="80">
                  <c:v>10.472222222222221</c:v>
                </c:pt>
                <c:pt idx="81">
                  <c:v>10.311111111111112</c:v>
                </c:pt>
                <c:pt idx="82">
                  <c:v>10.274444444444446</c:v>
                </c:pt>
                <c:pt idx="83">
                  <c:v>10.292222222222222</c:v>
                </c:pt>
                <c:pt idx="84">
                  <c:v>10.232222222222223</c:v>
                </c:pt>
                <c:pt idx="85">
                  <c:v>10.255555555555555</c:v>
                </c:pt>
                <c:pt idx="86">
                  <c:v>10.190000000000001</c:v>
                </c:pt>
                <c:pt idx="87">
                  <c:v>10.301111111111112</c:v>
                </c:pt>
                <c:pt idx="88">
                  <c:v>10.161111111111111</c:v>
                </c:pt>
                <c:pt idx="89">
                  <c:v>10.18</c:v>
                </c:pt>
                <c:pt idx="90">
                  <c:v>10.127777777777776</c:v>
                </c:pt>
                <c:pt idx="91">
                  <c:v>10.132222222222222</c:v>
                </c:pt>
                <c:pt idx="92">
                  <c:v>10.063333333333333</c:v>
                </c:pt>
                <c:pt idx="93">
                  <c:v>10.032222222222222</c:v>
                </c:pt>
                <c:pt idx="94">
                  <c:v>10.05777777777778</c:v>
                </c:pt>
                <c:pt idx="95">
                  <c:v>10.040000000000001</c:v>
                </c:pt>
                <c:pt idx="96">
                  <c:v>10.047777777777778</c:v>
                </c:pt>
                <c:pt idx="97">
                  <c:v>10.013333333333332</c:v>
                </c:pt>
                <c:pt idx="98">
                  <c:v>10.007777777777777</c:v>
                </c:pt>
                <c:pt idx="99">
                  <c:v>9.9588888888888878</c:v>
                </c:pt>
                <c:pt idx="100">
                  <c:v>9.9511111111111106</c:v>
                </c:pt>
                <c:pt idx="101">
                  <c:v>9.9244444444444433</c:v>
                </c:pt>
                <c:pt idx="102">
                  <c:v>9.9088888888888889</c:v>
                </c:pt>
                <c:pt idx="103">
                  <c:v>9.887777777777778</c:v>
                </c:pt>
                <c:pt idx="104">
                  <c:v>9.8811111111111121</c:v>
                </c:pt>
                <c:pt idx="105">
                  <c:v>9.8300000000000018</c:v>
                </c:pt>
                <c:pt idx="106">
                  <c:v>9.8244444444444454</c:v>
                </c:pt>
                <c:pt idx="107">
                  <c:v>9.83</c:v>
                </c:pt>
                <c:pt idx="108">
                  <c:v>9.785555555555554</c:v>
                </c:pt>
                <c:pt idx="109">
                  <c:v>9.818888888888889</c:v>
                </c:pt>
                <c:pt idx="110">
                  <c:v>9.7844444444444409</c:v>
                </c:pt>
                <c:pt idx="111">
                  <c:v>9.7777777777777786</c:v>
                </c:pt>
                <c:pt idx="112">
                  <c:v>9.7188888888888911</c:v>
                </c:pt>
                <c:pt idx="113">
                  <c:v>9.7444444444444454</c:v>
                </c:pt>
                <c:pt idx="114">
                  <c:v>9.7500000000000018</c:v>
                </c:pt>
                <c:pt idx="115">
                  <c:v>9.7211111111111119</c:v>
                </c:pt>
                <c:pt idx="116">
                  <c:v>9.7133333333333347</c:v>
                </c:pt>
                <c:pt idx="117">
                  <c:v>9.698888888888888</c:v>
                </c:pt>
                <c:pt idx="118">
                  <c:v>9.6833333333333336</c:v>
                </c:pt>
                <c:pt idx="119">
                  <c:v>9.69</c:v>
                </c:pt>
                <c:pt idx="120">
                  <c:v>9.68</c:v>
                </c:pt>
                <c:pt idx="121">
                  <c:v>9.6822222222222205</c:v>
                </c:pt>
                <c:pt idx="122">
                  <c:v>9.665555555555553</c:v>
                </c:pt>
                <c:pt idx="123">
                  <c:v>9.6788888888888902</c:v>
                </c:pt>
                <c:pt idx="124">
                  <c:v>9.6622222222222227</c:v>
                </c:pt>
                <c:pt idx="125">
                  <c:v>9.637777777777778</c:v>
                </c:pt>
                <c:pt idx="126">
                  <c:v>9.6311111111111103</c:v>
                </c:pt>
                <c:pt idx="127">
                  <c:v>9.6188888888888879</c:v>
                </c:pt>
                <c:pt idx="128">
                  <c:v>9.6199999999999992</c:v>
                </c:pt>
                <c:pt idx="129">
                  <c:v>9.6422222222222231</c:v>
                </c:pt>
                <c:pt idx="130">
                  <c:v>9.6488888888888873</c:v>
                </c:pt>
                <c:pt idx="131">
                  <c:v>9.6111111111111107</c:v>
                </c:pt>
                <c:pt idx="132">
                  <c:v>9.5944444444444432</c:v>
                </c:pt>
                <c:pt idx="133">
                  <c:v>9.5711111111111116</c:v>
                </c:pt>
                <c:pt idx="134">
                  <c:v>9.5933333333333337</c:v>
                </c:pt>
                <c:pt idx="135">
                  <c:v>9.5855555555555547</c:v>
                </c:pt>
                <c:pt idx="136">
                  <c:v>9.5666666666666682</c:v>
                </c:pt>
                <c:pt idx="137">
                  <c:v>9.5555555555555554</c:v>
                </c:pt>
                <c:pt idx="138">
                  <c:v>9.5677777777777759</c:v>
                </c:pt>
                <c:pt idx="139">
                  <c:v>9.576666666666668</c:v>
                </c:pt>
                <c:pt idx="140">
                  <c:v>9.5577777777777797</c:v>
                </c:pt>
                <c:pt idx="141">
                  <c:v>9.5455555555555556</c:v>
                </c:pt>
                <c:pt idx="142">
                  <c:v>9.5444444444444443</c:v>
                </c:pt>
                <c:pt idx="143">
                  <c:v>9.5222222222222204</c:v>
                </c:pt>
                <c:pt idx="144">
                  <c:v>9.5277777777777786</c:v>
                </c:pt>
                <c:pt idx="145">
                  <c:v>9.5544444444444423</c:v>
                </c:pt>
                <c:pt idx="146">
                  <c:v>9.5311111111111106</c:v>
                </c:pt>
                <c:pt idx="147">
                  <c:v>9.5244444444444447</c:v>
                </c:pt>
                <c:pt idx="148">
                  <c:v>9.5288888888888899</c:v>
                </c:pt>
                <c:pt idx="149">
                  <c:v>9.5133333333333319</c:v>
                </c:pt>
                <c:pt idx="150">
                  <c:v>9.5088888888888885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10-5546-9E34-C87136F9F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7088"/>
        <c:axId val="5824496"/>
      </c:scatterChart>
      <c:valAx>
        <c:axId val="7602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58528"/>
        <c:crosses val="autoZero"/>
        <c:crossBetween val="midCat"/>
      </c:valAx>
      <c:valAx>
        <c:axId val="6425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27504"/>
        <c:crosses val="autoZero"/>
        <c:crossBetween val="midCat"/>
      </c:valAx>
      <c:valAx>
        <c:axId val="582449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088"/>
        <c:crosses val="max"/>
        <c:crossBetween val="midCat"/>
      </c:valAx>
      <c:valAx>
        <c:axId val="5827088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5824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425450</xdr:colOff>
      <xdr:row>150</xdr:row>
      <xdr:rowOff>69850</xdr:rowOff>
    </xdr:from>
    <xdr:to>
      <xdr:col>6</xdr:col>
      <xdr:colOff>685800</xdr:colOff>
      <xdr:row>174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FEDE5-9205-E746-8E51-C2F53CD65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E171-EC23-E04A-A871-15AB9EA16FAA}">
  <dimension ref="A1:R165"/>
  <sheetViews>
    <sheetView zoomScale="99" zoomScaleNormal="100" workbookViewId="0">
      <selection activeCell="M1" sqref="M1:N2"/>
    </sheetView>
  </sheetViews>
  <sheetFormatPr baseColWidth="10" defaultRowHeight="16" x14ac:dyDescent="0.2"/>
  <cols>
    <col min="1" max="2" width="16.5" style="2" customWidth="1"/>
    <col min="3" max="4" width="16.5" style="1" customWidth="1"/>
    <col min="5" max="6" width="16.5" customWidth="1"/>
    <col min="8" max="8" width="11.83203125" bestFit="1" customWidth="1"/>
    <col min="9" max="9" width="16.5" customWidth="1"/>
  </cols>
  <sheetData>
    <row r="1" spans="1:18" x14ac:dyDescent="0.2">
      <c r="A1" s="26" t="s">
        <v>34</v>
      </c>
      <c r="D1" t="s">
        <v>33</v>
      </c>
      <c r="E1" s="24">
        <v>0.87569444444444444</v>
      </c>
      <c r="F1" s="5"/>
      <c r="G1" t="s">
        <v>45</v>
      </c>
      <c r="H1" s="25">
        <f>(22.77-0.08)*1000*2060</f>
        <v>46741400</v>
      </c>
      <c r="I1" s="3" t="s">
        <v>32</v>
      </c>
      <c r="J1" t="s">
        <v>31</v>
      </c>
      <c r="K1" s="21">
        <v>900</v>
      </c>
      <c r="M1" t="s">
        <v>44</v>
      </c>
      <c r="N1" s="24">
        <v>212.35833333333338</v>
      </c>
      <c r="P1" t="s">
        <v>30</v>
      </c>
      <c r="R1" t="s">
        <v>29</v>
      </c>
    </row>
    <row r="2" spans="1:18" x14ac:dyDescent="0.2">
      <c r="A2" s="23" t="s">
        <v>28</v>
      </c>
      <c r="B2" s="23"/>
      <c r="D2"/>
      <c r="E2" s="22">
        <v>0.87569444444444444</v>
      </c>
      <c r="F2" s="5"/>
      <c r="G2" s="3" t="s">
        <v>27</v>
      </c>
      <c r="H2" s="20">
        <f>(1250*0.97)</f>
        <v>1212.5</v>
      </c>
      <c r="I2" s="3" t="s">
        <v>26</v>
      </c>
      <c r="J2" t="s">
        <v>25</v>
      </c>
      <c r="K2" s="21">
        <v>17.5</v>
      </c>
      <c r="M2" t="s">
        <v>24</v>
      </c>
      <c r="N2" s="20">
        <v>9.1987962962962957</v>
      </c>
    </row>
    <row r="3" spans="1:18" x14ac:dyDescent="0.2">
      <c r="A3" s="2" t="s">
        <v>23</v>
      </c>
      <c r="B3" s="19">
        <v>0.25</v>
      </c>
      <c r="D3"/>
      <c r="E3" s="5"/>
      <c r="F3" s="5"/>
      <c r="G3" s="3" t="s">
        <v>22</v>
      </c>
      <c r="H3" s="18">
        <f>H2/H1</f>
        <v>2.5940600837801179E-5</v>
      </c>
      <c r="I3" s="3"/>
      <c r="J3" s="13" t="s">
        <v>21</v>
      </c>
      <c r="K3" s="16">
        <f>H1/I163</f>
        <v>37052.728930227953</v>
      </c>
      <c r="L3" s="13" t="s">
        <v>20</v>
      </c>
      <c r="P3" s="17" t="s">
        <v>19</v>
      </c>
    </row>
    <row r="4" spans="1:18" x14ac:dyDescent="0.2">
      <c r="G4" t="s">
        <v>49</v>
      </c>
      <c r="K4" s="16">
        <f>K3*0.001*60</f>
        <v>2223.1637358136772</v>
      </c>
      <c r="L4" s="13" t="s">
        <v>18</v>
      </c>
      <c r="P4" s="15">
        <f>(LN(L163)-LN(H3))/K1</f>
        <v>1.0480496068577368E-2</v>
      </c>
    </row>
    <row r="5" spans="1:18" x14ac:dyDescent="0.2">
      <c r="K5" s="14"/>
      <c r="L5" s="13"/>
    </row>
    <row r="6" spans="1:18" x14ac:dyDescent="0.2">
      <c r="J6" s="13" t="s">
        <v>17</v>
      </c>
      <c r="K6" s="13"/>
      <c r="L6" s="13"/>
      <c r="O6" t="s">
        <v>16</v>
      </c>
      <c r="P6" s="12">
        <f>-1/P4</f>
        <v>-95.415330863793827</v>
      </c>
    </row>
    <row r="7" spans="1:18" x14ac:dyDescent="0.2">
      <c r="J7" s="13"/>
      <c r="K7" s="13"/>
      <c r="L7" s="13"/>
      <c r="O7" t="s">
        <v>15</v>
      </c>
      <c r="P7" s="12">
        <f>K4*P4/K2</f>
        <v>1.3314205024570867</v>
      </c>
    </row>
    <row r="8" spans="1:18" x14ac:dyDescent="0.2">
      <c r="J8" s="13"/>
      <c r="K8" s="13"/>
      <c r="L8" s="13"/>
      <c r="P8" s="12"/>
    </row>
    <row r="9" spans="1:18" x14ac:dyDescent="0.2">
      <c r="J9" s="13"/>
      <c r="K9" s="13"/>
      <c r="L9" s="13"/>
      <c r="P9" s="12"/>
    </row>
    <row r="10" spans="1:18" x14ac:dyDescent="0.2">
      <c r="A10" s="2" t="s">
        <v>14</v>
      </c>
      <c r="B10" s="2" t="s">
        <v>13</v>
      </c>
      <c r="C10" s="1" t="s">
        <v>12</v>
      </c>
      <c r="D10" s="1" t="s">
        <v>11</v>
      </c>
      <c r="E10" s="5" t="s">
        <v>40</v>
      </c>
      <c r="F10" s="3" t="s">
        <v>41</v>
      </c>
      <c r="G10" t="s">
        <v>10</v>
      </c>
      <c r="H10" t="s">
        <v>9</v>
      </c>
      <c r="I10" t="s">
        <v>8</v>
      </c>
      <c r="J10" t="s">
        <v>7</v>
      </c>
      <c r="K10" s="3" t="s">
        <v>6</v>
      </c>
      <c r="L10" t="s">
        <v>5</v>
      </c>
    </row>
    <row r="11" spans="1:18" x14ac:dyDescent="0.2">
      <c r="A11" s="11">
        <v>45551.187557870369</v>
      </c>
      <c r="B11" s="11">
        <f>A11-$B$3</f>
        <v>45550.937557870369</v>
      </c>
      <c r="C11" s="10">
        <v>45550.937557870369</v>
      </c>
      <c r="D11" s="10">
        <f>C11-$E$2</f>
        <v>45550.061863425923</v>
      </c>
      <c r="E11" s="9">
        <v>212.3</v>
      </c>
      <c r="F11" s="9">
        <f>E11-$N$1</f>
        <v>-5.8333333333365545E-2</v>
      </c>
      <c r="G11" s="8">
        <v>9.1666666666666661</v>
      </c>
      <c r="H11" s="8">
        <f>G11-$N$2</f>
        <v>-3.2129629629629619E-2</v>
      </c>
      <c r="I11" s="7"/>
      <c r="J11" s="6"/>
      <c r="K11" s="6"/>
      <c r="L11" s="6" t="s">
        <v>4</v>
      </c>
    </row>
    <row r="12" spans="1:18" x14ac:dyDescent="0.2">
      <c r="A12" s="11">
        <v>45551.188946759263</v>
      </c>
      <c r="B12" s="11">
        <f>A12-$B$3</f>
        <v>45550.938946759263</v>
      </c>
      <c r="C12" s="10">
        <v>45550.938946759263</v>
      </c>
      <c r="D12" s="10">
        <f>C12-$E$2</f>
        <v>45550.063252314816</v>
      </c>
      <c r="E12" s="9">
        <v>212.3</v>
      </c>
      <c r="F12" s="9">
        <f>E12-$N$1</f>
        <v>-5.8333333333365545E-2</v>
      </c>
      <c r="G12" s="8">
        <v>9.17</v>
      </c>
      <c r="H12" s="8">
        <f>G12-$N$2</f>
        <v>-2.8796296296295765E-2</v>
      </c>
      <c r="I12" s="7"/>
      <c r="J12" s="6"/>
      <c r="K12" s="6"/>
      <c r="L12" s="6" t="s">
        <v>4</v>
      </c>
    </row>
    <row r="13" spans="1:18" x14ac:dyDescent="0.2">
      <c r="A13" s="11">
        <v>45551.190335648149</v>
      </c>
      <c r="B13" s="11">
        <f>A13-$B$3</f>
        <v>45550.940335648149</v>
      </c>
      <c r="C13" s="10">
        <v>45550.940335648149</v>
      </c>
      <c r="D13" s="10">
        <f>C13-$E$2</f>
        <v>45550.064641203702</v>
      </c>
      <c r="E13" s="9">
        <v>212.3</v>
      </c>
      <c r="F13" s="9">
        <f>E13-$N$1</f>
        <v>-5.8333333333365545E-2</v>
      </c>
      <c r="G13" s="8">
        <v>9.18</v>
      </c>
      <c r="H13" s="8">
        <f>G13-$N$2</f>
        <v>-1.8796296296295978E-2</v>
      </c>
      <c r="I13" s="7"/>
      <c r="J13" s="6"/>
      <c r="K13" s="6"/>
      <c r="L13" s="6" t="s">
        <v>4</v>
      </c>
    </row>
    <row r="14" spans="1:18" x14ac:dyDescent="0.2">
      <c r="A14" s="11">
        <v>45551.191724537035</v>
      </c>
      <c r="B14" s="11">
        <f>A14-$B$3</f>
        <v>45550.941724537035</v>
      </c>
      <c r="C14" s="10">
        <v>45550.941724537035</v>
      </c>
      <c r="D14" s="10">
        <f>C14-$E$2</f>
        <v>45550.066030092588</v>
      </c>
      <c r="E14" s="9">
        <v>212.2</v>
      </c>
      <c r="F14" s="9">
        <f>E14-$N$1</f>
        <v>-0.15833333333338828</v>
      </c>
      <c r="G14" s="8">
        <v>9.1866666666666656</v>
      </c>
      <c r="H14" s="8">
        <f>G14-$N$2</f>
        <v>-1.2129629629630045E-2</v>
      </c>
      <c r="I14" s="7"/>
      <c r="J14" s="6"/>
      <c r="K14" s="6"/>
      <c r="L14" s="6" t="s">
        <v>4</v>
      </c>
    </row>
    <row r="15" spans="1:18" x14ac:dyDescent="0.2">
      <c r="A15" s="11">
        <v>45551.193113425928</v>
      </c>
      <c r="B15" s="11">
        <f>A15-$B$3</f>
        <v>45550.943113425928</v>
      </c>
      <c r="C15" s="10">
        <v>45550.943113425928</v>
      </c>
      <c r="D15" s="10">
        <f>C15-$E$2</f>
        <v>45550.067418981482</v>
      </c>
      <c r="E15" s="9">
        <v>212.3</v>
      </c>
      <c r="F15" s="9">
        <f>E15-$N$1</f>
        <v>-5.8333333333365545E-2</v>
      </c>
      <c r="G15" s="8">
        <v>9.1877777777777769</v>
      </c>
      <c r="H15" s="8">
        <f>G15-$N$2</f>
        <v>-1.1018518518518761E-2</v>
      </c>
      <c r="I15" s="7"/>
      <c r="J15" s="6"/>
      <c r="K15" s="6"/>
      <c r="L15" s="6" t="s">
        <v>4</v>
      </c>
    </row>
    <row r="16" spans="1:18" x14ac:dyDescent="0.2">
      <c r="A16" s="11">
        <v>45551.194502314815</v>
      </c>
      <c r="B16" s="11">
        <f>A16-$B$3</f>
        <v>45550.944502314815</v>
      </c>
      <c r="C16" s="10">
        <v>45550.944502314815</v>
      </c>
      <c r="D16" s="10">
        <f>C16-$E$2</f>
        <v>45550.068807870368</v>
      </c>
      <c r="E16" s="9">
        <v>212.4</v>
      </c>
      <c r="F16" s="9">
        <f>E16-$N$1</f>
        <v>4.1666666666628771E-2</v>
      </c>
      <c r="G16" s="8">
        <v>9.1944444444444446</v>
      </c>
      <c r="H16" s="8">
        <f>G16-$N$2</f>
        <v>-4.3518518518510518E-3</v>
      </c>
      <c r="I16" s="7"/>
      <c r="J16" s="6"/>
      <c r="K16" s="6"/>
      <c r="L16" s="6" t="s">
        <v>4</v>
      </c>
    </row>
    <row r="17" spans="1:12" x14ac:dyDescent="0.2">
      <c r="A17" s="11">
        <v>45551.195891203701</v>
      </c>
      <c r="B17" s="11">
        <f>A17-$B$3</f>
        <v>45550.945891203701</v>
      </c>
      <c r="C17" s="10">
        <v>45550.945891203701</v>
      </c>
      <c r="D17" s="10">
        <f>C17-$E$2</f>
        <v>45550.070196759254</v>
      </c>
      <c r="E17" s="9">
        <v>212.4</v>
      </c>
      <c r="F17" s="9">
        <f>E17-$N$1</f>
        <v>4.1666666666628771E-2</v>
      </c>
      <c r="G17" s="8">
        <v>9.2144444444444442</v>
      </c>
      <c r="H17" s="8">
        <f>G17-$N$2</f>
        <v>1.5648148148148522E-2</v>
      </c>
      <c r="I17" s="7"/>
      <c r="J17" s="6"/>
      <c r="K17" s="6"/>
      <c r="L17" s="6" t="s">
        <v>4</v>
      </c>
    </row>
    <row r="18" spans="1:12" x14ac:dyDescent="0.2">
      <c r="A18" s="11">
        <v>45551.197280092594</v>
      </c>
      <c r="B18" s="11">
        <f>A18-$B$3</f>
        <v>45550.947280092594</v>
      </c>
      <c r="C18" s="10">
        <v>45550.947280092594</v>
      </c>
      <c r="D18" s="10">
        <f>C18-$E$2</f>
        <v>45550.071585648147</v>
      </c>
      <c r="E18" s="9">
        <v>212.5</v>
      </c>
      <c r="F18" s="9">
        <f>E18-$N$1</f>
        <v>0.14166666666662309</v>
      </c>
      <c r="G18" s="8">
        <v>9.2133333333333347</v>
      </c>
      <c r="H18" s="8">
        <f>G18-$N$2</f>
        <v>1.4537037037039013E-2</v>
      </c>
      <c r="I18" s="7"/>
      <c r="J18" s="6"/>
      <c r="K18" s="6"/>
      <c r="L18" s="6" t="s">
        <v>4</v>
      </c>
    </row>
    <row r="19" spans="1:12" x14ac:dyDescent="0.2">
      <c r="A19" s="11">
        <v>45551.19866898148</v>
      </c>
      <c r="B19" s="11">
        <f>A19-$B$3</f>
        <v>45550.94866898148</v>
      </c>
      <c r="C19" s="10">
        <v>45550.94866898148</v>
      </c>
      <c r="D19" s="10">
        <f>C19-$E$2</f>
        <v>45550.072974537034</v>
      </c>
      <c r="E19" s="9">
        <v>212.4</v>
      </c>
      <c r="F19" s="9">
        <f>E19-$N$1</f>
        <v>4.1666666666628771E-2</v>
      </c>
      <c r="G19" s="8">
        <v>9.2211111111111119</v>
      </c>
      <c r="H19" s="8">
        <f>G19-$N$2</f>
        <v>2.2314814814816231E-2</v>
      </c>
      <c r="I19" s="7"/>
      <c r="J19" s="6"/>
      <c r="K19" s="6"/>
      <c r="L19" s="6" t="s">
        <v>4</v>
      </c>
    </row>
    <row r="20" spans="1:12" x14ac:dyDescent="0.2">
      <c r="A20" s="11">
        <v>45551.200057870374</v>
      </c>
      <c r="B20" s="11">
        <f>A20-$B$3</f>
        <v>45550.950057870374</v>
      </c>
      <c r="C20" s="10">
        <v>45550.950057870374</v>
      </c>
      <c r="D20" s="10">
        <f>C20-$E$2</f>
        <v>45550.074363425927</v>
      </c>
      <c r="E20" s="9">
        <v>212.4</v>
      </c>
      <c r="F20" s="9">
        <f>E20-$N$1</f>
        <v>4.1666666666628771E-2</v>
      </c>
      <c r="G20" s="8">
        <v>9.206666666666667</v>
      </c>
      <c r="H20" s="8">
        <f>G20-$N$2</f>
        <v>7.8703703703713046E-3</v>
      </c>
      <c r="I20" s="7"/>
      <c r="J20" s="6"/>
      <c r="K20" s="6"/>
      <c r="L20" s="6" t="s">
        <v>4</v>
      </c>
    </row>
    <row r="21" spans="1:12" x14ac:dyDescent="0.2">
      <c r="A21" s="11">
        <v>45551.20144675926</v>
      </c>
      <c r="B21" s="11">
        <f>A21-$B$3</f>
        <v>45550.95144675926</v>
      </c>
      <c r="C21" s="10">
        <v>45550.95144675926</v>
      </c>
      <c r="D21" s="10">
        <f>C21-$E$2</f>
        <v>45550.075752314813</v>
      </c>
      <c r="E21" s="9">
        <v>212.4</v>
      </c>
      <c r="F21" s="9">
        <f>E21-$N$1</f>
        <v>4.1666666666628771E-2</v>
      </c>
      <c r="G21" s="8">
        <v>9.2177777777777781</v>
      </c>
      <c r="H21" s="8">
        <f>G21-$N$2</f>
        <v>1.8981481481482376E-2</v>
      </c>
      <c r="I21" s="7"/>
      <c r="J21" s="6"/>
      <c r="K21" s="6"/>
      <c r="L21" s="6" t="s">
        <v>4</v>
      </c>
    </row>
    <row r="22" spans="1:12" x14ac:dyDescent="0.2">
      <c r="A22" s="11">
        <v>45551.202835648146</v>
      </c>
      <c r="B22" s="11">
        <f>A22-$B$3</f>
        <v>45550.952835648146</v>
      </c>
      <c r="C22" s="10">
        <v>45550.952835648146</v>
      </c>
      <c r="D22" s="10">
        <f>C22-$E$2</f>
        <v>45550.077141203699</v>
      </c>
      <c r="E22" s="9">
        <v>212.4</v>
      </c>
      <c r="F22" s="9">
        <f>E22-$N$1</f>
        <v>4.1666666666628771E-2</v>
      </c>
      <c r="G22" s="8">
        <v>9.2266666666666666</v>
      </c>
      <c r="H22" s="8">
        <f>G22-$N$2</f>
        <v>2.7870370370370878E-2</v>
      </c>
      <c r="I22" s="7"/>
      <c r="J22" s="6"/>
      <c r="K22" s="6"/>
      <c r="L22" s="6" t="s">
        <v>4</v>
      </c>
    </row>
    <row r="23" spans="1:12" x14ac:dyDescent="0.2">
      <c r="A23" s="2">
        <v>45551.204224537039</v>
      </c>
      <c r="B23" s="2">
        <f>A23-$B$3</f>
        <v>45550.954224537039</v>
      </c>
      <c r="C23" s="1">
        <v>45550.954224537039</v>
      </c>
      <c r="D23" s="1">
        <f>C23-$E$2</f>
        <v>45550.078530092593</v>
      </c>
      <c r="E23" s="5">
        <v>212.5</v>
      </c>
      <c r="F23" s="5">
        <f>E23-$N$1</f>
        <v>0.14166666666662309</v>
      </c>
      <c r="G23" s="3">
        <v>9.2477777777777774</v>
      </c>
      <c r="H23" s="3">
        <f>G23-$N$2</f>
        <v>4.8981481481481737E-2</v>
      </c>
      <c r="I23" s="3">
        <f>ABS((F23+F22)/2)</f>
        <v>9.1666666666625929E-2</v>
      </c>
      <c r="J23" s="3">
        <f>ABS((H23+H22)/2)</f>
        <v>3.8425925925926308E-2</v>
      </c>
      <c r="K23" s="3">
        <f>J23/I23</f>
        <v>0.41919191919210963</v>
      </c>
      <c r="L23" s="6" t="s">
        <v>48</v>
      </c>
    </row>
    <row r="24" spans="1:12" x14ac:dyDescent="0.2">
      <c r="A24" s="2">
        <v>45551.205613425926</v>
      </c>
      <c r="B24" s="2">
        <f>A24-$B$3</f>
        <v>45550.955613425926</v>
      </c>
      <c r="C24" s="1">
        <v>45550.955613425926</v>
      </c>
      <c r="D24" s="1">
        <f>C24-$E$2</f>
        <v>45550.079918981479</v>
      </c>
      <c r="E24" s="5">
        <v>212.7</v>
      </c>
      <c r="F24" s="5">
        <f>E24-$N$1</f>
        <v>0.34166666666661172</v>
      </c>
      <c r="G24" s="3">
        <v>9.3055555555555554</v>
      </c>
      <c r="H24" s="3">
        <f>G24-$N$2</f>
        <v>0.10675925925925966</v>
      </c>
      <c r="I24" s="3">
        <f>ABS((F24+F23)/2)</f>
        <v>0.2416666666666174</v>
      </c>
      <c r="J24" s="3">
        <f>ABS((H24+H23)/2)</f>
        <v>7.7870370370370701E-2</v>
      </c>
      <c r="K24" s="3">
        <f t="shared" ref="K24:K87" si="0">J24/I24</f>
        <v>0.3222222222222893</v>
      </c>
    </row>
    <row r="25" spans="1:12" x14ac:dyDescent="0.2">
      <c r="A25" s="2">
        <v>45551.207002314812</v>
      </c>
      <c r="B25" s="2">
        <f>A25-$B$3</f>
        <v>45550.957002314812</v>
      </c>
      <c r="C25" s="1">
        <v>45550.957002314812</v>
      </c>
      <c r="D25" s="1">
        <f>C25-$E$2</f>
        <v>45550.081307870365</v>
      </c>
      <c r="E25" s="5">
        <v>213.1</v>
      </c>
      <c r="F25" s="5">
        <f>E25-$N$1</f>
        <v>0.7416666666666174</v>
      </c>
      <c r="G25" s="3">
        <v>9.3733333333333348</v>
      </c>
      <c r="H25" s="3">
        <f>G25-$N$2</f>
        <v>0.17453703703703916</v>
      </c>
      <c r="I25" s="3">
        <f>ABS((F25+F24)/2)</f>
        <v>0.54166666666661456</v>
      </c>
      <c r="J25" s="3">
        <f>ABS((H25+H24)/2)</f>
        <v>0.14064814814814941</v>
      </c>
      <c r="K25" s="3">
        <f t="shared" si="0"/>
        <v>0.25965811965814695</v>
      </c>
    </row>
    <row r="26" spans="1:12" x14ac:dyDescent="0.2">
      <c r="A26" s="2">
        <v>45551.208391203705</v>
      </c>
      <c r="B26" s="2">
        <f>A26-$B$3</f>
        <v>45550.958391203705</v>
      </c>
      <c r="C26" s="1">
        <v>45550.958391203705</v>
      </c>
      <c r="D26" s="1">
        <f>C26-$E$2</f>
        <v>45550.082696759258</v>
      </c>
      <c r="E26" s="5">
        <v>213.7</v>
      </c>
      <c r="F26" s="5">
        <f>E26-$N$1</f>
        <v>1.3416666666666117</v>
      </c>
      <c r="G26" s="3">
        <v>9.5344444444444445</v>
      </c>
      <c r="H26" s="3">
        <f>G26-$N$2</f>
        <v>0.33564814814814881</v>
      </c>
      <c r="I26" s="3">
        <f>ABS((F26+F25)/2)</f>
        <v>1.0416666666666146</v>
      </c>
      <c r="J26" s="3">
        <f>ABS((H26+H25)/2)</f>
        <v>0.25509259259259398</v>
      </c>
      <c r="K26" s="3">
        <f t="shared" si="0"/>
        <v>0.24488888888890248</v>
      </c>
    </row>
    <row r="27" spans="1:12" x14ac:dyDescent="0.2">
      <c r="A27" s="2">
        <v>45551.209780092591</v>
      </c>
      <c r="B27" s="2">
        <f>A27-$B$3</f>
        <v>45550.959780092591</v>
      </c>
      <c r="C27" s="1">
        <v>45550.959780092591</v>
      </c>
      <c r="D27" s="1">
        <f>C27-$E$2</f>
        <v>45550.084085648145</v>
      </c>
      <c r="E27" s="5">
        <v>214.2</v>
      </c>
      <c r="F27" s="5">
        <f>E27-$N$1</f>
        <v>1.8416666666666117</v>
      </c>
      <c r="G27" s="3">
        <v>9.7133333333333329</v>
      </c>
      <c r="H27" s="3">
        <f>G27-$N$2</f>
        <v>0.51453703703703724</v>
      </c>
      <c r="I27" s="3">
        <f>ABS((F27+F26)/2)</f>
        <v>1.5916666666666117</v>
      </c>
      <c r="J27" s="3">
        <f>ABS((H27+H26)/2)</f>
        <v>0.42509259259259302</v>
      </c>
      <c r="K27" s="3">
        <f t="shared" si="0"/>
        <v>0.26707388016289491</v>
      </c>
    </row>
    <row r="28" spans="1:12" x14ac:dyDescent="0.2">
      <c r="A28" s="2">
        <v>45551.211168981485</v>
      </c>
      <c r="B28" s="2">
        <f>A28-$B$3</f>
        <v>45550.961168981485</v>
      </c>
      <c r="C28" s="1">
        <v>45550.961168981485</v>
      </c>
      <c r="D28" s="1">
        <f>C28-$E$2</f>
        <v>45550.085474537038</v>
      </c>
      <c r="E28" s="5">
        <v>214.7</v>
      </c>
      <c r="F28" s="5">
        <f>E28-$N$1</f>
        <v>2.3416666666666117</v>
      </c>
      <c r="G28" s="3">
        <v>9.8422222222222242</v>
      </c>
      <c r="H28" s="3">
        <f>G28-$N$2</f>
        <v>0.64342592592592851</v>
      </c>
      <c r="I28" s="3">
        <f>ABS((F28+F27)/2)</f>
        <v>2.0916666666666117</v>
      </c>
      <c r="J28" s="3">
        <f>ABS((H28+H27)/2)</f>
        <v>0.57898148148148287</v>
      </c>
      <c r="K28" s="3">
        <f t="shared" si="0"/>
        <v>0.27680389552900309</v>
      </c>
    </row>
    <row r="29" spans="1:12" x14ac:dyDescent="0.2">
      <c r="A29" s="2">
        <v>45551.212557870371</v>
      </c>
      <c r="B29" s="2">
        <f>A29-$B$3</f>
        <v>45550.962557870371</v>
      </c>
      <c r="C29" s="1">
        <v>45550.962557870371</v>
      </c>
      <c r="D29" s="1">
        <f>C29-$E$2</f>
        <v>45550.086863425924</v>
      </c>
      <c r="E29" s="5">
        <v>215</v>
      </c>
      <c r="F29" s="5">
        <f>E29-$N$1</f>
        <v>2.6416666666666231</v>
      </c>
      <c r="G29" s="3">
        <v>10.045555555555556</v>
      </c>
      <c r="H29" s="3">
        <f>G29-$N$2</f>
        <v>0.84675925925925988</v>
      </c>
      <c r="I29" s="3">
        <f>ABS((F29+F28)/2)</f>
        <v>2.4916666666666174</v>
      </c>
      <c r="J29" s="3">
        <f>ABS((H29+H28)/2)</f>
        <v>0.74509259259259419</v>
      </c>
      <c r="K29" s="3">
        <f t="shared" si="0"/>
        <v>0.29903381642512733</v>
      </c>
    </row>
    <row r="30" spans="1:12" x14ac:dyDescent="0.2">
      <c r="A30" s="2">
        <v>45551.213946759257</v>
      </c>
      <c r="B30" s="2">
        <f>A30-$B$3</f>
        <v>45550.963946759257</v>
      </c>
      <c r="C30" s="1">
        <v>45550.963946759257</v>
      </c>
      <c r="D30" s="1">
        <f>C30-$E$2</f>
        <v>45550.08825231481</v>
      </c>
      <c r="E30" s="5">
        <v>216.3</v>
      </c>
      <c r="F30" s="5">
        <f>E30-$N$1</f>
        <v>3.9416666666666345</v>
      </c>
      <c r="G30" s="3">
        <v>10.447777777777778</v>
      </c>
      <c r="H30" s="3">
        <f>G30-$N$2</f>
        <v>1.2489814814814828</v>
      </c>
      <c r="I30" s="3">
        <f>ABS((F30+F29)/2)</f>
        <v>3.2916666666666288</v>
      </c>
      <c r="J30" s="3">
        <f>ABS((H30+H29)/2)</f>
        <v>1.0478703703703713</v>
      </c>
      <c r="K30" s="3">
        <f t="shared" si="0"/>
        <v>0.3183403656821418</v>
      </c>
    </row>
    <row r="31" spans="1:12" x14ac:dyDescent="0.2">
      <c r="A31" s="2">
        <v>45551.21533564815</v>
      </c>
      <c r="B31" s="2">
        <f>A31-$B$3</f>
        <v>45550.96533564815</v>
      </c>
      <c r="C31" s="1">
        <v>45550.96533564815</v>
      </c>
      <c r="D31" s="1">
        <f>C31-$E$2</f>
        <v>45550.089641203704</v>
      </c>
      <c r="E31" s="5">
        <v>219.4</v>
      </c>
      <c r="F31" s="5">
        <f>E31-$N$1</f>
        <v>7.0416666666666288</v>
      </c>
      <c r="G31" s="3">
        <v>11.296666666666667</v>
      </c>
      <c r="H31" s="3">
        <f>G31-$N$2</f>
        <v>2.0978703703703712</v>
      </c>
      <c r="I31" s="3">
        <f>ABS((F31+F30)/2)</f>
        <v>5.4916666666666316</v>
      </c>
      <c r="J31" s="3">
        <f>ABS((H31+H30)/2)</f>
        <v>1.673425925925927</v>
      </c>
      <c r="K31" s="3">
        <f t="shared" si="0"/>
        <v>0.30472095767998864</v>
      </c>
    </row>
    <row r="32" spans="1:12" x14ac:dyDescent="0.2">
      <c r="A32" s="2">
        <v>45551.216724537036</v>
      </c>
      <c r="B32" s="2">
        <f>A32-$B$3</f>
        <v>45550.966724537036</v>
      </c>
      <c r="C32" s="1">
        <v>45550.966724537036</v>
      </c>
      <c r="D32" s="1">
        <f>C32-$E$2</f>
        <v>45550.09103009259</v>
      </c>
      <c r="E32" s="5">
        <v>219.4</v>
      </c>
      <c r="F32" s="5">
        <f>E32-$N$1</f>
        <v>7.0416666666666288</v>
      </c>
      <c r="G32" s="3">
        <v>11.286666666666669</v>
      </c>
      <c r="H32" s="3">
        <f>G32-$N$2</f>
        <v>2.0878703703703732</v>
      </c>
      <c r="I32" s="3">
        <f>ABS((F32+F31)/2)</f>
        <v>7.0416666666666288</v>
      </c>
      <c r="J32" s="3">
        <f>ABS((H32+H31)/2)</f>
        <v>2.0928703703703722</v>
      </c>
      <c r="K32" s="3">
        <f t="shared" si="0"/>
        <v>0.29721236028928522</v>
      </c>
    </row>
    <row r="33" spans="1:11" x14ac:dyDescent="0.2">
      <c r="A33" s="2">
        <v>45551.218113425923</v>
      </c>
      <c r="B33" s="2">
        <f>A33-$B$3</f>
        <v>45550.968113425923</v>
      </c>
      <c r="C33" s="1">
        <v>45550.968113425923</v>
      </c>
      <c r="D33" s="1">
        <f>C33-$E$2</f>
        <v>45550.092418981476</v>
      </c>
      <c r="E33" s="5">
        <v>222.5</v>
      </c>
      <c r="F33" s="5">
        <f>E33-$N$1</f>
        <v>10.141666666666623</v>
      </c>
      <c r="G33" s="3">
        <v>12.042222222222225</v>
      </c>
      <c r="H33" s="3">
        <f>G33-$N$2</f>
        <v>2.8434259259259296</v>
      </c>
      <c r="I33" s="3">
        <f>ABS((F33+F32)/2)</f>
        <v>8.5916666666666259</v>
      </c>
      <c r="J33" s="3">
        <f>ABS((H33+H32)/2)</f>
        <v>2.4656481481481514</v>
      </c>
      <c r="K33" s="3">
        <f t="shared" si="0"/>
        <v>0.2869813557495437</v>
      </c>
    </row>
    <row r="34" spans="1:11" x14ac:dyDescent="0.2">
      <c r="A34" s="2">
        <v>45551.219502314816</v>
      </c>
      <c r="B34" s="2">
        <f>A34-$B$3</f>
        <v>45550.969502314816</v>
      </c>
      <c r="C34" s="1">
        <v>45550.969502314816</v>
      </c>
      <c r="D34" s="1">
        <f>C34-$E$2</f>
        <v>45550.093807870369</v>
      </c>
      <c r="E34" s="5">
        <v>222.5</v>
      </c>
      <c r="F34" s="5">
        <f>E34-$N$1</f>
        <v>10.141666666666623</v>
      </c>
      <c r="G34" s="3">
        <v>12.058888888888889</v>
      </c>
      <c r="H34" s="3">
        <f>G34-$N$2</f>
        <v>2.8600925925925935</v>
      </c>
      <c r="I34" s="3">
        <f>ABS((F34+F33)/2)</f>
        <v>10.141666666666623</v>
      </c>
      <c r="J34" s="3">
        <f>ABS((H34+H33)/2)</f>
        <v>2.8517592592592615</v>
      </c>
      <c r="K34" s="3">
        <f t="shared" si="0"/>
        <v>0.28119236738793169</v>
      </c>
    </row>
    <row r="35" spans="1:11" x14ac:dyDescent="0.2">
      <c r="A35" s="2">
        <v>45551.220891203702</v>
      </c>
      <c r="B35" s="2">
        <f>A35-$B$3</f>
        <v>45550.970891203702</v>
      </c>
      <c r="C35" s="1">
        <v>45550.970891203702</v>
      </c>
      <c r="D35" s="1">
        <f>C35-$E$2</f>
        <v>45550.095196759255</v>
      </c>
      <c r="E35" s="5">
        <v>223.4</v>
      </c>
      <c r="F35" s="5">
        <f>E35-$N$1</f>
        <v>11.041666666666629</v>
      </c>
      <c r="G35" s="3">
        <v>12.256666666666668</v>
      </c>
      <c r="H35" s="3">
        <f>G35-$N$2</f>
        <v>3.057870370370372</v>
      </c>
      <c r="I35" s="3">
        <f>ABS((F35+F34)/2)</f>
        <v>10.591666666666626</v>
      </c>
      <c r="J35" s="3">
        <f>ABS((H35+H34)/2)</f>
        <v>2.9589814814814828</v>
      </c>
      <c r="K35" s="3">
        <f t="shared" si="0"/>
        <v>0.27936882594632517</v>
      </c>
    </row>
    <row r="36" spans="1:11" x14ac:dyDescent="0.2">
      <c r="A36" s="2">
        <v>45551.222280092596</v>
      </c>
      <c r="B36" s="2">
        <f>A36-$B$3</f>
        <v>45550.972280092596</v>
      </c>
      <c r="C36" s="1">
        <v>45550.972280092596</v>
      </c>
      <c r="D36" s="1">
        <f>C36-$E$2</f>
        <v>45550.096585648149</v>
      </c>
      <c r="E36" s="5">
        <v>225.4</v>
      </c>
      <c r="F36" s="5">
        <f>E36-$N$1</f>
        <v>13.041666666666629</v>
      </c>
      <c r="G36" s="3">
        <v>12.883333333333333</v>
      </c>
      <c r="H36" s="3">
        <f>G36-$N$2</f>
        <v>3.6845370370370372</v>
      </c>
      <c r="I36" s="3">
        <f>ABS((F36+F35)/2)</f>
        <v>12.041666666666629</v>
      </c>
      <c r="J36" s="3">
        <f>ABS((H36+H35)/2)</f>
        <v>3.3712037037037046</v>
      </c>
      <c r="K36" s="3">
        <f t="shared" si="0"/>
        <v>0.27996155324875144</v>
      </c>
    </row>
    <row r="37" spans="1:11" x14ac:dyDescent="0.2">
      <c r="A37" s="2">
        <v>45551.223668981482</v>
      </c>
      <c r="B37" s="2">
        <f>A37-$B$3</f>
        <v>45550.973668981482</v>
      </c>
      <c r="C37" s="1">
        <v>45550.973668981482</v>
      </c>
      <c r="D37" s="1">
        <f>C37-$E$2</f>
        <v>45550.097974537035</v>
      </c>
      <c r="E37" s="5">
        <v>226.5</v>
      </c>
      <c r="F37" s="5">
        <f>E37-$N$1</f>
        <v>14.141666666666623</v>
      </c>
      <c r="G37" s="3">
        <v>13.048888888888889</v>
      </c>
      <c r="H37" s="3">
        <f>G37-$N$2</f>
        <v>3.8500925925925937</v>
      </c>
      <c r="I37" s="3">
        <f>ABS((F37+F36)/2)</f>
        <v>13.591666666666626</v>
      </c>
      <c r="J37" s="3">
        <f>ABS((H37+H36)/2)</f>
        <v>3.7673148148148154</v>
      </c>
      <c r="K37" s="3">
        <f t="shared" si="0"/>
        <v>0.27717828189931282</v>
      </c>
    </row>
    <row r="38" spans="1:11" x14ac:dyDescent="0.2">
      <c r="A38" s="2">
        <v>45551.225057870368</v>
      </c>
      <c r="B38" s="2">
        <f>A38-$B$3</f>
        <v>45550.975057870368</v>
      </c>
      <c r="C38" s="1">
        <v>45550.975057870368</v>
      </c>
      <c r="D38" s="1">
        <f>C38-$E$2</f>
        <v>45550.099363425921</v>
      </c>
      <c r="E38" s="5">
        <v>225.6</v>
      </c>
      <c r="F38" s="5">
        <f>E38-$N$1</f>
        <v>13.241666666666617</v>
      </c>
      <c r="G38" s="3">
        <v>13.044444444444444</v>
      </c>
      <c r="H38" s="3">
        <f>G38-$N$2</f>
        <v>3.8456481481481486</v>
      </c>
      <c r="I38" s="3">
        <f>ABS((F38+F37)/2)</f>
        <v>13.69166666666662</v>
      </c>
      <c r="J38" s="3">
        <f>ABS((H38+H37)/2)</f>
        <v>3.8478703703703712</v>
      </c>
      <c r="K38" s="3">
        <f t="shared" si="0"/>
        <v>0.28103739771420944</v>
      </c>
    </row>
    <row r="39" spans="1:11" x14ac:dyDescent="0.2">
      <c r="A39" s="2">
        <v>45551.226446759261</v>
      </c>
      <c r="B39" s="2">
        <f>A39-$B$3</f>
        <v>45550.976446759261</v>
      </c>
      <c r="C39" s="1">
        <v>45550.976446759261</v>
      </c>
      <c r="D39" s="1">
        <f>C39-$E$2</f>
        <v>45550.100752314815</v>
      </c>
      <c r="E39" s="5">
        <v>226.6</v>
      </c>
      <c r="F39" s="5">
        <f>E39-$N$1</f>
        <v>14.241666666666617</v>
      </c>
      <c r="G39" s="3">
        <v>13.20777777777778</v>
      </c>
      <c r="H39" s="3">
        <f>G39-$N$2</f>
        <v>4.0089814814814844</v>
      </c>
      <c r="I39" s="3">
        <f>ABS((F39+F38)/2)</f>
        <v>13.741666666666617</v>
      </c>
      <c r="J39" s="3">
        <f>ABS((H39+H38)/2)</f>
        <v>3.9273148148148165</v>
      </c>
      <c r="K39" s="3">
        <f t="shared" si="0"/>
        <v>0.2857961053837354</v>
      </c>
    </row>
    <row r="40" spans="1:11" x14ac:dyDescent="0.2">
      <c r="A40" s="2">
        <v>45551.227835648147</v>
      </c>
      <c r="B40" s="2">
        <f>A40-$B$3</f>
        <v>45550.977835648147</v>
      </c>
      <c r="C40" s="1">
        <v>45550.977835648147</v>
      </c>
      <c r="D40" s="1">
        <f>C40-$E$2</f>
        <v>45550.102141203701</v>
      </c>
      <c r="E40" s="5">
        <v>226.5</v>
      </c>
      <c r="F40" s="5">
        <f>E40-$N$1</f>
        <v>14.141666666666623</v>
      </c>
      <c r="G40" s="3">
        <v>13.232222222222223</v>
      </c>
      <c r="H40" s="3">
        <f>G40-$N$2</f>
        <v>4.0334259259259273</v>
      </c>
      <c r="I40" s="3">
        <f>ABS((F40+F39)/2)</f>
        <v>14.19166666666662</v>
      </c>
      <c r="J40" s="3">
        <f>ABS((H40+H39)/2)</f>
        <v>4.0212037037037058</v>
      </c>
      <c r="K40" s="3">
        <f t="shared" si="0"/>
        <v>0.28334964441834781</v>
      </c>
    </row>
    <row r="41" spans="1:11" x14ac:dyDescent="0.2">
      <c r="A41" s="2">
        <v>45551.229224537034</v>
      </c>
      <c r="B41" s="2">
        <f>A41-$B$3</f>
        <v>45550.979224537034</v>
      </c>
      <c r="C41" s="1">
        <v>45550.979224537034</v>
      </c>
      <c r="D41" s="1">
        <f>C41-$E$2</f>
        <v>45550.103530092587</v>
      </c>
      <c r="E41" s="5">
        <v>227.2</v>
      </c>
      <c r="F41" s="5">
        <f>E41-$N$1</f>
        <v>14.841666666666612</v>
      </c>
      <c r="G41" s="3">
        <v>13.28888888888889</v>
      </c>
      <c r="H41" s="3">
        <f>G41-$N$2</f>
        <v>4.0900925925925939</v>
      </c>
      <c r="I41" s="3">
        <f>ABS((F41+F40)/2)</f>
        <v>14.491666666666617</v>
      </c>
      <c r="J41" s="3">
        <f>ABS((H41+H40)/2)</f>
        <v>4.0617592592592606</v>
      </c>
      <c r="K41" s="3">
        <f t="shared" si="0"/>
        <v>0.28028241006964516</v>
      </c>
    </row>
    <row r="42" spans="1:11" x14ac:dyDescent="0.2">
      <c r="A42" s="2">
        <v>45551.230613425927</v>
      </c>
      <c r="B42" s="2">
        <f>A42-$B$3</f>
        <v>45550.980613425927</v>
      </c>
      <c r="C42" s="1">
        <v>45550.980613425927</v>
      </c>
      <c r="D42" s="1">
        <f>C42-$E$2</f>
        <v>45550.10491898148</v>
      </c>
      <c r="E42" s="5">
        <v>226.9</v>
      </c>
      <c r="F42" s="5">
        <f>E42-$N$1</f>
        <v>14.541666666666629</v>
      </c>
      <c r="G42" s="3">
        <v>13.312222222222223</v>
      </c>
      <c r="H42" s="3">
        <f>G42-$N$2</f>
        <v>4.1134259259259274</v>
      </c>
      <c r="I42" s="3">
        <f>ABS((F42+F41)/2)</f>
        <v>14.69166666666662</v>
      </c>
      <c r="J42" s="3">
        <f>ABS((H42+H41)/2)</f>
        <v>4.1017592592592607</v>
      </c>
      <c r="K42" s="3">
        <f t="shared" si="0"/>
        <v>0.27918951282536181</v>
      </c>
    </row>
    <row r="43" spans="1:11" x14ac:dyDescent="0.2">
      <c r="A43" s="2">
        <v>45551.232002314813</v>
      </c>
      <c r="B43" s="2">
        <f>A43-$B$3</f>
        <v>45550.982002314813</v>
      </c>
      <c r="C43" s="1">
        <v>45550.982002314813</v>
      </c>
      <c r="D43" s="1">
        <f>C43-$E$2</f>
        <v>45550.106307870366</v>
      </c>
      <c r="E43" s="5">
        <v>225.7</v>
      </c>
      <c r="F43" s="5">
        <f>E43-$N$1</f>
        <v>13.341666666666612</v>
      </c>
      <c r="G43" s="3">
        <v>13.033333333333335</v>
      </c>
      <c r="H43" s="3">
        <f>G43-$N$2</f>
        <v>3.8345370370370393</v>
      </c>
      <c r="I43" s="3">
        <f>ABS((F43+F42)/2)</f>
        <v>13.94166666666662</v>
      </c>
      <c r="J43" s="3">
        <f>ABS((H43+H42)/2)</f>
        <v>3.9739814814814833</v>
      </c>
      <c r="K43" s="3">
        <f t="shared" si="0"/>
        <v>0.28504350136149409</v>
      </c>
    </row>
    <row r="44" spans="1:11" x14ac:dyDescent="0.2">
      <c r="A44" s="2">
        <v>45551.233391203707</v>
      </c>
      <c r="B44" s="2">
        <f>A44-$B$3</f>
        <v>45550.983391203707</v>
      </c>
      <c r="C44" s="1">
        <v>45550.983391203707</v>
      </c>
      <c r="D44" s="1">
        <f>C44-$E$2</f>
        <v>45550.10769675926</v>
      </c>
      <c r="E44" s="5">
        <v>227</v>
      </c>
      <c r="F44" s="5">
        <f>E44-$N$1</f>
        <v>14.641666666666623</v>
      </c>
      <c r="G44" s="3">
        <v>13.363333333333335</v>
      </c>
      <c r="H44" s="3">
        <f>G44-$N$2</f>
        <v>4.1645370370370394</v>
      </c>
      <c r="I44" s="3">
        <f>ABS((F44+F43)/2)</f>
        <v>13.991666666666617</v>
      </c>
      <c r="J44" s="3">
        <f>ABS((H44+H43)/2)</f>
        <v>3.9995370370370393</v>
      </c>
      <c r="K44" s="3">
        <f t="shared" si="0"/>
        <v>0.28585136655416699</v>
      </c>
    </row>
    <row r="45" spans="1:11" x14ac:dyDescent="0.2">
      <c r="A45" s="2">
        <v>45551.234780092593</v>
      </c>
      <c r="B45" s="2">
        <f>A45-$B$3</f>
        <v>45550.984780092593</v>
      </c>
      <c r="C45" s="1">
        <v>45550.984780092593</v>
      </c>
      <c r="D45" s="1">
        <f>C45-$E$2</f>
        <v>45550.109085648146</v>
      </c>
      <c r="E45" s="5">
        <v>226.4</v>
      </c>
      <c r="F45" s="5">
        <f>E45-$N$1</f>
        <v>14.041666666666629</v>
      </c>
      <c r="G45" s="3">
        <v>13.295555555555556</v>
      </c>
      <c r="H45" s="3">
        <f>G45-$N$2</f>
        <v>4.0967592592592599</v>
      </c>
      <c r="I45" s="3">
        <f>ABS((F45+F44)/2)</f>
        <v>14.341666666666626</v>
      </c>
      <c r="J45" s="3">
        <f>ABS((H45+H44)/2)</f>
        <v>4.1306481481481496</v>
      </c>
      <c r="K45" s="3">
        <f t="shared" si="0"/>
        <v>0.28801730260184738</v>
      </c>
    </row>
    <row r="46" spans="1:11" x14ac:dyDescent="0.2">
      <c r="A46" s="2">
        <v>45551.236168981479</v>
      </c>
      <c r="B46" s="2">
        <f>A46-$B$3</f>
        <v>45550.986168981479</v>
      </c>
      <c r="C46" s="1">
        <v>45550.986168981479</v>
      </c>
      <c r="D46" s="1">
        <f>C46-$E$2</f>
        <v>45550.110474537032</v>
      </c>
      <c r="E46" s="5">
        <v>227</v>
      </c>
      <c r="F46" s="5">
        <f>E46-$N$1</f>
        <v>14.641666666666623</v>
      </c>
      <c r="G46" s="3">
        <v>13.31</v>
      </c>
      <c r="H46" s="3">
        <f>G46-$N$2</f>
        <v>4.1112037037037048</v>
      </c>
      <c r="I46" s="3">
        <f>ABS((F46+F45)/2)</f>
        <v>14.341666666666626</v>
      </c>
      <c r="J46" s="3">
        <f>ABS((H46+H45)/2)</f>
        <v>4.1039814814814823</v>
      </c>
      <c r="K46" s="3">
        <f t="shared" si="0"/>
        <v>0.28615791852282352</v>
      </c>
    </row>
    <row r="47" spans="1:11" x14ac:dyDescent="0.2">
      <c r="A47" s="2">
        <v>45551.237557870372</v>
      </c>
      <c r="B47" s="2">
        <f>A47-$B$3</f>
        <v>45550.987557870372</v>
      </c>
      <c r="C47" s="1">
        <v>45550.987557870372</v>
      </c>
      <c r="D47" s="1">
        <f>C47-$E$2</f>
        <v>45550.111863425926</v>
      </c>
      <c r="E47" s="5">
        <v>225.8</v>
      </c>
      <c r="F47" s="5">
        <f>E47-$N$1</f>
        <v>13.441666666666634</v>
      </c>
      <c r="G47" s="3">
        <v>13.083333333333334</v>
      </c>
      <c r="H47" s="3">
        <f>G47-$N$2</f>
        <v>3.8845370370370382</v>
      </c>
      <c r="I47" s="3">
        <f>ABS((F47+F46)/2)</f>
        <v>14.041666666666629</v>
      </c>
      <c r="J47" s="3">
        <f>ABS((H47+H46)/2)</f>
        <v>3.9978703703703715</v>
      </c>
      <c r="K47" s="3">
        <f t="shared" si="0"/>
        <v>0.28471480382459696</v>
      </c>
    </row>
    <row r="48" spans="1:11" x14ac:dyDescent="0.2">
      <c r="A48" s="2">
        <v>45551.238946759258</v>
      </c>
      <c r="B48" s="2">
        <f>A48-$B$3</f>
        <v>45550.988946759258</v>
      </c>
      <c r="C48" s="1">
        <v>45550.988946759258</v>
      </c>
      <c r="D48" s="1">
        <f>C48-$E$2</f>
        <v>45550.113252314812</v>
      </c>
      <c r="E48" s="5">
        <v>225.8</v>
      </c>
      <c r="F48" s="5">
        <f>E48-$N$1</f>
        <v>13.441666666666634</v>
      </c>
      <c r="G48" s="3">
        <v>12.946666666666665</v>
      </c>
      <c r="H48" s="3">
        <f>G48-$N$2</f>
        <v>3.7478703703703697</v>
      </c>
      <c r="I48" s="3">
        <f>ABS((F48+F47)/2)</f>
        <v>13.441666666666634</v>
      </c>
      <c r="J48" s="3">
        <f>ABS((H48+H47)/2)</f>
        <v>3.816203703703704</v>
      </c>
      <c r="K48" s="3">
        <f t="shared" si="0"/>
        <v>0.28390852104429359</v>
      </c>
    </row>
    <row r="49" spans="1:11" x14ac:dyDescent="0.2">
      <c r="A49" s="2">
        <v>45551.240335648145</v>
      </c>
      <c r="B49" s="2">
        <f>A49-$B$3</f>
        <v>45550.990335648145</v>
      </c>
      <c r="C49" s="1">
        <v>45550.990335648145</v>
      </c>
      <c r="D49" s="1">
        <f>C49-$E$2</f>
        <v>45550.114641203698</v>
      </c>
      <c r="E49" s="5">
        <v>225.6</v>
      </c>
      <c r="F49" s="5">
        <f>E49-$N$1</f>
        <v>13.241666666666617</v>
      </c>
      <c r="G49" s="3">
        <v>12.922222222222224</v>
      </c>
      <c r="H49" s="3">
        <f>G49-$N$2</f>
        <v>3.7234259259259286</v>
      </c>
      <c r="I49" s="3">
        <f>ABS((F49+F48)/2)</f>
        <v>13.341666666666626</v>
      </c>
      <c r="J49" s="3">
        <f>ABS((H49+H48)/2)</f>
        <v>3.7356481481481492</v>
      </c>
      <c r="K49" s="3">
        <f t="shared" si="0"/>
        <v>0.27999861197862541</v>
      </c>
    </row>
    <row r="50" spans="1:11" x14ac:dyDescent="0.2">
      <c r="A50" s="2">
        <v>45551.241724537038</v>
      </c>
      <c r="B50" s="2">
        <f>A50-$B$3</f>
        <v>45550.991724537038</v>
      </c>
      <c r="C50" s="1">
        <v>45550.991724537038</v>
      </c>
      <c r="D50" s="1">
        <f>C50-$E$2</f>
        <v>45550.116030092591</v>
      </c>
      <c r="E50" s="5">
        <v>224.7</v>
      </c>
      <c r="F50" s="5">
        <f>E50-$N$1</f>
        <v>12.341666666666612</v>
      </c>
      <c r="G50" s="3">
        <v>12.72111111111111</v>
      </c>
      <c r="H50" s="3">
        <f>G50-$N$2</f>
        <v>3.5223148148148145</v>
      </c>
      <c r="I50" s="3">
        <f>ABS((F50+F49)/2)</f>
        <v>12.791666666666615</v>
      </c>
      <c r="J50" s="3">
        <f>ABS((H50+H49)/2)</f>
        <v>3.6228703703703715</v>
      </c>
      <c r="K50" s="3">
        <f t="shared" si="0"/>
        <v>0.28322113644589336</v>
      </c>
    </row>
    <row r="51" spans="1:11" x14ac:dyDescent="0.2">
      <c r="A51" s="2">
        <v>45551.243113425924</v>
      </c>
      <c r="B51" s="2">
        <f>A51-$B$3</f>
        <v>45550.993113425924</v>
      </c>
      <c r="C51" s="1">
        <v>45550.993113425924</v>
      </c>
      <c r="D51" s="1">
        <f>C51-$E$2</f>
        <v>45550.117418981477</v>
      </c>
      <c r="E51" s="5">
        <v>224.9</v>
      </c>
      <c r="F51" s="5">
        <f>E51-$N$1</f>
        <v>12.541666666666629</v>
      </c>
      <c r="G51" s="3">
        <v>12.733333333333336</v>
      </c>
      <c r="H51" s="3">
        <f>G51-$N$2</f>
        <v>3.5345370370370404</v>
      </c>
      <c r="I51" s="3">
        <f>ABS((F51+F50)/2)</f>
        <v>12.44166666666662</v>
      </c>
      <c r="J51" s="3">
        <f>ABS((H51+H50)/2)</f>
        <v>3.5284259259259274</v>
      </c>
      <c r="K51" s="3">
        <f t="shared" si="0"/>
        <v>0.28359752921039039</v>
      </c>
    </row>
    <row r="52" spans="1:11" x14ac:dyDescent="0.2">
      <c r="A52" s="2">
        <v>45551.244502314818</v>
      </c>
      <c r="B52" s="2">
        <f>A52-$B$3</f>
        <v>45550.994502314818</v>
      </c>
      <c r="C52" s="1">
        <v>45550.994502314818</v>
      </c>
      <c r="D52" s="1">
        <f>C52-$E$2</f>
        <v>45550.118807870371</v>
      </c>
      <c r="E52" s="5">
        <v>224.3</v>
      </c>
      <c r="F52" s="5">
        <f>E52-$N$1</f>
        <v>11.941666666666634</v>
      </c>
      <c r="G52" s="3">
        <v>12.626666666666669</v>
      </c>
      <c r="H52" s="3">
        <f>G52-$N$2</f>
        <v>3.427870370370373</v>
      </c>
      <c r="I52" s="3">
        <f>ABS((F52+F51)/2)</f>
        <v>12.241666666666632</v>
      </c>
      <c r="J52" s="3">
        <f>ABS((H52+H51)/2)</f>
        <v>3.4812037037037067</v>
      </c>
      <c r="K52" s="3">
        <f t="shared" si="0"/>
        <v>0.28437334543529341</v>
      </c>
    </row>
    <row r="53" spans="1:11" x14ac:dyDescent="0.2">
      <c r="A53" s="2">
        <v>45551.245891203704</v>
      </c>
      <c r="B53" s="2">
        <f>A53-$B$3</f>
        <v>45550.995891203704</v>
      </c>
      <c r="C53" s="1">
        <v>45550.995891203704</v>
      </c>
      <c r="D53" s="1">
        <f>C53-$E$2</f>
        <v>45550.120196759257</v>
      </c>
      <c r="E53" s="5">
        <v>223.8</v>
      </c>
      <c r="F53" s="5">
        <f>E53-$N$1</f>
        <v>11.441666666666634</v>
      </c>
      <c r="G53" s="3">
        <v>12.506666666666666</v>
      </c>
      <c r="H53" s="3">
        <f>G53-$N$2</f>
        <v>3.3078703703703702</v>
      </c>
      <c r="I53" s="3">
        <f>ABS((F53+F52)/2)</f>
        <v>11.691666666666634</v>
      </c>
      <c r="J53" s="3">
        <f>ABS((H53+H52)/2)</f>
        <v>3.3678703703703716</v>
      </c>
      <c r="K53" s="3">
        <f t="shared" si="0"/>
        <v>0.28805733745149376</v>
      </c>
    </row>
    <row r="54" spans="1:11" x14ac:dyDescent="0.2">
      <c r="A54" s="2">
        <v>45551.24728009259</v>
      </c>
      <c r="B54" s="2">
        <f>A54-$B$3</f>
        <v>45550.99728009259</v>
      </c>
      <c r="C54" s="1">
        <v>45550.99728009259</v>
      </c>
      <c r="D54" s="1">
        <f>C54-$E$2</f>
        <v>45550.121585648143</v>
      </c>
      <c r="E54" s="5">
        <v>223.7</v>
      </c>
      <c r="F54" s="5">
        <f>E54-$N$1</f>
        <v>11.341666666666612</v>
      </c>
      <c r="G54" s="3">
        <v>12.41111111111111</v>
      </c>
      <c r="H54" s="3">
        <f>G54-$N$2</f>
        <v>3.212314814814814</v>
      </c>
      <c r="I54" s="3">
        <f>ABS((F54+F53)/2)</f>
        <v>11.391666666666623</v>
      </c>
      <c r="J54" s="3">
        <f>ABS((H54+H53)/2)</f>
        <v>3.2600925925925921</v>
      </c>
      <c r="K54" s="3">
        <f t="shared" si="0"/>
        <v>0.28618223197594189</v>
      </c>
    </row>
    <row r="55" spans="1:11" x14ac:dyDescent="0.2">
      <c r="A55" s="2">
        <v>45551.248668981483</v>
      </c>
      <c r="B55" s="2">
        <f>A55-$B$3</f>
        <v>45550.998668981483</v>
      </c>
      <c r="C55" s="1">
        <v>45550.998668981483</v>
      </c>
      <c r="D55" s="1">
        <f>C55-$E$2</f>
        <v>45550.122974537036</v>
      </c>
      <c r="E55" s="5">
        <v>223.4</v>
      </c>
      <c r="F55" s="5">
        <f>E55-$N$1</f>
        <v>11.041666666666629</v>
      </c>
      <c r="G55" s="3">
        <v>12.50111111111111</v>
      </c>
      <c r="H55" s="3">
        <f>G55-$N$2</f>
        <v>3.3023148148148138</v>
      </c>
      <c r="I55" s="3">
        <f>ABS((F55+F54)/2)</f>
        <v>11.19166666666662</v>
      </c>
      <c r="J55" s="3">
        <f>ABS((H55+H54)/2)</f>
        <v>3.2573148148148139</v>
      </c>
      <c r="K55" s="3">
        <f t="shared" si="0"/>
        <v>0.29104823363944848</v>
      </c>
    </row>
    <row r="56" spans="1:11" x14ac:dyDescent="0.2">
      <c r="A56" s="2">
        <v>45551.250057870369</v>
      </c>
      <c r="B56" s="2">
        <f>A56-$B$3</f>
        <v>45551.000057870369</v>
      </c>
      <c r="C56" s="1">
        <v>45551.000057870369</v>
      </c>
      <c r="D56" s="1">
        <f>C56-$E$2</f>
        <v>45550.124363425923</v>
      </c>
      <c r="E56" s="5">
        <v>223.2</v>
      </c>
      <c r="F56" s="5">
        <f>E56-$N$1</f>
        <v>10.841666666666612</v>
      </c>
      <c r="G56" s="3">
        <v>12.299999999999999</v>
      </c>
      <c r="H56" s="3">
        <f>G56-$N$2</f>
        <v>3.1012037037037032</v>
      </c>
      <c r="I56" s="3">
        <f>ABS((F56+F55)/2)</f>
        <v>10.94166666666662</v>
      </c>
      <c r="J56" s="3">
        <f>ABS((H56+H55)/2)</f>
        <v>3.2017592592592585</v>
      </c>
      <c r="K56" s="3">
        <f t="shared" si="0"/>
        <v>0.29262080054159378</v>
      </c>
    </row>
    <row r="57" spans="1:11" x14ac:dyDescent="0.2">
      <c r="A57" s="2">
        <v>45551.251446759263</v>
      </c>
      <c r="B57" s="2">
        <f>A57-$B$3</f>
        <v>45551.001446759263</v>
      </c>
      <c r="C57" s="1">
        <v>45551.001446759263</v>
      </c>
      <c r="D57" s="1">
        <f>C57-$E$2</f>
        <v>45550.125752314816</v>
      </c>
      <c r="E57" s="5">
        <v>222.4</v>
      </c>
      <c r="F57" s="5">
        <f>E57-$N$1</f>
        <v>10.041666666666629</v>
      </c>
      <c r="G57" s="3">
        <v>12.14</v>
      </c>
      <c r="H57" s="3">
        <f>G57-$N$2</f>
        <v>2.9412037037037049</v>
      </c>
      <c r="I57" s="3">
        <f>ABS((F57+F56)/2)</f>
        <v>10.44166666666662</v>
      </c>
      <c r="J57" s="3">
        <f>ABS((H57+H56)/2)</f>
        <v>3.0212037037037041</v>
      </c>
      <c r="K57" s="3">
        <f t="shared" si="0"/>
        <v>0.28934113682717166</v>
      </c>
    </row>
    <row r="58" spans="1:11" x14ac:dyDescent="0.2">
      <c r="A58" s="2">
        <v>45551.252835648149</v>
      </c>
      <c r="B58" s="2">
        <f>A58-$B$3</f>
        <v>45551.002835648149</v>
      </c>
      <c r="C58" s="1">
        <v>45551.002835648149</v>
      </c>
      <c r="D58" s="1">
        <f>C58-$E$2</f>
        <v>45550.127141203702</v>
      </c>
      <c r="E58" s="5">
        <v>222.2</v>
      </c>
      <c r="F58" s="5">
        <f>E58-$N$1</f>
        <v>9.8416666666666117</v>
      </c>
      <c r="G58" s="3">
        <v>12.077777777777776</v>
      </c>
      <c r="H58" s="3">
        <f>G58-$N$2</f>
        <v>2.87898148148148</v>
      </c>
      <c r="I58" s="3">
        <f>ABS((F58+F57)/2)</f>
        <v>9.9416666666666202</v>
      </c>
      <c r="J58" s="3">
        <f>ABS((H58+H57)/2)</f>
        <v>2.9100925925925925</v>
      </c>
      <c r="K58" s="3">
        <f t="shared" si="0"/>
        <v>0.29271677377293609</v>
      </c>
    </row>
    <row r="59" spans="1:11" x14ac:dyDescent="0.2">
      <c r="A59" s="2">
        <v>45551.254224537035</v>
      </c>
      <c r="B59" s="2">
        <f>A59-$B$3</f>
        <v>45551.004224537035</v>
      </c>
      <c r="C59" s="1">
        <v>45551.004224537035</v>
      </c>
      <c r="D59" s="1">
        <f>C59-$E$2</f>
        <v>45550.128530092588</v>
      </c>
      <c r="E59" s="5">
        <v>222.2</v>
      </c>
      <c r="F59" s="5">
        <f>E59-$N$1</f>
        <v>9.8416666666666117</v>
      </c>
      <c r="G59" s="3">
        <v>12.034444444444443</v>
      </c>
      <c r="H59" s="3">
        <f>G59-$N$2</f>
        <v>2.835648148148147</v>
      </c>
      <c r="I59" s="3">
        <f>ABS((F59+F58)/2)</f>
        <v>9.8416666666666117</v>
      </c>
      <c r="J59" s="3">
        <f>ABS((H59+H58)/2)</f>
        <v>2.8573148148148135</v>
      </c>
      <c r="K59" s="3">
        <f t="shared" si="0"/>
        <v>0.29032834697525789</v>
      </c>
    </row>
    <row r="60" spans="1:11" x14ac:dyDescent="0.2">
      <c r="A60" s="2">
        <v>45551.255613425928</v>
      </c>
      <c r="B60" s="2">
        <f>A60-$B$3</f>
        <v>45551.005613425928</v>
      </c>
      <c r="C60" s="1">
        <v>45551.005613425928</v>
      </c>
      <c r="D60" s="1">
        <f>C60-$E$2</f>
        <v>45550.129918981482</v>
      </c>
      <c r="E60" s="5">
        <v>221.8</v>
      </c>
      <c r="F60" s="5">
        <f>E60-$N$1</f>
        <v>9.4416666666666345</v>
      </c>
      <c r="G60" s="3">
        <v>11.963333333333331</v>
      </c>
      <c r="H60" s="3">
        <f>G60-$N$2</f>
        <v>2.7645370370370355</v>
      </c>
      <c r="I60" s="3">
        <f>ABS((F60+F59)/2)</f>
        <v>9.6416666666666231</v>
      </c>
      <c r="J60" s="3">
        <f>ABS((H60+H59)/2)</f>
        <v>2.8000925925925912</v>
      </c>
      <c r="K60" s="3">
        <f t="shared" si="0"/>
        <v>0.2904158263708837</v>
      </c>
    </row>
    <row r="61" spans="1:11" x14ac:dyDescent="0.2">
      <c r="A61" s="2">
        <v>45551.257002314815</v>
      </c>
      <c r="B61" s="2">
        <f>A61-$B$3</f>
        <v>45551.007002314815</v>
      </c>
      <c r="C61" s="1">
        <v>45551.007002314815</v>
      </c>
      <c r="D61" s="1">
        <f>C61-$E$2</f>
        <v>45550.131307870368</v>
      </c>
      <c r="E61" s="5">
        <v>221.2</v>
      </c>
      <c r="F61" s="5">
        <f>E61-$N$1</f>
        <v>8.8416666666666117</v>
      </c>
      <c r="G61" s="3">
        <v>11.82111111111111</v>
      </c>
      <c r="H61" s="3">
        <f>G61-$N$2</f>
        <v>2.6223148148148141</v>
      </c>
      <c r="I61" s="3">
        <f>ABS((F61+F60)/2)</f>
        <v>9.1416666666666231</v>
      </c>
      <c r="J61" s="3">
        <f>ABS((H61+H60)/2)</f>
        <v>2.6934259259259248</v>
      </c>
      <c r="K61" s="3">
        <f t="shared" si="0"/>
        <v>0.29463182416692119</v>
      </c>
    </row>
    <row r="62" spans="1:11" x14ac:dyDescent="0.2">
      <c r="A62" s="2">
        <v>45551.258391203701</v>
      </c>
      <c r="B62" s="2">
        <f>A62-$B$3</f>
        <v>45551.008391203701</v>
      </c>
      <c r="C62" s="1">
        <v>45551.008391203701</v>
      </c>
      <c r="D62" s="1">
        <f>C62-$E$2</f>
        <v>45550.132696759254</v>
      </c>
      <c r="E62" s="5">
        <v>221</v>
      </c>
      <c r="F62" s="5">
        <f>E62-$N$1</f>
        <v>8.6416666666666231</v>
      </c>
      <c r="G62" s="3">
        <v>11.795555555555556</v>
      </c>
      <c r="H62" s="3">
        <f>G62-$N$2</f>
        <v>2.5967592592592599</v>
      </c>
      <c r="I62" s="3">
        <f>ABS((F62+F61)/2)</f>
        <v>8.7416666666666174</v>
      </c>
      <c r="J62" s="3">
        <f>ABS((H62+H61)/2)</f>
        <v>2.609537037037037</v>
      </c>
      <c r="K62" s="3">
        <f t="shared" si="0"/>
        <v>0.29851710623874755</v>
      </c>
    </row>
    <row r="63" spans="1:11" x14ac:dyDescent="0.2">
      <c r="A63" s="2">
        <v>45551.259780092594</v>
      </c>
      <c r="B63" s="2">
        <f>A63-$B$3</f>
        <v>45551.009780092594</v>
      </c>
      <c r="C63" s="1">
        <v>45551.009780092594</v>
      </c>
      <c r="D63" s="1">
        <f>C63-$E$2</f>
        <v>45550.134085648147</v>
      </c>
      <c r="E63" s="5">
        <v>220.8</v>
      </c>
      <c r="F63" s="5">
        <f>E63-$N$1</f>
        <v>8.4416666666666345</v>
      </c>
      <c r="G63" s="3">
        <v>11.724444444444442</v>
      </c>
      <c r="H63" s="3">
        <f>G63-$N$2</f>
        <v>2.5256481481481465</v>
      </c>
      <c r="I63" s="3">
        <f>ABS((F63+F62)/2)</f>
        <v>8.5416666666666288</v>
      </c>
      <c r="J63" s="3">
        <f>ABS((H63+H62)/2)</f>
        <v>2.5612037037037032</v>
      </c>
      <c r="K63" s="3">
        <f t="shared" si="0"/>
        <v>0.29984823848238612</v>
      </c>
    </row>
    <row r="64" spans="1:11" x14ac:dyDescent="0.2">
      <c r="A64" s="2">
        <v>45551.26116898148</v>
      </c>
      <c r="B64" s="2">
        <f>A64-$B$3</f>
        <v>45551.01116898148</v>
      </c>
      <c r="C64" s="1">
        <v>45551.01116898148</v>
      </c>
      <c r="D64" s="1">
        <f>C64-$E$2</f>
        <v>45550.135474537034</v>
      </c>
      <c r="E64" s="5">
        <v>220.1</v>
      </c>
      <c r="F64" s="5">
        <f>E64-$N$1</f>
        <v>7.7416666666666174</v>
      </c>
      <c r="G64" s="3">
        <v>11.517777777777775</v>
      </c>
      <c r="H64" s="3">
        <f>G64-$N$2</f>
        <v>2.3189814814814795</v>
      </c>
      <c r="I64" s="3">
        <f>ABS((F64+F63)/2)</f>
        <v>8.0916666666666259</v>
      </c>
      <c r="J64" s="3">
        <f>ABS((H64+H63)/2)</f>
        <v>2.422314814814813</v>
      </c>
      <c r="K64" s="3">
        <f t="shared" si="0"/>
        <v>0.29935919441583836</v>
      </c>
    </row>
    <row r="65" spans="1:11" x14ac:dyDescent="0.2">
      <c r="A65" s="2">
        <v>45551.262557870374</v>
      </c>
      <c r="B65" s="2">
        <f>A65-$B$3</f>
        <v>45551.012557870374</v>
      </c>
      <c r="C65" s="1">
        <v>45551.012557870374</v>
      </c>
      <c r="D65" s="1">
        <f>C65-$E$2</f>
        <v>45550.136863425927</v>
      </c>
      <c r="E65" s="5">
        <v>220.3</v>
      </c>
      <c r="F65" s="5">
        <f>E65-$N$1</f>
        <v>7.9416666666666345</v>
      </c>
      <c r="G65" s="3">
        <v>11.453333333333335</v>
      </c>
      <c r="H65" s="3">
        <f>G65-$N$2</f>
        <v>2.2545370370370392</v>
      </c>
      <c r="I65" s="3">
        <f>ABS((F65+F64)/2)</f>
        <v>7.8416666666666259</v>
      </c>
      <c r="J65" s="3">
        <f>ABS((H65+H64)/2)</f>
        <v>2.2867592592592594</v>
      </c>
      <c r="K65" s="3">
        <f t="shared" si="0"/>
        <v>0.29161648364624077</v>
      </c>
    </row>
    <row r="66" spans="1:11" x14ac:dyDescent="0.2">
      <c r="A66" s="2">
        <v>45551.26394675926</v>
      </c>
      <c r="B66" s="2">
        <f>A66-$B$3</f>
        <v>45551.01394675926</v>
      </c>
      <c r="C66" s="1">
        <v>45551.01394675926</v>
      </c>
      <c r="D66" s="1">
        <f>C66-$E$2</f>
        <v>45550.138252314813</v>
      </c>
      <c r="E66" s="5">
        <v>219.6</v>
      </c>
      <c r="F66" s="5">
        <f>E66-$N$1</f>
        <v>7.2416666666666174</v>
      </c>
      <c r="G66" s="3">
        <v>11.386666666666668</v>
      </c>
      <c r="H66" s="3">
        <f>G66-$N$2</f>
        <v>2.1878703703703728</v>
      </c>
      <c r="I66" s="3">
        <f>ABS((F66+F65)/2)</f>
        <v>7.5916666666666259</v>
      </c>
      <c r="J66" s="3">
        <f>ABS((H66+H65)/2)</f>
        <v>2.221203703703706</v>
      </c>
      <c r="K66" s="3">
        <f t="shared" si="0"/>
        <v>0.29258446151969941</v>
      </c>
    </row>
    <row r="67" spans="1:11" x14ac:dyDescent="0.2">
      <c r="A67" s="2">
        <v>45551.265335648146</v>
      </c>
      <c r="B67" s="2">
        <f>A67-$B$3</f>
        <v>45551.015335648146</v>
      </c>
      <c r="C67" s="1">
        <v>45551.015335648146</v>
      </c>
      <c r="D67" s="1">
        <f>C67-$E$2</f>
        <v>45550.139641203699</v>
      </c>
      <c r="E67" s="5">
        <v>219.6</v>
      </c>
      <c r="F67" s="5">
        <f>E67-$N$1</f>
        <v>7.2416666666666174</v>
      </c>
      <c r="G67" s="3">
        <v>11.368888888888888</v>
      </c>
      <c r="H67" s="3">
        <f>G67-$N$2</f>
        <v>2.1700925925925922</v>
      </c>
      <c r="I67" s="3">
        <f>ABS((F67+F66)/2)</f>
        <v>7.2416666666666174</v>
      </c>
      <c r="J67" s="3">
        <f>ABS((H67+H66)/2)</f>
        <v>2.1789814814814825</v>
      </c>
      <c r="K67" s="3">
        <f t="shared" si="0"/>
        <v>0.30089502621148412</v>
      </c>
    </row>
    <row r="68" spans="1:11" x14ac:dyDescent="0.2">
      <c r="A68" s="2">
        <v>45551.266724537039</v>
      </c>
      <c r="B68" s="2">
        <f>A68-$B$3</f>
        <v>45551.016724537039</v>
      </c>
      <c r="C68" s="1">
        <v>45551.016724537039</v>
      </c>
      <c r="D68" s="1">
        <f>C68-$E$2</f>
        <v>45550.141030092593</v>
      </c>
      <c r="E68" s="5">
        <v>218.7</v>
      </c>
      <c r="F68" s="5">
        <f>E68-$N$1</f>
        <v>6.3416666666666117</v>
      </c>
      <c r="G68" s="3">
        <v>11.267777777777779</v>
      </c>
      <c r="H68" s="3">
        <f>G68-$N$2</f>
        <v>2.0689814814814831</v>
      </c>
      <c r="I68" s="3">
        <f>ABS((F68+F67)/2)</f>
        <v>6.7916666666666146</v>
      </c>
      <c r="J68" s="3">
        <f>ABS((H68+H67)/2)</f>
        <v>2.1195370370370377</v>
      </c>
      <c r="K68" s="3">
        <f t="shared" si="0"/>
        <v>0.3120790729379711</v>
      </c>
    </row>
    <row r="69" spans="1:11" x14ac:dyDescent="0.2">
      <c r="A69" s="2">
        <v>45551.268113425926</v>
      </c>
      <c r="B69" s="2">
        <f>A69-$B$3</f>
        <v>45551.018113425926</v>
      </c>
      <c r="C69" s="1">
        <v>45551.018113425926</v>
      </c>
      <c r="D69" s="1">
        <f>C69-$E$2</f>
        <v>45550.142418981479</v>
      </c>
      <c r="E69" s="5">
        <v>219.1</v>
      </c>
      <c r="F69" s="5">
        <f>E69-$N$1</f>
        <v>6.7416666666666174</v>
      </c>
      <c r="G69" s="3">
        <v>11.222222222222221</v>
      </c>
      <c r="H69" s="3">
        <f>G69-$N$2</f>
        <v>2.0234259259259257</v>
      </c>
      <c r="I69" s="3">
        <f>ABS((F69+F68)/2)</f>
        <v>6.5416666666666146</v>
      </c>
      <c r="J69" s="3">
        <f>ABS((H69+H68)/2)</f>
        <v>2.0462037037037044</v>
      </c>
      <c r="K69" s="3">
        <f t="shared" si="0"/>
        <v>0.31279547062986812</v>
      </c>
    </row>
    <row r="70" spans="1:11" x14ac:dyDescent="0.2">
      <c r="A70" s="2">
        <v>45551.269502314812</v>
      </c>
      <c r="B70" s="2">
        <f>A70-$B$3</f>
        <v>45551.019502314812</v>
      </c>
      <c r="C70" s="1">
        <v>45551.019502314812</v>
      </c>
      <c r="D70" s="1">
        <f>C70-$E$2</f>
        <v>45550.143807870365</v>
      </c>
      <c r="E70" s="5">
        <v>218.5</v>
      </c>
      <c r="F70" s="5">
        <f>E70-$N$1</f>
        <v>6.1416666666666231</v>
      </c>
      <c r="G70" s="3">
        <v>11.130000000000003</v>
      </c>
      <c r="H70" s="3">
        <f>G70-$N$2</f>
        <v>1.9312037037037069</v>
      </c>
      <c r="I70" s="3">
        <f>ABS((F70+F69)/2)</f>
        <v>6.4416666666666202</v>
      </c>
      <c r="J70" s="3">
        <f>ABS((H70+H69)/2)</f>
        <v>1.9773148148148163</v>
      </c>
      <c r="K70" s="3">
        <f t="shared" si="0"/>
        <v>0.30695702170476025</v>
      </c>
    </row>
    <row r="71" spans="1:11" x14ac:dyDescent="0.2">
      <c r="A71" s="2">
        <v>45551.270891203705</v>
      </c>
      <c r="B71" s="2">
        <f>A71-$B$3</f>
        <v>45551.020891203705</v>
      </c>
      <c r="C71" s="1">
        <v>45551.020891203705</v>
      </c>
      <c r="D71" s="1">
        <f>C71-$E$2</f>
        <v>45550.145196759258</v>
      </c>
      <c r="E71" s="5">
        <v>218.5</v>
      </c>
      <c r="F71" s="5">
        <f>E71-$N$1</f>
        <v>6.1416666666666231</v>
      </c>
      <c r="G71" s="3">
        <v>11.13111111111111</v>
      </c>
      <c r="H71" s="3">
        <f>G71-$N$2</f>
        <v>1.9323148148148146</v>
      </c>
      <c r="I71" s="3">
        <f>ABS((F71+F70)/2)</f>
        <v>6.1416666666666231</v>
      </c>
      <c r="J71" s="3">
        <f>ABS((H71+H70)/2)</f>
        <v>1.9317592592592607</v>
      </c>
      <c r="K71" s="3">
        <f t="shared" si="0"/>
        <v>0.31453339363787375</v>
      </c>
    </row>
    <row r="72" spans="1:11" x14ac:dyDescent="0.2">
      <c r="A72" s="2">
        <v>45551.272280092591</v>
      </c>
      <c r="B72" s="2">
        <f>A72-$B$3</f>
        <v>45551.022280092591</v>
      </c>
      <c r="C72" s="1">
        <v>45551.022280092591</v>
      </c>
      <c r="D72" s="1">
        <f>C72-$E$2</f>
        <v>45550.146585648145</v>
      </c>
      <c r="E72" s="5">
        <v>218.5</v>
      </c>
      <c r="F72" s="5">
        <f>E72-$N$1</f>
        <v>6.1416666666666231</v>
      </c>
      <c r="G72" s="3">
        <v>11.077777777777776</v>
      </c>
      <c r="H72" s="3">
        <f>G72-$N$2</f>
        <v>1.87898148148148</v>
      </c>
      <c r="I72" s="3">
        <f>ABS((F72+F71)/2)</f>
        <v>6.1416666666666231</v>
      </c>
      <c r="J72" s="3">
        <f>ABS((H72+H71)/2)</f>
        <v>1.9056481481481473</v>
      </c>
      <c r="K72" s="3">
        <f t="shared" si="0"/>
        <v>0.3102819237147616</v>
      </c>
    </row>
    <row r="73" spans="1:11" x14ac:dyDescent="0.2">
      <c r="A73" s="2">
        <v>45551.273668981485</v>
      </c>
      <c r="B73" s="2">
        <f>A73-$B$3</f>
        <v>45551.023668981485</v>
      </c>
      <c r="C73" s="1">
        <v>45551.023668981485</v>
      </c>
      <c r="D73" s="1">
        <f>C73-$E$2</f>
        <v>45550.147974537038</v>
      </c>
      <c r="E73" s="5">
        <v>218.4</v>
      </c>
      <c r="F73" s="5">
        <f>E73-$N$1</f>
        <v>6.0416666666666288</v>
      </c>
      <c r="G73" s="3">
        <v>11.078888888888887</v>
      </c>
      <c r="H73" s="3">
        <f>G73-$N$2</f>
        <v>1.8800925925925913</v>
      </c>
      <c r="I73" s="3">
        <f>ABS((F73+F72)/2)</f>
        <v>6.0916666666666259</v>
      </c>
      <c r="J73" s="3">
        <f>ABS((H73+H72)/2)</f>
        <v>1.8795370370370357</v>
      </c>
      <c r="K73" s="3">
        <f t="shared" si="0"/>
        <v>0.30854233166134853</v>
      </c>
    </row>
    <row r="74" spans="1:11" x14ac:dyDescent="0.2">
      <c r="A74" s="2">
        <v>45551.275057870371</v>
      </c>
      <c r="B74" s="2">
        <f>A74-$B$3</f>
        <v>45551.025057870371</v>
      </c>
      <c r="C74" s="1">
        <v>45551.025057870371</v>
      </c>
      <c r="D74" s="1">
        <f>C74-$E$2</f>
        <v>45550.149363425924</v>
      </c>
      <c r="E74" s="5">
        <v>218.4</v>
      </c>
      <c r="F74" s="5">
        <f>E74-$N$1</f>
        <v>6.0416666666666288</v>
      </c>
      <c r="G74" s="3">
        <v>11.037777777777777</v>
      </c>
      <c r="H74" s="3">
        <f>G74-$N$2</f>
        <v>1.8389814814814809</v>
      </c>
      <c r="I74" s="3">
        <f>ABS((F74+F73)/2)</f>
        <v>6.0416666666666288</v>
      </c>
      <c r="J74" s="3">
        <f>ABS((H74+H73)/2)</f>
        <v>1.8595370370370361</v>
      </c>
      <c r="K74" s="3">
        <f t="shared" si="0"/>
        <v>0.30778544061302859</v>
      </c>
    </row>
    <row r="75" spans="1:11" x14ac:dyDescent="0.2">
      <c r="A75" s="2">
        <v>45551.276446759257</v>
      </c>
      <c r="B75" s="2">
        <f>A75-$B$3</f>
        <v>45551.026446759257</v>
      </c>
      <c r="C75" s="1">
        <v>45551.026446759257</v>
      </c>
      <c r="D75" s="1">
        <f>C75-$E$2</f>
        <v>45550.15075231481</v>
      </c>
      <c r="E75" s="5">
        <v>218.3</v>
      </c>
      <c r="F75" s="5">
        <f>E75-$N$1</f>
        <v>5.9416666666666345</v>
      </c>
      <c r="G75" s="3">
        <v>11.027777777777779</v>
      </c>
      <c r="H75" s="3">
        <f>G75-$N$2</f>
        <v>1.8289814814814829</v>
      </c>
      <c r="I75" s="3">
        <f>ABS((F75+F74)/2)</f>
        <v>5.9916666666666316</v>
      </c>
      <c r="J75" s="3">
        <f>ABS((H75+H74)/2)</f>
        <v>1.8339814814814819</v>
      </c>
      <c r="K75" s="3">
        <f t="shared" si="0"/>
        <v>0.30608870344614619</v>
      </c>
    </row>
    <row r="76" spans="1:11" x14ac:dyDescent="0.2">
      <c r="A76" s="2">
        <v>45551.27783564815</v>
      </c>
      <c r="B76" s="2">
        <f>A76-$B$3</f>
        <v>45551.02783564815</v>
      </c>
      <c r="C76" s="1">
        <v>45551.02783564815</v>
      </c>
      <c r="D76" s="1">
        <f>C76-$E$2</f>
        <v>45550.152141203704</v>
      </c>
      <c r="E76" s="5">
        <v>218.2</v>
      </c>
      <c r="F76" s="5">
        <f>E76-$N$1</f>
        <v>5.8416666666666117</v>
      </c>
      <c r="G76" s="3">
        <v>10.975555555555554</v>
      </c>
      <c r="H76" s="3">
        <f>G76-$N$2</f>
        <v>1.7767592592592578</v>
      </c>
      <c r="I76" s="3">
        <f>ABS((F76+F75)/2)</f>
        <v>5.8916666666666231</v>
      </c>
      <c r="J76" s="3">
        <f>ABS((H76+H75)/2)</f>
        <v>1.8028703703703703</v>
      </c>
      <c r="K76" s="3">
        <f t="shared" si="0"/>
        <v>0.30600345748860824</v>
      </c>
    </row>
    <row r="77" spans="1:11" x14ac:dyDescent="0.2">
      <c r="A77" s="2">
        <v>45551.279224537036</v>
      </c>
      <c r="B77" s="2">
        <f>A77-$B$3</f>
        <v>45551.029224537036</v>
      </c>
      <c r="C77" s="1">
        <v>45551.029224537036</v>
      </c>
      <c r="D77" s="1">
        <f>C77-$E$2</f>
        <v>45550.15353009259</v>
      </c>
      <c r="E77" s="5">
        <v>218</v>
      </c>
      <c r="F77" s="5">
        <f>E77-$N$1</f>
        <v>5.6416666666666231</v>
      </c>
      <c r="G77" s="3">
        <v>10.946666666666665</v>
      </c>
      <c r="H77" s="3">
        <f>G77-$N$2</f>
        <v>1.7478703703703697</v>
      </c>
      <c r="I77" s="3">
        <f>ABS((F77+F76)/2)</f>
        <v>5.7416666666666174</v>
      </c>
      <c r="J77" s="3">
        <f>ABS((H77+H76)/2)</f>
        <v>1.7623148148148138</v>
      </c>
      <c r="K77" s="3">
        <f t="shared" si="0"/>
        <v>0.30693436542493391</v>
      </c>
    </row>
    <row r="78" spans="1:11" x14ac:dyDescent="0.2">
      <c r="A78" s="2">
        <v>45551.280613425923</v>
      </c>
      <c r="B78" s="2">
        <f>A78-$B$3</f>
        <v>45551.030613425923</v>
      </c>
      <c r="C78" s="1">
        <v>45551.030613425923</v>
      </c>
      <c r="D78" s="1">
        <f>C78-$E$2</f>
        <v>45550.154918981476</v>
      </c>
      <c r="E78" s="5">
        <v>217.4</v>
      </c>
      <c r="F78" s="5">
        <f>E78-$N$1</f>
        <v>5.0416666666666288</v>
      </c>
      <c r="G78" s="3">
        <v>10.851111111111111</v>
      </c>
      <c r="H78" s="3">
        <f>G78-$N$2</f>
        <v>1.6523148148148152</v>
      </c>
      <c r="I78" s="3">
        <f>ABS((F78+F77)/2)</f>
        <v>5.3416666666666259</v>
      </c>
      <c r="J78" s="3">
        <f>ABS((H78+H77)/2)</f>
        <v>1.7000925925925925</v>
      </c>
      <c r="K78" s="3">
        <f t="shared" si="0"/>
        <v>0.3182700641359012</v>
      </c>
    </row>
    <row r="79" spans="1:11" x14ac:dyDescent="0.2">
      <c r="A79" s="2">
        <v>45551.282002314816</v>
      </c>
      <c r="B79" s="2">
        <f>A79-$B$3</f>
        <v>45551.032002314816</v>
      </c>
      <c r="C79" s="1">
        <v>45551.032002314816</v>
      </c>
      <c r="D79" s="1">
        <f>C79-$E$2</f>
        <v>45550.156307870369</v>
      </c>
      <c r="E79" s="5">
        <v>217.4</v>
      </c>
      <c r="F79" s="5">
        <f>E79-$N$1</f>
        <v>5.0416666666666288</v>
      </c>
      <c r="G79" s="3">
        <v>10.833333333333334</v>
      </c>
      <c r="H79" s="3">
        <f>G79-$N$2</f>
        <v>1.6345370370370382</v>
      </c>
      <c r="I79" s="3">
        <f>ABS((F79+F78)/2)</f>
        <v>5.0416666666666288</v>
      </c>
      <c r="J79" s="3">
        <f>ABS((H79+H78)/2)</f>
        <v>1.6434259259259267</v>
      </c>
      <c r="K79" s="3">
        <f t="shared" si="0"/>
        <v>0.32596877869605401</v>
      </c>
    </row>
    <row r="80" spans="1:11" x14ac:dyDescent="0.2">
      <c r="A80" s="2">
        <v>45551.283391203702</v>
      </c>
      <c r="B80" s="2">
        <f>A80-$B$3</f>
        <v>45551.033391203702</v>
      </c>
      <c r="C80" s="1">
        <v>45551.033391203702</v>
      </c>
      <c r="D80" s="1">
        <f>C80-$E$2</f>
        <v>45550.157696759255</v>
      </c>
      <c r="E80" s="5">
        <v>217.4</v>
      </c>
      <c r="F80" s="5">
        <f>E80-$N$1</f>
        <v>5.0416666666666288</v>
      </c>
      <c r="G80" s="3">
        <v>10.763333333333332</v>
      </c>
      <c r="H80" s="3">
        <f>G80-$N$2</f>
        <v>1.5645370370370362</v>
      </c>
      <c r="I80" s="3">
        <f>ABS((F80+F79)/2)</f>
        <v>5.0416666666666288</v>
      </c>
      <c r="J80" s="3">
        <f>ABS((H80+H79)/2)</f>
        <v>1.5995370370370372</v>
      </c>
      <c r="K80" s="3">
        <f t="shared" si="0"/>
        <v>0.3172635445362742</v>
      </c>
    </row>
    <row r="81" spans="1:11" x14ac:dyDescent="0.2">
      <c r="A81" s="2">
        <v>45551.284780092596</v>
      </c>
      <c r="B81" s="2">
        <f>A81-$B$3</f>
        <v>45551.034780092596</v>
      </c>
      <c r="C81" s="1">
        <v>45551.034780092596</v>
      </c>
      <c r="D81" s="1">
        <f>C81-$E$2</f>
        <v>45550.159085648149</v>
      </c>
      <c r="E81" s="5">
        <v>217.6</v>
      </c>
      <c r="F81" s="5">
        <f>E81-$N$1</f>
        <v>5.2416666666666174</v>
      </c>
      <c r="G81" s="3">
        <v>10.74111111111111</v>
      </c>
      <c r="H81" s="3">
        <f>G81-$N$2</f>
        <v>1.542314814814814</v>
      </c>
      <c r="I81" s="3">
        <f>ABS((F81+F80)/2)</f>
        <v>5.1416666666666231</v>
      </c>
      <c r="J81" s="3">
        <f>ABS((H81+H80)/2)</f>
        <v>1.5534259259259251</v>
      </c>
      <c r="K81" s="3">
        <f t="shared" si="0"/>
        <v>0.30212497748964762</v>
      </c>
    </row>
    <row r="82" spans="1:11" x14ac:dyDescent="0.2">
      <c r="A82" s="2">
        <v>45551.286168981482</v>
      </c>
      <c r="B82" s="2">
        <f>A82-$B$3</f>
        <v>45551.036168981482</v>
      </c>
      <c r="C82" s="1">
        <v>45551.036168981482</v>
      </c>
      <c r="D82" s="1">
        <f>C82-$E$2</f>
        <v>45550.160474537035</v>
      </c>
      <c r="E82" s="5">
        <v>217.2</v>
      </c>
      <c r="F82" s="5">
        <f>E82-$N$1</f>
        <v>4.8416666666666117</v>
      </c>
      <c r="G82" s="3">
        <v>10.732222222222223</v>
      </c>
      <c r="H82" s="3">
        <f>G82-$N$2</f>
        <v>1.5334259259259273</v>
      </c>
      <c r="I82" s="3">
        <f>ABS((F82+F81)/2)</f>
        <v>5.0416666666666146</v>
      </c>
      <c r="J82" s="3">
        <f>ABS((H82+H81)/2)</f>
        <v>1.5378703703703707</v>
      </c>
      <c r="K82" s="3">
        <f t="shared" si="0"/>
        <v>0.30503213957759734</v>
      </c>
    </row>
    <row r="83" spans="1:11" x14ac:dyDescent="0.2">
      <c r="A83" s="2">
        <v>45551.287557870368</v>
      </c>
      <c r="B83" s="2">
        <f>A83-$B$3</f>
        <v>45551.037557870368</v>
      </c>
      <c r="C83" s="1">
        <v>45551.037557870368</v>
      </c>
      <c r="D83" s="1">
        <f>C83-$E$2</f>
        <v>45550.161863425921</v>
      </c>
      <c r="E83" s="5">
        <v>216.7</v>
      </c>
      <c r="F83" s="5">
        <f>E83-$N$1</f>
        <v>4.3416666666666117</v>
      </c>
      <c r="G83" s="3">
        <v>10.673333333333334</v>
      </c>
      <c r="H83" s="3">
        <f>G83-$N$2</f>
        <v>1.4745370370370381</v>
      </c>
      <c r="I83" s="3">
        <f>ABS((F83+F82)/2)</f>
        <v>4.5916666666666117</v>
      </c>
      <c r="J83" s="3">
        <f>ABS((H83+H82)/2)</f>
        <v>1.5039814814814827</v>
      </c>
      <c r="K83" s="3">
        <f t="shared" si="0"/>
        <v>0.32754587618471886</v>
      </c>
    </row>
    <row r="84" spans="1:11" x14ac:dyDescent="0.2">
      <c r="A84" s="2">
        <v>45551.288946759261</v>
      </c>
      <c r="B84" s="2">
        <f>A84-$B$3</f>
        <v>45551.038946759261</v>
      </c>
      <c r="C84" s="1">
        <v>45551.038946759261</v>
      </c>
      <c r="D84" s="1">
        <f>C84-$E$2</f>
        <v>45550.163252314815</v>
      </c>
      <c r="E84" s="5">
        <v>216.6</v>
      </c>
      <c r="F84" s="5">
        <f>E84-$N$1</f>
        <v>4.2416666666666174</v>
      </c>
      <c r="G84" s="3">
        <v>10.583333333333334</v>
      </c>
      <c r="H84" s="3">
        <f>G84-$N$2</f>
        <v>1.3845370370370382</v>
      </c>
      <c r="I84" s="3">
        <f>ABS((F84+F83)/2)</f>
        <v>4.2916666666666146</v>
      </c>
      <c r="J84" s="3">
        <f>ABS((H84+H83)/2)</f>
        <v>1.4295370370370382</v>
      </c>
      <c r="K84" s="3">
        <f t="shared" si="0"/>
        <v>0.3330960086299935</v>
      </c>
    </row>
    <row r="85" spans="1:11" x14ac:dyDescent="0.2">
      <c r="A85" s="2">
        <v>45551.290335648147</v>
      </c>
      <c r="B85" s="2">
        <f>A85-$B$3</f>
        <v>45551.040335648147</v>
      </c>
      <c r="C85" s="1">
        <v>45551.040335648147</v>
      </c>
      <c r="D85" s="1">
        <f>C85-$E$2</f>
        <v>45550.164641203701</v>
      </c>
      <c r="E85" s="5">
        <v>216.5</v>
      </c>
      <c r="F85" s="5">
        <f>E85-$N$1</f>
        <v>4.1416666666666231</v>
      </c>
      <c r="G85" s="3">
        <v>10.545555555555556</v>
      </c>
      <c r="H85" s="3">
        <f>G85-$N$2</f>
        <v>1.3467592592592599</v>
      </c>
      <c r="I85" s="3">
        <f>ABS((F85+F84)/2)</f>
        <v>4.1916666666666202</v>
      </c>
      <c r="J85" s="3">
        <f>ABS((H85+H84)/2)</f>
        <v>1.3656481481481491</v>
      </c>
      <c r="K85" s="3">
        <f t="shared" si="0"/>
        <v>0.32580075104926381</v>
      </c>
    </row>
    <row r="86" spans="1:11" x14ac:dyDescent="0.2">
      <c r="A86" s="2">
        <v>45551.291724537034</v>
      </c>
      <c r="B86" s="2">
        <f>A86-$B$3</f>
        <v>45551.041724537034</v>
      </c>
      <c r="C86" s="1">
        <v>45551.041724537034</v>
      </c>
      <c r="D86" s="1">
        <f>C86-$E$2</f>
        <v>45550.166030092587</v>
      </c>
      <c r="E86" s="5">
        <v>216.4</v>
      </c>
      <c r="F86" s="5">
        <f>E86-$N$1</f>
        <v>4.0416666666666288</v>
      </c>
      <c r="G86" s="3">
        <v>10.505555555555555</v>
      </c>
      <c r="H86" s="3">
        <f>G86-$N$2</f>
        <v>1.306759259259259</v>
      </c>
      <c r="I86" s="3">
        <f>ABS((F86+F85)/2)</f>
        <v>4.0916666666666259</v>
      </c>
      <c r="J86" s="3">
        <f>ABS((H86+H85)/2)</f>
        <v>1.3267592592592594</v>
      </c>
      <c r="K86" s="3">
        <f t="shared" si="0"/>
        <v>0.3242588821000259</v>
      </c>
    </row>
    <row r="87" spans="1:11" x14ac:dyDescent="0.2">
      <c r="A87" s="2">
        <v>45551.293113425927</v>
      </c>
      <c r="B87" s="2">
        <f>A87-$B$3</f>
        <v>45551.043113425927</v>
      </c>
      <c r="C87" s="1">
        <v>45551.043113425927</v>
      </c>
      <c r="D87" s="1">
        <f>C87-$E$2</f>
        <v>45550.16741898148</v>
      </c>
      <c r="E87" s="5">
        <v>216.2</v>
      </c>
      <c r="F87" s="5">
        <f>E87-$N$1</f>
        <v>3.8416666666666117</v>
      </c>
      <c r="G87" s="3">
        <v>10.545555555555556</v>
      </c>
      <c r="H87" s="3">
        <f>G87-$N$2</f>
        <v>1.3467592592592599</v>
      </c>
      <c r="I87" s="3">
        <f>ABS((F87+F86)/2)</f>
        <v>3.9416666666666202</v>
      </c>
      <c r="J87" s="3">
        <f>ABS((H87+H86)/2)</f>
        <v>1.3267592592592594</v>
      </c>
      <c r="K87" s="3">
        <f t="shared" si="0"/>
        <v>0.33659854357529179</v>
      </c>
    </row>
    <row r="88" spans="1:11" x14ac:dyDescent="0.2">
      <c r="A88" s="2">
        <v>45551.294502314813</v>
      </c>
      <c r="B88" s="2">
        <f>A88-$B$3</f>
        <v>45551.044502314813</v>
      </c>
      <c r="C88" s="1">
        <v>45551.044502314813</v>
      </c>
      <c r="D88" s="1">
        <f>C88-$E$2</f>
        <v>45550.168807870366</v>
      </c>
      <c r="E88" s="5">
        <v>216.7</v>
      </c>
      <c r="F88" s="5">
        <f>E88-$N$1</f>
        <v>4.3416666666666117</v>
      </c>
      <c r="G88" s="3">
        <v>10.564444444444442</v>
      </c>
      <c r="H88" s="3">
        <f>G88-$N$2</f>
        <v>1.3656481481481464</v>
      </c>
      <c r="I88" s="3">
        <f>ABS((F88+F87)/2)</f>
        <v>4.0916666666666117</v>
      </c>
      <c r="J88" s="3">
        <f>ABS((H88+H87)/2)</f>
        <v>1.3562037037037031</v>
      </c>
      <c r="K88" s="3">
        <f t="shared" ref="K88:K151" si="1">J88/I88</f>
        <v>0.33145508033492171</v>
      </c>
    </row>
    <row r="89" spans="1:11" x14ac:dyDescent="0.2">
      <c r="A89" s="2">
        <v>45551.295891203707</v>
      </c>
      <c r="B89" s="2">
        <f>A89-$B$3</f>
        <v>45551.045891203707</v>
      </c>
      <c r="C89" s="1">
        <v>45551.045891203707</v>
      </c>
      <c r="D89" s="1">
        <f>C89-$E$2</f>
        <v>45550.17019675926</v>
      </c>
      <c r="E89" s="5">
        <v>216.2</v>
      </c>
      <c r="F89" s="5">
        <f>E89-$N$1</f>
        <v>3.8416666666666117</v>
      </c>
      <c r="G89" s="3">
        <v>10.53</v>
      </c>
      <c r="H89" s="3">
        <f>G89-$N$2</f>
        <v>1.3312037037037037</v>
      </c>
      <c r="I89" s="3">
        <f>ABS((F89+F88)/2)</f>
        <v>4.0916666666666117</v>
      </c>
      <c r="J89" s="3">
        <f>ABS((H89+H88)/2)</f>
        <v>1.348425925925925</v>
      </c>
      <c r="K89" s="3">
        <f t="shared" si="1"/>
        <v>0.32955419778230788</v>
      </c>
    </row>
    <row r="90" spans="1:11" x14ac:dyDescent="0.2">
      <c r="A90" s="2">
        <v>45551.297280092593</v>
      </c>
      <c r="B90" s="2">
        <f>A90-$B$3</f>
        <v>45551.047280092593</v>
      </c>
      <c r="C90" s="1">
        <v>45551.047280092593</v>
      </c>
      <c r="D90" s="1">
        <f>C90-$E$2</f>
        <v>45550.171585648146</v>
      </c>
      <c r="E90" s="5">
        <v>216.2</v>
      </c>
      <c r="F90" s="5">
        <f>E90-$N$1</f>
        <v>3.8416666666666117</v>
      </c>
      <c r="G90" s="3">
        <v>10.488888888888887</v>
      </c>
      <c r="H90" s="3">
        <f>G90-$N$2</f>
        <v>1.2900925925925915</v>
      </c>
      <c r="I90" s="3">
        <f>ABS((F90+F89)/2)</f>
        <v>3.8416666666666117</v>
      </c>
      <c r="J90" s="3">
        <f>ABS((H90+H89)/2)</f>
        <v>1.3106481481481476</v>
      </c>
      <c r="K90" s="3">
        <f t="shared" si="1"/>
        <v>0.34116654615570491</v>
      </c>
    </row>
    <row r="91" spans="1:11" x14ac:dyDescent="0.2">
      <c r="A91" s="2">
        <v>45551.298668981479</v>
      </c>
      <c r="B91" s="2">
        <f>A91-$B$3</f>
        <v>45551.048668981479</v>
      </c>
      <c r="C91" s="1">
        <v>45551.048668981479</v>
      </c>
      <c r="D91" s="1">
        <f>C91-$E$2</f>
        <v>45550.172974537032</v>
      </c>
      <c r="E91" s="5">
        <v>216</v>
      </c>
      <c r="F91" s="5">
        <f>E91-$N$1</f>
        <v>3.6416666666666231</v>
      </c>
      <c r="G91" s="3">
        <v>10.472222222222221</v>
      </c>
      <c r="H91" s="3">
        <f>G91-$N$2</f>
        <v>1.2734259259259257</v>
      </c>
      <c r="I91" s="3">
        <f>ABS((F91+F90)/2)</f>
        <v>3.7416666666666174</v>
      </c>
      <c r="J91" s="3">
        <f>ABS((H91+H90)/2)</f>
        <v>1.2817592592592586</v>
      </c>
      <c r="K91" s="3">
        <f t="shared" si="1"/>
        <v>0.34256372185103129</v>
      </c>
    </row>
    <row r="92" spans="1:11" x14ac:dyDescent="0.2">
      <c r="A92" s="2">
        <v>45551.300057870372</v>
      </c>
      <c r="B92" s="2">
        <f>A92-$B$3</f>
        <v>45551.050057870372</v>
      </c>
      <c r="C92" s="1">
        <v>45551.050057870372</v>
      </c>
      <c r="D92" s="1">
        <f>C92-$E$2</f>
        <v>45550.174363425926</v>
      </c>
      <c r="E92" s="5">
        <v>215.6</v>
      </c>
      <c r="F92" s="5">
        <f>E92-$N$1</f>
        <v>3.2416666666666174</v>
      </c>
      <c r="G92" s="3">
        <v>10.311111111111112</v>
      </c>
      <c r="H92" s="3">
        <f>G92-$N$2</f>
        <v>1.1123148148148161</v>
      </c>
      <c r="I92" s="3">
        <f>ABS((F92+F91)/2)</f>
        <v>3.4416666666666202</v>
      </c>
      <c r="J92" s="3">
        <f>ABS((H92+H91)/2)</f>
        <v>1.1928703703703709</v>
      </c>
      <c r="K92" s="3">
        <f t="shared" si="1"/>
        <v>0.34659671778316331</v>
      </c>
    </row>
    <row r="93" spans="1:11" x14ac:dyDescent="0.2">
      <c r="A93" s="2">
        <v>45551.301446759258</v>
      </c>
      <c r="B93" s="2">
        <f>A93-$B$3</f>
        <v>45551.051446759258</v>
      </c>
      <c r="C93" s="1">
        <v>45551.051446759258</v>
      </c>
      <c r="D93" s="1">
        <f>C93-$E$2</f>
        <v>45550.175752314812</v>
      </c>
      <c r="E93" s="5">
        <v>215.5</v>
      </c>
      <c r="F93" s="5">
        <f>E93-$N$1</f>
        <v>3.1416666666666231</v>
      </c>
      <c r="G93" s="3">
        <v>10.274444444444446</v>
      </c>
      <c r="H93" s="3">
        <f>G93-$N$2</f>
        <v>1.0756481481481508</v>
      </c>
      <c r="I93" s="3">
        <f>ABS((F93+F92)/2)</f>
        <v>3.1916666666666202</v>
      </c>
      <c r="J93" s="3">
        <f>ABS((H93+H92)/2)</f>
        <v>1.0939814814814834</v>
      </c>
      <c r="K93" s="3">
        <f t="shared" si="1"/>
        <v>0.34276182187409904</v>
      </c>
    </row>
    <row r="94" spans="1:11" x14ac:dyDescent="0.2">
      <c r="A94" s="2">
        <v>45551.302835648145</v>
      </c>
      <c r="B94" s="2">
        <f>A94-$B$3</f>
        <v>45551.052835648145</v>
      </c>
      <c r="C94" s="1">
        <v>45551.052835648145</v>
      </c>
      <c r="D94" s="1">
        <f>C94-$E$2</f>
        <v>45550.177141203698</v>
      </c>
      <c r="E94" s="5">
        <v>215.6</v>
      </c>
      <c r="F94" s="5">
        <f>E94-$N$1</f>
        <v>3.2416666666666174</v>
      </c>
      <c r="G94" s="3">
        <v>10.292222222222222</v>
      </c>
      <c r="H94" s="3">
        <f>G94-$N$2</f>
        <v>1.093425925925926</v>
      </c>
      <c r="I94" s="3">
        <f>ABS((F94+F93)/2)</f>
        <v>3.1916666666666202</v>
      </c>
      <c r="J94" s="3">
        <f>ABS((H94+H93)/2)</f>
        <v>1.0845370370370384</v>
      </c>
      <c r="K94" s="3">
        <f t="shared" si="1"/>
        <v>0.33980272700899872</v>
      </c>
    </row>
    <row r="95" spans="1:11" x14ac:dyDescent="0.2">
      <c r="A95" s="2">
        <v>45551.304224537038</v>
      </c>
      <c r="B95" s="2">
        <f>A95-$B$3</f>
        <v>45551.054224537038</v>
      </c>
      <c r="C95" s="1">
        <v>45551.054224537038</v>
      </c>
      <c r="D95" s="1">
        <f>C95-$E$2</f>
        <v>45550.178530092591</v>
      </c>
      <c r="E95" s="5">
        <v>215.3</v>
      </c>
      <c r="F95" s="5">
        <f>E95-$N$1</f>
        <v>2.9416666666666345</v>
      </c>
      <c r="G95" s="3">
        <v>10.232222222222223</v>
      </c>
      <c r="H95" s="3">
        <f>G95-$N$2</f>
        <v>1.0334259259259273</v>
      </c>
      <c r="I95" s="3">
        <f>ABS((F95+F94)/2)</f>
        <v>3.0916666666666259</v>
      </c>
      <c r="J95" s="3">
        <f>ABS((H95+H94)/2)</f>
        <v>1.0634259259259267</v>
      </c>
      <c r="K95" s="3">
        <f t="shared" si="1"/>
        <v>0.34396525905960346</v>
      </c>
    </row>
    <row r="96" spans="1:11" x14ac:dyDescent="0.2">
      <c r="A96" s="2">
        <v>45551.305613425924</v>
      </c>
      <c r="B96" s="2">
        <f>A96-$B$3</f>
        <v>45551.055613425924</v>
      </c>
      <c r="C96" s="1">
        <v>45551.055613425924</v>
      </c>
      <c r="D96" s="1">
        <f>C96-$E$2</f>
        <v>45550.179918981477</v>
      </c>
      <c r="E96" s="5">
        <v>215.5</v>
      </c>
      <c r="F96" s="5">
        <f>E96-$N$1</f>
        <v>3.1416666666666231</v>
      </c>
      <c r="G96" s="3">
        <v>10.255555555555555</v>
      </c>
      <c r="H96" s="3">
        <f>G96-$N$2</f>
        <v>1.056759259259259</v>
      </c>
      <c r="I96" s="3">
        <f>ABS((F96+F95)/2)</f>
        <v>3.0416666666666288</v>
      </c>
      <c r="J96" s="3">
        <f>ABS((H96+H95)/2)</f>
        <v>1.0450925925925931</v>
      </c>
      <c r="K96" s="3">
        <f t="shared" si="1"/>
        <v>0.34359208523592533</v>
      </c>
    </row>
    <row r="97" spans="1:11" x14ac:dyDescent="0.2">
      <c r="A97" s="2">
        <v>45551.307002314818</v>
      </c>
      <c r="B97" s="2">
        <f>A97-$B$3</f>
        <v>45551.057002314818</v>
      </c>
      <c r="C97" s="1">
        <v>45551.057002314818</v>
      </c>
      <c r="D97" s="1">
        <f>C97-$E$2</f>
        <v>45550.181307870371</v>
      </c>
      <c r="E97" s="5">
        <v>214.9</v>
      </c>
      <c r="F97" s="5">
        <f>E97-$N$1</f>
        <v>2.5416666666666288</v>
      </c>
      <c r="G97" s="3">
        <v>10.190000000000001</v>
      </c>
      <c r="H97" s="3">
        <f>G97-$N$2</f>
        <v>0.99120370370370559</v>
      </c>
      <c r="I97" s="3">
        <f>ABS((F97+F96)/2)</f>
        <v>2.8416666666666259</v>
      </c>
      <c r="J97" s="3">
        <f>ABS((H97+H96)/2)</f>
        <v>1.0239814814814823</v>
      </c>
      <c r="K97" s="3">
        <f t="shared" si="1"/>
        <v>0.36034538937765287</v>
      </c>
    </row>
    <row r="98" spans="1:11" x14ac:dyDescent="0.2">
      <c r="A98" s="2">
        <v>45551.308391203704</v>
      </c>
      <c r="B98" s="2">
        <f>A98-$B$3</f>
        <v>45551.058391203704</v>
      </c>
      <c r="C98" s="1">
        <v>45551.058391203704</v>
      </c>
      <c r="D98" s="1">
        <f>C98-$E$2</f>
        <v>45550.182696759257</v>
      </c>
      <c r="E98" s="5">
        <v>215.6</v>
      </c>
      <c r="F98" s="5">
        <f>E98-$N$1</f>
        <v>3.2416666666666174</v>
      </c>
      <c r="G98" s="3">
        <v>10.301111111111112</v>
      </c>
      <c r="H98" s="3">
        <f>G98-$N$2</f>
        <v>1.1023148148148163</v>
      </c>
      <c r="I98" s="3">
        <f>ABS((F98+F97)/2)</f>
        <v>2.8916666666666231</v>
      </c>
      <c r="J98" s="3">
        <f>ABS((H98+H97)/2)</f>
        <v>1.0467592592592609</v>
      </c>
      <c r="K98" s="3">
        <f t="shared" si="1"/>
        <v>0.36199167467179599</v>
      </c>
    </row>
    <row r="99" spans="1:11" x14ac:dyDescent="0.2">
      <c r="A99" s="2">
        <v>45551.30978009259</v>
      </c>
      <c r="B99" s="2">
        <f>A99-$B$3</f>
        <v>45551.05978009259</v>
      </c>
      <c r="C99" s="1">
        <v>45551.05978009259</v>
      </c>
      <c r="D99" s="1">
        <f>C99-$E$2</f>
        <v>45550.184085648143</v>
      </c>
      <c r="E99" s="5">
        <v>214.9</v>
      </c>
      <c r="F99" s="5">
        <f>E99-$N$1</f>
        <v>2.5416666666666288</v>
      </c>
      <c r="G99" s="3">
        <v>10.161111111111111</v>
      </c>
      <c r="H99" s="3">
        <f>G99-$N$2</f>
        <v>0.96231481481481573</v>
      </c>
      <c r="I99" s="3">
        <f>ABS((F99+F98)/2)</f>
        <v>2.8916666666666231</v>
      </c>
      <c r="J99" s="3">
        <f>ABS((H99+H98)/2)</f>
        <v>1.032314814814816</v>
      </c>
      <c r="K99" s="3">
        <f t="shared" si="1"/>
        <v>0.3569964777457631</v>
      </c>
    </row>
    <row r="100" spans="1:11" x14ac:dyDescent="0.2">
      <c r="A100" s="2">
        <v>45551.311168981483</v>
      </c>
      <c r="B100" s="2">
        <f>A100-$B$3</f>
        <v>45551.061168981483</v>
      </c>
      <c r="C100" s="1">
        <v>45551.061168981483</v>
      </c>
      <c r="D100" s="1">
        <f>C100-$E$2</f>
        <v>45550.185474537036</v>
      </c>
      <c r="E100" s="5">
        <v>215</v>
      </c>
      <c r="F100" s="5">
        <f>E100-$N$1</f>
        <v>2.6416666666666231</v>
      </c>
      <c r="G100" s="3">
        <v>10.18</v>
      </c>
      <c r="H100" s="3">
        <f>G100-$N$2</f>
        <v>0.98120370370370402</v>
      </c>
      <c r="I100" s="3">
        <f>ABS((F100+F99)/2)</f>
        <v>2.5916666666666259</v>
      </c>
      <c r="J100" s="3">
        <f>ABS((H100+H99)/2)</f>
        <v>0.97175925925925988</v>
      </c>
      <c r="K100" s="3">
        <f t="shared" si="1"/>
        <v>0.37495534119328944</v>
      </c>
    </row>
    <row r="101" spans="1:11" x14ac:dyDescent="0.2">
      <c r="A101" s="2">
        <v>45551.312557870369</v>
      </c>
      <c r="B101" s="2">
        <f>A101-$B$3</f>
        <v>45551.062557870369</v>
      </c>
      <c r="C101" s="1">
        <v>45551.062557870369</v>
      </c>
      <c r="D101" s="1">
        <f>C101-$E$2</f>
        <v>45550.186863425923</v>
      </c>
      <c r="E101" s="5">
        <v>214.8</v>
      </c>
      <c r="F101" s="5">
        <f>E101-$N$1</f>
        <v>2.4416666666666345</v>
      </c>
      <c r="G101" s="3">
        <v>10.127777777777776</v>
      </c>
      <c r="H101" s="3">
        <f>G101-$N$2</f>
        <v>0.92898148148148074</v>
      </c>
      <c r="I101" s="3">
        <f>ABS((F101+F100)/2)</f>
        <v>2.5416666666666288</v>
      </c>
      <c r="J101" s="3">
        <f>ABS((H101+H100)/2)</f>
        <v>0.95509259259259238</v>
      </c>
      <c r="K101" s="3">
        <f t="shared" si="1"/>
        <v>0.37577413479053373</v>
      </c>
    </row>
    <row r="102" spans="1:11" x14ac:dyDescent="0.2">
      <c r="A102" s="2">
        <v>45551.313946759263</v>
      </c>
      <c r="B102" s="2">
        <f>A102-$B$3</f>
        <v>45551.063946759263</v>
      </c>
      <c r="C102" s="1">
        <v>45551.063946759263</v>
      </c>
      <c r="D102" s="1">
        <f>C102-$E$2</f>
        <v>45550.188252314816</v>
      </c>
      <c r="E102" s="5">
        <v>214.8</v>
      </c>
      <c r="F102" s="5">
        <f>E102-$N$1</f>
        <v>2.4416666666666345</v>
      </c>
      <c r="G102" s="3">
        <v>10.132222222222222</v>
      </c>
      <c r="H102" s="3">
        <f>G102-$N$2</f>
        <v>0.93342592592592588</v>
      </c>
      <c r="I102" s="3">
        <f>ABS((F102+F101)/2)</f>
        <v>2.4416666666666345</v>
      </c>
      <c r="J102" s="3">
        <f>ABS((H102+H101)/2)</f>
        <v>0.93120370370370331</v>
      </c>
      <c r="K102" s="3">
        <f t="shared" si="1"/>
        <v>0.38138035646568558</v>
      </c>
    </row>
    <row r="103" spans="1:11" x14ac:dyDescent="0.2">
      <c r="A103" s="2">
        <v>45551.315335648149</v>
      </c>
      <c r="B103" s="2">
        <f>A103-$B$3</f>
        <v>45551.065335648149</v>
      </c>
      <c r="C103" s="1">
        <v>45551.065335648149</v>
      </c>
      <c r="D103" s="1">
        <f>C103-$E$2</f>
        <v>45550.189641203702</v>
      </c>
      <c r="E103" s="5">
        <v>214.7</v>
      </c>
      <c r="F103" s="5">
        <f>E103-$N$1</f>
        <v>2.3416666666666117</v>
      </c>
      <c r="G103" s="3">
        <v>10.063333333333333</v>
      </c>
      <c r="H103" s="3">
        <f>G103-$N$2</f>
        <v>0.86453703703703688</v>
      </c>
      <c r="I103" s="3">
        <f>ABS((F103+F102)/2)</f>
        <v>2.3916666666666231</v>
      </c>
      <c r="J103" s="3">
        <f>ABS((H103+H102)/2)</f>
        <v>0.89898148148148138</v>
      </c>
      <c r="K103" s="3">
        <f t="shared" si="1"/>
        <v>0.37588075880759486</v>
      </c>
    </row>
    <row r="104" spans="1:11" x14ac:dyDescent="0.2">
      <c r="A104" s="2">
        <v>45551.316724537035</v>
      </c>
      <c r="B104" s="2">
        <f>A104-$B$3</f>
        <v>45551.066724537035</v>
      </c>
      <c r="C104" s="1">
        <v>45551.066724537035</v>
      </c>
      <c r="D104" s="1">
        <f>C104-$E$2</f>
        <v>45550.191030092588</v>
      </c>
      <c r="E104" s="5">
        <v>214.5</v>
      </c>
      <c r="F104" s="5">
        <f>E104-$N$1</f>
        <v>2.1416666666666231</v>
      </c>
      <c r="G104" s="3">
        <v>10.032222222222222</v>
      </c>
      <c r="H104" s="3">
        <f>G104-$N$2</f>
        <v>0.83342592592592624</v>
      </c>
      <c r="I104" s="3">
        <f>ABS((F104+F103)/2)</f>
        <v>2.2416666666666174</v>
      </c>
      <c r="J104" s="3">
        <f>ABS((H104+H103)/2)</f>
        <v>0.84898148148148156</v>
      </c>
      <c r="K104" s="3">
        <f t="shared" si="1"/>
        <v>0.37872779843040905</v>
      </c>
    </row>
    <row r="105" spans="1:11" x14ac:dyDescent="0.2">
      <c r="A105" s="2">
        <v>45551.318113425928</v>
      </c>
      <c r="B105" s="2">
        <f>A105-$B$3</f>
        <v>45551.068113425928</v>
      </c>
      <c r="C105" s="1">
        <v>45551.068113425928</v>
      </c>
      <c r="D105" s="1">
        <f>C105-$E$2</f>
        <v>45550.192418981482</v>
      </c>
      <c r="E105" s="5">
        <v>214.5</v>
      </c>
      <c r="F105" s="5">
        <f>E105-$N$1</f>
        <v>2.1416666666666231</v>
      </c>
      <c r="G105" s="3">
        <v>10.05777777777778</v>
      </c>
      <c r="H105" s="3">
        <f>G105-$N$2</f>
        <v>0.85898148148148401</v>
      </c>
      <c r="I105" s="3">
        <f>ABS((F105+F104)/2)</f>
        <v>2.1416666666666231</v>
      </c>
      <c r="J105" s="3">
        <f>ABS((H105+H104)/2)</f>
        <v>0.84620370370370512</v>
      </c>
      <c r="K105" s="3">
        <f t="shared" si="1"/>
        <v>0.39511456982274973</v>
      </c>
    </row>
    <row r="106" spans="1:11" x14ac:dyDescent="0.2">
      <c r="A106" s="2">
        <v>45551.319502314815</v>
      </c>
      <c r="B106" s="2">
        <f>A106-$B$3</f>
        <v>45551.069502314815</v>
      </c>
      <c r="C106" s="1">
        <v>45551.069502314815</v>
      </c>
      <c r="D106" s="1">
        <f>C106-$E$2</f>
        <v>45550.193807870368</v>
      </c>
      <c r="E106" s="5">
        <v>214.5</v>
      </c>
      <c r="F106" s="5">
        <f>E106-$N$1</f>
        <v>2.1416666666666231</v>
      </c>
      <c r="G106" s="3">
        <v>10.040000000000001</v>
      </c>
      <c r="H106" s="3">
        <f>G106-$N$2</f>
        <v>0.84120370370370523</v>
      </c>
      <c r="I106" s="3">
        <f>ABS((F106+F105)/2)</f>
        <v>2.1416666666666231</v>
      </c>
      <c r="J106" s="3">
        <f>ABS((H106+H105)/2)</f>
        <v>0.85009259259259462</v>
      </c>
      <c r="K106" s="3">
        <f t="shared" si="1"/>
        <v>0.39693039342845693</v>
      </c>
    </row>
    <row r="107" spans="1:11" x14ac:dyDescent="0.2">
      <c r="A107" s="2">
        <v>45551.320891203701</v>
      </c>
      <c r="B107" s="2">
        <f>A107-$B$3</f>
        <v>45551.070891203701</v>
      </c>
      <c r="C107" s="1">
        <v>45551.070891203701</v>
      </c>
      <c r="D107" s="1">
        <f>C107-$E$2</f>
        <v>45550.195196759254</v>
      </c>
      <c r="E107" s="5">
        <v>214.5</v>
      </c>
      <c r="F107" s="5">
        <f>E107-$N$1</f>
        <v>2.1416666666666231</v>
      </c>
      <c r="G107" s="3">
        <v>10.047777777777778</v>
      </c>
      <c r="H107" s="3">
        <f>G107-$N$2</f>
        <v>0.84898148148148245</v>
      </c>
      <c r="I107" s="3">
        <f>ABS((F107+F106)/2)</f>
        <v>2.1416666666666231</v>
      </c>
      <c r="J107" s="3">
        <f>ABS((H107+H106)/2)</f>
        <v>0.84509259259259384</v>
      </c>
      <c r="K107" s="3">
        <f t="shared" si="1"/>
        <v>0.39459576307826194</v>
      </c>
    </row>
    <row r="108" spans="1:11" x14ac:dyDescent="0.2">
      <c r="A108" s="2">
        <v>45551.322280092594</v>
      </c>
      <c r="B108" s="2">
        <f>A108-$B$3</f>
        <v>45551.072280092594</v>
      </c>
      <c r="C108" s="1">
        <v>45551.072280092594</v>
      </c>
      <c r="D108" s="1">
        <f>C108-$E$2</f>
        <v>45550.196585648147</v>
      </c>
      <c r="E108" s="5">
        <v>214.3</v>
      </c>
      <c r="F108" s="5">
        <f>E108-$N$1</f>
        <v>1.9416666666666345</v>
      </c>
      <c r="G108" s="3">
        <v>10.013333333333332</v>
      </c>
      <c r="H108" s="3">
        <f>G108-$N$2</f>
        <v>0.81453703703703617</v>
      </c>
      <c r="I108" s="3">
        <f>ABS((F108+F107)/2)</f>
        <v>2.0416666666666288</v>
      </c>
      <c r="J108" s="3">
        <f>ABS((H108+H107)/2)</f>
        <v>0.83175925925925931</v>
      </c>
      <c r="K108" s="3">
        <f t="shared" si="1"/>
        <v>0.40739229024944068</v>
      </c>
    </row>
    <row r="109" spans="1:11" x14ac:dyDescent="0.2">
      <c r="A109" s="2">
        <v>45551.32366898148</v>
      </c>
      <c r="B109" s="2">
        <f>A109-$B$3</f>
        <v>45551.07366898148</v>
      </c>
      <c r="C109" s="1">
        <v>45551.07366898148</v>
      </c>
      <c r="D109" s="1">
        <f>C109-$E$2</f>
        <v>45550.197974537034</v>
      </c>
      <c r="E109" s="5">
        <v>214.2</v>
      </c>
      <c r="F109" s="5">
        <f>E109-$N$1</f>
        <v>1.8416666666666117</v>
      </c>
      <c r="G109" s="3">
        <v>10.007777777777777</v>
      </c>
      <c r="H109" s="3">
        <f>G109-$N$2</f>
        <v>0.80898148148148152</v>
      </c>
      <c r="I109" s="3">
        <f>ABS((F109+F108)/2)</f>
        <v>1.8916666666666231</v>
      </c>
      <c r="J109" s="3">
        <f>ABS((H109+H108)/2)</f>
        <v>0.81175925925925885</v>
      </c>
      <c r="K109" s="3">
        <f t="shared" si="1"/>
        <v>0.42912383749389121</v>
      </c>
    </row>
    <row r="110" spans="1:11" x14ac:dyDescent="0.2">
      <c r="A110" s="2">
        <v>45551.325057870374</v>
      </c>
      <c r="B110" s="2">
        <f>A110-$B$3</f>
        <v>45551.075057870374</v>
      </c>
      <c r="C110" s="1">
        <v>45551.075057870374</v>
      </c>
      <c r="D110" s="1">
        <f>C110-$E$2</f>
        <v>45550.199363425927</v>
      </c>
      <c r="E110" s="5">
        <v>214</v>
      </c>
      <c r="F110" s="5">
        <f>E110-$N$1</f>
        <v>1.6416666666666231</v>
      </c>
      <c r="G110" s="3">
        <v>9.9588888888888878</v>
      </c>
      <c r="H110" s="3">
        <f>G110-$N$2</f>
        <v>0.7600925925925921</v>
      </c>
      <c r="I110" s="3">
        <f>ABS((F110+F109)/2)</f>
        <v>1.7416666666666174</v>
      </c>
      <c r="J110" s="3">
        <f>ABS((H110+H109)/2)</f>
        <v>0.78453703703703681</v>
      </c>
      <c r="K110" s="3">
        <f t="shared" si="1"/>
        <v>0.45045188729400515</v>
      </c>
    </row>
    <row r="111" spans="1:11" x14ac:dyDescent="0.2">
      <c r="A111" s="2">
        <v>45551.32644675926</v>
      </c>
      <c r="B111" s="2">
        <f>A111-$B$3</f>
        <v>45551.07644675926</v>
      </c>
      <c r="C111" s="1">
        <v>45551.07644675926</v>
      </c>
      <c r="D111" s="1">
        <f>C111-$E$2</f>
        <v>45550.200752314813</v>
      </c>
      <c r="E111" s="5">
        <v>214.1</v>
      </c>
      <c r="F111" s="5">
        <f>E111-$N$1</f>
        <v>1.7416666666666174</v>
      </c>
      <c r="G111" s="3">
        <v>9.9511111111111106</v>
      </c>
      <c r="H111" s="3">
        <f>G111-$N$2</f>
        <v>0.75231481481481488</v>
      </c>
      <c r="I111" s="3">
        <f>ABS((F111+F110)/2)</f>
        <v>1.6916666666666202</v>
      </c>
      <c r="J111" s="3">
        <f>ABS((H111+H110)/2)</f>
        <v>0.75620370370370349</v>
      </c>
      <c r="K111" s="3">
        <f t="shared" si="1"/>
        <v>0.44701696770663502</v>
      </c>
    </row>
    <row r="112" spans="1:11" x14ac:dyDescent="0.2">
      <c r="A112" s="2">
        <v>45551.327835648146</v>
      </c>
      <c r="B112" s="2">
        <f>A112-$B$3</f>
        <v>45551.077835648146</v>
      </c>
      <c r="C112" s="1">
        <v>45551.077835648146</v>
      </c>
      <c r="D112" s="1">
        <f>C112-$E$2</f>
        <v>45550.202141203699</v>
      </c>
      <c r="E112" s="5">
        <v>213.8</v>
      </c>
      <c r="F112" s="5">
        <f>E112-$N$1</f>
        <v>1.4416666666666345</v>
      </c>
      <c r="G112" s="3">
        <v>9.9244444444444433</v>
      </c>
      <c r="H112" s="3">
        <f>G112-$N$2</f>
        <v>0.7256481481481476</v>
      </c>
      <c r="I112" s="3">
        <f>ABS((F112+F111)/2)</f>
        <v>1.5916666666666259</v>
      </c>
      <c r="J112" s="3">
        <f>ABS((H112+H111)/2)</f>
        <v>0.73898148148148124</v>
      </c>
      <c r="K112" s="3">
        <f t="shared" si="1"/>
        <v>0.46428155904596868</v>
      </c>
    </row>
    <row r="113" spans="1:11" x14ac:dyDescent="0.2">
      <c r="A113" s="2">
        <v>45551.329224537039</v>
      </c>
      <c r="B113" s="2">
        <f>A113-$B$3</f>
        <v>45551.079224537039</v>
      </c>
      <c r="C113" s="1">
        <v>45551.079224537039</v>
      </c>
      <c r="D113" s="1">
        <f>C113-$E$2</f>
        <v>45550.203530092593</v>
      </c>
      <c r="E113" s="5">
        <v>213.9</v>
      </c>
      <c r="F113" s="5">
        <f>E113-$N$1</f>
        <v>1.5416666666666288</v>
      </c>
      <c r="G113" s="3">
        <v>9.9088888888888889</v>
      </c>
      <c r="H113" s="3">
        <f>G113-$N$2</f>
        <v>0.71009259259259316</v>
      </c>
      <c r="I113" s="3">
        <f>ABS((F113+F112)/2)</f>
        <v>1.4916666666666316</v>
      </c>
      <c r="J113" s="3">
        <f>ABS((H113+H112)/2)</f>
        <v>0.71787037037037038</v>
      </c>
      <c r="K113" s="3">
        <f t="shared" si="1"/>
        <v>0.48125387957791321</v>
      </c>
    </row>
    <row r="114" spans="1:11" x14ac:dyDescent="0.2">
      <c r="A114" s="2">
        <v>45551.330613425926</v>
      </c>
      <c r="B114" s="2">
        <f>A114-$B$3</f>
        <v>45551.080613425926</v>
      </c>
      <c r="C114" s="1">
        <v>45551.080613425926</v>
      </c>
      <c r="D114" s="1">
        <f>C114-$E$2</f>
        <v>45550.204918981479</v>
      </c>
      <c r="E114" s="5">
        <v>213.9</v>
      </c>
      <c r="F114" s="5">
        <f>E114-$N$1</f>
        <v>1.5416666666666288</v>
      </c>
      <c r="G114" s="3">
        <v>9.887777777777778</v>
      </c>
      <c r="H114" s="3">
        <f>G114-$N$2</f>
        <v>0.68898148148148231</v>
      </c>
      <c r="I114" s="3">
        <f>ABS((F114+F113)/2)</f>
        <v>1.5416666666666288</v>
      </c>
      <c r="J114" s="3">
        <f>ABS((H114+H113)/2)</f>
        <v>0.69953703703703773</v>
      </c>
      <c r="K114" s="3">
        <f t="shared" si="1"/>
        <v>0.45375375375376537</v>
      </c>
    </row>
    <row r="115" spans="1:11" x14ac:dyDescent="0.2">
      <c r="A115" s="2">
        <v>45551.332002314812</v>
      </c>
      <c r="B115" s="2">
        <f>A115-$B$3</f>
        <v>45551.082002314812</v>
      </c>
      <c r="C115" s="1">
        <v>45551.082002314812</v>
      </c>
      <c r="D115" s="1">
        <f>C115-$E$2</f>
        <v>45550.206307870365</v>
      </c>
      <c r="E115" s="5">
        <v>213.9</v>
      </c>
      <c r="F115" s="5">
        <f>E115-$N$1</f>
        <v>1.5416666666666288</v>
      </c>
      <c r="G115" s="3">
        <v>9.8811111111111121</v>
      </c>
      <c r="H115" s="3">
        <f>G115-$N$2</f>
        <v>0.68231481481481637</v>
      </c>
      <c r="I115" s="3">
        <f>ABS((F115+F114)/2)</f>
        <v>1.5416666666666288</v>
      </c>
      <c r="J115" s="3">
        <f>ABS((H115+H114)/2)</f>
        <v>0.68564814814814934</v>
      </c>
      <c r="K115" s="3">
        <f t="shared" si="1"/>
        <v>0.44474474474475645</v>
      </c>
    </row>
    <row r="116" spans="1:11" x14ac:dyDescent="0.2">
      <c r="A116" s="2">
        <v>45551.333391203705</v>
      </c>
      <c r="B116" s="2">
        <f>A116-$B$3</f>
        <v>45551.083391203705</v>
      </c>
      <c r="C116" s="1">
        <v>45551.083391203705</v>
      </c>
      <c r="D116" s="1">
        <f>C116-$E$2</f>
        <v>45550.207696759258</v>
      </c>
      <c r="E116" s="5">
        <v>213.6</v>
      </c>
      <c r="F116" s="5">
        <f>E116-$N$1</f>
        <v>1.2416666666666174</v>
      </c>
      <c r="G116" s="3">
        <v>9.8300000000000018</v>
      </c>
      <c r="H116" s="3">
        <f>G116-$N$2</f>
        <v>0.63120370370370615</v>
      </c>
      <c r="I116" s="3">
        <f>ABS((F116+F115)/2)</f>
        <v>1.3916666666666231</v>
      </c>
      <c r="J116" s="3">
        <f>ABS((H116+H115)/2)</f>
        <v>0.65675925925926126</v>
      </c>
      <c r="K116" s="3">
        <f t="shared" si="1"/>
        <v>0.47192282102463368</v>
      </c>
    </row>
    <row r="117" spans="1:11" x14ac:dyDescent="0.2">
      <c r="A117" s="2">
        <v>45551.334780092591</v>
      </c>
      <c r="B117" s="2">
        <f>A117-$B$3</f>
        <v>45551.084780092591</v>
      </c>
      <c r="C117" s="1">
        <v>45551.084780092591</v>
      </c>
      <c r="D117" s="1">
        <f>C117-$E$2</f>
        <v>45550.209085648145</v>
      </c>
      <c r="E117" s="5">
        <v>213.7</v>
      </c>
      <c r="F117" s="5">
        <f>E117-$N$1</f>
        <v>1.3416666666666117</v>
      </c>
      <c r="G117" s="3">
        <v>9.8244444444444454</v>
      </c>
      <c r="H117" s="3">
        <f>G117-$N$2</f>
        <v>0.62564814814814973</v>
      </c>
      <c r="I117" s="3">
        <f>ABS((F117+F116)/2)</f>
        <v>1.2916666666666146</v>
      </c>
      <c r="J117" s="3">
        <f>ABS((H117+H116)/2)</f>
        <v>0.62842592592592794</v>
      </c>
      <c r="K117" s="3">
        <f t="shared" si="1"/>
        <v>0.4865232974910606</v>
      </c>
    </row>
    <row r="118" spans="1:11" x14ac:dyDescent="0.2">
      <c r="A118" s="2">
        <v>45551.336168981485</v>
      </c>
      <c r="B118" s="2">
        <f>A118-$B$3</f>
        <v>45551.086168981485</v>
      </c>
      <c r="C118" s="1">
        <v>45551.086168981485</v>
      </c>
      <c r="D118" s="1">
        <f>C118-$E$2</f>
        <v>45550.210474537038</v>
      </c>
      <c r="E118" s="5">
        <v>213.6</v>
      </c>
      <c r="F118" s="5">
        <f>E118-$N$1</f>
        <v>1.2416666666666174</v>
      </c>
      <c r="G118" s="3">
        <v>9.83</v>
      </c>
      <c r="H118" s="3">
        <f>G118-$N$2</f>
        <v>0.63120370370370438</v>
      </c>
      <c r="I118" s="3">
        <f>ABS((F118+F117)/2)</f>
        <v>1.2916666666666146</v>
      </c>
      <c r="J118" s="3">
        <f>ABS((H118+H117)/2)</f>
        <v>0.62842592592592705</v>
      </c>
      <c r="K118" s="3">
        <f t="shared" si="1"/>
        <v>0.48652329749105994</v>
      </c>
    </row>
    <row r="119" spans="1:11" x14ac:dyDescent="0.2">
      <c r="A119" s="2">
        <v>45551.337557870371</v>
      </c>
      <c r="B119" s="2">
        <f>A119-$B$3</f>
        <v>45551.087557870371</v>
      </c>
      <c r="C119" s="1">
        <v>45551.087557870371</v>
      </c>
      <c r="D119" s="1">
        <f>C119-$E$2</f>
        <v>45550.211863425924</v>
      </c>
      <c r="E119" s="5">
        <v>213.3</v>
      </c>
      <c r="F119" s="5">
        <f>E119-$N$1</f>
        <v>0.94166666666663446</v>
      </c>
      <c r="G119" s="3">
        <v>9.785555555555554</v>
      </c>
      <c r="H119" s="3">
        <f>G119-$N$2</f>
        <v>0.58675925925925831</v>
      </c>
      <c r="I119" s="3">
        <f>ABS((F119+F118)/2)</f>
        <v>1.0916666666666259</v>
      </c>
      <c r="J119" s="3">
        <f>ABS((H119+H118)/2)</f>
        <v>0.60898148148148135</v>
      </c>
      <c r="K119" s="3">
        <f t="shared" si="1"/>
        <v>0.55784563189145409</v>
      </c>
    </row>
    <row r="120" spans="1:11" x14ac:dyDescent="0.2">
      <c r="A120" s="2">
        <v>45551.338946759257</v>
      </c>
      <c r="B120" s="2">
        <f>A120-$B$3</f>
        <v>45551.088946759257</v>
      </c>
      <c r="C120" s="1">
        <v>45551.088946759257</v>
      </c>
      <c r="D120" s="1">
        <f>C120-$E$2</f>
        <v>45550.21325231481</v>
      </c>
      <c r="E120" s="5">
        <v>213.4</v>
      </c>
      <c r="F120" s="5">
        <f>E120-$N$1</f>
        <v>1.0416666666666288</v>
      </c>
      <c r="G120" s="3">
        <v>9.818888888888889</v>
      </c>
      <c r="H120" s="3">
        <f>G120-$N$2</f>
        <v>0.62009259259259331</v>
      </c>
      <c r="I120" s="3">
        <f>ABS((F120+F119)/2)</f>
        <v>0.99166666666663161</v>
      </c>
      <c r="J120" s="3">
        <f>ABS((H120+H119)/2)</f>
        <v>0.60342592592592581</v>
      </c>
      <c r="K120" s="3">
        <f t="shared" si="1"/>
        <v>0.60849673202616517</v>
      </c>
    </row>
    <row r="121" spans="1:11" x14ac:dyDescent="0.2">
      <c r="A121" s="2">
        <v>45551.34033564815</v>
      </c>
      <c r="B121" s="2">
        <f>A121-$B$3</f>
        <v>45551.09033564815</v>
      </c>
      <c r="C121" s="1">
        <v>45551.09033564815</v>
      </c>
      <c r="D121" s="1">
        <f>C121-$E$2</f>
        <v>45550.214641203704</v>
      </c>
      <c r="E121" s="5">
        <v>213.4</v>
      </c>
      <c r="F121" s="5">
        <f>E121-$N$1</f>
        <v>1.0416666666666288</v>
      </c>
      <c r="G121" s="3">
        <v>9.7844444444444409</v>
      </c>
      <c r="H121" s="3">
        <f>G121-$N$2</f>
        <v>0.58564814814814525</v>
      </c>
      <c r="I121" s="3">
        <f>ABS((F121+F120)/2)</f>
        <v>1.0416666666666288</v>
      </c>
      <c r="J121" s="3">
        <f>ABS((H121+H120)/2)</f>
        <v>0.60287037037036928</v>
      </c>
      <c r="K121" s="3">
        <f t="shared" si="1"/>
        <v>0.57875555555557556</v>
      </c>
    </row>
    <row r="122" spans="1:11" x14ac:dyDescent="0.2">
      <c r="A122" s="2">
        <v>45551.341724537036</v>
      </c>
      <c r="B122" s="2">
        <f>A122-$B$3</f>
        <v>45551.091724537036</v>
      </c>
      <c r="C122" s="1">
        <v>45551.091724537036</v>
      </c>
      <c r="D122" s="1">
        <f>C122-$E$2</f>
        <v>45550.21603009259</v>
      </c>
      <c r="E122" s="5">
        <v>213.3</v>
      </c>
      <c r="F122" s="5">
        <f>E122-$N$1</f>
        <v>0.94166666666663446</v>
      </c>
      <c r="G122" s="3">
        <v>9.7777777777777786</v>
      </c>
      <c r="H122" s="3">
        <f>G122-$N$2</f>
        <v>0.57898148148148287</v>
      </c>
      <c r="I122" s="3">
        <f>ABS((F122+F121)/2)</f>
        <v>0.99166666666663161</v>
      </c>
      <c r="J122" s="3">
        <f>ABS((H122+H121)/2)</f>
        <v>0.58231481481481406</v>
      </c>
      <c r="K122" s="3">
        <f t="shared" si="1"/>
        <v>0.58720821662000133</v>
      </c>
    </row>
    <row r="123" spans="1:11" x14ac:dyDescent="0.2">
      <c r="A123" s="2">
        <v>45551.343113425923</v>
      </c>
      <c r="B123" s="2">
        <f>A123-$B$3</f>
        <v>45551.093113425923</v>
      </c>
      <c r="C123" s="1">
        <v>45551.093113425923</v>
      </c>
      <c r="D123" s="1">
        <f>C123-$E$2</f>
        <v>45550.217418981476</v>
      </c>
      <c r="E123" s="5">
        <v>213.1</v>
      </c>
      <c r="F123" s="5">
        <f>E123-$N$1</f>
        <v>0.7416666666666174</v>
      </c>
      <c r="G123" s="3">
        <v>9.7188888888888911</v>
      </c>
      <c r="H123" s="3">
        <f>G123-$N$2</f>
        <v>0.52009259259259544</v>
      </c>
      <c r="I123" s="3">
        <f>ABS((F123+F122)/2)</f>
        <v>0.84166666666662593</v>
      </c>
      <c r="J123" s="3">
        <f>ABS((H123+H122)/2)</f>
        <v>0.54953703703703916</v>
      </c>
      <c r="K123" s="3">
        <f t="shared" si="1"/>
        <v>0.65291529152918704</v>
      </c>
    </row>
    <row r="124" spans="1:11" x14ac:dyDescent="0.2">
      <c r="A124" s="2">
        <v>45551.344502314816</v>
      </c>
      <c r="B124" s="2">
        <f>A124-$B$3</f>
        <v>45551.094502314816</v>
      </c>
      <c r="C124" s="1">
        <v>45551.094502314816</v>
      </c>
      <c r="D124" s="1">
        <f>C124-$E$2</f>
        <v>45550.218807870369</v>
      </c>
      <c r="E124" s="5">
        <v>213.3</v>
      </c>
      <c r="F124" s="5">
        <f>E124-$N$1</f>
        <v>0.94166666666663446</v>
      </c>
      <c r="G124" s="3">
        <v>9.7444444444444454</v>
      </c>
      <c r="H124" s="3">
        <f>G124-$N$2</f>
        <v>0.54564814814814966</v>
      </c>
      <c r="I124" s="3">
        <f>ABS((F124+F123)/2)</f>
        <v>0.84166666666662593</v>
      </c>
      <c r="J124" s="3">
        <f>ABS((H124+H123)/2)</f>
        <v>0.53287037037037255</v>
      </c>
      <c r="K124" s="3">
        <f t="shared" si="1"/>
        <v>0.63311331133116633</v>
      </c>
    </row>
    <row r="125" spans="1:11" x14ac:dyDescent="0.2">
      <c r="A125" s="2">
        <v>45551.345891203702</v>
      </c>
      <c r="B125" s="2">
        <f>A125-$B$3</f>
        <v>45551.095891203702</v>
      </c>
      <c r="C125" s="1">
        <v>45551.095891203702</v>
      </c>
      <c r="D125" s="1">
        <f>C125-$E$2</f>
        <v>45550.220196759255</v>
      </c>
      <c r="E125" s="5">
        <v>213.3</v>
      </c>
      <c r="F125" s="5">
        <f>E125-$N$1</f>
        <v>0.94166666666663446</v>
      </c>
      <c r="G125" s="3">
        <v>9.7500000000000018</v>
      </c>
      <c r="H125" s="3">
        <f>G125-$N$2</f>
        <v>0.55120370370370608</v>
      </c>
      <c r="I125" s="3">
        <f>ABS((F125+F124)/2)</f>
        <v>0.94166666666663446</v>
      </c>
      <c r="J125" s="3">
        <f>ABS((H125+H124)/2)</f>
        <v>0.54842592592592787</v>
      </c>
      <c r="K125" s="3">
        <f t="shared" si="1"/>
        <v>0.58239921337268674</v>
      </c>
    </row>
    <row r="126" spans="1:11" x14ac:dyDescent="0.2">
      <c r="A126" s="2">
        <v>45551.347280092596</v>
      </c>
      <c r="B126" s="2">
        <f>A126-$B$3</f>
        <v>45551.097280092596</v>
      </c>
      <c r="C126" s="1">
        <v>45551.097280092596</v>
      </c>
      <c r="D126" s="1">
        <f>C126-$E$2</f>
        <v>45550.221585648149</v>
      </c>
      <c r="E126" s="5">
        <v>213</v>
      </c>
      <c r="F126" s="5">
        <f>E126-$N$1</f>
        <v>0.64166666666662309</v>
      </c>
      <c r="G126" s="3">
        <v>9.7211111111111119</v>
      </c>
      <c r="H126" s="3">
        <f>G126-$N$2</f>
        <v>0.52231481481481623</v>
      </c>
      <c r="I126" s="3">
        <f>ABS((F126+F125)/2)</f>
        <v>0.79166666666662877</v>
      </c>
      <c r="J126" s="3">
        <f>ABS((H126+H125)/2)</f>
        <v>0.53675925925926116</v>
      </c>
      <c r="K126" s="3">
        <f t="shared" si="1"/>
        <v>0.67801169590646759</v>
      </c>
    </row>
    <row r="127" spans="1:11" x14ac:dyDescent="0.2">
      <c r="A127" s="2">
        <v>45551.348668981482</v>
      </c>
      <c r="B127" s="2">
        <f>A127-$B$3</f>
        <v>45551.098668981482</v>
      </c>
      <c r="C127" s="1">
        <v>45551.098668981482</v>
      </c>
      <c r="D127" s="1">
        <f>C127-$E$2</f>
        <v>45550.222974537035</v>
      </c>
      <c r="E127" s="5">
        <v>213.1</v>
      </c>
      <c r="F127" s="5">
        <f>E127-$N$1</f>
        <v>0.7416666666666174</v>
      </c>
      <c r="G127" s="3">
        <v>9.7133333333333347</v>
      </c>
      <c r="H127" s="3">
        <f>G127-$N$2</f>
        <v>0.51453703703703901</v>
      </c>
      <c r="I127" s="3">
        <f>ABS((F127+F126)/2)</f>
        <v>0.69166666666662024</v>
      </c>
      <c r="J127" s="3">
        <f>ABS((H127+H126)/2)</f>
        <v>0.51842592592592762</v>
      </c>
      <c r="K127" s="3">
        <f t="shared" si="1"/>
        <v>0.74953145917006614</v>
      </c>
    </row>
    <row r="128" spans="1:11" x14ac:dyDescent="0.2">
      <c r="A128" s="2">
        <v>45551.350057870368</v>
      </c>
      <c r="B128" s="2">
        <f>A128-$B$3</f>
        <v>45551.100057870368</v>
      </c>
      <c r="C128" s="1">
        <v>45551.100057870368</v>
      </c>
      <c r="D128" s="1">
        <f>C128-$E$2</f>
        <v>45550.224363425921</v>
      </c>
      <c r="E128" s="5">
        <v>213</v>
      </c>
      <c r="F128" s="5">
        <f>E128-$N$1</f>
        <v>0.64166666666662309</v>
      </c>
      <c r="G128" s="3">
        <v>9.698888888888888</v>
      </c>
      <c r="H128" s="3">
        <f>G128-$N$2</f>
        <v>0.50009259259259231</v>
      </c>
      <c r="I128" s="3">
        <f>ABS((F128+F127)/2)</f>
        <v>0.69166666666662024</v>
      </c>
      <c r="J128" s="3">
        <f>ABS((H128+H127)/2)</f>
        <v>0.50731481481481566</v>
      </c>
      <c r="K128" s="3">
        <f t="shared" si="1"/>
        <v>0.73346720214195138</v>
      </c>
    </row>
    <row r="129" spans="1:11" x14ac:dyDescent="0.2">
      <c r="A129" s="2">
        <v>45551.351446759261</v>
      </c>
      <c r="B129" s="2">
        <f>A129-$B$3</f>
        <v>45551.101446759261</v>
      </c>
      <c r="C129" s="1">
        <v>45551.101446759261</v>
      </c>
      <c r="D129" s="1">
        <f>C129-$E$2</f>
        <v>45550.225752314815</v>
      </c>
      <c r="E129" s="5">
        <v>213</v>
      </c>
      <c r="F129" s="5">
        <f>E129-$N$1</f>
        <v>0.64166666666662309</v>
      </c>
      <c r="G129" s="3">
        <v>9.6833333333333336</v>
      </c>
      <c r="H129" s="3">
        <f>G129-$N$2</f>
        <v>0.48453703703703788</v>
      </c>
      <c r="I129" s="3">
        <f>ABS((F129+F128)/2)</f>
        <v>0.64166666666662309</v>
      </c>
      <c r="J129" s="3">
        <f>ABS((H129+H128)/2)</f>
        <v>0.49231481481481509</v>
      </c>
      <c r="K129" s="3">
        <f t="shared" si="1"/>
        <v>0.7672438672439198</v>
      </c>
    </row>
    <row r="130" spans="1:11" x14ac:dyDescent="0.2">
      <c r="A130" s="2">
        <v>45551.352835648147</v>
      </c>
      <c r="B130" s="2">
        <f>A130-$B$3</f>
        <v>45551.102835648147</v>
      </c>
      <c r="C130" s="1">
        <v>45551.102835648147</v>
      </c>
      <c r="D130" s="1">
        <f>C130-$E$2</f>
        <v>45550.227141203701</v>
      </c>
      <c r="E130" s="5">
        <v>213</v>
      </c>
      <c r="F130" s="5">
        <f>E130-$N$1</f>
        <v>0.64166666666662309</v>
      </c>
      <c r="G130" s="3">
        <v>9.69</v>
      </c>
      <c r="H130" s="3">
        <f>G130-$N$2</f>
        <v>0.49120370370370381</v>
      </c>
      <c r="I130" s="3">
        <f>ABS((F130+F129)/2)</f>
        <v>0.64166666666662309</v>
      </c>
      <c r="J130" s="3">
        <f>ABS((H130+H129)/2)</f>
        <v>0.48787037037037084</v>
      </c>
      <c r="K130" s="3">
        <f t="shared" si="1"/>
        <v>0.76031746031751268</v>
      </c>
    </row>
    <row r="131" spans="1:11" x14ac:dyDescent="0.2">
      <c r="A131" s="2">
        <v>45551.354224537034</v>
      </c>
      <c r="B131" s="2">
        <f>A131-$B$3</f>
        <v>45551.104224537034</v>
      </c>
      <c r="C131" s="1">
        <v>45551.104224537034</v>
      </c>
      <c r="D131" s="1">
        <f>C131-$E$2</f>
        <v>45550.228530092587</v>
      </c>
      <c r="E131" s="5">
        <v>213</v>
      </c>
      <c r="F131" s="5">
        <f>E131-$N$1</f>
        <v>0.64166666666662309</v>
      </c>
      <c r="G131" s="3">
        <v>9.68</v>
      </c>
      <c r="H131" s="3">
        <f>G131-$N$2</f>
        <v>0.48120370370370402</v>
      </c>
      <c r="I131" s="3">
        <f>ABS((F131+F130)/2)</f>
        <v>0.64166666666662309</v>
      </c>
      <c r="J131" s="3">
        <f>ABS((H131+H130)/2)</f>
        <v>0.48620370370370392</v>
      </c>
      <c r="K131" s="3">
        <f t="shared" si="1"/>
        <v>0.75772005772010953</v>
      </c>
    </row>
    <row r="132" spans="1:11" x14ac:dyDescent="0.2">
      <c r="A132" s="2">
        <v>45551.355613425927</v>
      </c>
      <c r="B132" s="2">
        <f>A132-$B$3</f>
        <v>45551.105613425927</v>
      </c>
      <c r="C132" s="1">
        <v>45551.105613425927</v>
      </c>
      <c r="D132" s="1">
        <f>C132-$E$2</f>
        <v>45550.22991898148</v>
      </c>
      <c r="E132" s="5">
        <v>213</v>
      </c>
      <c r="F132" s="5">
        <f>E132-$N$1</f>
        <v>0.64166666666662309</v>
      </c>
      <c r="G132" s="3">
        <v>9.6822222222222205</v>
      </c>
      <c r="H132" s="3">
        <f>G132-$N$2</f>
        <v>0.48342592592592482</v>
      </c>
      <c r="I132" s="3">
        <f>ABS((F132+F131)/2)</f>
        <v>0.64166666666662309</v>
      </c>
      <c r="J132" s="3">
        <f>ABS((H132+H131)/2)</f>
        <v>0.48231481481481442</v>
      </c>
      <c r="K132" s="3">
        <f t="shared" si="1"/>
        <v>0.7516594516595021</v>
      </c>
    </row>
    <row r="133" spans="1:11" x14ac:dyDescent="0.2">
      <c r="A133" s="2">
        <v>45551.357002314813</v>
      </c>
      <c r="B133" s="2">
        <f>A133-$B$3</f>
        <v>45551.107002314813</v>
      </c>
      <c r="C133" s="1">
        <v>45551.107002314813</v>
      </c>
      <c r="D133" s="1">
        <f>C133-$E$2</f>
        <v>45550.231307870366</v>
      </c>
      <c r="E133" s="5">
        <v>212.9</v>
      </c>
      <c r="F133" s="5">
        <f>E133-$N$1</f>
        <v>0.54166666666662877</v>
      </c>
      <c r="G133" s="3">
        <v>9.665555555555553</v>
      </c>
      <c r="H133" s="3">
        <f>G133-$N$2</f>
        <v>0.46675925925925732</v>
      </c>
      <c r="I133" s="3">
        <f>ABS((F133+F132)/2)</f>
        <v>0.59166666666662593</v>
      </c>
      <c r="J133" s="3">
        <f>ABS((H133+H132)/2)</f>
        <v>0.47509259259259107</v>
      </c>
      <c r="K133" s="3">
        <f t="shared" si="1"/>
        <v>0.8029733959311951</v>
      </c>
    </row>
    <row r="134" spans="1:11" x14ac:dyDescent="0.2">
      <c r="A134" s="2">
        <v>45551.358391203707</v>
      </c>
      <c r="B134" s="2">
        <f>A134-$B$3</f>
        <v>45551.108391203707</v>
      </c>
      <c r="C134" s="1">
        <v>45551.108391203707</v>
      </c>
      <c r="D134" s="1">
        <f>C134-$E$2</f>
        <v>45550.23269675926</v>
      </c>
      <c r="E134" s="5">
        <v>213</v>
      </c>
      <c r="F134" s="5">
        <f>E134-$N$1</f>
        <v>0.64166666666662309</v>
      </c>
      <c r="G134" s="3">
        <v>9.6788888888888902</v>
      </c>
      <c r="H134" s="3">
        <f>G134-$N$2</f>
        <v>0.48009259259259451</v>
      </c>
      <c r="I134" s="3">
        <f>ABS((F134+F133)/2)</f>
        <v>0.59166666666662593</v>
      </c>
      <c r="J134" s="3">
        <f>ABS((H134+H133)/2)</f>
        <v>0.47342592592592592</v>
      </c>
      <c r="K134" s="3">
        <f t="shared" si="1"/>
        <v>0.80015649452274673</v>
      </c>
    </row>
    <row r="135" spans="1:11" x14ac:dyDescent="0.2">
      <c r="A135" s="2">
        <v>45551.359780092593</v>
      </c>
      <c r="B135" s="2">
        <f>A135-$B$3</f>
        <v>45551.109780092593</v>
      </c>
      <c r="C135" s="1">
        <v>45551.109780092593</v>
      </c>
      <c r="D135" s="1">
        <f>C135-$E$2</f>
        <v>45550.234085648146</v>
      </c>
      <c r="E135" s="5">
        <v>212.9</v>
      </c>
      <c r="F135" s="5">
        <f>E135-$N$1</f>
        <v>0.54166666666662877</v>
      </c>
      <c r="G135" s="3">
        <v>9.6622222222222227</v>
      </c>
      <c r="H135" s="3">
        <f>G135-$N$2</f>
        <v>0.46342592592592702</v>
      </c>
      <c r="I135" s="3">
        <f>ABS((F135+F134)/2)</f>
        <v>0.59166666666662593</v>
      </c>
      <c r="J135" s="3">
        <f>ABS((H135+H134)/2)</f>
        <v>0.47175925925926077</v>
      </c>
      <c r="K135" s="3">
        <f t="shared" si="1"/>
        <v>0.79733959311429847</v>
      </c>
    </row>
    <row r="136" spans="1:11" x14ac:dyDescent="0.2">
      <c r="A136" s="2">
        <v>45551.361168981479</v>
      </c>
      <c r="B136" s="2">
        <f>A136-$B$3</f>
        <v>45551.111168981479</v>
      </c>
      <c r="C136" s="1">
        <v>45551.111168981479</v>
      </c>
      <c r="D136" s="1">
        <f>C136-$E$2</f>
        <v>45550.235474537032</v>
      </c>
      <c r="E136" s="5">
        <v>212.8</v>
      </c>
      <c r="F136" s="5">
        <f>E136-$N$1</f>
        <v>0.44166666666663446</v>
      </c>
      <c r="G136" s="3">
        <v>9.637777777777778</v>
      </c>
      <c r="H136" s="3">
        <f>G136-$N$2</f>
        <v>0.43898148148148231</v>
      </c>
      <c r="I136" s="3">
        <f>ABS((F136+F135)/2)</f>
        <v>0.49166666666663161</v>
      </c>
      <c r="J136" s="3">
        <f>ABS((H136+H135)/2)</f>
        <v>0.45120370370370466</v>
      </c>
      <c r="K136" s="3">
        <f t="shared" si="1"/>
        <v>0.91770244821099012</v>
      </c>
    </row>
    <row r="137" spans="1:11" x14ac:dyDescent="0.2">
      <c r="A137" s="2">
        <v>45551.362557870372</v>
      </c>
      <c r="B137" s="2">
        <f>A137-$B$3</f>
        <v>45551.112557870372</v>
      </c>
      <c r="C137" s="1">
        <v>45551.112557870372</v>
      </c>
      <c r="D137" s="1">
        <f>C137-$E$2</f>
        <v>45550.236863425926</v>
      </c>
      <c r="E137" s="5">
        <v>212.9</v>
      </c>
      <c r="F137" s="5">
        <f>E137-$N$1</f>
        <v>0.54166666666662877</v>
      </c>
      <c r="G137" s="3">
        <v>9.6311111111111103</v>
      </c>
      <c r="H137" s="3">
        <f>G137-$N$2</f>
        <v>0.4323148148148146</v>
      </c>
      <c r="I137" s="3">
        <f>ABS((F137+F136)/2)</f>
        <v>0.49166666666663161</v>
      </c>
      <c r="J137" s="3">
        <f>ABS((H137+H136)/2)</f>
        <v>0.43564814814814845</v>
      </c>
      <c r="K137" s="3">
        <f t="shared" si="1"/>
        <v>0.8860640301318905</v>
      </c>
    </row>
    <row r="138" spans="1:11" x14ac:dyDescent="0.2">
      <c r="A138" s="2">
        <v>45551.363946759258</v>
      </c>
      <c r="B138" s="2">
        <f>A138-$B$3</f>
        <v>45551.113946759258</v>
      </c>
      <c r="C138" s="1">
        <v>45551.113946759258</v>
      </c>
      <c r="D138" s="1">
        <f>C138-$E$2</f>
        <v>45550.238252314812</v>
      </c>
      <c r="E138" s="5">
        <v>212.6</v>
      </c>
      <c r="F138" s="5">
        <f>E138-$N$1</f>
        <v>0.2416666666666174</v>
      </c>
      <c r="G138" s="3">
        <v>9.6188888888888879</v>
      </c>
      <c r="H138" s="3">
        <f>G138-$N$2</f>
        <v>0.42009259259259224</v>
      </c>
      <c r="I138" s="3">
        <f>ABS((F138+F137)/2)</f>
        <v>0.39166666666662309</v>
      </c>
      <c r="J138" s="3">
        <f>ABS((H138+H137)/2)</f>
        <v>0.42620370370370342</v>
      </c>
      <c r="K138" s="3">
        <f t="shared" si="1"/>
        <v>1.0881796690308532</v>
      </c>
    </row>
    <row r="139" spans="1:11" x14ac:dyDescent="0.2">
      <c r="A139" s="2">
        <v>45551.365335648145</v>
      </c>
      <c r="B139" s="2">
        <f>A139-$B$3</f>
        <v>45551.115335648145</v>
      </c>
      <c r="C139" s="1">
        <v>45551.115335648145</v>
      </c>
      <c r="D139" s="1">
        <f>C139-$E$2</f>
        <v>45550.239641203698</v>
      </c>
      <c r="E139" s="5">
        <v>212.9</v>
      </c>
      <c r="F139" s="5">
        <f>E139-$N$1</f>
        <v>0.54166666666662877</v>
      </c>
      <c r="G139" s="3">
        <v>9.6199999999999992</v>
      </c>
      <c r="H139" s="3">
        <f>G139-$N$2</f>
        <v>0.42120370370370352</v>
      </c>
      <c r="I139" s="3">
        <f>ABS((F139+F138)/2)</f>
        <v>0.39166666666662309</v>
      </c>
      <c r="J139" s="3">
        <f>ABS((H139+H138)/2)</f>
        <v>0.42064814814814788</v>
      </c>
      <c r="K139" s="3">
        <f t="shared" si="1"/>
        <v>1.073995271867731</v>
      </c>
    </row>
    <row r="140" spans="1:11" x14ac:dyDescent="0.2">
      <c r="A140" s="2">
        <v>45551.366724537038</v>
      </c>
      <c r="B140" s="2">
        <f>A140-$B$3</f>
        <v>45551.116724537038</v>
      </c>
      <c r="C140" s="1">
        <v>45551.116724537038</v>
      </c>
      <c r="D140" s="1">
        <f>C140-$E$2</f>
        <v>45550.241030092591</v>
      </c>
      <c r="E140" s="5">
        <v>212.7</v>
      </c>
      <c r="F140" s="5">
        <f>E140-$N$1</f>
        <v>0.34166666666661172</v>
      </c>
      <c r="G140" s="3">
        <v>9.6422222222222231</v>
      </c>
      <c r="H140" s="3">
        <f>G140-$N$2</f>
        <v>0.44342592592592744</v>
      </c>
      <c r="I140" s="3">
        <f>ABS((F140+F139)/2)</f>
        <v>0.44166666666662024</v>
      </c>
      <c r="J140" s="3">
        <f>ABS((H140+H139)/2)</f>
        <v>0.43231481481481548</v>
      </c>
      <c r="K140" s="3">
        <f t="shared" si="1"/>
        <v>0.97882599580723229</v>
      </c>
    </row>
    <row r="141" spans="1:11" x14ac:dyDescent="0.2">
      <c r="A141" s="2">
        <v>45551.368113425924</v>
      </c>
      <c r="B141" s="2">
        <f>A141-$B$3</f>
        <v>45551.118113425924</v>
      </c>
      <c r="C141" s="1">
        <v>45551.118113425924</v>
      </c>
      <c r="D141" s="1">
        <f>C141-$E$2</f>
        <v>45550.242418981477</v>
      </c>
      <c r="E141" s="5">
        <v>212.7</v>
      </c>
      <c r="F141" s="5">
        <f>E141-$N$1</f>
        <v>0.34166666666661172</v>
      </c>
      <c r="G141" s="3">
        <v>9.6488888888888873</v>
      </c>
      <c r="H141" s="3">
        <f>G141-$N$2</f>
        <v>0.4500925925925916</v>
      </c>
      <c r="I141" s="3">
        <f>ABS((F141+F140)/2)</f>
        <v>0.34166666666661172</v>
      </c>
      <c r="J141" s="3">
        <f>ABS((H141+H140)/2)</f>
        <v>0.44675925925925952</v>
      </c>
      <c r="K141" s="3">
        <f t="shared" si="1"/>
        <v>1.3075880758809699</v>
      </c>
    </row>
    <row r="142" spans="1:11" x14ac:dyDescent="0.2">
      <c r="A142" s="2">
        <v>45551.369502314818</v>
      </c>
      <c r="B142" s="2">
        <f>A142-$B$3</f>
        <v>45551.119502314818</v>
      </c>
      <c r="C142" s="1">
        <v>45551.119502314818</v>
      </c>
      <c r="D142" s="1">
        <f>C142-$E$2</f>
        <v>45550.243807870371</v>
      </c>
      <c r="E142" s="5">
        <v>212.6</v>
      </c>
      <c r="F142" s="5">
        <f>E142-$N$1</f>
        <v>0.2416666666666174</v>
      </c>
      <c r="G142" s="3">
        <v>9.6111111111111107</v>
      </c>
      <c r="H142" s="3">
        <f>G142-$N$2</f>
        <v>0.41231481481481502</v>
      </c>
      <c r="I142" s="3">
        <f>ABS((F142+F141)/2)</f>
        <v>0.29166666666661456</v>
      </c>
      <c r="J142" s="3">
        <f>ABS((H142+H141)/2)</f>
        <v>0.43120370370370331</v>
      </c>
      <c r="K142" s="3">
        <f t="shared" si="1"/>
        <v>1.4784126984129611</v>
      </c>
    </row>
    <row r="143" spans="1:11" x14ac:dyDescent="0.2">
      <c r="A143" s="2">
        <v>45551.370891203704</v>
      </c>
      <c r="B143" s="2">
        <f>A143-$B$3</f>
        <v>45551.120891203704</v>
      </c>
      <c r="C143" s="1">
        <v>45551.120891203704</v>
      </c>
      <c r="D143" s="1">
        <f>C143-$E$2</f>
        <v>45550.245196759257</v>
      </c>
      <c r="E143" s="5">
        <v>212.5</v>
      </c>
      <c r="F143" s="5">
        <f>E143-$N$1</f>
        <v>0.14166666666662309</v>
      </c>
      <c r="G143" s="3">
        <v>9.5944444444444432</v>
      </c>
      <c r="H143" s="3">
        <f>G143-$N$2</f>
        <v>0.39564814814814753</v>
      </c>
      <c r="I143" s="3">
        <f>ABS((F143+F142)/2)</f>
        <v>0.19166666666662024</v>
      </c>
      <c r="J143" s="3">
        <f>ABS((H143+H142)/2)</f>
        <v>0.40398148148148127</v>
      </c>
      <c r="K143" s="3">
        <f t="shared" si="1"/>
        <v>2.1077294685995431</v>
      </c>
    </row>
    <row r="144" spans="1:11" x14ac:dyDescent="0.2">
      <c r="A144" s="2">
        <v>45551.37228009259</v>
      </c>
      <c r="B144" s="2">
        <f>A144-$B$3</f>
        <v>45551.12228009259</v>
      </c>
      <c r="C144" s="1">
        <v>45551.12228009259</v>
      </c>
      <c r="D144" s="1">
        <f>C144-$E$2</f>
        <v>45550.246585648143</v>
      </c>
      <c r="E144" s="5">
        <v>212.6</v>
      </c>
      <c r="F144" s="5">
        <f>E144-$N$1</f>
        <v>0.2416666666666174</v>
      </c>
      <c r="G144" s="3">
        <v>9.5711111111111116</v>
      </c>
      <c r="H144" s="3">
        <f>G144-$N$2</f>
        <v>0.37231481481481588</v>
      </c>
      <c r="I144" s="3">
        <f>ABS((F144+F143)/2)</f>
        <v>0.19166666666662024</v>
      </c>
      <c r="J144" s="3">
        <f>ABS((H144+H143)/2)</f>
        <v>0.3839814814814817</v>
      </c>
      <c r="K144" s="3">
        <f t="shared" si="1"/>
        <v>2.0033816425125637</v>
      </c>
    </row>
    <row r="145" spans="1:11" x14ac:dyDescent="0.2">
      <c r="A145" s="2">
        <v>45551.373668981483</v>
      </c>
      <c r="B145" s="2">
        <f>A145-$B$3</f>
        <v>45551.123668981483</v>
      </c>
      <c r="C145" s="1">
        <v>45551.123668981483</v>
      </c>
      <c r="D145" s="1">
        <f>C145-$E$2</f>
        <v>45550.247974537036</v>
      </c>
      <c r="E145" s="5">
        <v>212.6</v>
      </c>
      <c r="F145" s="5">
        <f>E145-$N$1</f>
        <v>0.2416666666666174</v>
      </c>
      <c r="G145" s="3">
        <v>9.5933333333333337</v>
      </c>
      <c r="H145" s="3">
        <f>G145-$N$2</f>
        <v>0.39453703703703802</v>
      </c>
      <c r="I145" s="3">
        <f>ABS((F145+F144)/2)</f>
        <v>0.2416666666666174</v>
      </c>
      <c r="J145" s="3">
        <f>ABS((H145+H144)/2)</f>
        <v>0.38342592592592695</v>
      </c>
      <c r="K145" s="3">
        <f t="shared" si="1"/>
        <v>1.586590038314504</v>
      </c>
    </row>
    <row r="146" spans="1:11" x14ac:dyDescent="0.2">
      <c r="A146" s="2">
        <v>45551.375057870369</v>
      </c>
      <c r="B146" s="2">
        <f>A146-$B$3</f>
        <v>45551.125057870369</v>
      </c>
      <c r="C146" s="1">
        <v>45551.125057870369</v>
      </c>
      <c r="D146" s="1">
        <f>C146-$E$2</f>
        <v>45550.249363425923</v>
      </c>
      <c r="E146" s="5">
        <v>212.6</v>
      </c>
      <c r="F146" s="5">
        <f>E146-$N$1</f>
        <v>0.2416666666666174</v>
      </c>
      <c r="G146" s="3">
        <v>9.5855555555555547</v>
      </c>
      <c r="H146" s="3">
        <f>G146-$N$2</f>
        <v>0.38675925925925903</v>
      </c>
      <c r="I146" s="3">
        <f>ABS((F146+F145)/2)</f>
        <v>0.2416666666666174</v>
      </c>
      <c r="J146" s="3">
        <f>ABS((H146+H145)/2)</f>
        <v>0.39064814814814852</v>
      </c>
      <c r="K146" s="3">
        <f t="shared" si="1"/>
        <v>1.6164750957857716</v>
      </c>
    </row>
    <row r="147" spans="1:11" x14ac:dyDescent="0.2">
      <c r="A147" s="2">
        <v>45551.376446759263</v>
      </c>
      <c r="B147" s="2">
        <f>A147-$B$3</f>
        <v>45551.126446759263</v>
      </c>
      <c r="C147" s="1">
        <v>45551.126446759263</v>
      </c>
      <c r="D147" s="1">
        <f>C147-$E$2</f>
        <v>45550.250752314816</v>
      </c>
      <c r="E147" s="5">
        <v>212.5</v>
      </c>
      <c r="F147" s="5">
        <f>E147-$N$1</f>
        <v>0.14166666666662309</v>
      </c>
      <c r="G147" s="3">
        <v>9.5666666666666682</v>
      </c>
      <c r="H147" s="3">
        <f>G147-$N$2</f>
        <v>0.36787037037037251</v>
      </c>
      <c r="I147" s="3">
        <f>ABS((F147+F146)/2)</f>
        <v>0.19166666666662024</v>
      </c>
      <c r="J147" s="3">
        <f>ABS((H147+H146)/2)</f>
        <v>0.37731481481481577</v>
      </c>
      <c r="K147" s="3">
        <f t="shared" si="1"/>
        <v>1.9685990338169068</v>
      </c>
    </row>
    <row r="148" spans="1:11" x14ac:dyDescent="0.2">
      <c r="A148" s="2">
        <v>45551.377835648149</v>
      </c>
      <c r="B148" s="2">
        <f>A148-$B$3</f>
        <v>45551.127835648149</v>
      </c>
      <c r="C148" s="1">
        <v>45551.127835648149</v>
      </c>
      <c r="D148" s="1">
        <f>C148-$E$2</f>
        <v>45550.252141203702</v>
      </c>
      <c r="E148" s="5">
        <v>212.3</v>
      </c>
      <c r="F148" s="5">
        <f>E148-$N$1</f>
        <v>-5.8333333333365545E-2</v>
      </c>
      <c r="G148" s="3">
        <v>9.5555555555555554</v>
      </c>
      <c r="H148" s="3">
        <f>G148-$N$2</f>
        <v>0.35675925925925966</v>
      </c>
      <c r="I148" s="3">
        <f>ABS((F148+F147)/2)</f>
        <v>4.1666666666628771E-2</v>
      </c>
      <c r="J148" s="3">
        <f>ABS((H148+H147)/2)</f>
        <v>0.36231481481481609</v>
      </c>
      <c r="K148" s="3">
        <f t="shared" si="1"/>
        <v>8.6955555555634945</v>
      </c>
    </row>
    <row r="149" spans="1:11" x14ac:dyDescent="0.2">
      <c r="A149" s="2">
        <v>45551.379224537035</v>
      </c>
      <c r="B149" s="2">
        <f>A149-$B$3</f>
        <v>45551.129224537035</v>
      </c>
      <c r="C149" s="1">
        <v>45551.129224537035</v>
      </c>
      <c r="D149" s="1">
        <f>C149-$E$2</f>
        <v>45550.253530092588</v>
      </c>
      <c r="E149" s="5">
        <v>212.5</v>
      </c>
      <c r="F149" s="5">
        <f>E149-$N$1</f>
        <v>0.14166666666662309</v>
      </c>
      <c r="G149" s="3">
        <v>9.5677777777777759</v>
      </c>
      <c r="H149" s="3">
        <f>G149-$N$2</f>
        <v>0.36898148148148024</v>
      </c>
      <c r="I149" s="3">
        <f>ABS((F149+F148)/2)</f>
        <v>4.1666666666628771E-2</v>
      </c>
      <c r="J149" s="3">
        <f>ABS((H149+H148)/2)</f>
        <v>0.36287037037036995</v>
      </c>
      <c r="K149" s="3">
        <f t="shared" si="1"/>
        <v>8.7088888888967997</v>
      </c>
    </row>
    <row r="150" spans="1:11" x14ac:dyDescent="0.2">
      <c r="A150" s="2">
        <v>45551.380613425928</v>
      </c>
      <c r="B150" s="2">
        <f>A150-$B$3</f>
        <v>45551.130613425928</v>
      </c>
      <c r="C150" s="1">
        <v>45551.130613425928</v>
      </c>
      <c r="D150" s="1">
        <f>C150-$E$2</f>
        <v>45550.254918981482</v>
      </c>
      <c r="E150" s="5">
        <v>212.6</v>
      </c>
      <c r="F150" s="5">
        <f>E150-$N$1</f>
        <v>0.2416666666666174</v>
      </c>
      <c r="G150" s="3">
        <v>9.576666666666668</v>
      </c>
      <c r="H150" s="3">
        <f>G150-$N$2</f>
        <v>0.3778703703703723</v>
      </c>
      <c r="I150" s="3">
        <f>ABS((F150+F149)/2)</f>
        <v>0.19166666666662024</v>
      </c>
      <c r="J150" s="3">
        <f>ABS((H150+H149)/2)</f>
        <v>0.37342592592592627</v>
      </c>
      <c r="K150" s="3">
        <f t="shared" si="1"/>
        <v>1.9483091787444351</v>
      </c>
    </row>
    <row r="151" spans="1:11" x14ac:dyDescent="0.2">
      <c r="A151" s="2">
        <v>45551.382002314815</v>
      </c>
      <c r="B151" s="2">
        <f>A151-$B$3</f>
        <v>45551.132002314815</v>
      </c>
      <c r="C151" s="1">
        <v>45551.132002314815</v>
      </c>
      <c r="D151" s="1">
        <f>C151-$E$2</f>
        <v>45550.256307870368</v>
      </c>
      <c r="E151" s="5">
        <v>212.5</v>
      </c>
      <c r="F151" s="5">
        <f>E151-$N$1</f>
        <v>0.14166666666662309</v>
      </c>
      <c r="G151" s="3">
        <v>9.5577777777777797</v>
      </c>
      <c r="H151" s="3">
        <f>G151-$N$2</f>
        <v>0.35898148148148401</v>
      </c>
      <c r="I151" s="3">
        <f>ABS((F151+F150)/2)</f>
        <v>0.19166666666662024</v>
      </c>
      <c r="J151" s="3">
        <f>ABS((H151+H150)/2)</f>
        <v>0.36842592592592815</v>
      </c>
      <c r="K151" s="3">
        <f t="shared" si="1"/>
        <v>1.9222222222226995</v>
      </c>
    </row>
    <row r="152" spans="1:11" x14ac:dyDescent="0.2">
      <c r="A152" s="2">
        <v>45551.383391203701</v>
      </c>
      <c r="B152" s="2">
        <f>A152-$B$3</f>
        <v>45551.133391203701</v>
      </c>
      <c r="C152" s="1">
        <v>45551.133391203701</v>
      </c>
      <c r="D152" s="1">
        <f>C152-$E$2</f>
        <v>45550.257696759254</v>
      </c>
      <c r="E152" s="5">
        <v>212.3</v>
      </c>
      <c r="F152" s="5">
        <f>E152-$N$1</f>
        <v>-5.8333333333365545E-2</v>
      </c>
      <c r="G152" s="3">
        <v>9.5455555555555556</v>
      </c>
      <c r="H152" s="3">
        <f>G152-$N$2</f>
        <v>0.34675925925925988</v>
      </c>
      <c r="I152" s="3">
        <f>ABS((F152+F151)/2)</f>
        <v>4.1666666666628771E-2</v>
      </c>
      <c r="J152" s="3">
        <f>ABS((H152+H151)/2)</f>
        <v>0.35287037037037194</v>
      </c>
      <c r="K152" s="3">
        <f t="shared" ref="K152:K161" si="2">J152/I152</f>
        <v>8.4688888888966289</v>
      </c>
    </row>
    <row r="153" spans="1:11" x14ac:dyDescent="0.2">
      <c r="A153" s="2">
        <v>45551.384780092594</v>
      </c>
      <c r="B153" s="2">
        <f>A153-$B$3</f>
        <v>45551.134780092594</v>
      </c>
      <c r="C153" s="1">
        <v>45551.134780092594</v>
      </c>
      <c r="D153" s="1">
        <f>C153-$E$2</f>
        <v>45550.259085648147</v>
      </c>
      <c r="E153" s="5">
        <v>212.2</v>
      </c>
      <c r="F153" s="5">
        <f>E153-$N$1</f>
        <v>-0.15833333333338828</v>
      </c>
      <c r="G153" s="3">
        <v>9.5444444444444443</v>
      </c>
      <c r="H153" s="3">
        <f>G153-$N$2</f>
        <v>0.34564814814814859</v>
      </c>
      <c r="I153" s="3">
        <f>ABS((F153+F152)/2)</f>
        <v>0.10833333333337691</v>
      </c>
      <c r="J153" s="3">
        <f>ABS((H153+H152)/2)</f>
        <v>0.34620370370370424</v>
      </c>
      <c r="K153" s="3">
        <f t="shared" si="2"/>
        <v>3.1957264957252152</v>
      </c>
    </row>
    <row r="154" spans="1:11" x14ac:dyDescent="0.2">
      <c r="A154" s="2">
        <v>45551.38616898148</v>
      </c>
      <c r="B154" s="2">
        <f>A154-$B$3</f>
        <v>45551.13616898148</v>
      </c>
      <c r="C154" s="1">
        <v>45551.13616898148</v>
      </c>
      <c r="D154" s="1">
        <f>C154-$E$2</f>
        <v>45550.260474537034</v>
      </c>
      <c r="E154" s="5">
        <v>212.2</v>
      </c>
      <c r="F154" s="5">
        <f>E154-$N$1</f>
        <v>-0.15833333333338828</v>
      </c>
      <c r="G154" s="3">
        <v>9.5222222222222204</v>
      </c>
      <c r="H154" s="3">
        <f>G154-$N$2</f>
        <v>0.32342592592592467</v>
      </c>
      <c r="I154" s="3">
        <f>ABS((F154+F153)/2)</f>
        <v>0.15833333333338828</v>
      </c>
      <c r="J154" s="3">
        <f>ABS((H154+H153)/2)</f>
        <v>0.33453703703703663</v>
      </c>
      <c r="K154" s="3">
        <f t="shared" si="2"/>
        <v>2.1128654970752874</v>
      </c>
    </row>
    <row r="155" spans="1:11" x14ac:dyDescent="0.2">
      <c r="A155" s="2">
        <v>45551.387557870374</v>
      </c>
      <c r="B155" s="2">
        <f>A155-$B$3</f>
        <v>45551.137557870374</v>
      </c>
      <c r="C155" s="1">
        <v>45551.137557870374</v>
      </c>
      <c r="D155" s="1">
        <f>C155-$E$2</f>
        <v>45550.261863425927</v>
      </c>
      <c r="E155" s="5">
        <v>212.3</v>
      </c>
      <c r="F155" s="5">
        <f>E155-$N$1</f>
        <v>-5.8333333333365545E-2</v>
      </c>
      <c r="G155" s="3">
        <v>9.5277777777777786</v>
      </c>
      <c r="H155" s="3">
        <f>G155-$N$2</f>
        <v>0.32898148148148287</v>
      </c>
      <c r="I155" s="3">
        <f>ABS((F155+F154)/2)</f>
        <v>0.10833333333337691</v>
      </c>
      <c r="J155" s="3">
        <f>ABS((H155+H154)/2)</f>
        <v>0.32620370370370377</v>
      </c>
      <c r="K155" s="3">
        <f t="shared" si="2"/>
        <v>3.0111111111099005</v>
      </c>
    </row>
    <row r="156" spans="1:11" x14ac:dyDescent="0.2">
      <c r="A156" s="2">
        <v>45551.38894675926</v>
      </c>
      <c r="B156" s="2">
        <f>A156-$B$3</f>
        <v>45551.13894675926</v>
      </c>
      <c r="C156" s="1">
        <v>45551.13894675926</v>
      </c>
      <c r="D156" s="1">
        <f>C156-$E$2</f>
        <v>45550.263252314813</v>
      </c>
      <c r="E156" s="5">
        <v>212.1</v>
      </c>
      <c r="F156" s="5">
        <f>E156-$N$1</f>
        <v>-0.2583333333333826</v>
      </c>
      <c r="G156" s="3">
        <v>9.5544444444444423</v>
      </c>
      <c r="H156" s="3">
        <f>G156-$N$2</f>
        <v>0.3556481481481466</v>
      </c>
      <c r="I156" s="3">
        <f>ABS((F156+F155)/2)</f>
        <v>0.15833333333337407</v>
      </c>
      <c r="J156" s="3">
        <f>ABS((H156+H155)/2)</f>
        <v>0.34231481481481474</v>
      </c>
      <c r="K156" s="3">
        <f t="shared" si="2"/>
        <v>2.1619883040930103</v>
      </c>
    </row>
    <row r="157" spans="1:11" x14ac:dyDescent="0.2">
      <c r="A157" s="2">
        <v>45551.390335648146</v>
      </c>
      <c r="B157" s="2">
        <f>A157-$B$3</f>
        <v>45551.140335648146</v>
      </c>
      <c r="C157" s="1">
        <v>45551.140335648146</v>
      </c>
      <c r="D157" s="1">
        <f>C157-$E$2</f>
        <v>45550.264641203699</v>
      </c>
      <c r="E157" s="5">
        <v>212.3</v>
      </c>
      <c r="F157" s="5">
        <f>E157-$N$1</f>
        <v>-5.8333333333365545E-2</v>
      </c>
      <c r="G157" s="3">
        <v>9.5311111111111106</v>
      </c>
      <c r="H157" s="3">
        <f>G157-$N$2</f>
        <v>0.33231481481481495</v>
      </c>
      <c r="I157" s="3">
        <f>ABS((F157+F156)/2)</f>
        <v>0.15833333333337407</v>
      </c>
      <c r="J157" s="3">
        <f>ABS((H157+H156)/2)</f>
        <v>0.34398148148148078</v>
      </c>
      <c r="K157" s="3">
        <f t="shared" si="2"/>
        <v>2.1725146198824774</v>
      </c>
    </row>
    <row r="158" spans="1:11" x14ac:dyDescent="0.2">
      <c r="A158" s="2">
        <v>45551.391724537039</v>
      </c>
      <c r="B158" s="2">
        <f>A158-$B$3</f>
        <v>45551.141724537039</v>
      </c>
      <c r="C158" s="1">
        <v>45551.141724537039</v>
      </c>
      <c r="D158" s="1">
        <f>C158-$E$2</f>
        <v>45550.266030092593</v>
      </c>
      <c r="E158" s="5">
        <v>212.3</v>
      </c>
      <c r="F158" s="5">
        <f>E158-$N$1</f>
        <v>-5.8333333333365545E-2</v>
      </c>
      <c r="G158" s="3">
        <v>9.5244444444444447</v>
      </c>
      <c r="H158" s="3">
        <f>G158-$N$2</f>
        <v>0.32564814814814902</v>
      </c>
      <c r="I158" s="3">
        <f>ABS((F158+F157)/2)</f>
        <v>5.8333333333365545E-2</v>
      </c>
      <c r="J158" s="3">
        <f>ABS((H158+H157)/2)</f>
        <v>0.32898148148148199</v>
      </c>
      <c r="K158" s="3">
        <f t="shared" si="2"/>
        <v>5.6396825396794341</v>
      </c>
    </row>
    <row r="159" spans="1:11" x14ac:dyDescent="0.2">
      <c r="A159" s="2">
        <v>45551.393113425926</v>
      </c>
      <c r="B159" s="2">
        <f>A159-$B$3</f>
        <v>45551.143113425926</v>
      </c>
      <c r="C159" s="1">
        <v>45551.143113425926</v>
      </c>
      <c r="D159" s="1">
        <f>C159-$E$2</f>
        <v>45550.267418981479</v>
      </c>
      <c r="E159" s="5">
        <v>212.3</v>
      </c>
      <c r="F159" s="5">
        <f>E159-$N$1</f>
        <v>-5.8333333333365545E-2</v>
      </c>
      <c r="G159" s="3">
        <v>9.5288888888888899</v>
      </c>
      <c r="H159" s="3">
        <f>G159-$N$2</f>
        <v>0.33009259259259416</v>
      </c>
      <c r="I159" s="3">
        <f>ABS((F159+F158)/2)</f>
        <v>5.8333333333365545E-2</v>
      </c>
      <c r="J159" s="3">
        <f>ABS((H159+H158)/2)</f>
        <v>0.32787037037037159</v>
      </c>
      <c r="K159" s="3">
        <f t="shared" si="2"/>
        <v>5.6206349206318382</v>
      </c>
    </row>
    <row r="160" spans="1:11" x14ac:dyDescent="0.2">
      <c r="A160" s="2">
        <v>45551.394502314812</v>
      </c>
      <c r="B160" s="2">
        <f>A160-$B$3</f>
        <v>45551.144502314812</v>
      </c>
      <c r="C160" s="1">
        <v>45551.144502314812</v>
      </c>
      <c r="D160" s="1">
        <f>C160-$E$2</f>
        <v>45550.268807870365</v>
      </c>
      <c r="E160" s="5">
        <v>212.1</v>
      </c>
      <c r="F160" s="5">
        <f>E160-$N$1</f>
        <v>-0.2583333333333826</v>
      </c>
      <c r="G160" s="3">
        <v>9.5133333333333319</v>
      </c>
      <c r="H160" s="3">
        <f>G160-$N$2</f>
        <v>0.31453703703703617</v>
      </c>
      <c r="I160" s="3">
        <f>ABS((F160+F159)/2)</f>
        <v>0.15833333333337407</v>
      </c>
      <c r="J160" s="3">
        <f>ABS((H160+H159)/2)</f>
        <v>0.32231481481481516</v>
      </c>
      <c r="K160" s="3">
        <f t="shared" si="2"/>
        <v>2.0356725146193613</v>
      </c>
    </row>
    <row r="161" spans="1:12" x14ac:dyDescent="0.2">
      <c r="A161" s="2">
        <v>45551.395891203705</v>
      </c>
      <c r="B161" s="2">
        <f>A161-$B$3</f>
        <v>45551.145891203705</v>
      </c>
      <c r="C161" s="1">
        <v>45551.145891203705</v>
      </c>
      <c r="D161" s="1">
        <f>C161-$E$2</f>
        <v>45550.270196759258</v>
      </c>
      <c r="E161" s="5">
        <v>212.2</v>
      </c>
      <c r="F161" s="5">
        <f>E161-$N$1</f>
        <v>-0.15833333333338828</v>
      </c>
      <c r="G161" s="3">
        <v>9.5088888888888885</v>
      </c>
      <c r="H161" s="3">
        <f>G161-$N$2</f>
        <v>0.31009259259259281</v>
      </c>
      <c r="I161" s="3">
        <f>ABS((F161+F160)/2)</f>
        <v>0.20833333333338544</v>
      </c>
      <c r="J161" s="3">
        <f>ABS((H161+H160)/2)</f>
        <v>0.31231481481481449</v>
      </c>
      <c r="K161" s="3">
        <f t="shared" si="2"/>
        <v>1.4991111111107347</v>
      </c>
    </row>
    <row r="162" spans="1:12" x14ac:dyDescent="0.2">
      <c r="I162" s="4"/>
    </row>
    <row r="163" spans="1:12" x14ac:dyDescent="0.2">
      <c r="I163" s="3">
        <f>SUM(I23:I161)*2</f>
        <v>1261.4833333333227</v>
      </c>
      <c r="J163" s="3">
        <f>SUM(J23:J161)*2</f>
        <v>408.62129629629652</v>
      </c>
      <c r="K163" s="3"/>
      <c r="L163" s="3">
        <f>J163/I163</f>
        <v>0.32392128020951522</v>
      </c>
    </row>
    <row r="164" spans="1:12" x14ac:dyDescent="0.2">
      <c r="I164" t="s">
        <v>3</v>
      </c>
      <c r="J164" t="s">
        <v>2</v>
      </c>
      <c r="L164" t="s">
        <v>1</v>
      </c>
    </row>
    <row r="165" spans="1:12" x14ac:dyDescent="0.2">
      <c r="I165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EEF4E-A344-AE4C-94BA-CA53E923FB8D}">
  <dimension ref="A1:S143"/>
  <sheetViews>
    <sheetView tabSelected="1" workbookViewId="0">
      <selection activeCell="Q3" sqref="Q3"/>
    </sheetView>
  </sheetViews>
  <sheetFormatPr baseColWidth="10" defaultRowHeight="16" x14ac:dyDescent="0.2"/>
  <cols>
    <col min="1" max="1" width="15.1640625" style="27" customWidth="1"/>
    <col min="17" max="17" width="12.1640625" bestFit="1" customWidth="1"/>
  </cols>
  <sheetData>
    <row r="1" spans="1:19" x14ac:dyDescent="0.2">
      <c r="A1" s="27" t="s">
        <v>37</v>
      </c>
      <c r="B1" t="s">
        <v>38</v>
      </c>
      <c r="C1" t="s">
        <v>39</v>
      </c>
      <c r="D1" s="5" t="s">
        <v>40</v>
      </c>
      <c r="E1" s="5" t="s">
        <v>41</v>
      </c>
      <c r="F1" s="3" t="s">
        <v>42</v>
      </c>
      <c r="G1" s="3" t="s">
        <v>43</v>
      </c>
      <c r="H1" t="s">
        <v>8</v>
      </c>
      <c r="I1" t="s">
        <v>7</v>
      </c>
      <c r="J1" s="3" t="s">
        <v>47</v>
      </c>
      <c r="K1" s="3" t="s">
        <v>21</v>
      </c>
      <c r="L1" t="s">
        <v>5</v>
      </c>
      <c r="M1" t="s">
        <v>44</v>
      </c>
      <c r="N1" t="s">
        <v>24</v>
      </c>
      <c r="O1" t="s">
        <v>45</v>
      </c>
      <c r="P1" t="s">
        <v>27</v>
      </c>
      <c r="Q1" t="s">
        <v>46</v>
      </c>
      <c r="R1" t="s">
        <v>35</v>
      </c>
      <c r="S1" t="s">
        <v>36</v>
      </c>
    </row>
    <row r="2" spans="1:19" s="6" customFormat="1" x14ac:dyDescent="0.2">
      <c r="A2" s="28">
        <v>45550.950057870374</v>
      </c>
      <c r="B2" s="29">
        <v>45550.95</v>
      </c>
      <c r="C2" s="10">
        <v>7.4305555555555555E-2</v>
      </c>
      <c r="D2" s="9">
        <v>212.4</v>
      </c>
      <c r="E2" s="9">
        <v>4.1666666666628771E-2</v>
      </c>
      <c r="F2" s="8">
        <v>9.206666666666667</v>
      </c>
      <c r="G2" s="8">
        <v>0</v>
      </c>
      <c r="J2" s="8"/>
      <c r="K2" s="8"/>
      <c r="L2" s="6" t="s">
        <v>4</v>
      </c>
      <c r="M2" s="9">
        <v>212.35833333333338</v>
      </c>
      <c r="N2" s="8">
        <v>9.1987962962962957</v>
      </c>
      <c r="O2" s="6">
        <f>(22.77-0.08)*1000*2060</f>
        <v>46741400</v>
      </c>
      <c r="P2" s="6">
        <f>(1250*0.97)</f>
        <v>1212.5</v>
      </c>
      <c r="Q2" s="6">
        <f>P2/O2</f>
        <v>2.5940600837801179E-5</v>
      </c>
      <c r="R2" s="6">
        <v>900</v>
      </c>
      <c r="S2" s="6">
        <v>17.5</v>
      </c>
    </row>
    <row r="3" spans="1:19" s="34" customFormat="1" x14ac:dyDescent="0.2">
      <c r="A3" s="30">
        <v>45550.95144675926</v>
      </c>
      <c r="B3" s="31">
        <v>45550.95144675926</v>
      </c>
      <c r="C3" s="31">
        <v>45550.075752314813</v>
      </c>
      <c r="D3" s="32">
        <v>212.4</v>
      </c>
      <c r="E3" s="32">
        <v>4.1666666666628771E-2</v>
      </c>
      <c r="F3" s="33">
        <v>9.2177777777777781</v>
      </c>
      <c r="G3" s="33">
        <v>1.8981481481482376E-2</v>
      </c>
    </row>
    <row r="4" spans="1:19" x14ac:dyDescent="0.2">
      <c r="A4" s="27">
        <v>45550.952835648146</v>
      </c>
      <c r="B4" s="1">
        <v>45550.952835648146</v>
      </c>
      <c r="C4" s="1">
        <v>45550.077141203699</v>
      </c>
      <c r="D4" s="5">
        <v>212.4</v>
      </c>
      <c r="E4" s="5">
        <v>4.1666666666628771E-2</v>
      </c>
      <c r="F4" s="3">
        <v>9.2266666666666666</v>
      </c>
      <c r="G4" s="3">
        <v>2.7870370370370878E-2</v>
      </c>
    </row>
    <row r="5" spans="1:19" x14ac:dyDescent="0.2">
      <c r="A5" s="27">
        <v>45550.954224537039</v>
      </c>
      <c r="B5" s="1">
        <v>45550.954224537039</v>
      </c>
      <c r="C5" s="1">
        <v>45550.078530092593</v>
      </c>
      <c r="D5" s="5">
        <v>212.5</v>
      </c>
      <c r="E5" s="5">
        <v>0.14166666666662309</v>
      </c>
      <c r="F5" s="3">
        <v>9.2477777777777774</v>
      </c>
      <c r="G5" s="3">
        <v>4.8981481481481737E-2</v>
      </c>
    </row>
    <row r="6" spans="1:19" x14ac:dyDescent="0.2">
      <c r="A6" s="27">
        <v>45550.955613425926</v>
      </c>
      <c r="B6" s="1">
        <v>45550.955613425926</v>
      </c>
      <c r="C6" s="1">
        <v>45550.079918981479</v>
      </c>
      <c r="D6" s="5">
        <v>212.7</v>
      </c>
      <c r="E6" s="5">
        <v>0.34166666666661172</v>
      </c>
      <c r="F6" s="3">
        <v>9.3055555555555554</v>
      </c>
      <c r="G6" s="3">
        <v>0.10675925925925966</v>
      </c>
    </row>
    <row r="7" spans="1:19" x14ac:dyDescent="0.2">
      <c r="A7" s="27">
        <v>45550.957002314812</v>
      </c>
      <c r="B7" s="1">
        <v>45550.957002314812</v>
      </c>
      <c r="C7" s="1">
        <v>45550.081307870365</v>
      </c>
      <c r="D7" s="5">
        <v>213.1</v>
      </c>
      <c r="E7" s="5">
        <v>0.7416666666666174</v>
      </c>
      <c r="F7" s="3">
        <v>9.3733333333333348</v>
      </c>
      <c r="G7" s="3">
        <v>0.17453703703703916</v>
      </c>
    </row>
    <row r="8" spans="1:19" x14ac:dyDescent="0.2">
      <c r="A8" s="27">
        <v>45550.958391203705</v>
      </c>
      <c r="B8" s="1">
        <v>45550.958391203705</v>
      </c>
      <c r="C8" s="1">
        <v>45550.082696759258</v>
      </c>
      <c r="D8" s="5">
        <v>213.7</v>
      </c>
      <c r="E8" s="5">
        <v>1.3416666666666117</v>
      </c>
      <c r="F8" s="3">
        <v>9.5344444444444445</v>
      </c>
      <c r="G8" s="3">
        <v>0.33564814814814881</v>
      </c>
    </row>
    <row r="9" spans="1:19" x14ac:dyDescent="0.2">
      <c r="A9" s="27">
        <v>45550.959780092591</v>
      </c>
      <c r="B9" s="1">
        <v>45550.959780092591</v>
      </c>
      <c r="C9" s="1">
        <v>45550.084085648145</v>
      </c>
      <c r="D9" s="5">
        <v>214.2</v>
      </c>
      <c r="E9" s="5">
        <v>1.8416666666666117</v>
      </c>
      <c r="F9" s="3">
        <v>9.7133333333333329</v>
      </c>
      <c r="G9" s="3">
        <v>0.51453703703703724</v>
      </c>
    </row>
    <row r="10" spans="1:19" x14ac:dyDescent="0.2">
      <c r="A10" s="27">
        <v>45550.961168981485</v>
      </c>
      <c r="B10" s="1">
        <v>45550.961168981485</v>
      </c>
      <c r="C10" s="1">
        <v>45550.085474537038</v>
      </c>
      <c r="D10" s="5">
        <v>214.7</v>
      </c>
      <c r="E10" s="5">
        <v>2.3416666666666117</v>
      </c>
      <c r="F10" s="3">
        <v>9.8422222222222242</v>
      </c>
      <c r="G10" s="3">
        <v>0.64342592592592851</v>
      </c>
    </row>
    <row r="11" spans="1:19" x14ac:dyDescent="0.2">
      <c r="A11" s="27">
        <v>45550.962557870371</v>
      </c>
      <c r="B11" s="1">
        <v>45550.962557870371</v>
      </c>
      <c r="C11" s="1">
        <v>45550.086863425924</v>
      </c>
      <c r="D11" s="5">
        <v>215</v>
      </c>
      <c r="E11" s="5">
        <v>2.6416666666666231</v>
      </c>
      <c r="F11" s="3">
        <v>10.045555555555556</v>
      </c>
      <c r="G11" s="3">
        <v>0.84675925925925988</v>
      </c>
    </row>
    <row r="12" spans="1:19" x14ac:dyDescent="0.2">
      <c r="A12" s="27">
        <v>45550.963946759257</v>
      </c>
      <c r="B12" s="1">
        <v>45550.963946759257</v>
      </c>
      <c r="C12" s="1">
        <v>45550.08825231481</v>
      </c>
      <c r="D12" s="5">
        <v>216.3</v>
      </c>
      <c r="E12" s="5">
        <v>3.9416666666666345</v>
      </c>
      <c r="F12" s="3">
        <v>10.447777777777778</v>
      </c>
      <c r="G12" s="3">
        <v>1.2489814814814828</v>
      </c>
    </row>
    <row r="13" spans="1:19" x14ac:dyDescent="0.2">
      <c r="A13" s="27">
        <v>45550.96533564815</v>
      </c>
      <c r="B13" s="1">
        <v>45550.96533564815</v>
      </c>
      <c r="C13" s="1">
        <v>45550.089641203704</v>
      </c>
      <c r="D13" s="5">
        <v>219.4</v>
      </c>
      <c r="E13" s="5">
        <v>7.0416666666666288</v>
      </c>
      <c r="F13" s="3">
        <v>11.296666666666667</v>
      </c>
      <c r="G13" s="3">
        <v>2.0978703703703712</v>
      </c>
    </row>
    <row r="14" spans="1:19" x14ac:dyDescent="0.2">
      <c r="A14" s="27">
        <v>45550.966724537036</v>
      </c>
      <c r="B14" s="1">
        <v>45550.966724537036</v>
      </c>
      <c r="C14" s="1">
        <v>45550.09103009259</v>
      </c>
      <c r="D14" s="5">
        <v>219.4</v>
      </c>
      <c r="E14" s="5">
        <v>7.0416666666666288</v>
      </c>
      <c r="F14" s="3">
        <v>11.286666666666669</v>
      </c>
      <c r="G14" s="3">
        <v>2.0878703703703732</v>
      </c>
    </row>
    <row r="15" spans="1:19" x14ac:dyDescent="0.2">
      <c r="A15" s="27">
        <v>45550.968113425923</v>
      </c>
      <c r="B15" s="1">
        <v>45550.968113425923</v>
      </c>
      <c r="C15" s="1">
        <v>45550.092418981476</v>
      </c>
      <c r="D15" s="5">
        <v>222.5</v>
      </c>
      <c r="E15" s="5">
        <v>10.141666666666623</v>
      </c>
      <c r="F15" s="3">
        <v>12.042222222222225</v>
      </c>
      <c r="G15" s="3">
        <v>2.8434259259259296</v>
      </c>
      <c r="O15" s="34"/>
      <c r="P15" s="34"/>
    </row>
    <row r="16" spans="1:19" x14ac:dyDescent="0.2">
      <c r="A16" s="27">
        <v>45550.969502314816</v>
      </c>
      <c r="B16" s="1">
        <v>45550.969502314816</v>
      </c>
      <c r="C16" s="1">
        <v>45550.093807870369</v>
      </c>
      <c r="D16" s="5">
        <v>222.5</v>
      </c>
      <c r="E16" s="5">
        <v>10.141666666666623</v>
      </c>
      <c r="F16" s="3">
        <v>12.058888888888889</v>
      </c>
      <c r="G16" s="3">
        <v>2.8600925925925935</v>
      </c>
      <c r="O16" s="34"/>
      <c r="P16" s="32"/>
    </row>
    <row r="17" spans="1:16" x14ac:dyDescent="0.2">
      <c r="A17" s="27">
        <v>45550.970891203702</v>
      </c>
      <c r="B17" s="1">
        <v>45550.970891203702</v>
      </c>
      <c r="C17" s="1">
        <v>45550.095196759255</v>
      </c>
      <c r="D17" s="5">
        <v>223.4</v>
      </c>
      <c r="E17" s="5">
        <v>11.041666666666629</v>
      </c>
      <c r="F17" s="3">
        <v>12.256666666666668</v>
      </c>
      <c r="G17" s="3">
        <v>3.057870370370372</v>
      </c>
      <c r="O17" s="34"/>
      <c r="P17" s="33"/>
    </row>
    <row r="18" spans="1:16" x14ac:dyDescent="0.2">
      <c r="A18" s="27">
        <v>45550.972280092596</v>
      </c>
      <c r="B18" s="1">
        <v>45550.972280092596</v>
      </c>
      <c r="C18" s="1">
        <v>45550.096585648149</v>
      </c>
      <c r="D18" s="5">
        <v>225.4</v>
      </c>
      <c r="E18" s="5">
        <v>13.041666666666629</v>
      </c>
      <c r="F18" s="3">
        <v>12.883333333333333</v>
      </c>
      <c r="G18" s="3">
        <v>3.6845370370370372</v>
      </c>
      <c r="O18" s="34"/>
      <c r="P18" s="34"/>
    </row>
    <row r="19" spans="1:16" x14ac:dyDescent="0.2">
      <c r="A19" s="27">
        <v>45550.973668981482</v>
      </c>
      <c r="B19" s="1">
        <v>45550.973668981482</v>
      </c>
      <c r="C19" s="1">
        <v>45550.097974537035</v>
      </c>
      <c r="D19" s="5">
        <v>226.5</v>
      </c>
      <c r="E19" s="5">
        <v>14.141666666666623</v>
      </c>
      <c r="F19" s="3">
        <v>13.048888888888889</v>
      </c>
      <c r="G19" s="3">
        <v>3.8500925925925937</v>
      </c>
      <c r="O19" s="34"/>
      <c r="P19" s="34"/>
    </row>
    <row r="20" spans="1:16" x14ac:dyDescent="0.2">
      <c r="A20" s="27">
        <v>45550.975057870368</v>
      </c>
      <c r="B20" s="1">
        <v>45550.975057870368</v>
      </c>
      <c r="C20" s="1">
        <v>45550.099363425921</v>
      </c>
      <c r="D20" s="5">
        <v>225.6</v>
      </c>
      <c r="E20" s="5">
        <v>13.241666666666617</v>
      </c>
      <c r="F20" s="3">
        <v>13.044444444444444</v>
      </c>
      <c r="G20" s="3">
        <v>3.8456481481481486</v>
      </c>
      <c r="O20" s="34"/>
      <c r="P20" s="34"/>
    </row>
    <row r="21" spans="1:16" x14ac:dyDescent="0.2">
      <c r="A21" s="27">
        <v>45550.976446759261</v>
      </c>
      <c r="B21" s="1">
        <v>45550.976446759261</v>
      </c>
      <c r="C21" s="1">
        <v>45550.100752314815</v>
      </c>
      <c r="D21" s="5">
        <v>226.6</v>
      </c>
      <c r="E21" s="5">
        <v>14.241666666666617</v>
      </c>
      <c r="F21" s="3">
        <v>13.20777777777778</v>
      </c>
      <c r="G21" s="3">
        <v>4.0089814814814844</v>
      </c>
      <c r="O21" s="34"/>
      <c r="P21" s="34"/>
    </row>
    <row r="22" spans="1:16" x14ac:dyDescent="0.2">
      <c r="A22" s="27">
        <v>45550.977835648147</v>
      </c>
      <c r="B22" s="1">
        <v>45550.977835648147</v>
      </c>
      <c r="C22" s="1">
        <v>45550.102141203701</v>
      </c>
      <c r="D22" s="5">
        <v>226.5</v>
      </c>
      <c r="E22" s="5">
        <v>14.141666666666623</v>
      </c>
      <c r="F22" s="3">
        <v>13.232222222222223</v>
      </c>
      <c r="G22" s="3">
        <v>4.0334259259259273</v>
      </c>
    </row>
    <row r="23" spans="1:16" x14ac:dyDescent="0.2">
      <c r="A23" s="27">
        <v>45550.979224537034</v>
      </c>
      <c r="B23" s="1">
        <v>45550.979224537034</v>
      </c>
      <c r="C23" s="1">
        <v>45550.103530092587</v>
      </c>
      <c r="D23" s="5">
        <v>227.2</v>
      </c>
      <c r="E23" s="5">
        <v>14.841666666666612</v>
      </c>
      <c r="F23" s="3">
        <v>13.28888888888889</v>
      </c>
      <c r="G23" s="3">
        <v>4.0900925925925939</v>
      </c>
    </row>
    <row r="24" spans="1:16" x14ac:dyDescent="0.2">
      <c r="A24" s="27">
        <v>45550.980613425927</v>
      </c>
      <c r="B24" s="1">
        <v>45550.980613425927</v>
      </c>
      <c r="C24" s="1">
        <v>45550.10491898148</v>
      </c>
      <c r="D24" s="5">
        <v>226.9</v>
      </c>
      <c r="E24" s="5">
        <v>14.541666666666629</v>
      </c>
      <c r="F24" s="3">
        <v>13.312222222222223</v>
      </c>
      <c r="G24" s="3">
        <v>4.1134259259259274</v>
      </c>
    </row>
    <row r="25" spans="1:16" x14ac:dyDescent="0.2">
      <c r="A25" s="27">
        <v>45550.982002314813</v>
      </c>
      <c r="B25" s="1">
        <v>45550.982002314813</v>
      </c>
      <c r="C25" s="1">
        <v>45550.106307870366</v>
      </c>
      <c r="D25" s="5">
        <v>225.7</v>
      </c>
      <c r="E25" s="5">
        <v>13.341666666666612</v>
      </c>
      <c r="F25" s="3">
        <v>13.033333333333335</v>
      </c>
      <c r="G25" s="3">
        <v>3.8345370370370393</v>
      </c>
    </row>
    <row r="26" spans="1:16" x14ac:dyDescent="0.2">
      <c r="A26" s="27">
        <v>45550.983391203707</v>
      </c>
      <c r="B26" s="1">
        <v>45550.983391203707</v>
      </c>
      <c r="C26" s="1">
        <v>45550.10769675926</v>
      </c>
      <c r="D26" s="5">
        <v>227</v>
      </c>
      <c r="E26" s="5">
        <v>14.641666666666623</v>
      </c>
      <c r="F26" s="3">
        <v>13.363333333333335</v>
      </c>
      <c r="G26" s="3">
        <v>4.1645370370370394</v>
      </c>
    </row>
    <row r="27" spans="1:16" x14ac:dyDescent="0.2">
      <c r="A27" s="27">
        <v>45550.984780092593</v>
      </c>
      <c r="B27" s="1">
        <v>45550.984780092593</v>
      </c>
      <c r="C27" s="1">
        <v>45550.109085648146</v>
      </c>
      <c r="D27" s="5">
        <v>226.4</v>
      </c>
      <c r="E27" s="5">
        <v>14.041666666666629</v>
      </c>
      <c r="F27" s="3">
        <v>13.295555555555556</v>
      </c>
      <c r="G27" s="3">
        <v>4.0967592592592599</v>
      </c>
    </row>
    <row r="28" spans="1:16" x14ac:dyDescent="0.2">
      <c r="A28" s="27">
        <v>45550.986168981479</v>
      </c>
      <c r="B28" s="1">
        <v>45550.986168981479</v>
      </c>
      <c r="C28" s="1">
        <v>45550.110474537032</v>
      </c>
      <c r="D28" s="5">
        <v>227</v>
      </c>
      <c r="E28" s="5">
        <v>14.641666666666623</v>
      </c>
      <c r="F28" s="3">
        <v>13.31</v>
      </c>
      <c r="G28" s="3">
        <v>4.1112037037037048</v>
      </c>
    </row>
    <row r="29" spans="1:16" x14ac:dyDescent="0.2">
      <c r="A29" s="27">
        <v>45550.987557870372</v>
      </c>
      <c r="B29" s="1">
        <v>45550.987557870372</v>
      </c>
      <c r="C29" s="1">
        <v>45550.111863425926</v>
      </c>
      <c r="D29" s="5">
        <v>225.8</v>
      </c>
      <c r="E29" s="5">
        <v>13.441666666666634</v>
      </c>
      <c r="F29" s="3">
        <v>13.083333333333334</v>
      </c>
      <c r="G29" s="3">
        <v>3.8845370370370382</v>
      </c>
    </row>
    <row r="30" spans="1:16" x14ac:dyDescent="0.2">
      <c r="A30" s="27">
        <v>45550.988946759258</v>
      </c>
      <c r="B30" s="1">
        <v>45550.988946759258</v>
      </c>
      <c r="C30" s="1">
        <v>45550.113252314812</v>
      </c>
      <c r="D30" s="5">
        <v>225.8</v>
      </c>
      <c r="E30" s="5">
        <v>13.441666666666634</v>
      </c>
      <c r="F30" s="3">
        <v>12.946666666666665</v>
      </c>
      <c r="G30" s="3">
        <v>3.7478703703703697</v>
      </c>
    </row>
    <row r="31" spans="1:16" x14ac:dyDescent="0.2">
      <c r="A31" s="27">
        <v>45550.990335648145</v>
      </c>
      <c r="B31" s="1">
        <v>45550.990335648145</v>
      </c>
      <c r="C31" s="1">
        <v>45550.114641203698</v>
      </c>
      <c r="D31" s="5">
        <v>225.6</v>
      </c>
      <c r="E31" s="5">
        <v>13.241666666666617</v>
      </c>
      <c r="F31" s="3">
        <v>12.922222222222224</v>
      </c>
      <c r="G31" s="3">
        <v>3.7234259259259286</v>
      </c>
    </row>
    <row r="32" spans="1:16" x14ac:dyDescent="0.2">
      <c r="A32" s="27">
        <v>45550.991724537038</v>
      </c>
      <c r="B32" s="1">
        <v>45550.991724537038</v>
      </c>
      <c r="C32" s="1">
        <v>45550.116030092591</v>
      </c>
      <c r="D32" s="5">
        <v>224.7</v>
      </c>
      <c r="E32" s="5">
        <v>12.341666666666612</v>
      </c>
      <c r="F32" s="3">
        <v>12.72111111111111</v>
      </c>
      <c r="G32" s="3">
        <v>3.5223148148148145</v>
      </c>
    </row>
    <row r="33" spans="1:7" x14ac:dyDescent="0.2">
      <c r="A33" s="27">
        <v>45550.993113425924</v>
      </c>
      <c r="B33" s="1">
        <v>45550.993113425924</v>
      </c>
      <c r="C33" s="1">
        <v>45550.117418981477</v>
      </c>
      <c r="D33" s="5">
        <v>224.9</v>
      </c>
      <c r="E33" s="5">
        <v>12.541666666666629</v>
      </c>
      <c r="F33" s="3">
        <v>12.733333333333336</v>
      </c>
      <c r="G33" s="3">
        <v>3.5345370370370404</v>
      </c>
    </row>
    <row r="34" spans="1:7" x14ac:dyDescent="0.2">
      <c r="A34" s="27">
        <v>45550.994502314818</v>
      </c>
      <c r="B34" s="1">
        <v>45550.994502314818</v>
      </c>
      <c r="C34" s="1">
        <v>45550.118807870371</v>
      </c>
      <c r="D34" s="5">
        <v>224.3</v>
      </c>
      <c r="E34" s="5">
        <v>11.941666666666634</v>
      </c>
      <c r="F34" s="3">
        <v>12.626666666666669</v>
      </c>
      <c r="G34" s="3">
        <v>3.427870370370373</v>
      </c>
    </row>
    <row r="35" spans="1:7" x14ac:dyDescent="0.2">
      <c r="A35" s="27">
        <v>45550.995891203704</v>
      </c>
      <c r="B35" s="1">
        <v>45550.995891203704</v>
      </c>
      <c r="C35" s="1">
        <v>45550.120196759257</v>
      </c>
      <c r="D35" s="5">
        <v>223.8</v>
      </c>
      <c r="E35" s="5">
        <v>11.441666666666634</v>
      </c>
      <c r="F35" s="3">
        <v>12.506666666666666</v>
      </c>
      <c r="G35" s="3">
        <v>3.3078703703703702</v>
      </c>
    </row>
    <row r="36" spans="1:7" x14ac:dyDescent="0.2">
      <c r="A36" s="27">
        <v>45550.99728009259</v>
      </c>
      <c r="B36" s="1">
        <v>45550.99728009259</v>
      </c>
      <c r="C36" s="1">
        <v>45550.121585648143</v>
      </c>
      <c r="D36" s="5">
        <v>223.7</v>
      </c>
      <c r="E36" s="5">
        <v>11.341666666666612</v>
      </c>
      <c r="F36" s="3">
        <v>12.41111111111111</v>
      </c>
      <c r="G36" s="3">
        <v>3.212314814814814</v>
      </c>
    </row>
    <row r="37" spans="1:7" x14ac:dyDescent="0.2">
      <c r="A37" s="27">
        <v>45550.998668981483</v>
      </c>
      <c r="B37" s="1">
        <v>45550.998668981483</v>
      </c>
      <c r="C37" s="1">
        <v>45550.122974537036</v>
      </c>
      <c r="D37" s="5">
        <v>223.4</v>
      </c>
      <c r="E37" s="5">
        <v>11.041666666666629</v>
      </c>
      <c r="F37" s="3">
        <v>12.50111111111111</v>
      </c>
      <c r="G37" s="3">
        <v>3.3023148148148138</v>
      </c>
    </row>
    <row r="38" spans="1:7" x14ac:dyDescent="0.2">
      <c r="A38" s="27">
        <v>45551.000057870369</v>
      </c>
      <c r="B38" s="1">
        <v>45551.000057870369</v>
      </c>
      <c r="C38" s="1">
        <v>45550.124363425923</v>
      </c>
      <c r="D38" s="5">
        <v>223.2</v>
      </c>
      <c r="E38" s="5">
        <v>10.841666666666612</v>
      </c>
      <c r="F38" s="3">
        <v>12.299999999999999</v>
      </c>
      <c r="G38" s="3">
        <v>3.1012037037037032</v>
      </c>
    </row>
    <row r="39" spans="1:7" x14ac:dyDescent="0.2">
      <c r="A39" s="27">
        <v>45551.001446759263</v>
      </c>
      <c r="B39" s="1">
        <v>45551.001446759263</v>
      </c>
      <c r="C39" s="1">
        <v>45550.125752314816</v>
      </c>
      <c r="D39" s="5">
        <v>222.4</v>
      </c>
      <c r="E39" s="5">
        <v>10.041666666666629</v>
      </c>
      <c r="F39" s="3">
        <v>12.14</v>
      </c>
      <c r="G39" s="3">
        <v>2.9412037037037049</v>
      </c>
    </row>
    <row r="40" spans="1:7" x14ac:dyDescent="0.2">
      <c r="A40" s="27">
        <v>45551.002835648149</v>
      </c>
      <c r="B40" s="1">
        <v>45551.002835648149</v>
      </c>
      <c r="C40" s="1">
        <v>45550.127141203702</v>
      </c>
      <c r="D40" s="5">
        <v>222.2</v>
      </c>
      <c r="E40" s="5">
        <v>9.8416666666666117</v>
      </c>
      <c r="F40" s="3">
        <v>12.077777777777776</v>
      </c>
      <c r="G40" s="3">
        <v>2.87898148148148</v>
      </c>
    </row>
    <row r="41" spans="1:7" x14ac:dyDescent="0.2">
      <c r="A41" s="27">
        <v>45551.004224537035</v>
      </c>
      <c r="B41" s="1">
        <v>45551.004224537035</v>
      </c>
      <c r="C41" s="1">
        <v>45550.128530092588</v>
      </c>
      <c r="D41" s="5">
        <v>222.2</v>
      </c>
      <c r="E41" s="5">
        <v>9.8416666666666117</v>
      </c>
      <c r="F41" s="3">
        <v>12.034444444444443</v>
      </c>
      <c r="G41" s="3">
        <v>2.835648148148147</v>
      </c>
    </row>
    <row r="42" spans="1:7" x14ac:dyDescent="0.2">
      <c r="A42" s="27">
        <v>45551.005613425928</v>
      </c>
      <c r="B42" s="1">
        <v>45551.005613425928</v>
      </c>
      <c r="C42" s="1">
        <v>45550.129918981482</v>
      </c>
      <c r="D42" s="5">
        <v>221.8</v>
      </c>
      <c r="E42" s="5">
        <v>9.4416666666666345</v>
      </c>
      <c r="F42" s="3">
        <v>11.963333333333331</v>
      </c>
      <c r="G42" s="3">
        <v>2.7645370370370355</v>
      </c>
    </row>
    <row r="43" spans="1:7" x14ac:dyDescent="0.2">
      <c r="A43" s="27">
        <v>45551.007002314815</v>
      </c>
      <c r="B43" s="1">
        <v>45551.007002314815</v>
      </c>
      <c r="C43" s="1">
        <v>45550.131307870368</v>
      </c>
      <c r="D43" s="5">
        <v>221.2</v>
      </c>
      <c r="E43" s="5">
        <v>8.8416666666666117</v>
      </c>
      <c r="F43" s="3">
        <v>11.82111111111111</v>
      </c>
      <c r="G43" s="3">
        <v>2.6223148148148141</v>
      </c>
    </row>
    <row r="44" spans="1:7" x14ac:dyDescent="0.2">
      <c r="A44" s="27">
        <v>45551.008391203701</v>
      </c>
      <c r="B44" s="1">
        <v>45551.008391203701</v>
      </c>
      <c r="C44" s="1">
        <v>45550.132696759254</v>
      </c>
      <c r="D44" s="5">
        <v>221</v>
      </c>
      <c r="E44" s="5">
        <v>8.6416666666666231</v>
      </c>
      <c r="F44" s="3">
        <v>11.795555555555556</v>
      </c>
      <c r="G44" s="3">
        <v>2.5967592592592599</v>
      </c>
    </row>
    <row r="45" spans="1:7" x14ac:dyDescent="0.2">
      <c r="A45" s="27">
        <v>45551.009780092594</v>
      </c>
      <c r="B45" s="1">
        <v>45551.009780092594</v>
      </c>
      <c r="C45" s="1">
        <v>45550.134085648147</v>
      </c>
      <c r="D45" s="5">
        <v>220.8</v>
      </c>
      <c r="E45" s="5">
        <v>8.4416666666666345</v>
      </c>
      <c r="F45" s="3">
        <v>11.724444444444442</v>
      </c>
      <c r="G45" s="3">
        <v>2.5256481481481465</v>
      </c>
    </row>
    <row r="46" spans="1:7" x14ac:dyDescent="0.2">
      <c r="A46" s="27">
        <v>45551.01116898148</v>
      </c>
      <c r="B46" s="1">
        <v>45551.01116898148</v>
      </c>
      <c r="C46" s="1">
        <v>45550.135474537034</v>
      </c>
      <c r="D46" s="5">
        <v>220.1</v>
      </c>
      <c r="E46" s="5">
        <v>7.7416666666666174</v>
      </c>
      <c r="F46" s="3">
        <v>11.517777777777775</v>
      </c>
      <c r="G46" s="3">
        <v>2.3189814814814795</v>
      </c>
    </row>
    <row r="47" spans="1:7" x14ac:dyDescent="0.2">
      <c r="A47" s="27">
        <v>45551.012557870374</v>
      </c>
      <c r="B47" s="1">
        <v>45551.012557870374</v>
      </c>
      <c r="C47" s="1">
        <v>45550.136863425927</v>
      </c>
      <c r="D47" s="5">
        <v>220.3</v>
      </c>
      <c r="E47" s="5">
        <v>7.9416666666666345</v>
      </c>
      <c r="F47" s="3">
        <v>11.453333333333335</v>
      </c>
      <c r="G47" s="3">
        <v>2.2545370370370392</v>
      </c>
    </row>
    <row r="48" spans="1:7" x14ac:dyDescent="0.2">
      <c r="A48" s="27">
        <v>45551.01394675926</v>
      </c>
      <c r="B48" s="1">
        <v>45551.01394675926</v>
      </c>
      <c r="C48" s="1">
        <v>45550.138252314813</v>
      </c>
      <c r="D48" s="5">
        <v>219.6</v>
      </c>
      <c r="E48" s="5">
        <v>7.2416666666666174</v>
      </c>
      <c r="F48" s="3">
        <v>11.386666666666668</v>
      </c>
      <c r="G48" s="3">
        <v>2.1878703703703728</v>
      </c>
    </row>
    <row r="49" spans="1:7" x14ac:dyDescent="0.2">
      <c r="A49" s="27">
        <v>45551.015335648146</v>
      </c>
      <c r="B49" s="1">
        <v>45551.015335648146</v>
      </c>
      <c r="C49" s="1">
        <v>45550.139641203699</v>
      </c>
      <c r="D49" s="5">
        <v>219.6</v>
      </c>
      <c r="E49" s="5">
        <v>7.2416666666666174</v>
      </c>
      <c r="F49" s="3">
        <v>11.368888888888888</v>
      </c>
      <c r="G49" s="3">
        <v>2.1700925925925922</v>
      </c>
    </row>
    <row r="50" spans="1:7" x14ac:dyDescent="0.2">
      <c r="A50" s="27">
        <v>45551.016724537039</v>
      </c>
      <c r="B50" s="1">
        <v>45551.016724537039</v>
      </c>
      <c r="C50" s="1">
        <v>45550.141030092593</v>
      </c>
      <c r="D50" s="5">
        <v>218.7</v>
      </c>
      <c r="E50" s="5">
        <v>6.3416666666666117</v>
      </c>
      <c r="F50" s="3">
        <v>11.267777777777779</v>
      </c>
      <c r="G50" s="3">
        <v>2.0689814814814831</v>
      </c>
    </row>
    <row r="51" spans="1:7" x14ac:dyDescent="0.2">
      <c r="A51" s="27">
        <v>45551.018113425926</v>
      </c>
      <c r="B51" s="1">
        <v>45551.018113425926</v>
      </c>
      <c r="C51" s="1">
        <v>45550.142418981479</v>
      </c>
      <c r="D51" s="5">
        <v>219.1</v>
      </c>
      <c r="E51" s="5">
        <v>6.7416666666666174</v>
      </c>
      <c r="F51" s="3">
        <v>11.222222222222221</v>
      </c>
      <c r="G51" s="3">
        <v>2.0234259259259257</v>
      </c>
    </row>
    <row r="52" spans="1:7" x14ac:dyDescent="0.2">
      <c r="A52" s="27">
        <v>45551.019502314812</v>
      </c>
      <c r="B52" s="1">
        <v>45551.019502314812</v>
      </c>
      <c r="C52" s="1">
        <v>45550.143807870365</v>
      </c>
      <c r="D52" s="5">
        <v>218.5</v>
      </c>
      <c r="E52" s="5">
        <v>6.1416666666666231</v>
      </c>
      <c r="F52" s="3">
        <v>11.130000000000003</v>
      </c>
      <c r="G52" s="3">
        <v>1.9312037037037069</v>
      </c>
    </row>
    <row r="53" spans="1:7" x14ac:dyDescent="0.2">
      <c r="A53" s="27">
        <v>45551.020891203705</v>
      </c>
      <c r="B53" s="1">
        <v>45551.020891203705</v>
      </c>
      <c r="C53" s="1">
        <v>45550.145196759258</v>
      </c>
      <c r="D53" s="5">
        <v>218.5</v>
      </c>
      <c r="E53" s="5">
        <v>6.1416666666666231</v>
      </c>
      <c r="F53" s="3">
        <v>11.13111111111111</v>
      </c>
      <c r="G53" s="3">
        <v>1.9323148148148146</v>
      </c>
    </row>
    <row r="54" spans="1:7" x14ac:dyDescent="0.2">
      <c r="A54" s="27">
        <v>45551.022280092591</v>
      </c>
      <c r="B54" s="1">
        <v>45551.022280092591</v>
      </c>
      <c r="C54" s="1">
        <v>45550.146585648145</v>
      </c>
      <c r="D54" s="5">
        <v>218.5</v>
      </c>
      <c r="E54" s="5">
        <v>6.1416666666666231</v>
      </c>
      <c r="F54" s="3">
        <v>11.077777777777776</v>
      </c>
      <c r="G54" s="3">
        <v>1.87898148148148</v>
      </c>
    </row>
    <row r="55" spans="1:7" x14ac:dyDescent="0.2">
      <c r="A55" s="27">
        <v>45551.023668981485</v>
      </c>
      <c r="B55" s="1">
        <v>45551.023668981485</v>
      </c>
      <c r="C55" s="1">
        <v>45550.147974537038</v>
      </c>
      <c r="D55" s="5">
        <v>218.4</v>
      </c>
      <c r="E55" s="5">
        <v>6.0416666666666288</v>
      </c>
      <c r="F55" s="3">
        <v>11.078888888888887</v>
      </c>
      <c r="G55" s="3">
        <v>1.8800925925925913</v>
      </c>
    </row>
    <row r="56" spans="1:7" x14ac:dyDescent="0.2">
      <c r="A56" s="27">
        <v>45551.025057870371</v>
      </c>
      <c r="B56" s="1">
        <v>45551.025057870371</v>
      </c>
      <c r="C56" s="1">
        <v>45550.149363425924</v>
      </c>
      <c r="D56" s="5">
        <v>218.4</v>
      </c>
      <c r="E56" s="5">
        <v>6.0416666666666288</v>
      </c>
      <c r="F56" s="3">
        <v>11.037777777777777</v>
      </c>
      <c r="G56" s="3">
        <v>1.8389814814814809</v>
      </c>
    </row>
    <row r="57" spans="1:7" x14ac:dyDescent="0.2">
      <c r="A57" s="27">
        <v>45551.026446759257</v>
      </c>
      <c r="B57" s="1">
        <v>45551.026446759257</v>
      </c>
      <c r="C57" s="1">
        <v>45550.15075231481</v>
      </c>
      <c r="D57" s="5">
        <v>218.3</v>
      </c>
      <c r="E57" s="5">
        <v>5.9416666666666345</v>
      </c>
      <c r="F57" s="3">
        <v>11.027777777777779</v>
      </c>
      <c r="G57" s="3">
        <v>1.8289814814814829</v>
      </c>
    </row>
    <row r="58" spans="1:7" x14ac:dyDescent="0.2">
      <c r="A58" s="27">
        <v>45551.02783564815</v>
      </c>
      <c r="B58" s="1">
        <v>45551.02783564815</v>
      </c>
      <c r="C58" s="1">
        <v>45550.152141203704</v>
      </c>
      <c r="D58" s="5">
        <v>218.2</v>
      </c>
      <c r="E58" s="5">
        <v>5.8416666666666117</v>
      </c>
      <c r="F58" s="3">
        <v>10.975555555555554</v>
      </c>
      <c r="G58" s="3">
        <v>1.7767592592592578</v>
      </c>
    </row>
    <row r="59" spans="1:7" x14ac:dyDescent="0.2">
      <c r="A59" s="27">
        <v>45551.029224537036</v>
      </c>
      <c r="B59" s="1">
        <v>45551.029224537036</v>
      </c>
      <c r="C59" s="1">
        <v>45550.15353009259</v>
      </c>
      <c r="D59" s="5">
        <v>218</v>
      </c>
      <c r="E59" s="5">
        <v>5.6416666666666231</v>
      </c>
      <c r="F59" s="3">
        <v>10.946666666666665</v>
      </c>
      <c r="G59" s="3">
        <v>1.7478703703703697</v>
      </c>
    </row>
    <row r="60" spans="1:7" x14ac:dyDescent="0.2">
      <c r="A60" s="27">
        <v>45551.030613425923</v>
      </c>
      <c r="B60" s="1">
        <v>45551.030613425923</v>
      </c>
      <c r="C60" s="1">
        <v>45550.154918981476</v>
      </c>
      <c r="D60" s="5">
        <v>217.4</v>
      </c>
      <c r="E60" s="5">
        <v>5.0416666666666288</v>
      </c>
      <c r="F60" s="3">
        <v>10.851111111111111</v>
      </c>
      <c r="G60" s="3">
        <v>1.6523148148148152</v>
      </c>
    </row>
    <row r="61" spans="1:7" x14ac:dyDescent="0.2">
      <c r="A61" s="27">
        <v>45551.032002314816</v>
      </c>
      <c r="B61" s="1">
        <v>45551.032002314816</v>
      </c>
      <c r="C61" s="1">
        <v>45550.156307870369</v>
      </c>
      <c r="D61" s="5">
        <v>217.4</v>
      </c>
      <c r="E61" s="5">
        <v>5.0416666666666288</v>
      </c>
      <c r="F61" s="3">
        <v>10.833333333333334</v>
      </c>
      <c r="G61" s="3">
        <v>1.6345370370370382</v>
      </c>
    </row>
    <row r="62" spans="1:7" x14ac:dyDescent="0.2">
      <c r="A62" s="27">
        <v>45551.033391203702</v>
      </c>
      <c r="B62" s="1">
        <v>45551.033391203702</v>
      </c>
      <c r="C62" s="1">
        <v>45550.157696759255</v>
      </c>
      <c r="D62" s="5">
        <v>217.4</v>
      </c>
      <c r="E62" s="5">
        <v>5.0416666666666288</v>
      </c>
      <c r="F62" s="3">
        <v>10.763333333333332</v>
      </c>
      <c r="G62" s="3">
        <v>1.5645370370370362</v>
      </c>
    </row>
    <row r="63" spans="1:7" x14ac:dyDescent="0.2">
      <c r="A63" s="27">
        <v>45551.034780092596</v>
      </c>
      <c r="B63" s="1">
        <v>45551.034780092596</v>
      </c>
      <c r="C63" s="1">
        <v>45550.159085648149</v>
      </c>
      <c r="D63" s="5">
        <v>217.6</v>
      </c>
      <c r="E63" s="5">
        <v>5.2416666666666174</v>
      </c>
      <c r="F63" s="3">
        <v>10.74111111111111</v>
      </c>
      <c r="G63" s="3">
        <v>1.542314814814814</v>
      </c>
    </row>
    <row r="64" spans="1:7" x14ac:dyDescent="0.2">
      <c r="A64" s="27">
        <v>45551.036168981482</v>
      </c>
      <c r="B64" s="1">
        <v>45551.036168981482</v>
      </c>
      <c r="C64" s="1">
        <v>45550.160474537035</v>
      </c>
      <c r="D64" s="5">
        <v>217.2</v>
      </c>
      <c r="E64" s="5">
        <v>4.8416666666666117</v>
      </c>
      <c r="F64" s="3">
        <v>10.732222222222223</v>
      </c>
      <c r="G64" s="3">
        <v>1.5334259259259273</v>
      </c>
    </row>
    <row r="65" spans="1:7" x14ac:dyDescent="0.2">
      <c r="A65" s="27">
        <v>45551.037557870368</v>
      </c>
      <c r="B65" s="1">
        <v>45551.037557870368</v>
      </c>
      <c r="C65" s="1">
        <v>45550.161863425921</v>
      </c>
      <c r="D65" s="5">
        <v>216.7</v>
      </c>
      <c r="E65" s="5">
        <v>4.3416666666666117</v>
      </c>
      <c r="F65" s="3">
        <v>10.673333333333334</v>
      </c>
      <c r="G65" s="3">
        <v>1.4745370370370381</v>
      </c>
    </row>
    <row r="66" spans="1:7" x14ac:dyDescent="0.2">
      <c r="A66" s="27">
        <v>45551.038946759261</v>
      </c>
      <c r="B66" s="1">
        <v>45551.038946759261</v>
      </c>
      <c r="C66" s="1">
        <v>45550.163252314815</v>
      </c>
      <c r="D66" s="5">
        <v>216.6</v>
      </c>
      <c r="E66" s="5">
        <v>4.2416666666666174</v>
      </c>
      <c r="F66" s="3">
        <v>10.583333333333334</v>
      </c>
      <c r="G66" s="3">
        <v>1.3845370370370382</v>
      </c>
    </row>
    <row r="67" spans="1:7" x14ac:dyDescent="0.2">
      <c r="A67" s="27">
        <v>45551.040335648147</v>
      </c>
      <c r="B67" s="1">
        <v>45551.040335648147</v>
      </c>
      <c r="C67" s="1">
        <v>45550.164641203701</v>
      </c>
      <c r="D67" s="5">
        <v>216.5</v>
      </c>
      <c r="E67" s="5">
        <v>4.1416666666666231</v>
      </c>
      <c r="F67" s="3">
        <v>10.545555555555556</v>
      </c>
      <c r="G67" s="3">
        <v>1.3467592592592599</v>
      </c>
    </row>
    <row r="68" spans="1:7" x14ac:dyDescent="0.2">
      <c r="A68" s="27">
        <v>45551.041724537034</v>
      </c>
      <c r="B68" s="1">
        <v>45551.041724537034</v>
      </c>
      <c r="C68" s="1">
        <v>45550.166030092587</v>
      </c>
      <c r="D68" s="5">
        <v>216.4</v>
      </c>
      <c r="E68" s="5">
        <v>4.0416666666666288</v>
      </c>
      <c r="F68" s="3">
        <v>10.505555555555555</v>
      </c>
      <c r="G68" s="3">
        <v>1.306759259259259</v>
      </c>
    </row>
    <row r="69" spans="1:7" x14ac:dyDescent="0.2">
      <c r="A69" s="27">
        <v>45551.043113425927</v>
      </c>
      <c r="B69" s="1">
        <v>45551.043113425927</v>
      </c>
      <c r="C69" s="1">
        <v>45550.16741898148</v>
      </c>
      <c r="D69" s="5">
        <v>216.2</v>
      </c>
      <c r="E69" s="5">
        <v>3.8416666666666117</v>
      </c>
      <c r="F69" s="3">
        <v>10.545555555555556</v>
      </c>
      <c r="G69" s="3">
        <v>1.3467592592592599</v>
      </c>
    </row>
    <row r="70" spans="1:7" x14ac:dyDescent="0.2">
      <c r="A70" s="27">
        <v>45551.044502314813</v>
      </c>
      <c r="B70" s="1">
        <v>45551.044502314813</v>
      </c>
      <c r="C70" s="1">
        <v>45550.168807870366</v>
      </c>
      <c r="D70" s="5">
        <v>216.7</v>
      </c>
      <c r="E70" s="5">
        <v>4.3416666666666117</v>
      </c>
      <c r="F70" s="3">
        <v>10.564444444444442</v>
      </c>
      <c r="G70" s="3">
        <v>1.3656481481481464</v>
      </c>
    </row>
    <row r="71" spans="1:7" x14ac:dyDescent="0.2">
      <c r="A71" s="27">
        <v>45551.045891203707</v>
      </c>
      <c r="B71" s="1">
        <v>45551.045891203707</v>
      </c>
      <c r="C71" s="1">
        <v>45550.17019675926</v>
      </c>
      <c r="D71" s="5">
        <v>216.2</v>
      </c>
      <c r="E71" s="5">
        <v>3.8416666666666117</v>
      </c>
      <c r="F71" s="3">
        <v>10.53</v>
      </c>
      <c r="G71" s="3">
        <v>1.3312037037037037</v>
      </c>
    </row>
    <row r="72" spans="1:7" x14ac:dyDescent="0.2">
      <c r="A72" s="27">
        <v>45551.047280092593</v>
      </c>
      <c r="B72" s="1">
        <v>45551.047280092593</v>
      </c>
      <c r="C72" s="1">
        <v>45550.171585648146</v>
      </c>
      <c r="D72" s="5">
        <v>216.2</v>
      </c>
      <c r="E72" s="5">
        <v>3.8416666666666117</v>
      </c>
      <c r="F72" s="3">
        <v>10.488888888888887</v>
      </c>
      <c r="G72" s="3">
        <v>1.2900925925925915</v>
      </c>
    </row>
    <row r="73" spans="1:7" x14ac:dyDescent="0.2">
      <c r="A73" s="27">
        <v>45551.048668981479</v>
      </c>
      <c r="B73" s="1">
        <v>45551.048668981479</v>
      </c>
      <c r="C73" s="1">
        <v>45550.172974537032</v>
      </c>
      <c r="D73" s="5">
        <v>216</v>
      </c>
      <c r="E73" s="5">
        <v>3.6416666666666231</v>
      </c>
      <c r="F73" s="3">
        <v>10.472222222222221</v>
      </c>
      <c r="G73" s="3">
        <v>1.2734259259259257</v>
      </c>
    </row>
    <row r="74" spans="1:7" x14ac:dyDescent="0.2">
      <c r="A74" s="27">
        <v>45551.050057870372</v>
      </c>
      <c r="B74" s="1">
        <v>45551.050057870372</v>
      </c>
      <c r="C74" s="1">
        <v>45550.174363425926</v>
      </c>
      <c r="D74" s="5">
        <v>215.6</v>
      </c>
      <c r="E74" s="5">
        <v>3.2416666666666174</v>
      </c>
      <c r="F74" s="3">
        <v>10.311111111111112</v>
      </c>
      <c r="G74" s="3">
        <v>1.1123148148148161</v>
      </c>
    </row>
    <row r="75" spans="1:7" x14ac:dyDescent="0.2">
      <c r="A75" s="27">
        <v>45551.051446759258</v>
      </c>
      <c r="B75" s="1">
        <v>45551.051446759258</v>
      </c>
      <c r="C75" s="1">
        <v>45550.175752314812</v>
      </c>
      <c r="D75" s="5">
        <v>215.5</v>
      </c>
      <c r="E75" s="5">
        <v>3.1416666666666231</v>
      </c>
      <c r="F75" s="3">
        <v>10.274444444444446</v>
      </c>
      <c r="G75" s="3">
        <v>1.0756481481481508</v>
      </c>
    </row>
    <row r="76" spans="1:7" x14ac:dyDescent="0.2">
      <c r="A76" s="27">
        <v>45551.052835648145</v>
      </c>
      <c r="B76" s="1">
        <v>45551.052835648145</v>
      </c>
      <c r="C76" s="1">
        <v>45550.177141203698</v>
      </c>
      <c r="D76" s="5">
        <v>215.6</v>
      </c>
      <c r="E76" s="5">
        <v>3.2416666666666174</v>
      </c>
      <c r="F76" s="3">
        <v>10.292222222222222</v>
      </c>
      <c r="G76" s="3">
        <v>1.093425925925926</v>
      </c>
    </row>
    <row r="77" spans="1:7" x14ac:dyDescent="0.2">
      <c r="A77" s="27">
        <v>45551.054224537038</v>
      </c>
      <c r="B77" s="1">
        <v>45551.054224537038</v>
      </c>
      <c r="C77" s="1">
        <v>45550.178530092591</v>
      </c>
      <c r="D77" s="5">
        <v>215.3</v>
      </c>
      <c r="E77" s="5">
        <v>2.9416666666666345</v>
      </c>
      <c r="F77" s="3">
        <v>10.232222222222223</v>
      </c>
      <c r="G77" s="3">
        <v>1.0334259259259273</v>
      </c>
    </row>
    <row r="78" spans="1:7" x14ac:dyDescent="0.2">
      <c r="A78" s="27">
        <v>45551.055613425924</v>
      </c>
      <c r="B78" s="1">
        <v>45551.055613425924</v>
      </c>
      <c r="C78" s="1">
        <v>45550.179918981477</v>
      </c>
      <c r="D78" s="5">
        <v>215.5</v>
      </c>
      <c r="E78" s="5">
        <v>3.1416666666666231</v>
      </c>
      <c r="F78" s="3">
        <v>10.255555555555555</v>
      </c>
      <c r="G78" s="3">
        <v>1.056759259259259</v>
      </c>
    </row>
    <row r="79" spans="1:7" x14ac:dyDescent="0.2">
      <c r="A79" s="27">
        <v>45551.057002314818</v>
      </c>
      <c r="B79" s="1">
        <v>45551.057002314818</v>
      </c>
      <c r="C79" s="1">
        <v>45550.181307870371</v>
      </c>
      <c r="D79" s="5">
        <v>214.9</v>
      </c>
      <c r="E79" s="5">
        <v>2.5416666666666288</v>
      </c>
      <c r="F79" s="3">
        <v>10.190000000000001</v>
      </c>
      <c r="G79" s="3">
        <v>0.99120370370370559</v>
      </c>
    </row>
    <row r="80" spans="1:7" x14ac:dyDescent="0.2">
      <c r="A80" s="27">
        <v>45551.058391203704</v>
      </c>
      <c r="B80" s="1">
        <v>45551.058391203704</v>
      </c>
      <c r="C80" s="1">
        <v>45550.182696759257</v>
      </c>
      <c r="D80" s="5">
        <v>215.6</v>
      </c>
      <c r="E80" s="5">
        <v>3.2416666666666174</v>
      </c>
      <c r="F80" s="3">
        <v>10.301111111111112</v>
      </c>
      <c r="G80" s="3">
        <v>1.1023148148148163</v>
      </c>
    </row>
    <row r="81" spans="1:7" x14ac:dyDescent="0.2">
      <c r="A81" s="27">
        <v>45551.05978009259</v>
      </c>
      <c r="B81" s="1">
        <v>45551.05978009259</v>
      </c>
      <c r="C81" s="1">
        <v>45550.184085648143</v>
      </c>
      <c r="D81" s="5">
        <v>214.9</v>
      </c>
      <c r="E81" s="5">
        <v>2.5416666666666288</v>
      </c>
      <c r="F81" s="3">
        <v>10.161111111111111</v>
      </c>
      <c r="G81" s="3">
        <v>0.96231481481481573</v>
      </c>
    </row>
    <row r="82" spans="1:7" x14ac:dyDescent="0.2">
      <c r="A82" s="27">
        <v>45551.061168981483</v>
      </c>
      <c r="B82" s="1">
        <v>45551.061168981483</v>
      </c>
      <c r="C82" s="1">
        <v>45550.185474537036</v>
      </c>
      <c r="D82" s="5">
        <v>215</v>
      </c>
      <c r="E82" s="5">
        <v>2.6416666666666231</v>
      </c>
      <c r="F82" s="3">
        <v>10.18</v>
      </c>
      <c r="G82" s="3">
        <v>0.98120370370370402</v>
      </c>
    </row>
    <row r="83" spans="1:7" x14ac:dyDescent="0.2">
      <c r="A83" s="27">
        <v>45551.062557870369</v>
      </c>
      <c r="B83" s="1">
        <v>45551.062557870369</v>
      </c>
      <c r="C83" s="1">
        <v>45550.186863425923</v>
      </c>
      <c r="D83" s="5">
        <v>214.8</v>
      </c>
      <c r="E83" s="5">
        <v>2.4416666666666345</v>
      </c>
      <c r="F83" s="3">
        <v>10.127777777777776</v>
      </c>
      <c r="G83" s="3">
        <v>0.92898148148148074</v>
      </c>
    </row>
    <row r="84" spans="1:7" x14ac:dyDescent="0.2">
      <c r="A84" s="27">
        <v>45551.063946759263</v>
      </c>
      <c r="B84" s="1">
        <v>45551.063946759263</v>
      </c>
      <c r="C84" s="1">
        <v>45550.188252314816</v>
      </c>
      <c r="D84" s="5">
        <v>214.8</v>
      </c>
      <c r="E84" s="5">
        <v>2.4416666666666345</v>
      </c>
      <c r="F84" s="3">
        <v>10.132222222222222</v>
      </c>
      <c r="G84" s="3">
        <v>0.93342592592592588</v>
      </c>
    </row>
    <row r="85" spans="1:7" x14ac:dyDescent="0.2">
      <c r="A85" s="27">
        <v>45551.065335648149</v>
      </c>
      <c r="B85" s="1">
        <v>45551.065335648149</v>
      </c>
      <c r="C85" s="1">
        <v>45550.189641203702</v>
      </c>
      <c r="D85" s="5">
        <v>214.7</v>
      </c>
      <c r="E85" s="5">
        <v>2.3416666666666117</v>
      </c>
      <c r="F85" s="3">
        <v>10.063333333333333</v>
      </c>
      <c r="G85" s="3">
        <v>0.86453703703703688</v>
      </c>
    </row>
    <row r="86" spans="1:7" x14ac:dyDescent="0.2">
      <c r="A86" s="27">
        <v>45551.066724537035</v>
      </c>
      <c r="B86" s="1">
        <v>45551.066724537035</v>
      </c>
      <c r="C86" s="1">
        <v>45550.191030092588</v>
      </c>
      <c r="D86" s="5">
        <v>214.5</v>
      </c>
      <c r="E86" s="5">
        <v>2.1416666666666231</v>
      </c>
      <c r="F86" s="3">
        <v>10.032222222222222</v>
      </c>
      <c r="G86" s="3">
        <v>0.83342592592592624</v>
      </c>
    </row>
    <row r="87" spans="1:7" x14ac:dyDescent="0.2">
      <c r="A87" s="27">
        <v>45551.068113425928</v>
      </c>
      <c r="B87" s="1">
        <v>45551.068113425928</v>
      </c>
      <c r="C87" s="1">
        <v>45550.192418981482</v>
      </c>
      <c r="D87" s="5">
        <v>214.5</v>
      </c>
      <c r="E87" s="5">
        <v>2.1416666666666231</v>
      </c>
      <c r="F87" s="3">
        <v>10.05777777777778</v>
      </c>
      <c r="G87" s="3">
        <v>0.85898148148148401</v>
      </c>
    </row>
    <row r="88" spans="1:7" x14ac:dyDescent="0.2">
      <c r="A88" s="27">
        <v>45551.069502314815</v>
      </c>
      <c r="B88" s="1">
        <v>45551.069502314815</v>
      </c>
      <c r="C88" s="1">
        <v>45550.193807870368</v>
      </c>
      <c r="D88" s="5">
        <v>214.5</v>
      </c>
      <c r="E88" s="5">
        <v>2.1416666666666231</v>
      </c>
      <c r="F88" s="3">
        <v>10.040000000000001</v>
      </c>
      <c r="G88" s="3">
        <v>0.84120370370370523</v>
      </c>
    </row>
    <row r="89" spans="1:7" x14ac:dyDescent="0.2">
      <c r="A89" s="27">
        <v>45551.070891203701</v>
      </c>
      <c r="B89" s="1">
        <v>45551.070891203701</v>
      </c>
      <c r="C89" s="1">
        <v>45550.195196759254</v>
      </c>
      <c r="D89" s="5">
        <v>214.5</v>
      </c>
      <c r="E89" s="5">
        <v>2.1416666666666231</v>
      </c>
      <c r="F89" s="3">
        <v>10.047777777777778</v>
      </c>
      <c r="G89" s="3">
        <v>0.84898148148148245</v>
      </c>
    </row>
    <row r="90" spans="1:7" x14ac:dyDescent="0.2">
      <c r="A90" s="27">
        <v>45551.072280092594</v>
      </c>
      <c r="B90" s="1">
        <v>45551.072280092594</v>
      </c>
      <c r="C90" s="1">
        <v>45550.196585648147</v>
      </c>
      <c r="D90" s="5">
        <v>214.3</v>
      </c>
      <c r="E90" s="5">
        <v>1.9416666666666345</v>
      </c>
      <c r="F90" s="3">
        <v>10.013333333333332</v>
      </c>
      <c r="G90" s="3">
        <v>0.81453703703703617</v>
      </c>
    </row>
    <row r="91" spans="1:7" x14ac:dyDescent="0.2">
      <c r="A91" s="27">
        <v>45551.07366898148</v>
      </c>
      <c r="B91" s="1">
        <v>45551.07366898148</v>
      </c>
      <c r="C91" s="1">
        <v>45550.197974537034</v>
      </c>
      <c r="D91" s="5">
        <v>214.2</v>
      </c>
      <c r="E91" s="5">
        <v>1.8416666666666117</v>
      </c>
      <c r="F91" s="3">
        <v>10.007777777777777</v>
      </c>
      <c r="G91" s="3">
        <v>0.80898148148148152</v>
      </c>
    </row>
    <row r="92" spans="1:7" x14ac:dyDescent="0.2">
      <c r="A92" s="27">
        <v>45551.075057870374</v>
      </c>
      <c r="B92" s="1">
        <v>45551.075057870374</v>
      </c>
      <c r="C92" s="1">
        <v>45550.199363425927</v>
      </c>
      <c r="D92" s="5">
        <v>214</v>
      </c>
      <c r="E92" s="5">
        <v>1.6416666666666231</v>
      </c>
      <c r="F92" s="3">
        <v>9.9588888888888878</v>
      </c>
      <c r="G92" s="3">
        <v>0.7600925925925921</v>
      </c>
    </row>
    <row r="93" spans="1:7" x14ac:dyDescent="0.2">
      <c r="A93" s="27">
        <v>45551.07644675926</v>
      </c>
      <c r="B93" s="1">
        <v>45551.07644675926</v>
      </c>
      <c r="C93" s="1">
        <v>45550.200752314813</v>
      </c>
      <c r="D93" s="5">
        <v>214.1</v>
      </c>
      <c r="E93" s="5">
        <v>1.7416666666666174</v>
      </c>
      <c r="F93" s="3">
        <v>9.9511111111111106</v>
      </c>
      <c r="G93" s="3">
        <v>0.75231481481481488</v>
      </c>
    </row>
    <row r="94" spans="1:7" x14ac:dyDescent="0.2">
      <c r="A94" s="27">
        <v>45551.077835648146</v>
      </c>
      <c r="B94" s="1">
        <v>45551.077835648146</v>
      </c>
      <c r="C94" s="1">
        <v>45550.202141203699</v>
      </c>
      <c r="D94" s="5">
        <v>213.8</v>
      </c>
      <c r="E94" s="5">
        <v>1.4416666666666345</v>
      </c>
      <c r="F94" s="3">
        <v>9.9244444444444433</v>
      </c>
      <c r="G94" s="3">
        <v>0.7256481481481476</v>
      </c>
    </row>
    <row r="95" spans="1:7" x14ac:dyDescent="0.2">
      <c r="A95" s="27">
        <v>45551.079224537039</v>
      </c>
      <c r="B95" s="1">
        <v>45551.079224537039</v>
      </c>
      <c r="C95" s="1">
        <v>45550.203530092593</v>
      </c>
      <c r="D95" s="5">
        <v>213.9</v>
      </c>
      <c r="E95" s="5">
        <v>1.5416666666666288</v>
      </c>
      <c r="F95" s="3">
        <v>9.9088888888888889</v>
      </c>
      <c r="G95" s="3">
        <v>0.71009259259259316</v>
      </c>
    </row>
    <row r="96" spans="1:7" x14ac:dyDescent="0.2">
      <c r="A96" s="27">
        <v>45551.080613425926</v>
      </c>
      <c r="B96" s="1">
        <v>45551.080613425926</v>
      </c>
      <c r="C96" s="1">
        <v>45550.204918981479</v>
      </c>
      <c r="D96" s="5">
        <v>213.9</v>
      </c>
      <c r="E96" s="5">
        <v>1.5416666666666288</v>
      </c>
      <c r="F96" s="3">
        <v>9.887777777777778</v>
      </c>
      <c r="G96" s="3">
        <v>0.68898148148148231</v>
      </c>
    </row>
    <row r="97" spans="1:7" x14ac:dyDescent="0.2">
      <c r="A97" s="27">
        <v>45551.082002314812</v>
      </c>
      <c r="B97" s="1">
        <v>45551.082002314812</v>
      </c>
      <c r="C97" s="1">
        <v>45550.206307870365</v>
      </c>
      <c r="D97" s="5">
        <v>213.9</v>
      </c>
      <c r="E97" s="5">
        <v>1.5416666666666288</v>
      </c>
      <c r="F97" s="3">
        <v>9.8811111111111121</v>
      </c>
      <c r="G97" s="3">
        <v>0.68231481481481637</v>
      </c>
    </row>
    <row r="98" spans="1:7" x14ac:dyDescent="0.2">
      <c r="A98" s="27">
        <v>45551.083391203705</v>
      </c>
      <c r="B98" s="1">
        <v>45551.083391203705</v>
      </c>
      <c r="C98" s="1">
        <v>45550.207696759258</v>
      </c>
      <c r="D98" s="5">
        <v>213.6</v>
      </c>
      <c r="E98" s="5">
        <v>1.2416666666666174</v>
      </c>
      <c r="F98" s="3">
        <v>9.8300000000000018</v>
      </c>
      <c r="G98" s="3">
        <v>0.63120370370370615</v>
      </c>
    </row>
    <row r="99" spans="1:7" x14ac:dyDescent="0.2">
      <c r="A99" s="27">
        <v>45551.084780092591</v>
      </c>
      <c r="B99" s="1">
        <v>45551.084780092591</v>
      </c>
      <c r="C99" s="1">
        <v>45550.209085648145</v>
      </c>
      <c r="D99" s="5">
        <v>213.7</v>
      </c>
      <c r="E99" s="5">
        <v>1.3416666666666117</v>
      </c>
      <c r="F99" s="3">
        <v>9.8244444444444454</v>
      </c>
      <c r="G99" s="3">
        <v>0.62564814814814973</v>
      </c>
    </row>
    <row r="100" spans="1:7" x14ac:dyDescent="0.2">
      <c r="A100" s="27">
        <v>45551.086168981485</v>
      </c>
      <c r="B100" s="1">
        <v>45551.086168981485</v>
      </c>
      <c r="C100" s="1">
        <v>45550.210474537038</v>
      </c>
      <c r="D100" s="5">
        <v>213.6</v>
      </c>
      <c r="E100" s="5">
        <v>1.2416666666666174</v>
      </c>
      <c r="F100" s="3">
        <v>9.83</v>
      </c>
      <c r="G100" s="3">
        <v>0.63120370370370438</v>
      </c>
    </row>
    <row r="101" spans="1:7" x14ac:dyDescent="0.2">
      <c r="A101" s="27">
        <v>45551.087557870371</v>
      </c>
      <c r="B101" s="1">
        <v>45551.087557870371</v>
      </c>
      <c r="C101" s="1">
        <v>45550.211863425924</v>
      </c>
      <c r="D101" s="5">
        <v>213.3</v>
      </c>
      <c r="E101" s="5">
        <v>0.94166666666663446</v>
      </c>
      <c r="F101" s="3">
        <v>9.785555555555554</v>
      </c>
      <c r="G101" s="3">
        <v>0.58675925925925831</v>
      </c>
    </row>
    <row r="102" spans="1:7" x14ac:dyDescent="0.2">
      <c r="A102" s="27">
        <v>45551.088946759257</v>
      </c>
      <c r="B102" s="1">
        <v>45551.088946759257</v>
      </c>
      <c r="C102" s="1">
        <v>45550.21325231481</v>
      </c>
      <c r="D102" s="5">
        <v>213.4</v>
      </c>
      <c r="E102" s="5">
        <v>1.0416666666666288</v>
      </c>
      <c r="F102" s="3">
        <v>9.818888888888889</v>
      </c>
      <c r="G102" s="3">
        <v>0.62009259259259331</v>
      </c>
    </row>
    <row r="103" spans="1:7" x14ac:dyDescent="0.2">
      <c r="A103" s="27">
        <v>45551.09033564815</v>
      </c>
      <c r="B103" s="1">
        <v>45551.09033564815</v>
      </c>
      <c r="C103" s="1">
        <v>45550.214641203704</v>
      </c>
      <c r="D103" s="5">
        <v>213.4</v>
      </c>
      <c r="E103" s="5">
        <v>1.0416666666666288</v>
      </c>
      <c r="F103" s="3">
        <v>9.7844444444444409</v>
      </c>
      <c r="G103" s="3">
        <v>0.58564814814814525</v>
      </c>
    </row>
    <row r="104" spans="1:7" x14ac:dyDescent="0.2">
      <c r="A104" s="27">
        <v>45551.091724537036</v>
      </c>
      <c r="B104" s="1">
        <v>45551.091724537036</v>
      </c>
      <c r="C104" s="1">
        <v>45550.21603009259</v>
      </c>
      <c r="D104" s="5">
        <v>213.3</v>
      </c>
      <c r="E104" s="5">
        <v>0.94166666666663446</v>
      </c>
      <c r="F104" s="3">
        <v>9.7777777777777786</v>
      </c>
      <c r="G104" s="3">
        <v>0.57898148148148287</v>
      </c>
    </row>
    <row r="105" spans="1:7" x14ac:dyDescent="0.2">
      <c r="A105" s="27">
        <v>45551.093113425923</v>
      </c>
      <c r="B105" s="1">
        <v>45551.093113425923</v>
      </c>
      <c r="C105" s="1">
        <v>45550.217418981476</v>
      </c>
      <c r="D105" s="5">
        <v>213.1</v>
      </c>
      <c r="E105" s="5">
        <v>0.7416666666666174</v>
      </c>
      <c r="F105" s="3">
        <v>9.7188888888888911</v>
      </c>
      <c r="G105" s="3">
        <v>0.52009259259259544</v>
      </c>
    </row>
    <row r="106" spans="1:7" x14ac:dyDescent="0.2">
      <c r="A106" s="27">
        <v>45551.094502314816</v>
      </c>
      <c r="B106" s="1">
        <v>45551.094502314816</v>
      </c>
      <c r="C106" s="1">
        <v>45550.218807870369</v>
      </c>
      <c r="D106" s="5">
        <v>213.3</v>
      </c>
      <c r="E106" s="5">
        <v>0.94166666666663446</v>
      </c>
      <c r="F106" s="3">
        <v>9.7444444444444454</v>
      </c>
      <c r="G106" s="3">
        <v>0.54564814814814966</v>
      </c>
    </row>
    <row r="107" spans="1:7" x14ac:dyDescent="0.2">
      <c r="A107" s="27">
        <v>45551.095891203702</v>
      </c>
      <c r="B107" s="1">
        <v>45551.095891203702</v>
      </c>
      <c r="C107" s="1">
        <v>45550.220196759255</v>
      </c>
      <c r="D107" s="5">
        <v>213.3</v>
      </c>
      <c r="E107" s="5">
        <v>0.94166666666663446</v>
      </c>
      <c r="F107" s="3">
        <v>9.7500000000000018</v>
      </c>
      <c r="G107" s="3">
        <v>0.55120370370370608</v>
      </c>
    </row>
    <row r="108" spans="1:7" x14ac:dyDescent="0.2">
      <c r="A108" s="27">
        <v>45551.097280092596</v>
      </c>
      <c r="B108" s="1">
        <v>45551.097280092596</v>
      </c>
      <c r="C108" s="1">
        <v>45550.221585648149</v>
      </c>
      <c r="D108" s="5">
        <v>213</v>
      </c>
      <c r="E108" s="5">
        <v>0.64166666666662309</v>
      </c>
      <c r="F108" s="3">
        <v>9.7211111111111119</v>
      </c>
      <c r="G108" s="3">
        <v>0.52231481481481623</v>
      </c>
    </row>
    <row r="109" spans="1:7" x14ac:dyDescent="0.2">
      <c r="A109" s="27">
        <v>45551.098668981482</v>
      </c>
      <c r="B109" s="1">
        <v>45551.098668981482</v>
      </c>
      <c r="C109" s="1">
        <v>45550.222974537035</v>
      </c>
      <c r="D109" s="5">
        <v>213.1</v>
      </c>
      <c r="E109" s="5">
        <v>0.7416666666666174</v>
      </c>
      <c r="F109" s="3">
        <v>9.7133333333333347</v>
      </c>
      <c r="G109" s="3">
        <v>0.51453703703703901</v>
      </c>
    </row>
    <row r="110" spans="1:7" x14ac:dyDescent="0.2">
      <c r="A110" s="27">
        <v>45551.100057870368</v>
      </c>
      <c r="B110" s="1">
        <v>45551.100057870368</v>
      </c>
      <c r="C110" s="1">
        <v>45550.224363425921</v>
      </c>
      <c r="D110" s="5">
        <v>213</v>
      </c>
      <c r="E110" s="5">
        <v>0.64166666666662309</v>
      </c>
      <c r="F110" s="3">
        <v>9.698888888888888</v>
      </c>
      <c r="G110" s="3">
        <v>0.50009259259259231</v>
      </c>
    </row>
    <row r="111" spans="1:7" x14ac:dyDescent="0.2">
      <c r="A111" s="27">
        <v>45551.101446759261</v>
      </c>
      <c r="B111" s="1">
        <v>45551.101446759261</v>
      </c>
      <c r="C111" s="1">
        <v>45550.225752314815</v>
      </c>
      <c r="D111" s="5">
        <v>213</v>
      </c>
      <c r="E111" s="5">
        <v>0.64166666666662309</v>
      </c>
      <c r="F111" s="3">
        <v>9.6833333333333336</v>
      </c>
      <c r="G111" s="3">
        <v>0.48453703703703788</v>
      </c>
    </row>
    <row r="112" spans="1:7" x14ac:dyDescent="0.2">
      <c r="A112" s="27">
        <v>45551.102835648147</v>
      </c>
      <c r="B112" s="1">
        <v>45551.102835648147</v>
      </c>
      <c r="C112" s="1">
        <v>45550.227141203701</v>
      </c>
      <c r="D112" s="5">
        <v>213</v>
      </c>
      <c r="E112" s="5">
        <v>0.64166666666662309</v>
      </c>
      <c r="F112" s="3">
        <v>9.69</v>
      </c>
      <c r="G112" s="3">
        <v>0.49120370370370381</v>
      </c>
    </row>
    <row r="113" spans="1:7" x14ac:dyDescent="0.2">
      <c r="A113" s="27">
        <v>45551.104224537034</v>
      </c>
      <c r="B113" s="1">
        <v>45551.104224537034</v>
      </c>
      <c r="C113" s="1">
        <v>45550.228530092587</v>
      </c>
      <c r="D113" s="5">
        <v>213</v>
      </c>
      <c r="E113" s="5">
        <v>0.64166666666662309</v>
      </c>
      <c r="F113" s="3">
        <v>9.68</v>
      </c>
      <c r="G113" s="3">
        <v>0.48120370370370402</v>
      </c>
    </row>
    <row r="114" spans="1:7" x14ac:dyDescent="0.2">
      <c r="A114" s="27">
        <v>45551.105613425927</v>
      </c>
      <c r="B114" s="1">
        <v>45551.105613425927</v>
      </c>
      <c r="C114" s="1">
        <v>45550.22991898148</v>
      </c>
      <c r="D114" s="5">
        <v>213</v>
      </c>
      <c r="E114" s="5">
        <v>0.64166666666662309</v>
      </c>
      <c r="F114" s="3">
        <v>9.6822222222222205</v>
      </c>
      <c r="G114" s="3">
        <v>0.48342592592592482</v>
      </c>
    </row>
    <row r="115" spans="1:7" x14ac:dyDescent="0.2">
      <c r="A115" s="27">
        <v>45551.107002314813</v>
      </c>
      <c r="B115" s="1">
        <v>45551.107002314813</v>
      </c>
      <c r="C115" s="1">
        <v>45550.231307870366</v>
      </c>
      <c r="D115" s="5">
        <v>212.9</v>
      </c>
      <c r="E115" s="5">
        <v>0.54166666666662877</v>
      </c>
      <c r="F115" s="3">
        <v>9.665555555555553</v>
      </c>
      <c r="G115" s="3">
        <v>0.46675925925925732</v>
      </c>
    </row>
    <row r="116" spans="1:7" x14ac:dyDescent="0.2">
      <c r="A116" s="27">
        <v>45551.108391203707</v>
      </c>
      <c r="B116" s="1">
        <v>45551.108391203707</v>
      </c>
      <c r="C116" s="1">
        <v>45550.23269675926</v>
      </c>
      <c r="D116" s="5">
        <v>213</v>
      </c>
      <c r="E116" s="5">
        <v>0.64166666666662309</v>
      </c>
      <c r="F116" s="3">
        <v>9.6788888888888902</v>
      </c>
      <c r="G116" s="3">
        <v>0.48009259259259451</v>
      </c>
    </row>
    <row r="117" spans="1:7" x14ac:dyDescent="0.2">
      <c r="A117" s="27">
        <v>45551.109780092593</v>
      </c>
      <c r="B117" s="1">
        <v>45551.109780092593</v>
      </c>
      <c r="C117" s="1">
        <v>45550.234085648146</v>
      </c>
      <c r="D117" s="5">
        <v>212.9</v>
      </c>
      <c r="E117" s="5">
        <v>0.54166666666662877</v>
      </c>
      <c r="F117" s="3">
        <v>9.6622222222222227</v>
      </c>
      <c r="G117" s="3">
        <v>0.46342592592592702</v>
      </c>
    </row>
    <row r="118" spans="1:7" x14ac:dyDescent="0.2">
      <c r="A118" s="27">
        <v>45551.111168981479</v>
      </c>
      <c r="B118" s="1">
        <v>45551.111168981479</v>
      </c>
      <c r="C118" s="1">
        <v>45550.235474537032</v>
      </c>
      <c r="D118" s="5">
        <v>212.8</v>
      </c>
      <c r="E118" s="5">
        <v>0.44166666666663446</v>
      </c>
      <c r="F118" s="3">
        <v>9.637777777777778</v>
      </c>
      <c r="G118" s="3">
        <v>0.43898148148148231</v>
      </c>
    </row>
    <row r="119" spans="1:7" x14ac:dyDescent="0.2">
      <c r="A119" s="27">
        <v>45551.112557870372</v>
      </c>
      <c r="B119" s="1">
        <v>45551.112557870372</v>
      </c>
      <c r="C119" s="1">
        <v>45550.236863425926</v>
      </c>
      <c r="D119" s="5">
        <v>212.9</v>
      </c>
      <c r="E119" s="5">
        <v>0.54166666666662877</v>
      </c>
      <c r="F119" s="3">
        <v>9.6311111111111103</v>
      </c>
      <c r="G119" s="3">
        <v>0.4323148148148146</v>
      </c>
    </row>
    <row r="120" spans="1:7" x14ac:dyDescent="0.2">
      <c r="A120" s="27">
        <v>45551.113946759258</v>
      </c>
      <c r="B120" s="1">
        <v>45551.113946759258</v>
      </c>
      <c r="C120" s="1">
        <v>45550.238252314812</v>
      </c>
      <c r="D120" s="5">
        <v>212.6</v>
      </c>
      <c r="E120" s="5">
        <v>0.2416666666666174</v>
      </c>
      <c r="F120" s="3">
        <v>9.6188888888888879</v>
      </c>
      <c r="G120" s="3">
        <v>0.42009259259259224</v>
      </c>
    </row>
    <row r="121" spans="1:7" x14ac:dyDescent="0.2">
      <c r="A121" s="27">
        <v>45551.115335648145</v>
      </c>
      <c r="B121" s="1">
        <v>45551.115335648145</v>
      </c>
      <c r="C121" s="1">
        <v>45550.239641203698</v>
      </c>
      <c r="D121" s="5">
        <v>212.9</v>
      </c>
      <c r="E121" s="5">
        <v>0.54166666666662877</v>
      </c>
      <c r="F121" s="3">
        <v>9.6199999999999992</v>
      </c>
      <c r="G121" s="3">
        <v>0.42120370370370352</v>
      </c>
    </row>
    <row r="122" spans="1:7" x14ac:dyDescent="0.2">
      <c r="A122" s="27">
        <v>45551.116724537038</v>
      </c>
      <c r="B122" s="1">
        <v>45551.116724537038</v>
      </c>
      <c r="C122" s="1">
        <v>45550.241030092591</v>
      </c>
      <c r="D122" s="5">
        <v>212.7</v>
      </c>
      <c r="E122" s="5">
        <v>0.34166666666661172</v>
      </c>
      <c r="F122" s="3">
        <v>9.6422222222222231</v>
      </c>
      <c r="G122" s="3">
        <v>0.44342592592592744</v>
      </c>
    </row>
    <row r="123" spans="1:7" x14ac:dyDescent="0.2">
      <c r="A123" s="27">
        <v>45551.118113425924</v>
      </c>
      <c r="B123" s="1">
        <v>45551.118113425924</v>
      </c>
      <c r="C123" s="1">
        <v>45550.242418981477</v>
      </c>
      <c r="D123" s="5">
        <v>212.7</v>
      </c>
      <c r="E123" s="5">
        <v>0.34166666666661172</v>
      </c>
      <c r="F123" s="3">
        <v>9.6488888888888873</v>
      </c>
      <c r="G123" s="3">
        <v>0.4500925925925916</v>
      </c>
    </row>
    <row r="124" spans="1:7" x14ac:dyDescent="0.2">
      <c r="A124" s="27">
        <v>45551.119502314818</v>
      </c>
      <c r="B124" s="1">
        <v>45551.119502314818</v>
      </c>
      <c r="C124" s="1">
        <v>45550.243807870371</v>
      </c>
      <c r="D124" s="5">
        <v>212.6</v>
      </c>
      <c r="E124" s="5">
        <v>0.2416666666666174</v>
      </c>
      <c r="F124" s="3">
        <v>9.6111111111111107</v>
      </c>
      <c r="G124" s="3">
        <v>0.41231481481481502</v>
      </c>
    </row>
    <row r="125" spans="1:7" x14ac:dyDescent="0.2">
      <c r="A125" s="27">
        <v>45551.120891203704</v>
      </c>
      <c r="B125" s="1">
        <v>45551.120891203704</v>
      </c>
      <c r="C125" s="1">
        <v>45550.245196759257</v>
      </c>
      <c r="D125" s="5">
        <v>212.5</v>
      </c>
      <c r="E125" s="5">
        <v>0.14166666666662309</v>
      </c>
      <c r="F125" s="3">
        <v>9.5944444444444432</v>
      </c>
      <c r="G125" s="3">
        <v>0.39564814814814753</v>
      </c>
    </row>
    <row r="126" spans="1:7" x14ac:dyDescent="0.2">
      <c r="A126" s="27">
        <v>45551.12228009259</v>
      </c>
      <c r="B126" s="1">
        <v>45551.12228009259</v>
      </c>
      <c r="C126" s="1">
        <v>45550.246585648143</v>
      </c>
      <c r="D126" s="5">
        <v>212.6</v>
      </c>
      <c r="E126" s="5">
        <v>0.2416666666666174</v>
      </c>
      <c r="F126" s="3">
        <v>9.5711111111111116</v>
      </c>
      <c r="G126" s="3">
        <v>0.37231481481481588</v>
      </c>
    </row>
    <row r="127" spans="1:7" x14ac:dyDescent="0.2">
      <c r="A127" s="27">
        <v>45551.123668981483</v>
      </c>
      <c r="B127" s="1">
        <v>45551.123668981483</v>
      </c>
      <c r="C127" s="1">
        <v>45550.247974537036</v>
      </c>
      <c r="D127" s="5">
        <v>212.6</v>
      </c>
      <c r="E127" s="5">
        <v>0.2416666666666174</v>
      </c>
      <c r="F127" s="3">
        <v>9.5933333333333337</v>
      </c>
      <c r="G127" s="3">
        <v>0.39453703703703802</v>
      </c>
    </row>
    <row r="128" spans="1:7" x14ac:dyDescent="0.2">
      <c r="A128" s="27">
        <v>45551.125057870369</v>
      </c>
      <c r="B128" s="1">
        <v>45551.125057870369</v>
      </c>
      <c r="C128" s="1">
        <v>45550.249363425923</v>
      </c>
      <c r="D128" s="5">
        <v>212.6</v>
      </c>
      <c r="E128" s="5">
        <v>0.2416666666666174</v>
      </c>
      <c r="F128" s="3">
        <v>9.5855555555555547</v>
      </c>
      <c r="G128" s="3">
        <v>0.38675925925925903</v>
      </c>
    </row>
    <row r="129" spans="1:7" x14ac:dyDescent="0.2">
      <c r="A129" s="27">
        <v>45551.126446759263</v>
      </c>
      <c r="B129" s="1">
        <v>45551.126446759263</v>
      </c>
      <c r="C129" s="1">
        <v>45550.250752314816</v>
      </c>
      <c r="D129" s="5">
        <v>212.5</v>
      </c>
      <c r="E129" s="5">
        <v>0.14166666666662309</v>
      </c>
      <c r="F129" s="3">
        <v>9.5666666666666682</v>
      </c>
      <c r="G129" s="3">
        <v>0.36787037037037251</v>
      </c>
    </row>
    <row r="130" spans="1:7" x14ac:dyDescent="0.2">
      <c r="A130" s="27">
        <v>45551.127835648149</v>
      </c>
      <c r="B130" s="1">
        <v>45551.127835648149</v>
      </c>
      <c r="C130" s="1">
        <v>45550.252141203702</v>
      </c>
      <c r="D130" s="5">
        <v>212.3</v>
      </c>
      <c r="E130" s="5">
        <v>-5.8333333333365545E-2</v>
      </c>
      <c r="F130" s="3">
        <v>9.5555555555555554</v>
      </c>
      <c r="G130" s="3">
        <v>0.35675925925925966</v>
      </c>
    </row>
    <row r="131" spans="1:7" x14ac:dyDescent="0.2">
      <c r="A131" s="27">
        <v>45551.129224537035</v>
      </c>
      <c r="B131" s="1">
        <v>45551.129224537035</v>
      </c>
      <c r="C131" s="1">
        <v>45550.253530092588</v>
      </c>
      <c r="D131" s="5">
        <v>212.5</v>
      </c>
      <c r="E131" s="5">
        <v>0.14166666666662309</v>
      </c>
      <c r="F131" s="3">
        <v>9.5677777777777759</v>
      </c>
      <c r="G131" s="3">
        <v>0.36898148148148024</v>
      </c>
    </row>
    <row r="132" spans="1:7" x14ac:dyDescent="0.2">
      <c r="A132" s="27">
        <v>45551.130613425928</v>
      </c>
      <c r="B132" s="1">
        <v>45551.130613425928</v>
      </c>
      <c r="C132" s="1">
        <v>45550.254918981482</v>
      </c>
      <c r="D132" s="5">
        <v>212.6</v>
      </c>
      <c r="E132" s="5">
        <v>0.2416666666666174</v>
      </c>
      <c r="F132" s="3">
        <v>9.576666666666668</v>
      </c>
      <c r="G132" s="3">
        <v>0.3778703703703723</v>
      </c>
    </row>
    <row r="133" spans="1:7" x14ac:dyDescent="0.2">
      <c r="A133" s="27">
        <v>45551.132002314815</v>
      </c>
      <c r="B133" s="1">
        <v>45551.132002314815</v>
      </c>
      <c r="C133" s="1">
        <v>45550.256307870368</v>
      </c>
      <c r="D133" s="5">
        <v>212.5</v>
      </c>
      <c r="E133" s="5">
        <v>0.14166666666662309</v>
      </c>
      <c r="F133" s="3">
        <v>9.5577777777777797</v>
      </c>
      <c r="G133" s="3">
        <v>0.35898148148148401</v>
      </c>
    </row>
    <row r="134" spans="1:7" x14ac:dyDescent="0.2">
      <c r="A134" s="27">
        <v>45551.133391203701</v>
      </c>
      <c r="B134" s="1">
        <v>45551.133391203701</v>
      </c>
      <c r="C134" s="1">
        <v>45550.257696759254</v>
      </c>
      <c r="D134" s="5">
        <v>212.3</v>
      </c>
      <c r="E134" s="5">
        <v>-5.8333333333365545E-2</v>
      </c>
      <c r="F134" s="3">
        <v>9.5455555555555556</v>
      </c>
      <c r="G134" s="3">
        <v>0.34675925925925988</v>
      </c>
    </row>
    <row r="135" spans="1:7" x14ac:dyDescent="0.2">
      <c r="A135" s="27">
        <v>45551.134780092594</v>
      </c>
      <c r="B135" s="1">
        <v>45551.134780092594</v>
      </c>
      <c r="C135" s="1">
        <v>45550.259085648147</v>
      </c>
      <c r="D135" s="5">
        <v>212.2</v>
      </c>
      <c r="E135" s="5">
        <v>-0.15833333333338828</v>
      </c>
      <c r="F135" s="3">
        <v>9.5444444444444443</v>
      </c>
      <c r="G135" s="3">
        <v>0.34564814814814859</v>
      </c>
    </row>
    <row r="136" spans="1:7" x14ac:dyDescent="0.2">
      <c r="A136" s="27">
        <v>45551.13616898148</v>
      </c>
      <c r="B136" s="1">
        <v>45551.13616898148</v>
      </c>
      <c r="C136" s="1">
        <v>45550.260474537034</v>
      </c>
      <c r="D136" s="5">
        <v>212.2</v>
      </c>
      <c r="E136" s="5">
        <v>-0.15833333333338828</v>
      </c>
      <c r="F136" s="3">
        <v>9.5222222222222204</v>
      </c>
      <c r="G136" s="3">
        <v>0.32342592592592467</v>
      </c>
    </row>
    <row r="137" spans="1:7" x14ac:dyDescent="0.2">
      <c r="A137" s="27">
        <v>45551.137557870374</v>
      </c>
      <c r="B137" s="1">
        <v>45551.137557870374</v>
      </c>
      <c r="C137" s="1">
        <v>45550.261863425927</v>
      </c>
      <c r="D137" s="5">
        <v>212.3</v>
      </c>
      <c r="E137" s="5">
        <v>-5.8333333333365545E-2</v>
      </c>
      <c r="F137" s="3">
        <v>9.5277777777777786</v>
      </c>
      <c r="G137" s="3">
        <v>0.32898148148148287</v>
      </c>
    </row>
    <row r="138" spans="1:7" x14ac:dyDescent="0.2">
      <c r="A138" s="27">
        <v>45551.13894675926</v>
      </c>
      <c r="B138" s="1">
        <v>45551.13894675926</v>
      </c>
      <c r="C138" s="1">
        <v>45550.263252314813</v>
      </c>
      <c r="D138" s="5">
        <v>212.1</v>
      </c>
      <c r="E138" s="5">
        <v>-0.2583333333333826</v>
      </c>
      <c r="F138" s="3">
        <v>9.5544444444444423</v>
      </c>
      <c r="G138" s="3">
        <v>0.3556481481481466</v>
      </c>
    </row>
    <row r="139" spans="1:7" x14ac:dyDescent="0.2">
      <c r="A139" s="27">
        <v>45551.140335648146</v>
      </c>
      <c r="B139" s="1">
        <v>45551.140335648146</v>
      </c>
      <c r="C139" s="1">
        <v>45550.264641203699</v>
      </c>
      <c r="D139" s="5">
        <v>212.3</v>
      </c>
      <c r="E139" s="5">
        <v>-5.8333333333365545E-2</v>
      </c>
      <c r="F139" s="3">
        <v>9.5311111111111106</v>
      </c>
      <c r="G139" s="3">
        <v>0.33231481481481495</v>
      </c>
    </row>
    <row r="140" spans="1:7" x14ac:dyDescent="0.2">
      <c r="A140" s="27">
        <v>45551.141724537039</v>
      </c>
      <c r="B140" s="1">
        <v>45551.141724537039</v>
      </c>
      <c r="C140" s="1">
        <v>45550.266030092593</v>
      </c>
      <c r="D140" s="5">
        <v>212.3</v>
      </c>
      <c r="E140" s="5">
        <v>-5.8333333333365545E-2</v>
      </c>
      <c r="F140" s="3">
        <v>9.5244444444444447</v>
      </c>
      <c r="G140" s="3">
        <v>0.32564814814814902</v>
      </c>
    </row>
    <row r="141" spans="1:7" x14ac:dyDescent="0.2">
      <c r="A141" s="27">
        <v>45551.143113425926</v>
      </c>
      <c r="B141" s="1">
        <v>45551.143113425926</v>
      </c>
      <c r="C141" s="1">
        <v>45550.267418981479</v>
      </c>
      <c r="D141" s="5">
        <v>212.3</v>
      </c>
      <c r="E141" s="5">
        <v>-5.8333333333365545E-2</v>
      </c>
      <c r="F141" s="3">
        <v>9.5288888888888899</v>
      </c>
      <c r="G141" s="3">
        <v>0.33009259259259416</v>
      </c>
    </row>
    <row r="142" spans="1:7" x14ac:dyDescent="0.2">
      <c r="A142" s="27">
        <v>45551.144502314812</v>
      </c>
      <c r="B142" s="1">
        <v>45551.144502314812</v>
      </c>
      <c r="C142" s="1">
        <v>45550.268807870365</v>
      </c>
      <c r="D142" s="5">
        <v>212.1</v>
      </c>
      <c r="E142" s="5">
        <v>-0.2583333333333826</v>
      </c>
      <c r="F142" s="3">
        <v>9.5133333333333319</v>
      </c>
      <c r="G142" s="3">
        <v>0.31453703703703617</v>
      </c>
    </row>
    <row r="143" spans="1:7" x14ac:dyDescent="0.2">
      <c r="A143" s="27">
        <v>45551.145891203705</v>
      </c>
      <c r="B143" s="1">
        <v>45551.145891203705</v>
      </c>
      <c r="C143" s="1">
        <v>45550.270196759258</v>
      </c>
      <c r="D143" s="5">
        <v>212.2</v>
      </c>
      <c r="E143" s="5">
        <v>-0.15833333333338828</v>
      </c>
      <c r="F143" s="3">
        <v>9.5088888888888885</v>
      </c>
      <c r="G143" s="3">
        <v>0.31009259259259281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20240915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Torrens, Christa</dc:creator>
  <cp:lastModifiedBy>Torrens, Christa</cp:lastModifiedBy>
  <dcterms:created xsi:type="dcterms:W3CDTF">2024-10-18T16:21:02Z</dcterms:created>
  <dcterms:modified xsi:type="dcterms:W3CDTF">2024-10-18T17:32:27Z</dcterms:modified>
</cp:coreProperties>
</file>