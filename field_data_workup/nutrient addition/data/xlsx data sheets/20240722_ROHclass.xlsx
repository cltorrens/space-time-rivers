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field_data_workup/nutrient addition/data/"/>
    </mc:Choice>
  </mc:AlternateContent>
  <xr:revisionPtr revIDLastSave="0" documentId="13_ncr:1_{096BDA8A-D779-9147-9615-D6AF638B0092}" xr6:coauthVersionLast="47" xr6:coauthVersionMax="47" xr10:uidLastSave="{00000000-0000-0000-0000-000000000000}"/>
  <bookViews>
    <workbookView xWindow="5300" yWindow="800" windowWidth="25040" windowHeight="14400" xr2:uid="{616730B2-DB50-FA42-8D47-2DB026286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Q2" i="1" s="1"/>
  <c r="P2" i="1"/>
  <c r="G3" i="1"/>
  <c r="G4" i="1"/>
  <c r="I5" i="1" s="1"/>
  <c r="G5" i="1"/>
  <c r="G6" i="1"/>
  <c r="I7" i="1" s="1"/>
  <c r="G7" i="1"/>
  <c r="G8" i="1"/>
  <c r="I9" i="1" s="1"/>
  <c r="G9" i="1"/>
  <c r="G10" i="1"/>
  <c r="I11" i="1" s="1"/>
  <c r="G11" i="1"/>
  <c r="G12" i="1"/>
  <c r="I13" i="1" s="1"/>
  <c r="G13" i="1"/>
  <c r="G14" i="1"/>
  <c r="I15" i="1" s="1"/>
  <c r="G15" i="1"/>
  <c r="G16" i="1"/>
  <c r="G17" i="1"/>
  <c r="G18" i="1"/>
  <c r="I19" i="1" s="1"/>
  <c r="G19" i="1"/>
  <c r="G20" i="1"/>
  <c r="G21" i="1"/>
  <c r="G22" i="1"/>
  <c r="I23" i="1" s="1"/>
  <c r="G23" i="1"/>
  <c r="G24" i="1"/>
  <c r="I25" i="1" s="1"/>
  <c r="G25" i="1"/>
  <c r="G26" i="1"/>
  <c r="I27" i="1" s="1"/>
  <c r="G27" i="1"/>
  <c r="G28" i="1"/>
  <c r="G29" i="1"/>
  <c r="G30" i="1"/>
  <c r="I31" i="1" s="1"/>
  <c r="G31" i="1"/>
  <c r="G32" i="1"/>
  <c r="I33" i="1" s="1"/>
  <c r="G33" i="1"/>
  <c r="G34" i="1"/>
  <c r="G35" i="1"/>
  <c r="G36" i="1"/>
  <c r="I37" i="1" s="1"/>
  <c r="G37" i="1"/>
  <c r="G38" i="1"/>
  <c r="G39" i="1"/>
  <c r="G40" i="1"/>
  <c r="I41" i="1" s="1"/>
  <c r="G41" i="1"/>
  <c r="G42" i="1"/>
  <c r="G43" i="1"/>
  <c r="G44" i="1"/>
  <c r="I44" i="1" s="1"/>
  <c r="G45" i="1"/>
  <c r="G46" i="1"/>
  <c r="G47" i="1"/>
  <c r="G48" i="1"/>
  <c r="G49" i="1"/>
  <c r="G50" i="1"/>
  <c r="G51" i="1"/>
  <c r="G52" i="1"/>
  <c r="I52" i="1" s="1"/>
  <c r="G53" i="1"/>
  <c r="G54" i="1"/>
  <c r="G55" i="1"/>
  <c r="G56" i="1"/>
  <c r="I56" i="1" s="1"/>
  <c r="G57" i="1"/>
  <c r="G58" i="1"/>
  <c r="G59" i="1"/>
  <c r="G60" i="1"/>
  <c r="G61" i="1"/>
  <c r="G62" i="1"/>
  <c r="G63" i="1"/>
  <c r="G64" i="1"/>
  <c r="I65" i="1" s="1"/>
  <c r="G65" i="1"/>
  <c r="G66" i="1"/>
  <c r="G67" i="1"/>
  <c r="G68" i="1"/>
  <c r="I69" i="1" s="1"/>
  <c r="G69" i="1"/>
  <c r="G70" i="1"/>
  <c r="G71" i="1"/>
  <c r="G72" i="1"/>
  <c r="I73" i="1" s="1"/>
  <c r="G73" i="1"/>
  <c r="G74" i="1"/>
  <c r="I75" i="1" s="1"/>
  <c r="G75" i="1"/>
  <c r="G76" i="1"/>
  <c r="I76" i="1" s="1"/>
  <c r="G77" i="1"/>
  <c r="G78" i="1"/>
  <c r="I79" i="1" s="1"/>
  <c r="G79" i="1"/>
  <c r="G80" i="1"/>
  <c r="G81" i="1"/>
  <c r="G82" i="1"/>
  <c r="G83" i="1"/>
  <c r="G84" i="1"/>
  <c r="I85" i="1" s="1"/>
  <c r="G85" i="1"/>
  <c r="G86" i="1"/>
  <c r="I87" i="1" s="1"/>
  <c r="G87" i="1"/>
  <c r="G88" i="1"/>
  <c r="I88" i="1" s="1"/>
  <c r="G89" i="1"/>
  <c r="G90" i="1"/>
  <c r="I91" i="1" s="1"/>
  <c r="G91" i="1"/>
  <c r="G92" i="1"/>
  <c r="I93" i="1" s="1"/>
  <c r="G93" i="1"/>
  <c r="G94" i="1"/>
  <c r="I95" i="1" s="1"/>
  <c r="G95" i="1"/>
  <c r="G96" i="1"/>
  <c r="I97" i="1" s="1"/>
  <c r="G97" i="1"/>
  <c r="G98" i="1"/>
  <c r="I99" i="1" s="1"/>
  <c r="G99" i="1"/>
  <c r="G100" i="1"/>
  <c r="I101" i="1" s="1"/>
  <c r="G101" i="1"/>
  <c r="G102" i="1"/>
  <c r="G103" i="1"/>
  <c r="G104" i="1"/>
  <c r="G105" i="1"/>
  <c r="G2" i="1"/>
  <c r="I3" i="1" s="1"/>
  <c r="I17" i="1"/>
  <c r="I53" i="1"/>
  <c r="I61" i="1"/>
  <c r="I81" i="1"/>
  <c r="I89" i="1"/>
  <c r="I105" i="1"/>
  <c r="E3" i="1"/>
  <c r="E4" i="1"/>
  <c r="E5" i="1"/>
  <c r="E6" i="1"/>
  <c r="E7" i="1"/>
  <c r="E8" i="1"/>
  <c r="E9" i="1"/>
  <c r="E10" i="1"/>
  <c r="H10" i="1" s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H30" i="1" s="1"/>
  <c r="E31" i="1"/>
  <c r="E32" i="1"/>
  <c r="E33" i="1"/>
  <c r="E34" i="1"/>
  <c r="H34" i="1" s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2" i="1"/>
  <c r="I104" i="1"/>
  <c r="I96" i="1"/>
  <c r="I92" i="1"/>
  <c r="I84" i="1"/>
  <c r="I80" i="1"/>
  <c r="I72" i="1"/>
  <c r="I68" i="1"/>
  <c r="I60" i="1"/>
  <c r="I57" i="1"/>
  <c r="I49" i="1"/>
  <c r="I48" i="1"/>
  <c r="I40" i="1"/>
  <c r="H37" i="1"/>
  <c r="I29" i="1"/>
  <c r="I21" i="1"/>
  <c r="H5" i="1"/>
  <c r="H3" i="1"/>
  <c r="I64" i="1" l="1"/>
  <c r="I100" i="1"/>
  <c r="I77" i="1"/>
  <c r="I45" i="1"/>
  <c r="H42" i="1"/>
  <c r="H50" i="1"/>
  <c r="H58" i="1"/>
  <c r="H66" i="1"/>
  <c r="H74" i="1"/>
  <c r="H82" i="1"/>
  <c r="H90" i="1"/>
  <c r="H98" i="1"/>
  <c r="H14" i="1"/>
  <c r="H18" i="1"/>
  <c r="H25" i="1"/>
  <c r="J25" i="1" s="1"/>
  <c r="H17" i="1"/>
  <c r="J17" i="1" s="1"/>
  <c r="H22" i="1"/>
  <c r="H45" i="1"/>
  <c r="H53" i="1"/>
  <c r="J53" i="1" s="1"/>
  <c r="H61" i="1"/>
  <c r="J61" i="1" s="1"/>
  <c r="H69" i="1"/>
  <c r="J69" i="1" s="1"/>
  <c r="H77" i="1"/>
  <c r="H85" i="1"/>
  <c r="J85" i="1" s="1"/>
  <c r="H93" i="1"/>
  <c r="J93" i="1" s="1"/>
  <c r="H101" i="1"/>
  <c r="J101" i="1" s="1"/>
  <c r="H13" i="1"/>
  <c r="J13" i="1" s="1"/>
  <c r="H6" i="1"/>
  <c r="H9" i="1"/>
  <c r="J9" i="1" s="1"/>
  <c r="H29" i="1"/>
  <c r="H21" i="1"/>
  <c r="H39" i="1"/>
  <c r="H47" i="1"/>
  <c r="H55" i="1"/>
  <c r="H63" i="1"/>
  <c r="H71" i="1"/>
  <c r="H79" i="1"/>
  <c r="J79" i="1" s="1"/>
  <c r="H87" i="1"/>
  <c r="J87" i="1" s="1"/>
  <c r="H95" i="1"/>
  <c r="J95" i="1" s="1"/>
  <c r="H105" i="1"/>
  <c r="J105" i="1" s="1"/>
  <c r="H38" i="1"/>
  <c r="H43" i="1"/>
  <c r="H46" i="1"/>
  <c r="H51" i="1"/>
  <c r="H54" i="1"/>
  <c r="H59" i="1"/>
  <c r="H62" i="1"/>
  <c r="H67" i="1"/>
  <c r="H70" i="1"/>
  <c r="H75" i="1"/>
  <c r="J75" i="1" s="1"/>
  <c r="H78" i="1"/>
  <c r="H83" i="1"/>
  <c r="H86" i="1"/>
  <c r="H91" i="1"/>
  <c r="J91" i="1" s="1"/>
  <c r="H94" i="1"/>
  <c r="H99" i="1"/>
  <c r="J99" i="1" s="1"/>
  <c r="H102" i="1"/>
  <c r="H26" i="1"/>
  <c r="H33" i="1"/>
  <c r="H41" i="1"/>
  <c r="J41" i="1" s="1"/>
  <c r="H49" i="1"/>
  <c r="J49" i="1" s="1"/>
  <c r="H57" i="1"/>
  <c r="J57" i="1" s="1"/>
  <c r="H65" i="1"/>
  <c r="J65" i="1" s="1"/>
  <c r="H73" i="1"/>
  <c r="J73" i="1" s="1"/>
  <c r="H81" i="1"/>
  <c r="J81" i="1" s="1"/>
  <c r="H89" i="1"/>
  <c r="J89" i="1" s="1"/>
  <c r="H97" i="1"/>
  <c r="J97" i="1" s="1"/>
  <c r="J37" i="1"/>
  <c r="I36" i="1"/>
  <c r="I38" i="1"/>
  <c r="H40" i="1"/>
  <c r="J40" i="1" s="1"/>
  <c r="I42" i="1"/>
  <c r="H44" i="1"/>
  <c r="J44" i="1" s="1"/>
  <c r="I46" i="1"/>
  <c r="H48" i="1"/>
  <c r="J48" i="1" s="1"/>
  <c r="I50" i="1"/>
  <c r="H52" i="1"/>
  <c r="J52" i="1" s="1"/>
  <c r="I54" i="1"/>
  <c r="H56" i="1"/>
  <c r="J56" i="1" s="1"/>
  <c r="I58" i="1"/>
  <c r="J58" i="1" s="1"/>
  <c r="H60" i="1"/>
  <c r="J60" i="1" s="1"/>
  <c r="I62" i="1"/>
  <c r="H64" i="1"/>
  <c r="J64" i="1" s="1"/>
  <c r="I66" i="1"/>
  <c r="H68" i="1"/>
  <c r="J68" i="1" s="1"/>
  <c r="I70" i="1"/>
  <c r="H72" i="1"/>
  <c r="J72" i="1" s="1"/>
  <c r="I74" i="1"/>
  <c r="J74" i="1" s="1"/>
  <c r="H76" i="1"/>
  <c r="J76" i="1" s="1"/>
  <c r="I78" i="1"/>
  <c r="H80" i="1"/>
  <c r="J80" i="1" s="1"/>
  <c r="I82" i="1"/>
  <c r="J82" i="1" s="1"/>
  <c r="H84" i="1"/>
  <c r="J84" i="1" s="1"/>
  <c r="I86" i="1"/>
  <c r="H88" i="1"/>
  <c r="J88" i="1" s="1"/>
  <c r="I90" i="1"/>
  <c r="H92" i="1"/>
  <c r="J92" i="1" s="1"/>
  <c r="I94" i="1"/>
  <c r="H96" i="1"/>
  <c r="J96" i="1" s="1"/>
  <c r="I98" i="1"/>
  <c r="H100" i="1"/>
  <c r="J100" i="1" s="1"/>
  <c r="I102" i="1"/>
  <c r="H104" i="1"/>
  <c r="J104" i="1" s="1"/>
  <c r="H4" i="1"/>
  <c r="I6" i="1"/>
  <c r="H8" i="1"/>
  <c r="I10" i="1"/>
  <c r="J10" i="1" s="1"/>
  <c r="H12" i="1"/>
  <c r="I14" i="1"/>
  <c r="H16" i="1"/>
  <c r="I18" i="1"/>
  <c r="J18" i="1" s="1"/>
  <c r="H20" i="1"/>
  <c r="I22" i="1"/>
  <c r="J22" i="1" s="1"/>
  <c r="H24" i="1"/>
  <c r="I26" i="1"/>
  <c r="J26" i="1" s="1"/>
  <c r="H28" i="1"/>
  <c r="I30" i="1"/>
  <c r="J30" i="1" s="1"/>
  <c r="H32" i="1"/>
  <c r="I34" i="1"/>
  <c r="J34" i="1" s="1"/>
  <c r="H36" i="1"/>
  <c r="J5" i="1"/>
  <c r="J21" i="1"/>
  <c r="J29" i="1"/>
  <c r="J33" i="1"/>
  <c r="H103" i="1"/>
  <c r="I4" i="1"/>
  <c r="H7" i="1"/>
  <c r="J7" i="1" s="1"/>
  <c r="I8" i="1"/>
  <c r="H11" i="1"/>
  <c r="J11" i="1" s="1"/>
  <c r="I12" i="1"/>
  <c r="H15" i="1"/>
  <c r="J15" i="1" s="1"/>
  <c r="I16" i="1"/>
  <c r="H19" i="1"/>
  <c r="J19" i="1" s="1"/>
  <c r="I20" i="1"/>
  <c r="H23" i="1"/>
  <c r="J23" i="1" s="1"/>
  <c r="I24" i="1"/>
  <c r="H27" i="1"/>
  <c r="J27" i="1" s="1"/>
  <c r="I28" i="1"/>
  <c r="H31" i="1"/>
  <c r="J31" i="1" s="1"/>
  <c r="I32" i="1"/>
  <c r="H35" i="1"/>
  <c r="I39" i="1"/>
  <c r="I43" i="1"/>
  <c r="J43" i="1" s="1"/>
  <c r="I47" i="1"/>
  <c r="I51" i="1"/>
  <c r="I55" i="1"/>
  <c r="J55" i="1" s="1"/>
  <c r="I59" i="1"/>
  <c r="J59" i="1" s="1"/>
  <c r="I63" i="1"/>
  <c r="I67" i="1"/>
  <c r="I71" i="1"/>
  <c r="I83" i="1"/>
  <c r="J42" i="1"/>
  <c r="J14" i="1"/>
  <c r="J3" i="1"/>
  <c r="I35" i="1"/>
  <c r="I103" i="1"/>
  <c r="J77" i="1" l="1"/>
  <c r="J45" i="1"/>
  <c r="J39" i="1"/>
  <c r="J36" i="1"/>
  <c r="J94" i="1"/>
  <c r="J78" i="1"/>
  <c r="J62" i="1"/>
  <c r="J46" i="1"/>
  <c r="J6" i="1"/>
  <c r="J35" i="1"/>
  <c r="J102" i="1"/>
  <c r="J86" i="1"/>
  <c r="J70" i="1"/>
  <c r="J54" i="1"/>
  <c r="J38" i="1"/>
  <c r="J47" i="1"/>
  <c r="J98" i="1"/>
  <c r="J66" i="1"/>
  <c r="J90" i="1"/>
  <c r="J63" i="1"/>
  <c r="J50" i="1"/>
  <c r="J71" i="1"/>
  <c r="J83" i="1"/>
  <c r="J67" i="1"/>
  <c r="J51" i="1"/>
  <c r="J103" i="1"/>
  <c r="J32" i="1"/>
  <c r="J24" i="1"/>
  <c r="J16" i="1"/>
  <c r="J8" i="1"/>
  <c r="J28" i="1"/>
  <c r="J20" i="1"/>
  <c r="J12" i="1"/>
  <c r="J4" i="1"/>
</calcChain>
</file>

<file path=xl/sharedStrings.xml><?xml version="1.0" encoding="utf-8"?>
<sst xmlns="http://schemas.openxmlformats.org/spreadsheetml/2006/main" count="124" uniqueCount="21">
  <si>
    <t>22/07/2024</t>
  </si>
  <si>
    <t>Date</t>
  </si>
  <si>
    <t>clock_time</t>
  </si>
  <si>
    <t>elapsed_time</t>
  </si>
  <si>
    <t>n_conc</t>
  </si>
  <si>
    <t>corr_n_conc</t>
  </si>
  <si>
    <t>AUC_salt</t>
  </si>
  <si>
    <t>AUC_n</t>
  </si>
  <si>
    <t>R</t>
  </si>
  <si>
    <t>Q</t>
  </si>
  <si>
    <t>notes</t>
  </si>
  <si>
    <t>bkgd</t>
  </si>
  <si>
    <t>R0</t>
  </si>
  <si>
    <t>bkgd_n</t>
  </si>
  <si>
    <t>n_add</t>
  </si>
  <si>
    <t>corr_sc</t>
  </si>
  <si>
    <t>sc</t>
  </si>
  <si>
    <t>bkgd_sc</t>
  </si>
  <si>
    <t>sc_add</t>
  </si>
  <si>
    <t>reach_length</t>
  </si>
  <si>
    <t>str_width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</si>
</sst>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1" fontId="0" fillId="0" borderId="0" xfId="0" applyNumberFormat="1"/>
    <xf numFmtId="2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21" fontId="0" fillId="2" borderId="0" xfId="0" applyNumberFormat="1" applyFill="1"/>
    <xf numFmtId="20" fontId="0" fillId="2" borderId="0" xfId="0" applyNumberFormat="1" applyFill="1"/>
    <xf numFmtId="164" fontId="0" fillId="2" borderId="0" xfId="0" applyNumberFormat="1" applyFill="1"/>
    <xf numFmtId="2" fontId="1" fillId="2" borderId="0" xfId="0" applyNumberFormat="1" applyFont="1" applyFill="1"/>
    <xf numFmtId="2" fontId="0" fillId="2" borderId="0" xfId="0" applyNumberFormat="1" applyFill="1"/>
    <xf numFmtId="2" fontId="0" fillId="3" borderId="0" xfId="0" applyNumberFormat="1" applyFill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7C7F-1310-8042-B8F4-734F4EFDE8DB}">
  <dimension ref="A1:S105"/>
  <sheetViews>
    <sheetView tabSelected="1" topLeftCell="F1" workbookViewId="0">
      <selection activeCell="R8" sqref="R8"/>
    </sheetView>
  </sheetViews>
  <sheetFormatPr baseColWidth="10" defaultRowHeight="16" x14ac:dyDescent="0.2"/>
  <sheetData>
    <row r="1" spans="1:19" x14ac:dyDescent="0.2">
      <c r="A1" t="s">
        <v>1</v>
      </c>
      <c r="B1" t="s">
        <v>2</v>
      </c>
      <c r="C1" t="s">
        <v>3</v>
      </c>
      <c r="D1" s="3" t="s">
        <v>16</v>
      </c>
      <c r="E1" s="3" t="s">
        <v>15</v>
      </c>
      <c r="F1" s="4" t="s">
        <v>4</v>
      </c>
      <c r="G1" s="4" t="s">
        <v>5</v>
      </c>
      <c r="H1" t="s">
        <v>6</v>
      </c>
      <c r="I1" t="s">
        <v>7</v>
      </c>
      <c r="J1" s="4" t="s">
        <v>8</v>
      </c>
      <c r="K1" s="4" t="s">
        <v>9</v>
      </c>
      <c r="L1" t="s">
        <v>10</v>
      </c>
      <c r="M1" t="s">
        <v>17</v>
      </c>
      <c r="N1" t="s">
        <v>13</v>
      </c>
      <c r="O1" t="s">
        <v>18</v>
      </c>
      <c r="P1" t="s">
        <v>14</v>
      </c>
      <c r="Q1" t="s">
        <v>12</v>
      </c>
      <c r="R1" t="s">
        <v>19</v>
      </c>
      <c r="S1" t="s">
        <v>20</v>
      </c>
    </row>
    <row r="2" spans="1:19" x14ac:dyDescent="0.2">
      <c r="A2" s="5" t="s">
        <v>0</v>
      </c>
      <c r="B2" s="6">
        <v>0.56388888888888888</v>
      </c>
      <c r="C2" s="7">
        <v>3.2638888888888891E-2</v>
      </c>
      <c r="D2" s="8">
        <v>197</v>
      </c>
      <c r="E2" s="8">
        <f>D2-$M$2</f>
        <v>0</v>
      </c>
      <c r="F2" s="9">
        <v>7.8</v>
      </c>
      <c r="G2" s="9">
        <f>F2-$N$2</f>
        <v>0</v>
      </c>
      <c r="H2" s="5"/>
      <c r="I2" s="5"/>
      <c r="J2" s="10"/>
      <c r="K2" s="10"/>
      <c r="L2" s="5" t="s">
        <v>11</v>
      </c>
      <c r="M2">
        <v>197</v>
      </c>
      <c r="N2">
        <v>7.8</v>
      </c>
      <c r="O2">
        <f>(23.23-0.08)*2060*1000</f>
        <v>47689000.000000007</v>
      </c>
      <c r="P2" s="11">
        <f>(1200*0.97)</f>
        <v>1164</v>
      </c>
      <c r="Q2">
        <f>P2/O2</f>
        <v>2.4408144435823772E-5</v>
      </c>
      <c r="R2">
        <v>600</v>
      </c>
      <c r="S2">
        <v>17.600000000000001</v>
      </c>
    </row>
    <row r="3" spans="1:19" x14ac:dyDescent="0.2">
      <c r="A3" t="s">
        <v>0</v>
      </c>
      <c r="B3" s="1">
        <v>0.56458333333333333</v>
      </c>
      <c r="C3" s="2">
        <v>3.3333333333333333E-2</v>
      </c>
      <c r="D3" s="3">
        <v>197.8</v>
      </c>
      <c r="E3" s="3">
        <f t="shared" ref="E3:E66" si="0">D3-$M$2</f>
        <v>0.80000000000001137</v>
      </c>
      <c r="F3" s="12">
        <v>7.9014285710000003</v>
      </c>
      <c r="G3" s="12">
        <f t="shared" ref="G3:G66" si="1">F3-$N$2</f>
        <v>0.10142857100000047</v>
      </c>
      <c r="H3" s="4">
        <f t="shared" ref="H3:H67" si="2">(E3+E2)/2</f>
        <v>0.40000000000000568</v>
      </c>
      <c r="I3" s="4">
        <f t="shared" ref="I3:I67" si="3">(G3+G2)/2</f>
        <v>5.0714285500000233E-2</v>
      </c>
      <c r="J3" s="4">
        <f>H3/I3</f>
        <v>7.8873239769887684</v>
      </c>
    </row>
    <row r="4" spans="1:19" x14ac:dyDescent="0.2">
      <c r="A4" t="s">
        <v>0</v>
      </c>
      <c r="B4" s="1">
        <v>0.56527777777777777</v>
      </c>
      <c r="C4" s="2">
        <v>3.4027777777777775E-2</v>
      </c>
      <c r="D4" s="3">
        <v>198.1</v>
      </c>
      <c r="E4" s="3">
        <f t="shared" si="0"/>
        <v>1.0999999999999943</v>
      </c>
      <c r="F4" s="12">
        <v>8.0373333329999994</v>
      </c>
      <c r="G4" s="12">
        <f t="shared" si="1"/>
        <v>0.23733333299999959</v>
      </c>
      <c r="H4" s="4">
        <f t="shared" si="2"/>
        <v>0.95000000000000284</v>
      </c>
      <c r="I4" s="4">
        <f t="shared" si="3"/>
        <v>0.16938095200000003</v>
      </c>
      <c r="J4" s="4">
        <f t="shared" ref="J4:J67" si="4">H4/I4</f>
        <v>5.6086589949028189</v>
      </c>
    </row>
    <row r="5" spans="1:19" x14ac:dyDescent="0.2">
      <c r="A5" t="s">
        <v>0</v>
      </c>
      <c r="B5" s="1">
        <v>0.56597222222222221</v>
      </c>
      <c r="C5" s="2">
        <v>3.4722222222222224E-2</v>
      </c>
      <c r="D5" s="3">
        <v>197.9</v>
      </c>
      <c r="E5" s="3">
        <f t="shared" si="0"/>
        <v>0.90000000000000568</v>
      </c>
      <c r="F5" s="12">
        <v>8.1999999999999993</v>
      </c>
      <c r="G5" s="12">
        <f t="shared" si="1"/>
        <v>0.39999999999999947</v>
      </c>
      <c r="H5" s="4">
        <f t="shared" si="2"/>
        <v>1</v>
      </c>
      <c r="I5" s="4">
        <f t="shared" si="3"/>
        <v>0.31866666649999953</v>
      </c>
      <c r="J5" s="4">
        <f t="shared" si="4"/>
        <v>3.1380753154487886</v>
      </c>
    </row>
    <row r="6" spans="1:19" x14ac:dyDescent="0.2">
      <c r="A6" t="s">
        <v>0</v>
      </c>
      <c r="B6" s="1">
        <v>0.56666666666666665</v>
      </c>
      <c r="C6" s="2">
        <v>3.5416666666666666E-2</v>
      </c>
      <c r="D6" s="3">
        <v>201.7</v>
      </c>
      <c r="E6" s="3">
        <f t="shared" si="0"/>
        <v>4.6999999999999886</v>
      </c>
      <c r="F6" s="12">
        <v>8.6720000000000006</v>
      </c>
      <c r="G6" s="12">
        <f t="shared" si="1"/>
        <v>0.87200000000000077</v>
      </c>
      <c r="H6" s="4">
        <f t="shared" si="2"/>
        <v>2.7999999999999972</v>
      </c>
      <c r="I6" s="4">
        <f t="shared" si="3"/>
        <v>0.63600000000000012</v>
      </c>
      <c r="J6" s="4">
        <f t="shared" si="4"/>
        <v>4.4025157232704348</v>
      </c>
    </row>
    <row r="7" spans="1:19" x14ac:dyDescent="0.2">
      <c r="A7" t="s">
        <v>0</v>
      </c>
      <c r="B7" s="1">
        <v>0.56736111111111109</v>
      </c>
      <c r="C7" s="2">
        <v>3.6111111111111108E-2</v>
      </c>
      <c r="D7" s="3">
        <v>201.8</v>
      </c>
      <c r="E7" s="3">
        <f t="shared" si="0"/>
        <v>4.8000000000000114</v>
      </c>
      <c r="F7" s="12">
        <v>9.1986666669999995</v>
      </c>
      <c r="G7" s="12">
        <f t="shared" si="1"/>
        <v>1.3986666669999996</v>
      </c>
      <c r="H7" s="4">
        <f t="shared" si="2"/>
        <v>4.75</v>
      </c>
      <c r="I7" s="4">
        <f t="shared" si="3"/>
        <v>1.1353333335000002</v>
      </c>
      <c r="J7" s="4">
        <f t="shared" si="4"/>
        <v>4.1837933053165299</v>
      </c>
    </row>
    <row r="8" spans="1:19" x14ac:dyDescent="0.2">
      <c r="A8" t="s">
        <v>0</v>
      </c>
      <c r="B8" s="1">
        <v>0.56805555555555554</v>
      </c>
      <c r="C8" s="2">
        <v>3.6805555555555557E-2</v>
      </c>
      <c r="D8" s="3">
        <v>205.2</v>
      </c>
      <c r="E8" s="3">
        <f t="shared" si="0"/>
        <v>8.1999999999999886</v>
      </c>
      <c r="F8" s="12">
        <v>9.8257142860000002</v>
      </c>
      <c r="G8" s="12">
        <f t="shared" si="1"/>
        <v>2.0257142860000004</v>
      </c>
      <c r="H8" s="4">
        <f t="shared" si="2"/>
        <v>6.5</v>
      </c>
      <c r="I8" s="4">
        <f t="shared" si="3"/>
        <v>1.7121904765</v>
      </c>
      <c r="J8" s="4">
        <f t="shared" si="4"/>
        <v>3.7963065962655471</v>
      </c>
    </row>
    <row r="9" spans="1:19" x14ac:dyDescent="0.2">
      <c r="A9" t="s">
        <v>0</v>
      </c>
      <c r="B9" s="1">
        <v>0.56874999999999998</v>
      </c>
      <c r="C9" s="2">
        <v>3.7499999999999999E-2</v>
      </c>
      <c r="D9" s="3">
        <v>209.1</v>
      </c>
      <c r="E9" s="3">
        <f t="shared" si="0"/>
        <v>12.099999999999994</v>
      </c>
      <c r="F9" s="12">
        <v>10.53333333</v>
      </c>
      <c r="G9" s="12">
        <f t="shared" si="1"/>
        <v>2.7333333299999998</v>
      </c>
      <c r="H9" s="4">
        <f t="shared" si="2"/>
        <v>10.149999999999991</v>
      </c>
      <c r="I9" s="4">
        <f t="shared" si="3"/>
        <v>2.3795238080000001</v>
      </c>
      <c r="J9" s="4">
        <f t="shared" si="4"/>
        <v>4.2655593383329542</v>
      </c>
    </row>
    <row r="10" spans="1:19" x14ac:dyDescent="0.2">
      <c r="A10" t="s">
        <v>0</v>
      </c>
      <c r="B10" s="1">
        <v>0.56944444444444442</v>
      </c>
      <c r="C10" s="2">
        <v>3.8194444444444448E-2</v>
      </c>
      <c r="D10" s="3">
        <v>211.2</v>
      </c>
      <c r="E10" s="3">
        <f t="shared" si="0"/>
        <v>14.199999999999989</v>
      </c>
      <c r="F10" s="12">
        <v>10.68307692</v>
      </c>
      <c r="G10" s="12">
        <f t="shared" si="1"/>
        <v>2.8830769199999997</v>
      </c>
      <c r="H10" s="4">
        <f t="shared" si="2"/>
        <v>13.149999999999991</v>
      </c>
      <c r="I10" s="4">
        <f t="shared" si="3"/>
        <v>2.8082051249999997</v>
      </c>
      <c r="J10" s="4">
        <f t="shared" si="4"/>
        <v>4.6827063603482291</v>
      </c>
    </row>
    <row r="11" spans="1:19" x14ac:dyDescent="0.2">
      <c r="A11" t="s">
        <v>0</v>
      </c>
      <c r="B11" s="1">
        <v>0.57013888888888886</v>
      </c>
      <c r="C11" s="2">
        <v>3.888888888888889E-2</v>
      </c>
      <c r="D11" s="3">
        <v>210.1</v>
      </c>
      <c r="E11" s="3">
        <f t="shared" si="0"/>
        <v>13.099999999999994</v>
      </c>
      <c r="F11" s="12">
        <v>10.915333329999999</v>
      </c>
      <c r="G11" s="12">
        <f t="shared" si="1"/>
        <v>3.1153333299999995</v>
      </c>
      <c r="H11" s="4">
        <f t="shared" si="2"/>
        <v>13.649999999999991</v>
      </c>
      <c r="I11" s="4">
        <f t="shared" si="3"/>
        <v>2.9992051249999996</v>
      </c>
      <c r="J11" s="4">
        <f t="shared" si="4"/>
        <v>4.5512058799245994</v>
      </c>
    </row>
    <row r="12" spans="1:19" x14ac:dyDescent="0.2">
      <c r="A12" t="s">
        <v>0</v>
      </c>
      <c r="B12" s="1">
        <v>0.5708333333333333</v>
      </c>
      <c r="C12" s="2">
        <v>3.9583333333333331E-2</v>
      </c>
      <c r="D12" s="3">
        <v>212.1</v>
      </c>
      <c r="E12" s="3">
        <f t="shared" si="0"/>
        <v>15.099999999999994</v>
      </c>
      <c r="F12" s="12">
        <v>11.233333330000001</v>
      </c>
      <c r="G12" s="12">
        <f t="shared" si="1"/>
        <v>3.4333333300000008</v>
      </c>
      <c r="H12" s="4">
        <f t="shared" si="2"/>
        <v>14.099999999999994</v>
      </c>
      <c r="I12" s="4">
        <f t="shared" si="3"/>
        <v>3.2743333300000002</v>
      </c>
      <c r="J12" s="4">
        <f t="shared" si="4"/>
        <v>4.3062201000775913</v>
      </c>
    </row>
    <row r="13" spans="1:19" x14ac:dyDescent="0.2">
      <c r="A13" t="s">
        <v>0</v>
      </c>
      <c r="B13" s="1">
        <v>0.57152777777777775</v>
      </c>
      <c r="C13" s="2">
        <v>4.027777777777778E-2</v>
      </c>
      <c r="D13" s="3">
        <v>211.5</v>
      </c>
      <c r="E13" s="3">
        <f t="shared" si="0"/>
        <v>14.5</v>
      </c>
      <c r="F13" s="12">
        <v>11.37357143</v>
      </c>
      <c r="G13" s="12">
        <f t="shared" si="1"/>
        <v>3.5735714300000003</v>
      </c>
      <c r="H13" s="4">
        <f t="shared" si="2"/>
        <v>14.799999999999997</v>
      </c>
      <c r="I13" s="4">
        <f t="shared" si="3"/>
        <v>3.5034523800000006</v>
      </c>
      <c r="J13" s="4">
        <f t="shared" si="4"/>
        <v>4.2244045001119712</v>
      </c>
    </row>
    <row r="14" spans="1:19" x14ac:dyDescent="0.2">
      <c r="A14" t="s">
        <v>0</v>
      </c>
      <c r="B14" s="1">
        <v>0.57222222222222219</v>
      </c>
      <c r="C14" s="2">
        <v>4.0972222222222222E-2</v>
      </c>
      <c r="D14" s="3">
        <v>212.9</v>
      </c>
      <c r="E14" s="3">
        <f t="shared" si="0"/>
        <v>15.900000000000006</v>
      </c>
      <c r="F14" s="12">
        <v>11.871333330000001</v>
      </c>
      <c r="G14" s="12">
        <f t="shared" si="1"/>
        <v>4.0713333300000007</v>
      </c>
      <c r="H14" s="4">
        <f t="shared" si="2"/>
        <v>15.200000000000003</v>
      </c>
      <c r="I14" s="4">
        <f t="shared" si="3"/>
        <v>3.8224523800000005</v>
      </c>
      <c r="J14" s="4">
        <f t="shared" si="4"/>
        <v>3.976504738039405</v>
      </c>
    </row>
    <row r="15" spans="1:19" x14ac:dyDescent="0.2">
      <c r="A15" t="s">
        <v>0</v>
      </c>
      <c r="B15" s="1">
        <v>0.57291666666666663</v>
      </c>
      <c r="C15" s="2">
        <v>4.1666666666666664E-2</v>
      </c>
      <c r="D15" s="3">
        <v>216.2</v>
      </c>
      <c r="E15" s="3">
        <f t="shared" si="0"/>
        <v>19.199999999999989</v>
      </c>
      <c r="F15" s="4">
        <v>12.15076923076923</v>
      </c>
      <c r="G15" s="12">
        <f t="shared" si="1"/>
        <v>4.3507692307692301</v>
      </c>
      <c r="H15" s="4">
        <f t="shared" si="2"/>
        <v>17.549999999999997</v>
      </c>
      <c r="I15" s="4">
        <f t="shared" si="3"/>
        <v>4.2110512803846154</v>
      </c>
      <c r="J15" s="4">
        <f t="shared" si="4"/>
        <v>4.1676053867472902</v>
      </c>
    </row>
    <row r="16" spans="1:19" x14ac:dyDescent="0.2">
      <c r="A16" t="s">
        <v>0</v>
      </c>
      <c r="B16" s="1">
        <v>0.57361111111111107</v>
      </c>
      <c r="C16" s="2">
        <v>4.2361111111111113E-2</v>
      </c>
      <c r="D16" s="3">
        <v>216.1</v>
      </c>
      <c r="E16" s="3">
        <f t="shared" si="0"/>
        <v>19.099999999999994</v>
      </c>
      <c r="F16" s="4">
        <v>12.269999999999998</v>
      </c>
      <c r="G16" s="12">
        <f t="shared" si="1"/>
        <v>4.469999999999998</v>
      </c>
      <c r="H16" s="4">
        <f t="shared" si="2"/>
        <v>19.149999999999991</v>
      </c>
      <c r="I16" s="4">
        <f t="shared" si="3"/>
        <v>4.410384615384614</v>
      </c>
      <c r="J16" s="4">
        <f t="shared" si="4"/>
        <v>4.3420249411354312</v>
      </c>
    </row>
    <row r="17" spans="1:10" x14ac:dyDescent="0.2">
      <c r="A17" t="s">
        <v>0</v>
      </c>
      <c r="B17" s="1">
        <v>0.57430555555555551</v>
      </c>
      <c r="C17" s="2">
        <v>4.3055555555555555E-2</v>
      </c>
      <c r="D17" s="3">
        <v>215.1</v>
      </c>
      <c r="E17" s="3">
        <f t="shared" si="0"/>
        <v>18.099999999999994</v>
      </c>
      <c r="F17" s="4">
        <v>12.261333333333333</v>
      </c>
      <c r="G17" s="12">
        <f t="shared" si="1"/>
        <v>4.4613333333333332</v>
      </c>
      <c r="H17" s="4">
        <f t="shared" si="2"/>
        <v>18.599999999999994</v>
      </c>
      <c r="I17" s="4">
        <f t="shared" si="3"/>
        <v>4.4656666666666656</v>
      </c>
      <c r="J17" s="4">
        <f t="shared" si="4"/>
        <v>4.165111592147495</v>
      </c>
    </row>
    <row r="18" spans="1:10" x14ac:dyDescent="0.2">
      <c r="A18" t="s">
        <v>0</v>
      </c>
      <c r="B18" s="1">
        <v>0.57499999999999996</v>
      </c>
      <c r="C18" s="2">
        <v>4.3749999999999997E-2</v>
      </c>
      <c r="D18" s="3">
        <v>216.1</v>
      </c>
      <c r="E18" s="3">
        <f t="shared" si="0"/>
        <v>19.099999999999994</v>
      </c>
      <c r="F18" s="4">
        <v>12.173571428571432</v>
      </c>
      <c r="G18" s="12">
        <f t="shared" si="1"/>
        <v>4.3735714285714318</v>
      </c>
      <c r="H18" s="4">
        <f t="shared" si="2"/>
        <v>18.599999999999994</v>
      </c>
      <c r="I18" s="4">
        <f t="shared" si="3"/>
        <v>4.4174523809523825</v>
      </c>
      <c r="J18" s="4">
        <f t="shared" si="4"/>
        <v>4.2105717042251216</v>
      </c>
    </row>
    <row r="19" spans="1:10" x14ac:dyDescent="0.2">
      <c r="A19" t="s">
        <v>0</v>
      </c>
      <c r="B19" s="1">
        <v>0.5756944444444444</v>
      </c>
      <c r="C19" s="2">
        <v>4.4444444444444446E-2</v>
      </c>
      <c r="D19" s="3">
        <v>214.7</v>
      </c>
      <c r="E19" s="3">
        <f t="shared" si="0"/>
        <v>17.699999999999989</v>
      </c>
      <c r="F19" s="4">
        <v>12.208</v>
      </c>
      <c r="G19" s="12">
        <f t="shared" si="1"/>
        <v>4.4080000000000004</v>
      </c>
      <c r="H19" s="4">
        <f t="shared" si="2"/>
        <v>18.399999999999991</v>
      </c>
      <c r="I19" s="4">
        <f t="shared" si="3"/>
        <v>4.3907857142857161</v>
      </c>
      <c r="J19" s="4">
        <f t="shared" si="4"/>
        <v>4.1905939386051925</v>
      </c>
    </row>
    <row r="20" spans="1:10" x14ac:dyDescent="0.2">
      <c r="A20" t="s">
        <v>0</v>
      </c>
      <c r="B20" s="1">
        <v>0.57638888888888884</v>
      </c>
      <c r="C20" s="2">
        <v>4.5138888888888888E-2</v>
      </c>
      <c r="D20" s="3">
        <v>216</v>
      </c>
      <c r="E20" s="3">
        <f t="shared" si="0"/>
        <v>19</v>
      </c>
      <c r="F20" s="4">
        <v>12.618461538461538</v>
      </c>
      <c r="G20" s="12">
        <f t="shared" si="1"/>
        <v>4.8184615384615386</v>
      </c>
      <c r="H20" s="4">
        <f t="shared" si="2"/>
        <v>18.349999999999994</v>
      </c>
      <c r="I20" s="4">
        <f t="shared" si="3"/>
        <v>4.6132307692307695</v>
      </c>
      <c r="J20" s="4">
        <f t="shared" si="4"/>
        <v>3.97768958847462</v>
      </c>
    </row>
    <row r="21" spans="1:10" x14ac:dyDescent="0.2">
      <c r="A21" t="s">
        <v>0</v>
      </c>
      <c r="B21" s="1">
        <v>0.57708333333333328</v>
      </c>
      <c r="C21" s="2">
        <v>4.583333333333333E-2</v>
      </c>
      <c r="D21" s="3">
        <v>216.6</v>
      </c>
      <c r="E21" s="3">
        <f t="shared" si="0"/>
        <v>19.599999999999994</v>
      </c>
      <c r="F21" s="4">
        <v>12.610000000000001</v>
      </c>
      <c r="G21" s="12">
        <f t="shared" si="1"/>
        <v>4.8100000000000014</v>
      </c>
      <c r="H21" s="4">
        <f t="shared" si="2"/>
        <v>19.299999999999997</v>
      </c>
      <c r="I21" s="4">
        <f t="shared" si="3"/>
        <v>4.81423076923077</v>
      </c>
      <c r="J21" s="4">
        <f t="shared" si="4"/>
        <v>4.0089478309499071</v>
      </c>
    </row>
    <row r="22" spans="1:10" x14ac:dyDescent="0.2">
      <c r="A22" t="s">
        <v>0</v>
      </c>
      <c r="B22" s="1">
        <v>0.57777777777777772</v>
      </c>
      <c r="C22" s="2">
        <v>4.6527777777777779E-2</v>
      </c>
      <c r="D22" s="3">
        <v>216</v>
      </c>
      <c r="E22" s="3">
        <f t="shared" si="0"/>
        <v>19</v>
      </c>
      <c r="F22" s="4">
        <v>12.485999999999999</v>
      </c>
      <c r="G22" s="12">
        <f t="shared" si="1"/>
        <v>4.6859999999999991</v>
      </c>
      <c r="H22" s="4">
        <f t="shared" si="2"/>
        <v>19.299999999999997</v>
      </c>
      <c r="I22" s="4">
        <f t="shared" si="3"/>
        <v>4.7480000000000002</v>
      </c>
      <c r="J22" s="4">
        <f t="shared" si="4"/>
        <v>4.0648694187026111</v>
      </c>
    </row>
    <row r="23" spans="1:10" x14ac:dyDescent="0.2">
      <c r="A23" t="s">
        <v>0</v>
      </c>
      <c r="B23" s="1">
        <v>0.57847222222222228</v>
      </c>
      <c r="C23" s="2">
        <v>4.7222222222222221E-2</v>
      </c>
      <c r="D23" s="3">
        <v>215.3</v>
      </c>
      <c r="E23" s="3">
        <f t="shared" si="0"/>
        <v>18.300000000000011</v>
      </c>
      <c r="F23" s="4">
        <v>12.446428571428569</v>
      </c>
      <c r="G23" s="12">
        <f t="shared" si="1"/>
        <v>4.6464285714285696</v>
      </c>
      <c r="H23" s="4">
        <f t="shared" si="2"/>
        <v>18.650000000000006</v>
      </c>
      <c r="I23" s="4">
        <f t="shared" si="3"/>
        <v>4.6662142857142843</v>
      </c>
      <c r="J23" s="4">
        <f t="shared" si="4"/>
        <v>3.9968160178792864</v>
      </c>
    </row>
    <row r="24" spans="1:10" x14ac:dyDescent="0.2">
      <c r="A24" t="s">
        <v>0</v>
      </c>
      <c r="B24" s="1">
        <v>0.57916666666666672</v>
      </c>
      <c r="C24" s="2">
        <v>4.791666666666667E-2</v>
      </c>
      <c r="D24" s="3">
        <v>215.5</v>
      </c>
      <c r="E24" s="3">
        <f t="shared" si="0"/>
        <v>18.5</v>
      </c>
      <c r="F24" s="4">
        <v>12.581333333333335</v>
      </c>
      <c r="G24" s="12">
        <f t="shared" si="1"/>
        <v>4.7813333333333352</v>
      </c>
      <c r="H24" s="4">
        <f t="shared" si="2"/>
        <v>18.400000000000006</v>
      </c>
      <c r="I24" s="4">
        <f t="shared" si="3"/>
        <v>4.7138809523809524</v>
      </c>
      <c r="J24" s="4">
        <f t="shared" si="4"/>
        <v>3.9033654404671121</v>
      </c>
    </row>
    <row r="25" spans="1:10" x14ac:dyDescent="0.2">
      <c r="A25" t="s">
        <v>0</v>
      </c>
      <c r="B25" s="1">
        <v>0.57986111111111116</v>
      </c>
      <c r="C25" s="2">
        <v>4.8611111111111112E-2</v>
      </c>
      <c r="D25" s="3">
        <v>215.6</v>
      </c>
      <c r="E25" s="3">
        <f t="shared" si="0"/>
        <v>18.599999999999994</v>
      </c>
      <c r="F25" s="4">
        <v>12.465384615384616</v>
      </c>
      <c r="G25" s="12">
        <f t="shared" si="1"/>
        <v>4.6653846153846166</v>
      </c>
      <c r="H25" s="4">
        <f t="shared" si="2"/>
        <v>18.549999999999997</v>
      </c>
      <c r="I25" s="4">
        <f t="shared" si="3"/>
        <v>4.7233589743589759</v>
      </c>
      <c r="J25" s="4">
        <f t="shared" si="4"/>
        <v>3.9272899012545377</v>
      </c>
    </row>
    <row r="26" spans="1:10" x14ac:dyDescent="0.2">
      <c r="A26" t="s">
        <v>0</v>
      </c>
      <c r="B26" s="1">
        <v>0.5805555555555556</v>
      </c>
      <c r="C26" s="2">
        <v>4.9305555555555554E-2</v>
      </c>
      <c r="D26" s="3">
        <v>214.8</v>
      </c>
      <c r="E26" s="3">
        <f t="shared" si="0"/>
        <v>17.800000000000011</v>
      </c>
      <c r="F26" s="4">
        <v>12.335333333333335</v>
      </c>
      <c r="G26" s="12">
        <f t="shared" si="1"/>
        <v>4.5353333333333348</v>
      </c>
      <c r="H26" s="4">
        <f t="shared" si="2"/>
        <v>18.200000000000003</v>
      </c>
      <c r="I26" s="4">
        <f t="shared" si="3"/>
        <v>4.6003589743589757</v>
      </c>
      <c r="J26" s="4">
        <f t="shared" si="4"/>
        <v>3.9562130045592871</v>
      </c>
    </row>
    <row r="27" spans="1:10" x14ac:dyDescent="0.2">
      <c r="A27" t="s">
        <v>0</v>
      </c>
      <c r="B27" s="1">
        <v>0.58125000000000004</v>
      </c>
      <c r="C27" s="2">
        <v>0.05</v>
      </c>
      <c r="D27" s="3">
        <v>214.8</v>
      </c>
      <c r="E27" s="3">
        <f t="shared" si="0"/>
        <v>17.800000000000011</v>
      </c>
      <c r="F27" s="4">
        <v>12.330666666666668</v>
      </c>
      <c r="G27" s="12">
        <f t="shared" si="1"/>
        <v>4.5306666666666677</v>
      </c>
      <c r="H27" s="4">
        <f t="shared" si="2"/>
        <v>17.800000000000011</v>
      </c>
      <c r="I27" s="4">
        <f t="shared" si="3"/>
        <v>4.5330000000000013</v>
      </c>
      <c r="J27" s="4">
        <f t="shared" si="4"/>
        <v>3.9267593205382765</v>
      </c>
    </row>
    <row r="28" spans="1:10" x14ac:dyDescent="0.2">
      <c r="A28" t="s">
        <v>0</v>
      </c>
      <c r="B28" s="1">
        <v>0.58194444444444449</v>
      </c>
      <c r="C28" s="2">
        <v>5.0694444444444445E-2</v>
      </c>
      <c r="D28" s="3">
        <v>214.8</v>
      </c>
      <c r="E28" s="3">
        <f t="shared" si="0"/>
        <v>17.800000000000011</v>
      </c>
      <c r="F28" s="4">
        <v>12.349285714285713</v>
      </c>
      <c r="G28" s="12">
        <f t="shared" si="1"/>
        <v>4.5492857142857135</v>
      </c>
      <c r="H28" s="4">
        <f t="shared" si="2"/>
        <v>17.800000000000011</v>
      </c>
      <c r="I28" s="4">
        <f t="shared" si="3"/>
        <v>4.5399761904761906</v>
      </c>
      <c r="J28" s="4">
        <f t="shared" si="4"/>
        <v>3.9207254076222364</v>
      </c>
    </row>
    <row r="29" spans="1:10" x14ac:dyDescent="0.2">
      <c r="A29" t="s">
        <v>0</v>
      </c>
      <c r="B29" s="1">
        <v>0.58263888888888893</v>
      </c>
      <c r="C29" s="2">
        <v>5.1388888888888887E-2</v>
      </c>
      <c r="D29" s="3">
        <v>214.7</v>
      </c>
      <c r="E29" s="3">
        <f t="shared" si="0"/>
        <v>17.699999999999989</v>
      </c>
      <c r="F29" s="4">
        <v>12.341333333333335</v>
      </c>
      <c r="G29" s="12">
        <f t="shared" si="1"/>
        <v>4.541333333333335</v>
      </c>
      <c r="H29" s="4">
        <f t="shared" si="2"/>
        <v>17.75</v>
      </c>
      <c r="I29" s="4">
        <f t="shared" si="3"/>
        <v>4.5453095238095242</v>
      </c>
      <c r="J29" s="4">
        <f t="shared" si="4"/>
        <v>3.9051245920703179</v>
      </c>
    </row>
    <row r="30" spans="1:10" x14ac:dyDescent="0.2">
      <c r="A30" t="s">
        <v>0</v>
      </c>
      <c r="B30" s="1">
        <v>0.58333333333333337</v>
      </c>
      <c r="C30" s="2">
        <v>5.2083333333333336E-2</v>
      </c>
      <c r="D30" s="3">
        <v>213.9</v>
      </c>
      <c r="E30" s="3">
        <f t="shared" si="0"/>
        <v>16.900000000000006</v>
      </c>
      <c r="F30" s="4">
        <v>12.216923076923077</v>
      </c>
      <c r="G30" s="12">
        <f t="shared" si="1"/>
        <v>4.4169230769230774</v>
      </c>
      <c r="H30" s="4">
        <f t="shared" si="2"/>
        <v>17.299999999999997</v>
      </c>
      <c r="I30" s="4">
        <f t="shared" si="3"/>
        <v>4.4791282051282062</v>
      </c>
      <c r="J30" s="4">
        <f t="shared" si="4"/>
        <v>3.8623587465509526</v>
      </c>
    </row>
    <row r="31" spans="1:10" x14ac:dyDescent="0.2">
      <c r="A31" t="s">
        <v>0</v>
      </c>
      <c r="B31" s="1">
        <v>0.58402777777777781</v>
      </c>
      <c r="C31" s="2">
        <v>5.2777777777777778E-2</v>
      </c>
      <c r="D31" s="3">
        <v>213.9</v>
      </c>
      <c r="E31" s="3">
        <f t="shared" si="0"/>
        <v>16.900000000000006</v>
      </c>
      <c r="F31" s="4">
        <v>12.160666666666664</v>
      </c>
      <c r="G31" s="12">
        <f t="shared" si="1"/>
        <v>4.3606666666666642</v>
      </c>
      <c r="H31" s="4">
        <f t="shared" si="2"/>
        <v>16.900000000000006</v>
      </c>
      <c r="I31" s="4">
        <f t="shared" si="3"/>
        <v>4.3887948717948708</v>
      </c>
      <c r="J31" s="4">
        <f t="shared" si="4"/>
        <v>3.8507153999404098</v>
      </c>
    </row>
    <row r="32" spans="1:10" x14ac:dyDescent="0.2">
      <c r="A32" t="s">
        <v>0</v>
      </c>
      <c r="B32" s="1">
        <v>0.58472222222222225</v>
      </c>
      <c r="C32" s="2">
        <v>5.347222222222222E-2</v>
      </c>
      <c r="D32" s="3">
        <v>213.6</v>
      </c>
      <c r="E32" s="3">
        <f t="shared" si="0"/>
        <v>16.599999999999994</v>
      </c>
      <c r="F32" s="4">
        <v>12.130666666666666</v>
      </c>
      <c r="G32" s="12">
        <f t="shared" si="1"/>
        <v>4.3306666666666667</v>
      </c>
      <c r="H32" s="4">
        <f t="shared" si="2"/>
        <v>16.75</v>
      </c>
      <c r="I32" s="4">
        <f t="shared" si="3"/>
        <v>4.3456666666666655</v>
      </c>
      <c r="J32" s="4">
        <f t="shared" si="4"/>
        <v>3.8544143591317033</v>
      </c>
    </row>
    <row r="33" spans="1:10" x14ac:dyDescent="0.2">
      <c r="A33" t="s">
        <v>0</v>
      </c>
      <c r="B33" s="1">
        <v>0.5854166666666667</v>
      </c>
      <c r="C33" s="2">
        <v>5.4166666666666669E-2</v>
      </c>
      <c r="D33" s="3">
        <v>213.8</v>
      </c>
      <c r="E33" s="3">
        <f t="shared" si="0"/>
        <v>16.800000000000011</v>
      </c>
      <c r="F33" s="4">
        <v>12.136428571428571</v>
      </c>
      <c r="G33" s="12">
        <f t="shared" si="1"/>
        <v>4.3364285714285709</v>
      </c>
      <c r="H33" s="4">
        <f t="shared" si="2"/>
        <v>16.700000000000003</v>
      </c>
      <c r="I33" s="4">
        <f t="shared" si="3"/>
        <v>4.3335476190476188</v>
      </c>
      <c r="J33" s="4">
        <f t="shared" si="4"/>
        <v>3.8536555884599122</v>
      </c>
    </row>
    <row r="34" spans="1:10" x14ac:dyDescent="0.2">
      <c r="A34" t="s">
        <v>0</v>
      </c>
      <c r="B34" s="1">
        <v>0.58611111111111114</v>
      </c>
      <c r="C34" s="2">
        <v>5.486111111111111E-2</v>
      </c>
      <c r="D34" s="3">
        <v>213.3</v>
      </c>
      <c r="E34" s="3">
        <f t="shared" si="0"/>
        <v>16.300000000000011</v>
      </c>
      <c r="F34" s="4">
        <v>12.045999999999998</v>
      </c>
      <c r="G34" s="12">
        <f t="shared" si="1"/>
        <v>4.2459999999999978</v>
      </c>
      <c r="H34" s="4">
        <f t="shared" si="2"/>
        <v>16.550000000000011</v>
      </c>
      <c r="I34" s="4">
        <f t="shared" si="3"/>
        <v>4.2912142857142843</v>
      </c>
      <c r="J34" s="4">
        <f t="shared" si="4"/>
        <v>3.8567172129101026</v>
      </c>
    </row>
    <row r="35" spans="1:10" x14ac:dyDescent="0.2">
      <c r="A35" t="s">
        <v>0</v>
      </c>
      <c r="B35" s="1">
        <v>0.58680555555555558</v>
      </c>
      <c r="C35" s="2">
        <v>5.5555555555555552E-2</v>
      </c>
      <c r="D35" s="3">
        <v>213.1</v>
      </c>
      <c r="E35" s="3">
        <f t="shared" si="0"/>
        <v>16.099999999999994</v>
      </c>
      <c r="F35" s="4">
        <v>12.038461538461538</v>
      </c>
      <c r="G35" s="12">
        <f t="shared" si="1"/>
        <v>4.2384615384615385</v>
      </c>
      <c r="H35" s="4">
        <f t="shared" si="2"/>
        <v>16.200000000000003</v>
      </c>
      <c r="I35" s="4">
        <f t="shared" si="3"/>
        <v>4.2422307692307681</v>
      </c>
      <c r="J35" s="4">
        <f t="shared" si="4"/>
        <v>3.8187455801555803</v>
      </c>
    </row>
    <row r="36" spans="1:10" x14ac:dyDescent="0.2">
      <c r="A36" t="s">
        <v>0</v>
      </c>
      <c r="B36" s="1">
        <v>0.58750000000000002</v>
      </c>
      <c r="C36" s="2">
        <v>5.6250000000000001E-2</v>
      </c>
      <c r="D36" s="3">
        <v>212.4</v>
      </c>
      <c r="E36" s="3">
        <f t="shared" si="0"/>
        <v>15.400000000000006</v>
      </c>
      <c r="F36" s="4">
        <v>11.846</v>
      </c>
      <c r="G36" s="12">
        <f t="shared" si="1"/>
        <v>4.0460000000000003</v>
      </c>
      <c r="H36" s="4">
        <f t="shared" si="2"/>
        <v>15.75</v>
      </c>
      <c r="I36" s="4">
        <f t="shared" si="3"/>
        <v>4.1422307692307694</v>
      </c>
      <c r="J36" s="4">
        <f t="shared" si="4"/>
        <v>3.8022990213374435</v>
      </c>
    </row>
    <row r="37" spans="1:10" x14ac:dyDescent="0.2">
      <c r="A37" t="s">
        <v>0</v>
      </c>
      <c r="B37" s="1">
        <v>0.58819444444444446</v>
      </c>
      <c r="C37" s="2">
        <v>5.6944444444444443E-2</v>
      </c>
      <c r="D37" s="3">
        <v>212.2</v>
      </c>
      <c r="E37" s="3">
        <f t="shared" si="0"/>
        <v>15.199999999999989</v>
      </c>
      <c r="F37" s="4">
        <v>11.777333333333333</v>
      </c>
      <c r="G37" s="12">
        <f t="shared" si="1"/>
        <v>3.9773333333333332</v>
      </c>
      <c r="H37" s="4">
        <f t="shared" si="2"/>
        <v>15.299999999999997</v>
      </c>
      <c r="I37" s="4">
        <f t="shared" si="3"/>
        <v>4.0116666666666667</v>
      </c>
      <c r="J37" s="4">
        <f t="shared" si="4"/>
        <v>3.8138761944329032</v>
      </c>
    </row>
    <row r="38" spans="1:10" x14ac:dyDescent="0.2">
      <c r="A38" t="s">
        <v>0</v>
      </c>
      <c r="B38" s="1">
        <v>0.58888888888888891</v>
      </c>
      <c r="C38" s="2">
        <v>5.7638888888888892E-2</v>
      </c>
      <c r="D38" s="3">
        <v>212</v>
      </c>
      <c r="E38" s="3">
        <f t="shared" si="0"/>
        <v>15</v>
      </c>
      <c r="F38" s="4">
        <v>11.68857142857143</v>
      </c>
      <c r="G38" s="12">
        <f t="shared" si="1"/>
        <v>3.8885714285714306</v>
      </c>
      <c r="H38" s="4">
        <f t="shared" si="2"/>
        <v>15.099999999999994</v>
      </c>
      <c r="I38" s="4">
        <f t="shared" si="3"/>
        <v>3.9329523809523819</v>
      </c>
      <c r="J38" s="4">
        <f t="shared" si="4"/>
        <v>3.8393549012010824</v>
      </c>
    </row>
    <row r="39" spans="1:10" x14ac:dyDescent="0.2">
      <c r="A39" t="s">
        <v>0</v>
      </c>
      <c r="B39" s="1">
        <v>0.58958333333333335</v>
      </c>
      <c r="C39" s="2">
        <v>5.8333333333333334E-2</v>
      </c>
      <c r="D39" s="3">
        <v>211.5</v>
      </c>
      <c r="E39" s="3">
        <f t="shared" si="0"/>
        <v>14.5</v>
      </c>
      <c r="F39" s="4">
        <v>11.504</v>
      </c>
      <c r="G39" s="12">
        <f t="shared" si="1"/>
        <v>3.7039999999999997</v>
      </c>
      <c r="H39" s="4">
        <f t="shared" si="2"/>
        <v>14.75</v>
      </c>
      <c r="I39" s="4">
        <f t="shared" si="3"/>
        <v>3.7962857142857152</v>
      </c>
      <c r="J39" s="4">
        <f t="shared" si="4"/>
        <v>3.8853766839768187</v>
      </c>
    </row>
    <row r="40" spans="1:10" x14ac:dyDescent="0.2">
      <c r="A40" t="s">
        <v>0</v>
      </c>
      <c r="B40" s="1">
        <v>0.59027777777777779</v>
      </c>
      <c r="C40" s="2">
        <v>5.9027777777777776E-2</v>
      </c>
      <c r="D40" s="3">
        <v>211.1</v>
      </c>
      <c r="E40" s="3">
        <f t="shared" si="0"/>
        <v>14.099999999999994</v>
      </c>
      <c r="F40" s="4">
        <v>11.486923076923075</v>
      </c>
      <c r="G40" s="12">
        <f t="shared" si="1"/>
        <v>3.6869230769230752</v>
      </c>
      <c r="H40" s="4">
        <f t="shared" si="2"/>
        <v>14.299999999999997</v>
      </c>
      <c r="I40" s="4">
        <f t="shared" si="3"/>
        <v>3.6954615384615375</v>
      </c>
      <c r="J40" s="4">
        <f t="shared" si="4"/>
        <v>3.8696113736183677</v>
      </c>
    </row>
    <row r="41" spans="1:10" x14ac:dyDescent="0.2">
      <c r="A41" t="s">
        <v>0</v>
      </c>
      <c r="B41" s="1">
        <v>0.59097222222222223</v>
      </c>
      <c r="C41" s="2">
        <v>5.9722222222222225E-2</v>
      </c>
      <c r="D41" s="3">
        <v>210.9</v>
      </c>
      <c r="E41" s="3">
        <f t="shared" si="0"/>
        <v>13.900000000000006</v>
      </c>
      <c r="F41" s="4">
        <v>11.472000000000001</v>
      </c>
      <c r="G41" s="12">
        <f t="shared" si="1"/>
        <v>3.6720000000000015</v>
      </c>
      <c r="H41" s="4">
        <f t="shared" si="2"/>
        <v>14</v>
      </c>
      <c r="I41" s="4">
        <f t="shared" si="3"/>
        <v>3.6794615384615383</v>
      </c>
      <c r="J41" s="4">
        <f t="shared" si="4"/>
        <v>3.80490456379487</v>
      </c>
    </row>
    <row r="42" spans="1:10" x14ac:dyDescent="0.2">
      <c r="A42" t="s">
        <v>0</v>
      </c>
      <c r="B42" s="1">
        <v>0.59166666666666667</v>
      </c>
      <c r="C42" s="2">
        <v>6.0416666666666667E-2</v>
      </c>
      <c r="D42" s="3">
        <v>210.6</v>
      </c>
      <c r="E42" s="3">
        <f t="shared" si="0"/>
        <v>13.599999999999994</v>
      </c>
      <c r="F42" s="4">
        <v>11.379333333333333</v>
      </c>
      <c r="G42" s="12">
        <f t="shared" si="1"/>
        <v>3.5793333333333335</v>
      </c>
      <c r="H42" s="4">
        <f t="shared" si="2"/>
        <v>13.75</v>
      </c>
      <c r="I42" s="4">
        <f t="shared" si="3"/>
        <v>3.6256666666666675</v>
      </c>
      <c r="J42" s="4">
        <f t="shared" si="4"/>
        <v>3.792405994299898</v>
      </c>
    </row>
    <row r="43" spans="1:10" x14ac:dyDescent="0.2">
      <c r="A43" t="s">
        <v>0</v>
      </c>
      <c r="B43" s="1">
        <v>0.59236111111111112</v>
      </c>
      <c r="C43" s="2">
        <v>6.1111111111111109E-2</v>
      </c>
      <c r="D43" s="3">
        <v>210</v>
      </c>
      <c r="E43" s="3">
        <f t="shared" si="0"/>
        <v>13</v>
      </c>
      <c r="F43" s="4">
        <v>11.239999999999998</v>
      </c>
      <c r="G43" s="12">
        <f t="shared" si="1"/>
        <v>3.4399999999999986</v>
      </c>
      <c r="H43" s="4">
        <f t="shared" si="2"/>
        <v>13.299999999999997</v>
      </c>
      <c r="I43" s="4">
        <f t="shared" si="3"/>
        <v>3.509666666666666</v>
      </c>
      <c r="J43" s="4">
        <f t="shared" si="4"/>
        <v>3.7895336689144266</v>
      </c>
    </row>
    <row r="44" spans="1:10" x14ac:dyDescent="0.2">
      <c r="A44" t="s">
        <v>0</v>
      </c>
      <c r="B44" s="1">
        <v>0.59305555555555556</v>
      </c>
      <c r="C44" s="2">
        <v>6.1805555555555558E-2</v>
      </c>
      <c r="D44" s="3">
        <v>209.7</v>
      </c>
      <c r="E44" s="3">
        <f t="shared" si="0"/>
        <v>12.699999999999989</v>
      </c>
      <c r="F44" s="4">
        <v>11.192666666666666</v>
      </c>
      <c r="G44" s="12">
        <f t="shared" si="1"/>
        <v>3.3926666666666661</v>
      </c>
      <c r="H44" s="4">
        <f t="shared" si="2"/>
        <v>12.849999999999994</v>
      </c>
      <c r="I44" s="4">
        <f t="shared" si="3"/>
        <v>3.4163333333333323</v>
      </c>
      <c r="J44" s="4">
        <f t="shared" si="4"/>
        <v>3.7613425700068293</v>
      </c>
    </row>
    <row r="45" spans="1:10" x14ac:dyDescent="0.2">
      <c r="A45" t="s">
        <v>0</v>
      </c>
      <c r="B45" s="1">
        <v>0.59375</v>
      </c>
      <c r="C45" s="2">
        <v>6.25E-2</v>
      </c>
      <c r="D45" s="3">
        <v>209.9</v>
      </c>
      <c r="E45" s="3">
        <f t="shared" si="0"/>
        <v>12.900000000000006</v>
      </c>
      <c r="F45" s="4">
        <v>11.053846153846154</v>
      </c>
      <c r="G45" s="12">
        <f t="shared" si="1"/>
        <v>3.2538461538461538</v>
      </c>
      <c r="H45" s="4">
        <f t="shared" si="2"/>
        <v>12.799999999999997</v>
      </c>
      <c r="I45" s="4">
        <f t="shared" si="3"/>
        <v>3.3232564102564099</v>
      </c>
      <c r="J45" s="4">
        <f t="shared" si="4"/>
        <v>3.8516438155346542</v>
      </c>
    </row>
    <row r="46" spans="1:10" x14ac:dyDescent="0.2">
      <c r="A46" t="s">
        <v>0</v>
      </c>
      <c r="B46" s="1">
        <v>0.59444444444444444</v>
      </c>
      <c r="C46" s="2">
        <v>6.3194444444444442E-2</v>
      </c>
      <c r="D46" s="3">
        <v>208.6</v>
      </c>
      <c r="E46" s="3">
        <f t="shared" si="0"/>
        <v>11.599999999999994</v>
      </c>
      <c r="F46" s="4">
        <v>10.952666666666667</v>
      </c>
      <c r="G46" s="12">
        <f t="shared" si="1"/>
        <v>3.1526666666666676</v>
      </c>
      <c r="H46" s="4">
        <f t="shared" si="2"/>
        <v>12.25</v>
      </c>
      <c r="I46" s="4">
        <f t="shared" si="3"/>
        <v>3.2032564102564107</v>
      </c>
      <c r="J46" s="4">
        <f t="shared" si="4"/>
        <v>3.8242333522777296</v>
      </c>
    </row>
    <row r="47" spans="1:10" x14ac:dyDescent="0.2">
      <c r="A47" t="s">
        <v>0</v>
      </c>
      <c r="B47" s="1">
        <v>0.59513888888888888</v>
      </c>
      <c r="C47" s="2">
        <v>6.3888888888888884E-2</v>
      </c>
      <c r="D47" s="3">
        <v>208.5</v>
      </c>
      <c r="E47" s="3">
        <f t="shared" si="0"/>
        <v>11.5</v>
      </c>
      <c r="F47" s="4">
        <v>10.785999999999998</v>
      </c>
      <c r="G47" s="12">
        <f t="shared" si="1"/>
        <v>2.985999999999998</v>
      </c>
      <c r="H47" s="4">
        <f t="shared" si="2"/>
        <v>11.549999999999997</v>
      </c>
      <c r="I47" s="4">
        <f t="shared" si="3"/>
        <v>3.0693333333333328</v>
      </c>
      <c r="J47" s="4">
        <f t="shared" si="4"/>
        <v>3.7630321459600347</v>
      </c>
    </row>
    <row r="48" spans="1:10" x14ac:dyDescent="0.2">
      <c r="A48" t="s">
        <v>0</v>
      </c>
      <c r="B48" s="1">
        <v>0.59583333333333333</v>
      </c>
      <c r="C48" s="2">
        <v>6.458333333333334E-2</v>
      </c>
      <c r="D48" s="3">
        <v>208.1</v>
      </c>
      <c r="E48" s="3">
        <f t="shared" si="0"/>
        <v>11.099999999999994</v>
      </c>
      <c r="F48" s="4">
        <v>10.707857142857142</v>
      </c>
      <c r="G48" s="12">
        <f t="shared" si="1"/>
        <v>2.907857142857142</v>
      </c>
      <c r="H48" s="4">
        <f t="shared" si="2"/>
        <v>11.299999999999997</v>
      </c>
      <c r="I48" s="4">
        <f t="shared" si="3"/>
        <v>2.94692857142857</v>
      </c>
      <c r="J48" s="4">
        <f t="shared" si="4"/>
        <v>3.8345008119834221</v>
      </c>
    </row>
    <row r="49" spans="1:10" x14ac:dyDescent="0.2">
      <c r="A49" t="s">
        <v>0</v>
      </c>
      <c r="B49" s="1">
        <v>0.59652777777777777</v>
      </c>
      <c r="C49" s="2">
        <v>6.5277777777777782E-2</v>
      </c>
      <c r="D49" s="3">
        <v>207.5</v>
      </c>
      <c r="E49" s="3">
        <f t="shared" si="0"/>
        <v>10.5</v>
      </c>
      <c r="F49" s="4">
        <v>10.643333333333333</v>
      </c>
      <c r="G49" s="12">
        <f t="shared" si="1"/>
        <v>2.8433333333333328</v>
      </c>
      <c r="H49" s="4">
        <f t="shared" si="2"/>
        <v>10.799999999999997</v>
      </c>
      <c r="I49" s="4">
        <f t="shared" si="3"/>
        <v>2.8755952380952374</v>
      </c>
      <c r="J49" s="4">
        <f t="shared" si="4"/>
        <v>3.7557441523494099</v>
      </c>
    </row>
    <row r="50" spans="1:10" x14ac:dyDescent="0.2">
      <c r="A50" t="s">
        <v>0</v>
      </c>
      <c r="B50" s="1">
        <v>0.59722222222222221</v>
      </c>
      <c r="C50" s="2">
        <v>6.5972222222222224E-2</v>
      </c>
      <c r="D50" s="3">
        <v>207.7</v>
      </c>
      <c r="E50" s="3">
        <f t="shared" si="0"/>
        <v>10.699999999999989</v>
      </c>
      <c r="F50" s="4">
        <v>10.632307692307693</v>
      </c>
      <c r="G50" s="12">
        <f t="shared" si="1"/>
        <v>2.8323076923076931</v>
      </c>
      <c r="H50" s="4">
        <f t="shared" si="2"/>
        <v>10.599999999999994</v>
      </c>
      <c r="I50" s="4">
        <f t="shared" si="3"/>
        <v>2.837820512820513</v>
      </c>
      <c r="J50" s="4">
        <f t="shared" si="4"/>
        <v>3.7352608990286855</v>
      </c>
    </row>
    <row r="51" spans="1:10" x14ac:dyDescent="0.2">
      <c r="A51" t="s">
        <v>0</v>
      </c>
      <c r="B51" s="1">
        <v>0.59791666666666665</v>
      </c>
      <c r="C51" s="2">
        <v>6.6666666666666666E-2</v>
      </c>
      <c r="D51" s="3">
        <v>207</v>
      </c>
      <c r="E51" s="3">
        <f t="shared" si="0"/>
        <v>10</v>
      </c>
      <c r="F51" s="4">
        <v>10.530666666666665</v>
      </c>
      <c r="G51" s="12">
        <f t="shared" si="1"/>
        <v>2.7306666666666652</v>
      </c>
      <c r="H51" s="4">
        <f t="shared" si="2"/>
        <v>10.349999999999994</v>
      </c>
      <c r="I51" s="4">
        <f t="shared" si="3"/>
        <v>2.7814871794871792</v>
      </c>
      <c r="J51" s="4">
        <f t="shared" si="4"/>
        <v>3.721030992459299</v>
      </c>
    </row>
    <row r="52" spans="1:10" x14ac:dyDescent="0.2">
      <c r="A52" t="s">
        <v>0</v>
      </c>
      <c r="B52" s="1">
        <v>0.59861111111111109</v>
      </c>
      <c r="C52" s="2">
        <v>6.7361111111111108E-2</v>
      </c>
      <c r="D52" s="3">
        <v>207.1</v>
      </c>
      <c r="E52" s="3">
        <f t="shared" si="0"/>
        <v>10.099999999999994</v>
      </c>
      <c r="F52" s="4">
        <v>10.486666666666668</v>
      </c>
      <c r="G52" s="12">
        <f t="shared" si="1"/>
        <v>2.6866666666666683</v>
      </c>
      <c r="H52" s="4">
        <f t="shared" si="2"/>
        <v>10.049999999999997</v>
      </c>
      <c r="I52" s="4">
        <f t="shared" si="3"/>
        <v>2.7086666666666668</v>
      </c>
      <c r="J52" s="4">
        <f t="shared" si="4"/>
        <v>3.7103125769136094</v>
      </c>
    </row>
    <row r="53" spans="1:10" x14ac:dyDescent="0.2">
      <c r="A53" t="s">
        <v>0</v>
      </c>
      <c r="B53" s="1">
        <v>0.59930555555555554</v>
      </c>
      <c r="C53" s="2">
        <v>6.805555555555555E-2</v>
      </c>
      <c r="D53" s="3">
        <v>207</v>
      </c>
      <c r="E53" s="3">
        <f t="shared" si="0"/>
        <v>10</v>
      </c>
      <c r="F53" s="4">
        <v>10.45857142857143</v>
      </c>
      <c r="G53" s="12">
        <f t="shared" si="1"/>
        <v>2.6585714285714301</v>
      </c>
      <c r="H53" s="4">
        <f t="shared" si="2"/>
        <v>10.049999999999997</v>
      </c>
      <c r="I53" s="4">
        <f t="shared" si="3"/>
        <v>2.6726190476190492</v>
      </c>
      <c r="J53" s="4">
        <f t="shared" si="4"/>
        <v>3.7603563474387496</v>
      </c>
    </row>
    <row r="54" spans="1:10" x14ac:dyDescent="0.2">
      <c r="A54" t="s">
        <v>0</v>
      </c>
      <c r="B54" s="1">
        <v>0.6</v>
      </c>
      <c r="C54" s="2">
        <v>6.8750000000000006E-2</v>
      </c>
      <c r="D54" s="3">
        <v>206.8</v>
      </c>
      <c r="E54" s="3">
        <f t="shared" si="0"/>
        <v>9.8000000000000114</v>
      </c>
      <c r="F54" s="4">
        <v>10.382</v>
      </c>
      <c r="G54" s="12">
        <f t="shared" si="1"/>
        <v>2.5819999999999999</v>
      </c>
      <c r="H54" s="4">
        <f t="shared" si="2"/>
        <v>9.9000000000000057</v>
      </c>
      <c r="I54" s="4">
        <f t="shared" si="3"/>
        <v>2.620285714285715</v>
      </c>
      <c r="J54" s="4">
        <f t="shared" si="4"/>
        <v>3.7782139352306192</v>
      </c>
    </row>
    <row r="55" spans="1:10" x14ac:dyDescent="0.2">
      <c r="A55" t="s">
        <v>0</v>
      </c>
      <c r="B55" s="1">
        <v>0.60069444444444442</v>
      </c>
      <c r="C55" s="2">
        <v>6.9444444444444448E-2</v>
      </c>
      <c r="D55" s="3">
        <v>206.4</v>
      </c>
      <c r="E55" s="3">
        <f t="shared" si="0"/>
        <v>9.4000000000000057</v>
      </c>
      <c r="F55" s="4">
        <v>10.283846153846154</v>
      </c>
      <c r="G55" s="12">
        <f t="shared" si="1"/>
        <v>2.4838461538461543</v>
      </c>
      <c r="H55" s="4">
        <f t="shared" si="2"/>
        <v>9.6000000000000085</v>
      </c>
      <c r="I55" s="4">
        <f t="shared" si="3"/>
        <v>2.5329230769230771</v>
      </c>
      <c r="J55" s="4">
        <f t="shared" si="4"/>
        <v>3.7900874635568544</v>
      </c>
    </row>
    <row r="56" spans="1:10" x14ac:dyDescent="0.2">
      <c r="A56" t="s">
        <v>0</v>
      </c>
      <c r="B56" s="1">
        <v>0.60138888888888886</v>
      </c>
      <c r="C56" s="2">
        <v>7.013888888888889E-2</v>
      </c>
      <c r="D56" s="3">
        <v>206.2</v>
      </c>
      <c r="E56" s="3">
        <f t="shared" si="0"/>
        <v>9.1999999999999886</v>
      </c>
      <c r="F56" s="4">
        <v>10.185333333333334</v>
      </c>
      <c r="G56" s="12">
        <f t="shared" si="1"/>
        <v>2.3853333333333344</v>
      </c>
      <c r="H56" s="4">
        <f t="shared" si="2"/>
        <v>9.2999999999999972</v>
      </c>
      <c r="I56" s="4">
        <f t="shared" si="3"/>
        <v>2.4345897435897443</v>
      </c>
      <c r="J56" s="4">
        <f t="shared" si="4"/>
        <v>3.8199454443964633</v>
      </c>
    </row>
    <row r="57" spans="1:10" x14ac:dyDescent="0.2">
      <c r="A57" t="s">
        <v>0</v>
      </c>
      <c r="B57" s="1">
        <v>0.6020833333333333</v>
      </c>
      <c r="C57" s="2">
        <v>7.0833333333333331E-2</v>
      </c>
      <c r="D57" s="3">
        <v>205.7</v>
      </c>
      <c r="E57" s="3">
        <f t="shared" si="0"/>
        <v>8.6999999999999886</v>
      </c>
      <c r="F57" s="4">
        <v>10.168666666666669</v>
      </c>
      <c r="G57" s="12">
        <f t="shared" si="1"/>
        <v>2.3686666666666687</v>
      </c>
      <c r="H57" s="4">
        <f t="shared" si="2"/>
        <v>8.9499999999999886</v>
      </c>
      <c r="I57" s="4">
        <f t="shared" si="3"/>
        <v>2.3770000000000016</v>
      </c>
      <c r="J57" s="4">
        <f t="shared" si="4"/>
        <v>3.7652503155237622</v>
      </c>
    </row>
    <row r="58" spans="1:10" x14ac:dyDescent="0.2">
      <c r="A58" t="s">
        <v>0</v>
      </c>
      <c r="B58" s="1">
        <v>0.60277777777777775</v>
      </c>
      <c r="C58" s="2">
        <v>7.1527777777777773E-2</v>
      </c>
      <c r="D58" s="3">
        <v>205.6</v>
      </c>
      <c r="E58" s="3">
        <f t="shared" si="0"/>
        <v>8.5999999999999943</v>
      </c>
      <c r="F58" s="4">
        <v>10.085714285714285</v>
      </c>
      <c r="G58" s="12">
        <f t="shared" si="1"/>
        <v>2.2857142857142856</v>
      </c>
      <c r="H58" s="4">
        <f t="shared" si="2"/>
        <v>8.6499999999999915</v>
      </c>
      <c r="I58" s="4">
        <f t="shared" si="3"/>
        <v>2.3271904761904771</v>
      </c>
      <c r="J58" s="4">
        <f t="shared" si="4"/>
        <v>3.7169282396513217</v>
      </c>
    </row>
    <row r="59" spans="1:10" x14ac:dyDescent="0.2">
      <c r="A59" t="s">
        <v>0</v>
      </c>
      <c r="B59" s="1">
        <v>0.60347222222222219</v>
      </c>
      <c r="C59" s="2">
        <v>7.2222222222222215E-2</v>
      </c>
      <c r="D59" s="3">
        <v>205.4</v>
      </c>
      <c r="E59" s="3">
        <f t="shared" si="0"/>
        <v>8.4000000000000057</v>
      </c>
      <c r="F59" s="4">
        <v>10.029333333333334</v>
      </c>
      <c r="G59" s="12">
        <f t="shared" si="1"/>
        <v>2.2293333333333338</v>
      </c>
      <c r="H59" s="4">
        <f t="shared" si="2"/>
        <v>8.5</v>
      </c>
      <c r="I59" s="4">
        <f t="shared" si="3"/>
        <v>2.2575238095238097</v>
      </c>
      <c r="J59" s="4">
        <f t="shared" si="4"/>
        <v>3.7651873101586228</v>
      </c>
    </row>
    <row r="60" spans="1:10" x14ac:dyDescent="0.2">
      <c r="A60" t="s">
        <v>0</v>
      </c>
      <c r="B60" s="1">
        <v>0.60416666666666663</v>
      </c>
      <c r="C60" s="2">
        <v>7.2916666666666671E-2</v>
      </c>
      <c r="D60" s="3">
        <v>205.2</v>
      </c>
      <c r="E60" s="3">
        <f t="shared" si="0"/>
        <v>8.1999999999999886</v>
      </c>
      <c r="F60" s="4">
        <v>9.9953846153846158</v>
      </c>
      <c r="G60" s="12">
        <f t="shared" si="1"/>
        <v>2.1953846153846159</v>
      </c>
      <c r="H60" s="4">
        <f t="shared" si="2"/>
        <v>8.2999999999999972</v>
      </c>
      <c r="I60" s="4">
        <f t="shared" si="3"/>
        <v>2.2123589743589749</v>
      </c>
      <c r="J60" s="4">
        <f t="shared" si="4"/>
        <v>3.7516515611599153</v>
      </c>
    </row>
    <row r="61" spans="1:10" x14ac:dyDescent="0.2">
      <c r="A61" t="s">
        <v>0</v>
      </c>
      <c r="B61" s="1">
        <v>0.60486111111111107</v>
      </c>
      <c r="C61" s="2">
        <v>7.3611111111111113E-2</v>
      </c>
      <c r="D61" s="3">
        <v>205.3</v>
      </c>
      <c r="E61" s="3">
        <f t="shared" si="0"/>
        <v>8.3000000000000114</v>
      </c>
      <c r="F61" s="4">
        <v>9.9079999999999995</v>
      </c>
      <c r="G61" s="12">
        <f t="shared" si="1"/>
        <v>2.1079999999999997</v>
      </c>
      <c r="H61" s="4">
        <f t="shared" si="2"/>
        <v>8.25</v>
      </c>
      <c r="I61" s="4">
        <f t="shared" si="3"/>
        <v>2.1516923076923078</v>
      </c>
      <c r="J61" s="4">
        <f t="shared" si="4"/>
        <v>3.8341913341913338</v>
      </c>
    </row>
    <row r="62" spans="1:10" x14ac:dyDescent="0.2">
      <c r="A62" t="s">
        <v>0</v>
      </c>
      <c r="B62" s="1">
        <v>0.60555555555555551</v>
      </c>
      <c r="C62" s="2">
        <v>7.4305555555555555E-2</v>
      </c>
      <c r="D62" s="3">
        <v>204.7</v>
      </c>
      <c r="E62" s="3">
        <f t="shared" si="0"/>
        <v>7.6999999999999886</v>
      </c>
      <c r="F62" s="4">
        <v>9.8360000000000003</v>
      </c>
      <c r="G62" s="12">
        <f t="shared" si="1"/>
        <v>2.0360000000000005</v>
      </c>
      <c r="H62" s="4">
        <f t="shared" si="2"/>
        <v>8</v>
      </c>
      <c r="I62" s="4">
        <f t="shared" si="3"/>
        <v>2.0720000000000001</v>
      </c>
      <c r="J62" s="4">
        <f t="shared" si="4"/>
        <v>3.8610038610038608</v>
      </c>
    </row>
    <row r="63" spans="1:10" x14ac:dyDescent="0.2">
      <c r="A63" t="s">
        <v>0</v>
      </c>
      <c r="B63" s="1">
        <v>0.60624999999999996</v>
      </c>
      <c r="C63" s="2">
        <v>7.4999999999999997E-2</v>
      </c>
      <c r="D63" s="3">
        <v>204.9</v>
      </c>
      <c r="E63" s="3">
        <f t="shared" si="0"/>
        <v>7.9000000000000057</v>
      </c>
      <c r="F63" s="4">
        <v>9.8435714285714315</v>
      </c>
      <c r="G63" s="12">
        <f t="shared" si="1"/>
        <v>2.0435714285714317</v>
      </c>
      <c r="H63" s="4">
        <f t="shared" si="2"/>
        <v>7.7999999999999972</v>
      </c>
      <c r="I63" s="4">
        <f t="shared" si="3"/>
        <v>2.0397857142857161</v>
      </c>
      <c r="J63" s="4">
        <f t="shared" si="4"/>
        <v>3.8239310851980202</v>
      </c>
    </row>
    <row r="64" spans="1:10" x14ac:dyDescent="0.2">
      <c r="A64" t="s">
        <v>0</v>
      </c>
      <c r="B64" s="1">
        <v>0.6069444444444444</v>
      </c>
      <c r="C64" s="2">
        <v>7.5694444444444439E-2</v>
      </c>
      <c r="D64" s="3">
        <v>204.2</v>
      </c>
      <c r="E64" s="3">
        <f t="shared" si="0"/>
        <v>7.1999999999999886</v>
      </c>
      <c r="F64" s="4">
        <v>9.7160000000000011</v>
      </c>
      <c r="G64" s="12">
        <f t="shared" si="1"/>
        <v>1.9160000000000013</v>
      </c>
      <c r="H64" s="4">
        <f t="shared" si="2"/>
        <v>7.5499999999999972</v>
      </c>
      <c r="I64" s="4">
        <f t="shared" si="3"/>
        <v>1.9797857142857165</v>
      </c>
      <c r="J64" s="4">
        <f t="shared" si="4"/>
        <v>3.8135440343471458</v>
      </c>
    </row>
    <row r="65" spans="1:10" x14ac:dyDescent="0.2">
      <c r="A65" t="s">
        <v>0</v>
      </c>
      <c r="B65" s="1">
        <v>0.60763888888888884</v>
      </c>
      <c r="C65" s="2">
        <v>7.6388888888888895E-2</v>
      </c>
      <c r="D65" s="3">
        <v>204.4</v>
      </c>
      <c r="E65" s="3">
        <f t="shared" si="0"/>
        <v>7.4000000000000057</v>
      </c>
      <c r="F65" s="4">
        <v>9.7446153846153845</v>
      </c>
      <c r="G65" s="12">
        <f t="shared" si="1"/>
        <v>1.9446153846153846</v>
      </c>
      <c r="H65" s="4">
        <f t="shared" si="2"/>
        <v>7.2999999999999972</v>
      </c>
      <c r="I65" s="4">
        <f t="shared" si="3"/>
        <v>1.9303076923076929</v>
      </c>
      <c r="J65" s="4">
        <f t="shared" si="4"/>
        <v>3.7817805053000688</v>
      </c>
    </row>
    <row r="66" spans="1:10" x14ac:dyDescent="0.2">
      <c r="A66" t="s">
        <v>0</v>
      </c>
      <c r="B66" s="1">
        <v>0.60833333333333328</v>
      </c>
      <c r="C66" s="2">
        <v>7.7083333333333337E-2</v>
      </c>
      <c r="D66" s="3">
        <v>204.5</v>
      </c>
      <c r="E66" s="3">
        <f t="shared" si="0"/>
        <v>7.5</v>
      </c>
      <c r="F66" s="4">
        <v>9.7233333333333327</v>
      </c>
      <c r="G66" s="12">
        <f t="shared" si="1"/>
        <v>1.9233333333333329</v>
      </c>
      <c r="H66" s="4">
        <f t="shared" si="2"/>
        <v>7.4500000000000028</v>
      </c>
      <c r="I66" s="4">
        <f t="shared" si="3"/>
        <v>1.9339743589743588</v>
      </c>
      <c r="J66" s="4">
        <f t="shared" si="4"/>
        <v>3.8521710308253252</v>
      </c>
    </row>
    <row r="67" spans="1:10" x14ac:dyDescent="0.2">
      <c r="A67" t="s">
        <v>0</v>
      </c>
      <c r="B67" s="1">
        <v>0.60902777777777772</v>
      </c>
      <c r="C67" s="2">
        <v>7.7777777777777779E-2</v>
      </c>
      <c r="D67" s="3">
        <v>204.2</v>
      </c>
      <c r="E67" s="3">
        <f t="shared" ref="E67:E105" si="5">D67-$M$2</f>
        <v>7.1999999999999886</v>
      </c>
      <c r="F67" s="4">
        <v>9.6559999999999988</v>
      </c>
      <c r="G67" s="12">
        <f t="shared" ref="G67:G105" si="6">F67-$N$2</f>
        <v>1.855999999999999</v>
      </c>
      <c r="H67" s="4">
        <f t="shared" si="2"/>
        <v>7.3499999999999943</v>
      </c>
      <c r="I67" s="4">
        <f t="shared" si="3"/>
        <v>1.8896666666666659</v>
      </c>
      <c r="J67" s="4">
        <f t="shared" si="4"/>
        <v>3.8895748809313795</v>
      </c>
    </row>
    <row r="68" spans="1:10" x14ac:dyDescent="0.2">
      <c r="A68" t="s">
        <v>0</v>
      </c>
      <c r="B68" s="1">
        <v>0.60972222222222228</v>
      </c>
      <c r="C68" s="2">
        <v>7.8472222222222221E-2</v>
      </c>
      <c r="D68" s="3">
        <v>203.8</v>
      </c>
      <c r="E68" s="3">
        <f t="shared" si="5"/>
        <v>6.8000000000000114</v>
      </c>
      <c r="F68" s="4">
        <v>9.5264285714285712</v>
      </c>
      <c r="G68" s="12">
        <f t="shared" si="6"/>
        <v>1.7264285714285714</v>
      </c>
      <c r="H68" s="4">
        <f t="shared" ref="H68:H105" si="7">(E68+E67)/2</f>
        <v>7</v>
      </c>
      <c r="I68" s="4">
        <f t="shared" ref="I68:I105" si="8">(G68+G67)/2</f>
        <v>1.7912142857142852</v>
      </c>
      <c r="J68" s="4">
        <f t="shared" ref="J68:J105" si="9">H68/I68</f>
        <v>3.9079634725046866</v>
      </c>
    </row>
    <row r="69" spans="1:10" x14ac:dyDescent="0.2">
      <c r="A69" t="s">
        <v>0</v>
      </c>
      <c r="B69" s="1">
        <v>0.61041666666666672</v>
      </c>
      <c r="C69" s="2">
        <v>7.9166666666666663E-2</v>
      </c>
      <c r="D69" s="3">
        <v>203.6</v>
      </c>
      <c r="E69" s="3">
        <f t="shared" si="5"/>
        <v>6.5999999999999943</v>
      </c>
      <c r="F69" s="4">
        <v>9.5393333333333334</v>
      </c>
      <c r="G69" s="12">
        <f t="shared" si="6"/>
        <v>1.7393333333333336</v>
      </c>
      <c r="H69" s="4">
        <f t="shared" si="7"/>
        <v>6.7000000000000028</v>
      </c>
      <c r="I69" s="4">
        <f t="shared" si="8"/>
        <v>1.7328809523809525</v>
      </c>
      <c r="J69" s="4">
        <f t="shared" si="9"/>
        <v>3.8663937016529051</v>
      </c>
    </row>
    <row r="70" spans="1:10" x14ac:dyDescent="0.2">
      <c r="A70" t="s">
        <v>0</v>
      </c>
      <c r="B70" s="1">
        <v>0.61111111111111116</v>
      </c>
      <c r="C70" s="2">
        <v>7.9861111111111105E-2</v>
      </c>
      <c r="D70" s="3">
        <v>203.7</v>
      </c>
      <c r="E70" s="3">
        <f t="shared" si="5"/>
        <v>6.6999999999999886</v>
      </c>
      <c r="F70" s="4">
        <v>9.5223076923076935</v>
      </c>
      <c r="G70" s="12">
        <f t="shared" si="6"/>
        <v>1.7223076923076936</v>
      </c>
      <c r="H70" s="4">
        <f t="shared" si="7"/>
        <v>6.6499999999999915</v>
      </c>
      <c r="I70" s="4">
        <f t="shared" si="8"/>
        <v>1.7308205128205136</v>
      </c>
      <c r="J70" s="4">
        <f t="shared" si="9"/>
        <v>3.8421083819738606</v>
      </c>
    </row>
    <row r="71" spans="1:10" x14ac:dyDescent="0.2">
      <c r="A71" t="s">
        <v>0</v>
      </c>
      <c r="B71" s="1">
        <v>0.6118055555555556</v>
      </c>
      <c r="C71" s="2">
        <v>8.0555555555555561E-2</v>
      </c>
      <c r="D71" s="3">
        <v>203.7</v>
      </c>
      <c r="E71" s="3">
        <f t="shared" si="5"/>
        <v>6.6999999999999886</v>
      </c>
      <c r="F71" s="4">
        <v>9.5220000000000002</v>
      </c>
      <c r="G71" s="12">
        <f t="shared" si="6"/>
        <v>1.7220000000000004</v>
      </c>
      <c r="H71" s="4">
        <f t="shared" si="7"/>
        <v>6.6999999999999886</v>
      </c>
      <c r="I71" s="4">
        <f t="shared" si="8"/>
        <v>1.722153846153847</v>
      </c>
      <c r="J71" s="4">
        <f t="shared" si="9"/>
        <v>3.8904770412721015</v>
      </c>
    </row>
    <row r="72" spans="1:10" x14ac:dyDescent="0.2">
      <c r="A72" t="s">
        <v>0</v>
      </c>
      <c r="B72" s="1">
        <v>0.61250000000000004</v>
      </c>
      <c r="C72" s="2">
        <v>8.1250000000000003E-2</v>
      </c>
      <c r="D72" s="3">
        <v>203.4</v>
      </c>
      <c r="E72" s="3">
        <f t="shared" si="5"/>
        <v>6.4000000000000057</v>
      </c>
      <c r="F72" s="4">
        <v>9.4693333333333332</v>
      </c>
      <c r="G72" s="12">
        <f t="shared" si="6"/>
        <v>1.6693333333333333</v>
      </c>
      <c r="H72" s="4">
        <f t="shared" si="7"/>
        <v>6.5499999999999972</v>
      </c>
      <c r="I72" s="4">
        <f t="shared" si="8"/>
        <v>1.6956666666666669</v>
      </c>
      <c r="J72" s="4">
        <f t="shared" si="9"/>
        <v>3.8627874975427541</v>
      </c>
    </row>
    <row r="73" spans="1:10" x14ac:dyDescent="0.2">
      <c r="A73" t="s">
        <v>0</v>
      </c>
      <c r="B73" s="1">
        <v>0.61319444444444449</v>
      </c>
      <c r="C73" s="2">
        <v>8.1944444444444445E-2</v>
      </c>
      <c r="D73" s="3">
        <v>203.1</v>
      </c>
      <c r="E73" s="3">
        <f t="shared" si="5"/>
        <v>6.0999999999999943</v>
      </c>
      <c r="F73" s="4">
        <v>9.4242857142857144</v>
      </c>
      <c r="G73" s="12">
        <f t="shared" si="6"/>
        <v>1.6242857142857146</v>
      </c>
      <c r="H73" s="4">
        <f t="shared" si="7"/>
        <v>6.25</v>
      </c>
      <c r="I73" s="4">
        <f t="shared" si="8"/>
        <v>1.6468095238095239</v>
      </c>
      <c r="J73" s="4">
        <f t="shared" si="9"/>
        <v>3.7952173032993084</v>
      </c>
    </row>
    <row r="74" spans="1:10" x14ac:dyDescent="0.2">
      <c r="A74" t="s">
        <v>0</v>
      </c>
      <c r="B74" s="1">
        <v>0.61388888888888893</v>
      </c>
      <c r="C74" s="2">
        <v>8.2638888888888887E-2</v>
      </c>
      <c r="D74" s="3">
        <v>202.7</v>
      </c>
      <c r="E74" s="3">
        <f t="shared" si="5"/>
        <v>5.6999999999999886</v>
      </c>
      <c r="F74" s="4">
        <v>9.2900000000000009</v>
      </c>
      <c r="G74" s="12">
        <f t="shared" si="6"/>
        <v>1.4900000000000011</v>
      </c>
      <c r="H74" s="4">
        <f t="shared" si="7"/>
        <v>5.8999999999999915</v>
      </c>
      <c r="I74" s="4">
        <f t="shared" si="8"/>
        <v>1.5571428571428578</v>
      </c>
      <c r="J74" s="4">
        <f t="shared" si="9"/>
        <v>3.7889908256880664</v>
      </c>
    </row>
    <row r="75" spans="1:10" x14ac:dyDescent="0.2">
      <c r="A75" t="s">
        <v>0</v>
      </c>
      <c r="B75" s="1">
        <v>0.61458333333333337</v>
      </c>
      <c r="C75" s="2">
        <v>8.3333333333333329E-2</v>
      </c>
      <c r="D75" s="3">
        <v>202.6</v>
      </c>
      <c r="E75" s="3">
        <f t="shared" si="5"/>
        <v>5.5999999999999943</v>
      </c>
      <c r="F75" s="4">
        <v>9.1823076923076918</v>
      </c>
      <c r="G75" s="12">
        <f t="shared" si="6"/>
        <v>1.382307692307692</v>
      </c>
      <c r="H75" s="4">
        <f t="shared" si="7"/>
        <v>5.6499999999999915</v>
      </c>
      <c r="I75" s="4">
        <f t="shared" si="8"/>
        <v>1.4361538461538466</v>
      </c>
      <c r="J75" s="4">
        <f t="shared" si="9"/>
        <v>3.9341189073379681</v>
      </c>
    </row>
    <row r="76" spans="1:10" x14ac:dyDescent="0.2">
      <c r="A76" t="s">
        <v>0</v>
      </c>
      <c r="B76" s="1">
        <v>0.61527777777777781</v>
      </c>
      <c r="C76" s="2">
        <v>8.4027777777777785E-2</v>
      </c>
      <c r="D76" s="3">
        <v>202.3</v>
      </c>
      <c r="E76" s="3">
        <f t="shared" si="5"/>
        <v>5.3000000000000114</v>
      </c>
      <c r="F76" s="4">
        <v>9.2133333333333347</v>
      </c>
      <c r="G76" s="12">
        <f t="shared" si="6"/>
        <v>1.4133333333333349</v>
      </c>
      <c r="H76" s="4">
        <f t="shared" si="7"/>
        <v>5.4500000000000028</v>
      </c>
      <c r="I76" s="4">
        <f t="shared" si="8"/>
        <v>1.3978205128205134</v>
      </c>
      <c r="J76" s="4">
        <f t="shared" si="9"/>
        <v>3.8989269008529766</v>
      </c>
    </row>
    <row r="77" spans="1:10" x14ac:dyDescent="0.2">
      <c r="A77" t="s">
        <v>0</v>
      </c>
      <c r="B77" s="1">
        <v>0.61597222222222225</v>
      </c>
      <c r="C77" s="2">
        <v>8.4722222222222227E-2</v>
      </c>
      <c r="D77" s="3">
        <v>202.2</v>
      </c>
      <c r="E77" s="3">
        <f t="shared" si="5"/>
        <v>5.1999999999999886</v>
      </c>
      <c r="F77" s="4">
        <v>9.1886666666666663</v>
      </c>
      <c r="G77" s="12">
        <f t="shared" si="6"/>
        <v>1.3886666666666665</v>
      </c>
      <c r="H77" s="4">
        <f t="shared" si="7"/>
        <v>5.25</v>
      </c>
      <c r="I77" s="4">
        <f t="shared" si="8"/>
        <v>1.4010000000000007</v>
      </c>
      <c r="J77" s="4">
        <f t="shared" si="9"/>
        <v>3.7473233404710902</v>
      </c>
    </row>
    <row r="78" spans="1:10" x14ac:dyDescent="0.2">
      <c r="A78" t="s">
        <v>0</v>
      </c>
      <c r="B78" s="1">
        <v>0.6166666666666667</v>
      </c>
      <c r="C78" s="2">
        <v>8.5416666666666669E-2</v>
      </c>
      <c r="D78" s="3">
        <v>202.6</v>
      </c>
      <c r="E78" s="3">
        <f t="shared" si="5"/>
        <v>5.5999999999999943</v>
      </c>
      <c r="F78" s="4">
        <v>9.2900000000000009</v>
      </c>
      <c r="G78" s="12">
        <f t="shared" si="6"/>
        <v>1.4900000000000011</v>
      </c>
      <c r="H78" s="4">
        <f t="shared" si="7"/>
        <v>5.3999999999999915</v>
      </c>
      <c r="I78" s="4">
        <f t="shared" si="8"/>
        <v>1.4393333333333338</v>
      </c>
      <c r="J78" s="4">
        <f t="shared" si="9"/>
        <v>3.7517369152385291</v>
      </c>
    </row>
    <row r="79" spans="1:10" x14ac:dyDescent="0.2">
      <c r="A79" t="s">
        <v>0</v>
      </c>
      <c r="B79" s="1">
        <v>0.61736111111111114</v>
      </c>
      <c r="C79" s="2">
        <v>8.611111111111111E-2</v>
      </c>
      <c r="D79" s="3">
        <v>201.9</v>
      </c>
      <c r="E79" s="3">
        <f t="shared" si="5"/>
        <v>4.9000000000000057</v>
      </c>
      <c r="F79" s="4">
        <v>9.0980000000000008</v>
      </c>
      <c r="G79" s="12">
        <f t="shared" si="6"/>
        <v>1.2980000000000009</v>
      </c>
      <c r="H79" s="4">
        <f t="shared" si="7"/>
        <v>5.25</v>
      </c>
      <c r="I79" s="4">
        <f t="shared" si="8"/>
        <v>1.394000000000001</v>
      </c>
      <c r="J79" s="4">
        <f t="shared" si="9"/>
        <v>3.7661406025824937</v>
      </c>
    </row>
    <row r="80" spans="1:10" x14ac:dyDescent="0.2">
      <c r="A80" t="s">
        <v>0</v>
      </c>
      <c r="B80" s="1">
        <v>0.61805555555555558</v>
      </c>
      <c r="C80" s="2">
        <v>8.6805555555555552E-2</v>
      </c>
      <c r="D80" s="3">
        <v>201.5</v>
      </c>
      <c r="E80" s="3">
        <f t="shared" si="5"/>
        <v>4.5</v>
      </c>
      <c r="F80" s="4">
        <v>9.0061538461538468</v>
      </c>
      <c r="G80" s="12">
        <f t="shared" si="6"/>
        <v>1.206153846153847</v>
      </c>
      <c r="H80" s="4">
        <f t="shared" si="7"/>
        <v>4.7000000000000028</v>
      </c>
      <c r="I80" s="4">
        <f t="shared" si="8"/>
        <v>1.252076923076924</v>
      </c>
      <c r="J80" s="4">
        <f t="shared" si="9"/>
        <v>3.7537629784358293</v>
      </c>
    </row>
    <row r="81" spans="1:10" x14ac:dyDescent="0.2">
      <c r="A81" t="s">
        <v>0</v>
      </c>
      <c r="B81" s="1">
        <v>0.61875000000000002</v>
      </c>
      <c r="C81" s="2">
        <v>8.7499999999999994E-2</v>
      </c>
      <c r="D81" s="3">
        <v>201.5</v>
      </c>
      <c r="E81" s="3">
        <f t="shared" si="5"/>
        <v>4.5</v>
      </c>
      <c r="F81" s="4">
        <v>8.9706666666666646</v>
      </c>
      <c r="G81" s="12">
        <f t="shared" si="6"/>
        <v>1.1706666666666647</v>
      </c>
      <c r="H81" s="4">
        <f t="shared" si="7"/>
        <v>4.5</v>
      </c>
      <c r="I81" s="4">
        <f t="shared" si="8"/>
        <v>1.1884102564102559</v>
      </c>
      <c r="J81" s="4">
        <f t="shared" si="9"/>
        <v>3.786571157331494</v>
      </c>
    </row>
    <row r="82" spans="1:10" x14ac:dyDescent="0.2">
      <c r="A82" t="s">
        <v>0</v>
      </c>
      <c r="B82" s="1">
        <v>0.61944444444444446</v>
      </c>
      <c r="C82" s="2">
        <v>8.819444444444445E-2</v>
      </c>
      <c r="D82" s="3">
        <v>201.3</v>
      </c>
      <c r="E82" s="3">
        <f t="shared" si="5"/>
        <v>4.3000000000000114</v>
      </c>
      <c r="F82" s="4">
        <v>8.9513333333333343</v>
      </c>
      <c r="G82" s="12">
        <f t="shared" si="6"/>
        <v>1.1513333333333344</v>
      </c>
      <c r="H82" s="4">
        <f t="shared" si="7"/>
        <v>4.4000000000000057</v>
      </c>
      <c r="I82" s="4">
        <f t="shared" si="8"/>
        <v>1.1609999999999996</v>
      </c>
      <c r="J82" s="4">
        <f t="shared" si="9"/>
        <v>3.7898363479758892</v>
      </c>
    </row>
    <row r="83" spans="1:10" x14ac:dyDescent="0.2">
      <c r="A83" t="s">
        <v>0</v>
      </c>
      <c r="B83" s="1">
        <v>0.62013888888888891</v>
      </c>
      <c r="C83" s="2">
        <v>8.8888888888888892E-2</v>
      </c>
      <c r="D83" s="3">
        <v>201.5</v>
      </c>
      <c r="E83" s="3">
        <f t="shared" si="5"/>
        <v>4.5</v>
      </c>
      <c r="F83" s="4">
        <v>8.8928571428571423</v>
      </c>
      <c r="G83" s="12">
        <f t="shared" si="6"/>
        <v>1.0928571428571425</v>
      </c>
      <c r="H83" s="4">
        <f t="shared" si="7"/>
        <v>4.4000000000000057</v>
      </c>
      <c r="I83" s="4">
        <f t="shared" si="8"/>
        <v>1.1220952380952385</v>
      </c>
      <c r="J83" s="4">
        <f t="shared" si="9"/>
        <v>3.9212357833984082</v>
      </c>
    </row>
    <row r="84" spans="1:10" x14ac:dyDescent="0.2">
      <c r="A84" t="s">
        <v>0</v>
      </c>
      <c r="B84" s="1">
        <v>0.62083333333333335</v>
      </c>
      <c r="C84" s="2">
        <v>8.9583333333333334E-2</v>
      </c>
      <c r="D84" s="3">
        <v>201.1</v>
      </c>
      <c r="E84" s="3">
        <f t="shared" si="5"/>
        <v>4.0999999999999943</v>
      </c>
      <c r="F84" s="4">
        <v>8.8713333333333324</v>
      </c>
      <c r="G84" s="12">
        <f t="shared" si="6"/>
        <v>1.0713333333333326</v>
      </c>
      <c r="H84" s="4">
        <f t="shared" si="7"/>
        <v>4.2999999999999972</v>
      </c>
      <c r="I84" s="4">
        <f t="shared" si="8"/>
        <v>1.0820952380952376</v>
      </c>
      <c r="J84" s="4">
        <f t="shared" si="9"/>
        <v>3.97377222320014</v>
      </c>
    </row>
    <row r="85" spans="1:10" x14ac:dyDescent="0.2">
      <c r="A85" t="s">
        <v>0</v>
      </c>
      <c r="B85" s="1">
        <v>0.62152777777777779</v>
      </c>
      <c r="C85" s="2">
        <v>9.0277777777777776E-2</v>
      </c>
      <c r="D85" s="3">
        <v>201.3</v>
      </c>
      <c r="E85" s="3">
        <f t="shared" si="5"/>
        <v>4.3000000000000114</v>
      </c>
      <c r="F85" s="4">
        <v>8.8692307692307697</v>
      </c>
      <c r="G85" s="12">
        <f t="shared" si="6"/>
        <v>1.0692307692307699</v>
      </c>
      <c r="H85" s="4">
        <f t="shared" si="7"/>
        <v>4.2000000000000028</v>
      </c>
      <c r="I85" s="4">
        <f t="shared" si="8"/>
        <v>1.0702820512820512</v>
      </c>
      <c r="J85" s="4">
        <f t="shared" si="9"/>
        <v>3.9241992285762231</v>
      </c>
    </row>
    <row r="86" spans="1:10" x14ac:dyDescent="0.2">
      <c r="A86" t="s">
        <v>0</v>
      </c>
      <c r="B86" s="1">
        <v>0.62222222222222223</v>
      </c>
      <c r="C86" s="2">
        <v>9.0972222222222218E-2</v>
      </c>
      <c r="D86" s="3">
        <v>201.1</v>
      </c>
      <c r="E86" s="3">
        <f t="shared" si="5"/>
        <v>4.0999999999999943</v>
      </c>
      <c r="F86" s="4">
        <v>8.8673333333333346</v>
      </c>
      <c r="G86" s="12">
        <f t="shared" si="6"/>
        <v>1.0673333333333348</v>
      </c>
      <c r="H86" s="4">
        <f t="shared" si="7"/>
        <v>4.2000000000000028</v>
      </c>
      <c r="I86" s="4">
        <f t="shared" si="8"/>
        <v>1.0682820512820523</v>
      </c>
      <c r="J86" s="4">
        <f t="shared" si="9"/>
        <v>3.9315459760458906</v>
      </c>
    </row>
    <row r="87" spans="1:10" x14ac:dyDescent="0.2">
      <c r="A87" t="s">
        <v>0</v>
      </c>
      <c r="B87" s="1">
        <v>0.62291666666666667</v>
      </c>
      <c r="C87" s="2">
        <v>9.166666666666666E-2</v>
      </c>
      <c r="D87" s="3">
        <v>200.7</v>
      </c>
      <c r="E87" s="3">
        <f t="shared" si="5"/>
        <v>3.6999999999999886</v>
      </c>
      <c r="F87" s="4">
        <v>8.7840000000000007</v>
      </c>
      <c r="G87" s="12">
        <f t="shared" si="6"/>
        <v>0.98400000000000087</v>
      </c>
      <c r="H87" s="4">
        <f t="shared" si="7"/>
        <v>3.8999999999999915</v>
      </c>
      <c r="I87" s="4">
        <f t="shared" si="8"/>
        <v>1.0256666666666678</v>
      </c>
      <c r="J87" s="4">
        <f t="shared" si="9"/>
        <v>3.8024049398764905</v>
      </c>
    </row>
    <row r="88" spans="1:10" x14ac:dyDescent="0.2">
      <c r="A88" t="s">
        <v>0</v>
      </c>
      <c r="B88" s="1">
        <v>0.62361111111111112</v>
      </c>
      <c r="C88" s="2">
        <v>9.2361111111111116E-2</v>
      </c>
      <c r="D88" s="3">
        <v>200.6</v>
      </c>
      <c r="E88" s="3">
        <f t="shared" si="5"/>
        <v>3.5999999999999943</v>
      </c>
      <c r="F88" s="4">
        <v>8.7214285714285715</v>
      </c>
      <c r="G88" s="12">
        <f t="shared" si="6"/>
        <v>0.92142857142857171</v>
      </c>
      <c r="H88" s="4">
        <f t="shared" si="7"/>
        <v>3.6499999999999915</v>
      </c>
      <c r="I88" s="4">
        <f t="shared" si="8"/>
        <v>0.95271428571428629</v>
      </c>
      <c r="J88" s="4">
        <f t="shared" si="9"/>
        <v>3.8311590943169778</v>
      </c>
    </row>
    <row r="89" spans="1:10" x14ac:dyDescent="0.2">
      <c r="A89" t="s">
        <v>0</v>
      </c>
      <c r="B89" s="1">
        <v>0.62430555555555556</v>
      </c>
      <c r="C89" s="2">
        <v>9.3055555555555558E-2</v>
      </c>
      <c r="D89" s="3">
        <v>200.7</v>
      </c>
      <c r="E89" s="3">
        <f t="shared" si="5"/>
        <v>3.6999999999999886</v>
      </c>
      <c r="F89" s="4">
        <v>8.7626666666666644</v>
      </c>
      <c r="G89" s="12">
        <f t="shared" si="6"/>
        <v>0.96266666666666456</v>
      </c>
      <c r="H89" s="4">
        <f t="shared" si="7"/>
        <v>3.6499999999999915</v>
      </c>
      <c r="I89" s="4">
        <f t="shared" si="8"/>
        <v>0.94204761904761813</v>
      </c>
      <c r="J89" s="4">
        <f t="shared" si="9"/>
        <v>3.8745387453874485</v>
      </c>
    </row>
    <row r="90" spans="1:10" x14ac:dyDescent="0.2">
      <c r="A90" t="s">
        <v>0</v>
      </c>
      <c r="B90" s="1">
        <v>0.625</v>
      </c>
      <c r="C90" s="2">
        <v>9.375E-2</v>
      </c>
      <c r="D90" s="3">
        <v>200.8</v>
      </c>
      <c r="E90" s="3">
        <f t="shared" si="5"/>
        <v>3.8000000000000114</v>
      </c>
      <c r="F90" s="4">
        <v>8.7346153846153829</v>
      </c>
      <c r="G90" s="12">
        <f t="shared" si="6"/>
        <v>0.93461538461538307</v>
      </c>
      <c r="H90" s="4">
        <f t="shared" si="7"/>
        <v>3.75</v>
      </c>
      <c r="I90" s="4">
        <f t="shared" si="8"/>
        <v>0.94864102564102382</v>
      </c>
      <c r="J90" s="4">
        <f t="shared" si="9"/>
        <v>3.9530232180987723</v>
      </c>
    </row>
    <row r="91" spans="1:10" x14ac:dyDescent="0.2">
      <c r="A91" t="s">
        <v>0</v>
      </c>
      <c r="B91" s="1">
        <v>0.62569444444444444</v>
      </c>
      <c r="C91" s="2">
        <v>9.4444444444444442E-2</v>
      </c>
      <c r="D91" s="3">
        <v>200.6</v>
      </c>
      <c r="E91" s="3">
        <f t="shared" si="5"/>
        <v>3.5999999999999943</v>
      </c>
      <c r="F91" s="4">
        <v>8.6813333333333329</v>
      </c>
      <c r="G91" s="12">
        <f t="shared" si="6"/>
        <v>0.88133333333333308</v>
      </c>
      <c r="H91" s="4">
        <f t="shared" si="7"/>
        <v>3.7000000000000028</v>
      </c>
      <c r="I91" s="4">
        <f t="shared" si="8"/>
        <v>0.90797435897435808</v>
      </c>
      <c r="J91" s="4">
        <f t="shared" si="9"/>
        <v>4.0750049419671921</v>
      </c>
    </row>
    <row r="92" spans="1:10" x14ac:dyDescent="0.2">
      <c r="A92" t="s">
        <v>0</v>
      </c>
      <c r="B92" s="1">
        <v>0.62638888888888888</v>
      </c>
      <c r="C92" s="2">
        <v>9.5138888888888884E-2</v>
      </c>
      <c r="D92" s="3">
        <v>200.6</v>
      </c>
      <c r="E92" s="3">
        <f t="shared" si="5"/>
        <v>3.5999999999999943</v>
      </c>
      <c r="F92" s="4">
        <v>8.6786666666666665</v>
      </c>
      <c r="G92" s="12">
        <f t="shared" si="6"/>
        <v>0.87866666666666671</v>
      </c>
      <c r="H92" s="4">
        <f t="shared" si="7"/>
        <v>3.5999999999999943</v>
      </c>
      <c r="I92" s="4">
        <f t="shared" si="8"/>
        <v>0.87999999999999989</v>
      </c>
      <c r="J92" s="4">
        <f t="shared" si="9"/>
        <v>4.0909090909090846</v>
      </c>
    </row>
    <row r="93" spans="1:10" x14ac:dyDescent="0.2">
      <c r="A93" t="s">
        <v>0</v>
      </c>
      <c r="B93" s="1">
        <v>0.62708333333333333</v>
      </c>
      <c r="C93" s="2">
        <v>9.583333333333334E-2</v>
      </c>
      <c r="D93" s="3">
        <v>200.3</v>
      </c>
      <c r="E93" s="3">
        <f t="shared" si="5"/>
        <v>3.3000000000000114</v>
      </c>
      <c r="F93" s="4">
        <v>8.6407142857142851</v>
      </c>
      <c r="G93" s="12">
        <f t="shared" si="6"/>
        <v>0.8407142857142853</v>
      </c>
      <c r="H93" s="4">
        <f t="shared" si="7"/>
        <v>3.4500000000000028</v>
      </c>
      <c r="I93" s="4">
        <f t="shared" si="8"/>
        <v>0.85969047619047601</v>
      </c>
      <c r="J93" s="4">
        <f t="shared" si="9"/>
        <v>4.013072257457007</v>
      </c>
    </row>
    <row r="94" spans="1:10" x14ac:dyDescent="0.2">
      <c r="A94" t="s">
        <v>0</v>
      </c>
      <c r="B94" s="1">
        <v>0.62777777777777777</v>
      </c>
      <c r="C94" s="2">
        <v>9.6527777777777782E-2</v>
      </c>
      <c r="D94" s="3">
        <v>200.5</v>
      </c>
      <c r="E94" s="3">
        <f t="shared" si="5"/>
        <v>3.5</v>
      </c>
      <c r="F94" s="4">
        <v>8.6599999999999984</v>
      </c>
      <c r="G94" s="12">
        <f t="shared" si="6"/>
        <v>0.85999999999999854</v>
      </c>
      <c r="H94" s="4">
        <f t="shared" si="7"/>
        <v>3.4000000000000057</v>
      </c>
      <c r="I94" s="4">
        <f t="shared" si="8"/>
        <v>0.85035714285714192</v>
      </c>
      <c r="J94" s="4">
        <f t="shared" si="9"/>
        <v>3.998320033599339</v>
      </c>
    </row>
    <row r="95" spans="1:10" x14ac:dyDescent="0.2">
      <c r="A95" t="s">
        <v>0</v>
      </c>
      <c r="B95" s="1">
        <v>0.62847222222222221</v>
      </c>
      <c r="C95" s="2">
        <v>9.7222222222222224E-2</v>
      </c>
      <c r="D95" s="3">
        <v>200.6</v>
      </c>
      <c r="E95" s="3">
        <f t="shared" si="5"/>
        <v>3.5999999999999943</v>
      </c>
      <c r="F95" s="4">
        <v>8.5892307692307686</v>
      </c>
      <c r="G95" s="12">
        <f t="shared" si="6"/>
        <v>0.78923076923076874</v>
      </c>
      <c r="H95" s="4">
        <f t="shared" si="7"/>
        <v>3.5499999999999972</v>
      </c>
      <c r="I95" s="4">
        <f t="shared" si="8"/>
        <v>0.82461538461538364</v>
      </c>
      <c r="J95" s="4">
        <f t="shared" si="9"/>
        <v>4.3050373134328375</v>
      </c>
    </row>
    <row r="96" spans="1:10" x14ac:dyDescent="0.2">
      <c r="A96" t="s">
        <v>0</v>
      </c>
      <c r="B96" s="1">
        <v>0.62916666666666665</v>
      </c>
      <c r="C96" s="2">
        <v>9.7916666666666666E-2</v>
      </c>
      <c r="D96" s="3">
        <v>200.3</v>
      </c>
      <c r="E96" s="3">
        <f t="shared" si="5"/>
        <v>3.3000000000000114</v>
      </c>
      <c r="F96" s="4">
        <v>8.620000000000001</v>
      </c>
      <c r="G96" s="12">
        <f t="shared" si="6"/>
        <v>0.82000000000000117</v>
      </c>
      <c r="H96" s="4">
        <f t="shared" si="7"/>
        <v>3.4500000000000028</v>
      </c>
      <c r="I96" s="4">
        <f t="shared" si="8"/>
        <v>0.80461538461538495</v>
      </c>
      <c r="J96" s="4">
        <f t="shared" si="9"/>
        <v>4.2877629063097533</v>
      </c>
    </row>
    <row r="97" spans="1:10" x14ac:dyDescent="0.2">
      <c r="A97" t="s">
        <v>0</v>
      </c>
      <c r="B97" s="1">
        <v>0.62986111111111109</v>
      </c>
      <c r="C97" s="2">
        <v>9.8611111111111108E-2</v>
      </c>
      <c r="D97" s="3">
        <v>200.7</v>
      </c>
      <c r="E97" s="3">
        <f t="shared" si="5"/>
        <v>3.6999999999999886</v>
      </c>
      <c r="F97" s="4">
        <v>8.6219999999999981</v>
      </c>
      <c r="G97" s="12">
        <f t="shared" si="6"/>
        <v>0.82199999999999829</v>
      </c>
      <c r="H97" s="4">
        <f t="shared" si="7"/>
        <v>3.5</v>
      </c>
      <c r="I97" s="4">
        <f t="shared" si="8"/>
        <v>0.82099999999999973</v>
      </c>
      <c r="J97" s="4">
        <f t="shared" si="9"/>
        <v>4.2630937880633386</v>
      </c>
    </row>
    <row r="98" spans="1:10" x14ac:dyDescent="0.2">
      <c r="A98" t="s">
        <v>0</v>
      </c>
      <c r="B98" s="1">
        <v>0.63055555555555554</v>
      </c>
      <c r="C98" s="2">
        <v>9.930555555555555E-2</v>
      </c>
      <c r="D98" s="3">
        <v>200.2</v>
      </c>
      <c r="E98" s="3">
        <f t="shared" si="5"/>
        <v>3.1999999999999886</v>
      </c>
      <c r="F98" s="4">
        <v>8.5642857142857149</v>
      </c>
      <c r="G98" s="12">
        <f t="shared" si="6"/>
        <v>0.76428571428571512</v>
      </c>
      <c r="H98" s="4">
        <f t="shared" si="7"/>
        <v>3.4499999999999886</v>
      </c>
      <c r="I98" s="4">
        <f t="shared" si="8"/>
        <v>0.79314285714285671</v>
      </c>
      <c r="J98" s="4">
        <f t="shared" si="9"/>
        <v>4.3497838616714581</v>
      </c>
    </row>
    <row r="99" spans="1:10" x14ac:dyDescent="0.2">
      <c r="A99" t="s">
        <v>0</v>
      </c>
      <c r="B99" s="1">
        <v>0.63124999999999998</v>
      </c>
      <c r="C99" s="2">
        <v>0.1</v>
      </c>
      <c r="D99" s="3">
        <v>200</v>
      </c>
      <c r="E99" s="3">
        <f t="shared" si="5"/>
        <v>3</v>
      </c>
      <c r="F99" s="4">
        <v>8.5506666666666682</v>
      </c>
      <c r="G99" s="12">
        <f t="shared" si="6"/>
        <v>0.75066666666666837</v>
      </c>
      <c r="H99" s="4">
        <f t="shared" si="7"/>
        <v>3.0999999999999943</v>
      </c>
      <c r="I99" s="4">
        <f t="shared" si="8"/>
        <v>0.75747619047619175</v>
      </c>
      <c r="J99" s="4">
        <f t="shared" si="9"/>
        <v>4.0925378764065989</v>
      </c>
    </row>
    <row r="100" spans="1:10" x14ac:dyDescent="0.2">
      <c r="A100" t="s">
        <v>0</v>
      </c>
      <c r="B100" s="1">
        <v>0.63194444444444442</v>
      </c>
      <c r="C100" s="2">
        <v>0.10069444444444445</v>
      </c>
      <c r="D100" s="3">
        <v>200.2</v>
      </c>
      <c r="E100" s="3">
        <f t="shared" si="5"/>
        <v>3.1999999999999886</v>
      </c>
      <c r="F100" s="4">
        <v>8.5469230769230755</v>
      </c>
      <c r="G100" s="12">
        <f t="shared" si="6"/>
        <v>0.74692307692307569</v>
      </c>
      <c r="H100" s="4">
        <f t="shared" si="7"/>
        <v>3.0999999999999943</v>
      </c>
      <c r="I100" s="4">
        <f t="shared" si="8"/>
        <v>0.74879487179487203</v>
      </c>
      <c r="J100" s="4">
        <f t="shared" si="9"/>
        <v>4.1399856179159586</v>
      </c>
    </row>
    <row r="101" spans="1:10" x14ac:dyDescent="0.2">
      <c r="A101" t="s">
        <v>0</v>
      </c>
      <c r="B101" s="1">
        <v>0.63263888888888886</v>
      </c>
      <c r="C101" s="2">
        <v>0.10138888888888889</v>
      </c>
      <c r="D101" s="3">
        <v>200.2</v>
      </c>
      <c r="E101" s="3">
        <f t="shared" si="5"/>
        <v>3.1999999999999886</v>
      </c>
      <c r="F101" s="4">
        <v>8.5553333333333317</v>
      </c>
      <c r="G101" s="12">
        <f t="shared" si="6"/>
        <v>0.75533333333333186</v>
      </c>
      <c r="H101" s="4">
        <f t="shared" si="7"/>
        <v>3.1999999999999886</v>
      </c>
      <c r="I101" s="4">
        <f t="shared" si="8"/>
        <v>0.75112820512820377</v>
      </c>
      <c r="J101" s="4">
        <f t="shared" si="9"/>
        <v>4.2602580733255886</v>
      </c>
    </row>
    <row r="102" spans="1:10" x14ac:dyDescent="0.2">
      <c r="A102" t="s">
        <v>0</v>
      </c>
      <c r="B102" s="1">
        <v>0.6333333333333333</v>
      </c>
      <c r="C102" s="2">
        <v>0.10208333333333333</v>
      </c>
      <c r="D102" s="3">
        <v>200.1</v>
      </c>
      <c r="E102" s="3">
        <f t="shared" si="5"/>
        <v>3.0999999999999943</v>
      </c>
      <c r="F102" s="4">
        <v>8.4906666666666677</v>
      </c>
      <c r="G102" s="12">
        <f t="shared" si="6"/>
        <v>0.69066666666666787</v>
      </c>
      <c r="H102" s="4">
        <f t="shared" si="7"/>
        <v>3.1499999999999915</v>
      </c>
      <c r="I102" s="4">
        <f t="shared" si="8"/>
        <v>0.72299999999999986</v>
      </c>
      <c r="J102" s="4">
        <f t="shared" si="9"/>
        <v>4.3568464730290346</v>
      </c>
    </row>
    <row r="103" spans="1:10" x14ac:dyDescent="0.2">
      <c r="A103" t="s">
        <v>0</v>
      </c>
      <c r="B103" s="1">
        <v>0.63402777777777775</v>
      </c>
      <c r="C103" s="2">
        <v>0.10277777777777777</v>
      </c>
      <c r="D103" s="3">
        <v>199.9</v>
      </c>
      <c r="E103" s="3">
        <f t="shared" si="5"/>
        <v>2.9000000000000057</v>
      </c>
      <c r="F103" s="4">
        <v>8.4742857142857151</v>
      </c>
      <c r="G103" s="12">
        <f t="shared" si="6"/>
        <v>0.67428571428571527</v>
      </c>
      <c r="H103" s="4">
        <f t="shared" si="7"/>
        <v>3</v>
      </c>
      <c r="I103" s="4">
        <f t="shared" si="8"/>
        <v>0.68247619047619157</v>
      </c>
      <c r="J103" s="4">
        <f t="shared" si="9"/>
        <v>4.3957577449064962</v>
      </c>
    </row>
    <row r="104" spans="1:10" x14ac:dyDescent="0.2">
      <c r="A104" t="s">
        <v>0</v>
      </c>
      <c r="B104" s="1">
        <v>0.63472222222222219</v>
      </c>
      <c r="C104" s="2">
        <v>0.10347222222222222</v>
      </c>
      <c r="D104" s="3">
        <v>199.7</v>
      </c>
      <c r="E104" s="3">
        <f t="shared" si="5"/>
        <v>2.6999999999999886</v>
      </c>
      <c r="F104" s="4">
        <v>8.4621428571428581</v>
      </c>
      <c r="G104" s="12">
        <f t="shared" si="6"/>
        <v>0.66214285714285825</v>
      </c>
      <c r="H104" s="4">
        <f t="shared" si="7"/>
        <v>2.7999999999999972</v>
      </c>
      <c r="I104" s="4">
        <f t="shared" si="8"/>
        <v>0.66821428571428676</v>
      </c>
      <c r="J104" s="4">
        <f t="shared" si="9"/>
        <v>4.1902725815072044</v>
      </c>
    </row>
    <row r="105" spans="1:10" x14ac:dyDescent="0.2">
      <c r="A105" t="s">
        <v>0</v>
      </c>
      <c r="B105" s="1">
        <v>0.63541666666666663</v>
      </c>
      <c r="C105" s="2">
        <v>0.10416666666666667</v>
      </c>
      <c r="D105" s="3">
        <v>199.8</v>
      </c>
      <c r="E105" s="3">
        <f t="shared" si="5"/>
        <v>2.8000000000000114</v>
      </c>
      <c r="F105" s="4">
        <v>8.4880000000000013</v>
      </c>
      <c r="G105" s="12">
        <f t="shared" si="6"/>
        <v>0.6880000000000015</v>
      </c>
      <c r="H105" s="4">
        <f t="shared" si="7"/>
        <v>2.75</v>
      </c>
      <c r="I105" s="4">
        <f t="shared" si="8"/>
        <v>0.67507142857142988</v>
      </c>
      <c r="J105" s="4">
        <f t="shared" si="9"/>
        <v>4.0736430007406543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2024-10-14T20:38:14Z</dcterms:created>
  <dcterms:modified xsi:type="dcterms:W3CDTF">2024-10-18T17:17:55Z</dcterms:modified>
</cp:coreProperties>
</file>