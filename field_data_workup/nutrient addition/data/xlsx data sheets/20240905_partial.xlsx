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nutrient addition/data/"/>
    </mc:Choice>
  </mc:AlternateContent>
  <xr:revisionPtr revIDLastSave="0" documentId="13_ncr:1_{AC41A5C0-CDC2-2B4F-AA25-887C1B0E2578}" xr6:coauthVersionLast="47" xr6:coauthVersionMax="47" xr10:uidLastSave="{00000000-0000-0000-0000-000000000000}"/>
  <bookViews>
    <workbookView xWindow="0" yWindow="1580" windowWidth="24640" windowHeight="13900" activeTab="1" xr2:uid="{DDC3241F-3024-CC4C-8766-BF93E63A30ED}"/>
  </bookViews>
  <sheets>
    <sheet name="20240905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N1" i="1"/>
  <c r="B226" i="1"/>
  <c r="C226" i="1" s="1"/>
  <c r="D226" i="1" s="1"/>
  <c r="B225" i="1"/>
  <c r="C225" i="1" s="1"/>
  <c r="D225" i="1" s="1"/>
  <c r="B224" i="1"/>
  <c r="C224" i="1" s="1"/>
  <c r="D224" i="1" s="1"/>
  <c r="C223" i="1"/>
  <c r="D223" i="1" s="1"/>
  <c r="B223" i="1"/>
  <c r="B222" i="1"/>
  <c r="C222" i="1" s="1"/>
  <c r="D222" i="1" s="1"/>
  <c r="B221" i="1"/>
  <c r="C221" i="1" s="1"/>
  <c r="D221" i="1" s="1"/>
  <c r="D220" i="1"/>
  <c r="B220" i="1"/>
  <c r="C220" i="1" s="1"/>
  <c r="D219" i="1"/>
  <c r="C219" i="1"/>
  <c r="B219" i="1"/>
  <c r="B218" i="1"/>
  <c r="C218" i="1" s="1"/>
  <c r="D218" i="1" s="1"/>
  <c r="B217" i="1"/>
  <c r="C217" i="1" s="1"/>
  <c r="D217" i="1" s="1"/>
  <c r="D216" i="1"/>
  <c r="B216" i="1"/>
  <c r="C216" i="1" s="1"/>
  <c r="D215" i="1"/>
  <c r="B215" i="1"/>
  <c r="C215" i="1" s="1"/>
  <c r="B214" i="1"/>
  <c r="C214" i="1" s="1"/>
  <c r="D214" i="1" s="1"/>
  <c r="B213" i="1"/>
  <c r="C213" i="1" s="1"/>
  <c r="D213" i="1" s="1"/>
  <c r="D212" i="1"/>
  <c r="B212" i="1"/>
  <c r="C212" i="1" s="1"/>
  <c r="D211" i="1"/>
  <c r="B211" i="1"/>
  <c r="C211" i="1" s="1"/>
  <c r="B210" i="1"/>
  <c r="C210" i="1" s="1"/>
  <c r="D210" i="1" s="1"/>
  <c r="B209" i="1"/>
  <c r="C209" i="1" s="1"/>
  <c r="D209" i="1" s="1"/>
  <c r="D208" i="1"/>
  <c r="B208" i="1"/>
  <c r="C208" i="1" s="1"/>
  <c r="D207" i="1"/>
  <c r="B207" i="1"/>
  <c r="C207" i="1" s="1"/>
  <c r="B206" i="1"/>
  <c r="C206" i="1" s="1"/>
  <c r="D206" i="1" s="1"/>
  <c r="B205" i="1"/>
  <c r="C205" i="1" s="1"/>
  <c r="D205" i="1" s="1"/>
  <c r="D204" i="1"/>
  <c r="B204" i="1"/>
  <c r="C204" i="1" s="1"/>
  <c r="D203" i="1"/>
  <c r="B203" i="1"/>
  <c r="C203" i="1" s="1"/>
  <c r="B202" i="1"/>
  <c r="C202" i="1" s="1"/>
  <c r="D202" i="1" s="1"/>
  <c r="B201" i="1"/>
  <c r="C201" i="1" s="1"/>
  <c r="D201" i="1" s="1"/>
  <c r="D200" i="1"/>
  <c r="B200" i="1"/>
  <c r="C200" i="1" s="1"/>
  <c r="B199" i="1"/>
  <c r="C199" i="1" s="1"/>
  <c r="D199" i="1" s="1"/>
  <c r="D198" i="1"/>
  <c r="B198" i="1"/>
  <c r="C198" i="1" s="1"/>
  <c r="B197" i="1"/>
  <c r="C197" i="1" s="1"/>
  <c r="D197" i="1" s="1"/>
  <c r="D196" i="1"/>
  <c r="B196" i="1"/>
  <c r="C196" i="1" s="1"/>
  <c r="B195" i="1"/>
  <c r="C195" i="1" s="1"/>
  <c r="D195" i="1" s="1"/>
  <c r="D194" i="1"/>
  <c r="B194" i="1"/>
  <c r="C194" i="1" s="1"/>
  <c r="B193" i="1"/>
  <c r="C193" i="1" s="1"/>
  <c r="D193" i="1" s="1"/>
  <c r="D192" i="1"/>
  <c r="B192" i="1"/>
  <c r="C192" i="1" s="1"/>
  <c r="B191" i="1"/>
  <c r="C191" i="1" s="1"/>
  <c r="D191" i="1" s="1"/>
  <c r="D190" i="1"/>
  <c r="B190" i="1"/>
  <c r="C190" i="1" s="1"/>
  <c r="B189" i="1"/>
  <c r="C189" i="1" s="1"/>
  <c r="D189" i="1" s="1"/>
  <c r="D188" i="1"/>
  <c r="B188" i="1"/>
  <c r="C188" i="1" s="1"/>
  <c r="B187" i="1"/>
  <c r="C187" i="1" s="1"/>
  <c r="D187" i="1" s="1"/>
  <c r="D186" i="1"/>
  <c r="B186" i="1"/>
  <c r="C186" i="1" s="1"/>
  <c r="B185" i="1"/>
  <c r="C185" i="1" s="1"/>
  <c r="D185" i="1" s="1"/>
  <c r="D184" i="1"/>
  <c r="B184" i="1"/>
  <c r="C184" i="1" s="1"/>
  <c r="B183" i="1"/>
  <c r="C183" i="1" s="1"/>
  <c r="D183" i="1" s="1"/>
  <c r="D182" i="1"/>
  <c r="B182" i="1"/>
  <c r="C182" i="1" s="1"/>
  <c r="B181" i="1"/>
  <c r="C181" i="1" s="1"/>
  <c r="D181" i="1" s="1"/>
  <c r="D180" i="1"/>
  <c r="B180" i="1"/>
  <c r="C180" i="1" s="1"/>
  <c r="B179" i="1"/>
  <c r="C179" i="1" s="1"/>
  <c r="D179" i="1" s="1"/>
  <c r="D178" i="1"/>
  <c r="B178" i="1"/>
  <c r="C178" i="1" s="1"/>
  <c r="C177" i="1"/>
  <c r="D177" i="1" s="1"/>
  <c r="B177" i="1"/>
  <c r="C176" i="1"/>
  <c r="D176" i="1" s="1"/>
  <c r="B176" i="1"/>
  <c r="C175" i="1"/>
  <c r="D175" i="1" s="1"/>
  <c r="B175" i="1"/>
  <c r="C174" i="1"/>
  <c r="D174" i="1" s="1"/>
  <c r="B174" i="1"/>
  <c r="C173" i="1"/>
  <c r="D173" i="1" s="1"/>
  <c r="B173" i="1"/>
  <c r="C172" i="1"/>
  <c r="D172" i="1" s="1"/>
  <c r="B172" i="1"/>
  <c r="C171" i="1"/>
  <c r="D171" i="1" s="1"/>
  <c r="B171" i="1"/>
  <c r="C170" i="1"/>
  <c r="D170" i="1" s="1"/>
  <c r="B170" i="1"/>
  <c r="C169" i="1"/>
  <c r="D169" i="1" s="1"/>
  <c r="B169" i="1"/>
  <c r="C168" i="1"/>
  <c r="D168" i="1" s="1"/>
  <c r="B168" i="1"/>
  <c r="C167" i="1"/>
  <c r="D167" i="1" s="1"/>
  <c r="B167" i="1"/>
  <c r="C166" i="1"/>
  <c r="D166" i="1" s="1"/>
  <c r="B166" i="1"/>
  <c r="C165" i="1"/>
  <c r="D165" i="1" s="1"/>
  <c r="B165" i="1"/>
  <c r="C164" i="1"/>
  <c r="D164" i="1" s="1"/>
  <c r="B164" i="1"/>
  <c r="C163" i="1"/>
  <c r="D163" i="1" s="1"/>
  <c r="B163" i="1"/>
  <c r="C162" i="1"/>
  <c r="D162" i="1" s="1"/>
  <c r="B162" i="1"/>
  <c r="C161" i="1"/>
  <c r="D161" i="1" s="1"/>
  <c r="B161" i="1"/>
  <c r="B160" i="1"/>
  <c r="C160" i="1" s="1"/>
  <c r="D160" i="1" s="1"/>
  <c r="B159" i="1"/>
  <c r="C159" i="1" s="1"/>
  <c r="D159" i="1" s="1"/>
  <c r="B158" i="1"/>
  <c r="C158" i="1" s="1"/>
  <c r="D158" i="1" s="1"/>
  <c r="B157" i="1"/>
  <c r="C157" i="1" s="1"/>
  <c r="D157" i="1" s="1"/>
  <c r="B156" i="1"/>
  <c r="C156" i="1" s="1"/>
  <c r="D156" i="1" s="1"/>
  <c r="B155" i="1"/>
  <c r="C155" i="1" s="1"/>
  <c r="D155" i="1" s="1"/>
  <c r="B154" i="1"/>
  <c r="C154" i="1" s="1"/>
  <c r="D154" i="1" s="1"/>
  <c r="B153" i="1"/>
  <c r="C153" i="1" s="1"/>
  <c r="D153" i="1" s="1"/>
  <c r="B152" i="1"/>
  <c r="C152" i="1" s="1"/>
  <c r="D152" i="1" s="1"/>
  <c r="B151" i="1"/>
  <c r="C151" i="1" s="1"/>
  <c r="D151" i="1" s="1"/>
  <c r="B150" i="1"/>
  <c r="C150" i="1" s="1"/>
  <c r="D150" i="1" s="1"/>
  <c r="B149" i="1"/>
  <c r="C149" i="1" s="1"/>
  <c r="D149" i="1" s="1"/>
  <c r="D148" i="1"/>
  <c r="B148" i="1"/>
  <c r="C148" i="1" s="1"/>
  <c r="D147" i="1"/>
  <c r="B147" i="1"/>
  <c r="C147" i="1" s="1"/>
  <c r="D146" i="1"/>
  <c r="B146" i="1"/>
  <c r="C146" i="1" s="1"/>
  <c r="D145" i="1"/>
  <c r="B145" i="1"/>
  <c r="C145" i="1" s="1"/>
  <c r="D144" i="1"/>
  <c r="B144" i="1"/>
  <c r="C144" i="1" s="1"/>
  <c r="D143" i="1"/>
  <c r="B143" i="1"/>
  <c r="C143" i="1" s="1"/>
  <c r="D142" i="1"/>
  <c r="B142" i="1"/>
  <c r="C142" i="1" s="1"/>
  <c r="D141" i="1"/>
  <c r="B141" i="1"/>
  <c r="C141" i="1" s="1"/>
  <c r="D140" i="1"/>
  <c r="B140" i="1"/>
  <c r="C140" i="1" s="1"/>
  <c r="D139" i="1"/>
  <c r="B139" i="1"/>
  <c r="C139" i="1" s="1"/>
  <c r="D138" i="1"/>
  <c r="B138" i="1"/>
  <c r="C138" i="1" s="1"/>
  <c r="D137" i="1"/>
  <c r="B137" i="1"/>
  <c r="C137" i="1" s="1"/>
  <c r="F136" i="1"/>
  <c r="C136" i="1"/>
  <c r="D136" i="1" s="1"/>
  <c r="B136" i="1"/>
  <c r="F135" i="1"/>
  <c r="C135" i="1"/>
  <c r="D135" i="1" s="1"/>
  <c r="B135" i="1"/>
  <c r="F134" i="1"/>
  <c r="C134" i="1"/>
  <c r="D134" i="1" s="1"/>
  <c r="B134" i="1"/>
  <c r="F133" i="1"/>
  <c r="I133" i="1" s="1"/>
  <c r="C133" i="1"/>
  <c r="D133" i="1" s="1"/>
  <c r="B133" i="1"/>
  <c r="F132" i="1"/>
  <c r="C132" i="1"/>
  <c r="D132" i="1" s="1"/>
  <c r="B132" i="1"/>
  <c r="F131" i="1"/>
  <c r="C131" i="1"/>
  <c r="D131" i="1" s="1"/>
  <c r="B131" i="1"/>
  <c r="F130" i="1"/>
  <c r="C130" i="1"/>
  <c r="D130" i="1" s="1"/>
  <c r="B130" i="1"/>
  <c r="F129" i="1"/>
  <c r="C129" i="1"/>
  <c r="D129" i="1" s="1"/>
  <c r="B129" i="1"/>
  <c r="F128" i="1"/>
  <c r="C128" i="1"/>
  <c r="D128" i="1" s="1"/>
  <c r="B128" i="1"/>
  <c r="F127" i="1"/>
  <c r="C127" i="1"/>
  <c r="D127" i="1" s="1"/>
  <c r="B127" i="1"/>
  <c r="F126" i="1"/>
  <c r="C126" i="1"/>
  <c r="D126" i="1" s="1"/>
  <c r="B126" i="1"/>
  <c r="B125" i="1"/>
  <c r="C125" i="1" s="1"/>
  <c r="D125" i="1" s="1"/>
  <c r="C124" i="1"/>
  <c r="D124" i="1" s="1"/>
  <c r="B124" i="1"/>
  <c r="B123" i="1"/>
  <c r="C123" i="1" s="1"/>
  <c r="D123" i="1" s="1"/>
  <c r="C122" i="1"/>
  <c r="D122" i="1" s="1"/>
  <c r="B122" i="1"/>
  <c r="B121" i="1"/>
  <c r="C121" i="1" s="1"/>
  <c r="D121" i="1" s="1"/>
  <c r="C120" i="1"/>
  <c r="D120" i="1" s="1"/>
  <c r="B120" i="1"/>
  <c r="D119" i="1"/>
  <c r="B119" i="1"/>
  <c r="C119" i="1" s="1"/>
  <c r="C118" i="1"/>
  <c r="D118" i="1" s="1"/>
  <c r="B118" i="1"/>
  <c r="B117" i="1"/>
  <c r="C117" i="1" s="1"/>
  <c r="D117" i="1" s="1"/>
  <c r="C116" i="1"/>
  <c r="D116" i="1" s="1"/>
  <c r="B116" i="1"/>
  <c r="B115" i="1"/>
  <c r="C115" i="1" s="1"/>
  <c r="D115" i="1" s="1"/>
  <c r="C114" i="1"/>
  <c r="D114" i="1" s="1"/>
  <c r="B114" i="1"/>
  <c r="B113" i="1"/>
  <c r="C113" i="1" s="1"/>
  <c r="D113" i="1" s="1"/>
  <c r="C112" i="1"/>
  <c r="D112" i="1" s="1"/>
  <c r="B112" i="1"/>
  <c r="B111" i="1"/>
  <c r="C111" i="1" s="1"/>
  <c r="D111" i="1" s="1"/>
  <c r="C110" i="1"/>
  <c r="D110" i="1" s="1"/>
  <c r="B110" i="1"/>
  <c r="B109" i="1"/>
  <c r="C109" i="1" s="1"/>
  <c r="D109" i="1" s="1"/>
  <c r="C108" i="1"/>
  <c r="D108" i="1" s="1"/>
  <c r="B108" i="1"/>
  <c r="B107" i="1"/>
  <c r="C107" i="1" s="1"/>
  <c r="D107" i="1" s="1"/>
  <c r="C106" i="1"/>
  <c r="D106" i="1" s="1"/>
  <c r="B106" i="1"/>
  <c r="B105" i="1"/>
  <c r="C105" i="1" s="1"/>
  <c r="D105" i="1" s="1"/>
  <c r="C104" i="1"/>
  <c r="D104" i="1" s="1"/>
  <c r="B104" i="1"/>
  <c r="D103" i="1"/>
  <c r="B103" i="1"/>
  <c r="C103" i="1" s="1"/>
  <c r="C102" i="1"/>
  <c r="D102" i="1" s="1"/>
  <c r="B102" i="1"/>
  <c r="B101" i="1"/>
  <c r="C101" i="1" s="1"/>
  <c r="D101" i="1" s="1"/>
  <c r="C100" i="1"/>
  <c r="D100" i="1" s="1"/>
  <c r="B100" i="1"/>
  <c r="B99" i="1"/>
  <c r="C99" i="1" s="1"/>
  <c r="D99" i="1" s="1"/>
  <c r="C98" i="1"/>
  <c r="D98" i="1" s="1"/>
  <c r="B98" i="1"/>
  <c r="B97" i="1"/>
  <c r="C97" i="1" s="1"/>
  <c r="D97" i="1" s="1"/>
  <c r="C96" i="1"/>
  <c r="D96" i="1" s="1"/>
  <c r="B96" i="1"/>
  <c r="B95" i="1"/>
  <c r="C95" i="1" s="1"/>
  <c r="D95" i="1" s="1"/>
  <c r="C94" i="1"/>
  <c r="D94" i="1" s="1"/>
  <c r="B94" i="1"/>
  <c r="B93" i="1"/>
  <c r="C93" i="1" s="1"/>
  <c r="D93" i="1" s="1"/>
  <c r="C92" i="1"/>
  <c r="D92" i="1" s="1"/>
  <c r="B92" i="1"/>
  <c r="B91" i="1"/>
  <c r="C91" i="1" s="1"/>
  <c r="D91" i="1" s="1"/>
  <c r="C90" i="1"/>
  <c r="D90" i="1" s="1"/>
  <c r="B90" i="1"/>
  <c r="B89" i="1"/>
  <c r="C89" i="1" s="1"/>
  <c r="D89" i="1" s="1"/>
  <c r="C88" i="1"/>
  <c r="D88" i="1" s="1"/>
  <c r="B88" i="1"/>
  <c r="D87" i="1"/>
  <c r="B87" i="1"/>
  <c r="C87" i="1" s="1"/>
  <c r="C86" i="1"/>
  <c r="D86" i="1" s="1"/>
  <c r="B86" i="1"/>
  <c r="B85" i="1"/>
  <c r="C85" i="1" s="1"/>
  <c r="D85" i="1" s="1"/>
  <c r="C84" i="1"/>
  <c r="D84" i="1" s="1"/>
  <c r="B84" i="1"/>
  <c r="B83" i="1"/>
  <c r="C83" i="1" s="1"/>
  <c r="D83" i="1" s="1"/>
  <c r="C82" i="1"/>
  <c r="D82" i="1" s="1"/>
  <c r="B82" i="1"/>
  <c r="B81" i="1"/>
  <c r="C81" i="1" s="1"/>
  <c r="D81" i="1" s="1"/>
  <c r="C80" i="1"/>
  <c r="D80" i="1" s="1"/>
  <c r="B80" i="1"/>
  <c r="B79" i="1"/>
  <c r="C79" i="1" s="1"/>
  <c r="D79" i="1" s="1"/>
  <c r="C78" i="1"/>
  <c r="D78" i="1" s="1"/>
  <c r="B78" i="1"/>
  <c r="B77" i="1"/>
  <c r="C77" i="1" s="1"/>
  <c r="D77" i="1" s="1"/>
  <c r="C76" i="1"/>
  <c r="D76" i="1" s="1"/>
  <c r="B76" i="1"/>
  <c r="B75" i="1"/>
  <c r="C75" i="1" s="1"/>
  <c r="D75" i="1" s="1"/>
  <c r="C74" i="1"/>
  <c r="D74" i="1" s="1"/>
  <c r="B74" i="1"/>
  <c r="B73" i="1"/>
  <c r="C73" i="1" s="1"/>
  <c r="D73" i="1" s="1"/>
  <c r="C72" i="1"/>
  <c r="D72" i="1" s="1"/>
  <c r="B72" i="1"/>
  <c r="D71" i="1"/>
  <c r="B71" i="1"/>
  <c r="C71" i="1" s="1"/>
  <c r="C70" i="1"/>
  <c r="D70" i="1" s="1"/>
  <c r="B70" i="1"/>
  <c r="B69" i="1"/>
  <c r="C69" i="1" s="1"/>
  <c r="D69" i="1" s="1"/>
  <c r="C68" i="1"/>
  <c r="D68" i="1" s="1"/>
  <c r="B68" i="1"/>
  <c r="B67" i="1"/>
  <c r="C67" i="1" s="1"/>
  <c r="D67" i="1" s="1"/>
  <c r="C66" i="1"/>
  <c r="D66" i="1" s="1"/>
  <c r="B66" i="1"/>
  <c r="B65" i="1"/>
  <c r="C65" i="1" s="1"/>
  <c r="D65" i="1" s="1"/>
  <c r="C64" i="1"/>
  <c r="D64" i="1" s="1"/>
  <c r="B64" i="1"/>
  <c r="B63" i="1"/>
  <c r="C63" i="1" s="1"/>
  <c r="D63" i="1" s="1"/>
  <c r="C62" i="1"/>
  <c r="D62" i="1" s="1"/>
  <c r="B62" i="1"/>
  <c r="B61" i="1"/>
  <c r="C61" i="1" s="1"/>
  <c r="D61" i="1" s="1"/>
  <c r="C60" i="1"/>
  <c r="D60" i="1" s="1"/>
  <c r="B60" i="1"/>
  <c r="B59" i="1"/>
  <c r="C59" i="1" s="1"/>
  <c r="D59" i="1" s="1"/>
  <c r="C58" i="1"/>
  <c r="D58" i="1" s="1"/>
  <c r="B58" i="1"/>
  <c r="B57" i="1"/>
  <c r="C57" i="1" s="1"/>
  <c r="D57" i="1" s="1"/>
  <c r="C56" i="1"/>
  <c r="D56" i="1" s="1"/>
  <c r="B56" i="1"/>
  <c r="D55" i="1"/>
  <c r="B55" i="1"/>
  <c r="C55" i="1" s="1"/>
  <c r="C54" i="1"/>
  <c r="D54" i="1" s="1"/>
  <c r="B54" i="1"/>
  <c r="D53" i="1"/>
  <c r="B53" i="1"/>
  <c r="C53" i="1" s="1"/>
  <c r="C52" i="1"/>
  <c r="D52" i="1" s="1"/>
  <c r="B52" i="1"/>
  <c r="D51" i="1"/>
  <c r="B51" i="1"/>
  <c r="C51" i="1" s="1"/>
  <c r="C50" i="1"/>
  <c r="D50" i="1" s="1"/>
  <c r="B50" i="1"/>
  <c r="D49" i="1"/>
  <c r="B49" i="1"/>
  <c r="C49" i="1" s="1"/>
  <c r="C48" i="1"/>
  <c r="D48" i="1" s="1"/>
  <c r="B48" i="1"/>
  <c r="D47" i="1"/>
  <c r="B47" i="1"/>
  <c r="C47" i="1" s="1"/>
  <c r="C46" i="1"/>
  <c r="D46" i="1" s="1"/>
  <c r="B46" i="1"/>
  <c r="D45" i="1"/>
  <c r="B45" i="1"/>
  <c r="C45" i="1" s="1"/>
  <c r="C44" i="1"/>
  <c r="D44" i="1" s="1"/>
  <c r="B44" i="1"/>
  <c r="D43" i="1"/>
  <c r="B43" i="1"/>
  <c r="C43" i="1" s="1"/>
  <c r="C42" i="1"/>
  <c r="D42" i="1" s="1"/>
  <c r="B42" i="1"/>
  <c r="D41" i="1"/>
  <c r="B41" i="1"/>
  <c r="C41" i="1" s="1"/>
  <c r="C40" i="1"/>
  <c r="D40" i="1" s="1"/>
  <c r="B40" i="1"/>
  <c r="D39" i="1"/>
  <c r="B39" i="1"/>
  <c r="C39" i="1" s="1"/>
  <c r="C38" i="1"/>
  <c r="D38" i="1" s="1"/>
  <c r="B38" i="1"/>
  <c r="D37" i="1"/>
  <c r="B37" i="1"/>
  <c r="C37" i="1" s="1"/>
  <c r="C36" i="1"/>
  <c r="D36" i="1" s="1"/>
  <c r="B36" i="1"/>
  <c r="D35" i="1"/>
  <c r="B35" i="1"/>
  <c r="C35" i="1" s="1"/>
  <c r="C34" i="1"/>
  <c r="D34" i="1" s="1"/>
  <c r="B34" i="1"/>
  <c r="D33" i="1"/>
  <c r="B33" i="1"/>
  <c r="C33" i="1" s="1"/>
  <c r="C32" i="1"/>
  <c r="D32" i="1" s="1"/>
  <c r="B32" i="1"/>
  <c r="D31" i="1"/>
  <c r="B31" i="1"/>
  <c r="C31" i="1" s="1"/>
  <c r="C30" i="1"/>
  <c r="D30" i="1" s="1"/>
  <c r="B30" i="1"/>
  <c r="D29" i="1"/>
  <c r="B29" i="1"/>
  <c r="C29" i="1" s="1"/>
  <c r="C28" i="1"/>
  <c r="D28" i="1" s="1"/>
  <c r="B28" i="1"/>
  <c r="D27" i="1"/>
  <c r="B27" i="1"/>
  <c r="C27" i="1" s="1"/>
  <c r="C26" i="1"/>
  <c r="D26" i="1" s="1"/>
  <c r="B26" i="1"/>
  <c r="D25" i="1"/>
  <c r="B25" i="1"/>
  <c r="C25" i="1" s="1"/>
  <c r="C24" i="1"/>
  <c r="D24" i="1" s="1"/>
  <c r="B24" i="1"/>
  <c r="D23" i="1"/>
  <c r="B23" i="1"/>
  <c r="C23" i="1" s="1"/>
  <c r="C22" i="1"/>
  <c r="D22" i="1" s="1"/>
  <c r="B22" i="1"/>
  <c r="D21" i="1"/>
  <c r="B21" i="1"/>
  <c r="C21" i="1" s="1"/>
  <c r="C20" i="1"/>
  <c r="D20" i="1" s="1"/>
  <c r="B20" i="1"/>
  <c r="D19" i="1"/>
  <c r="B19" i="1"/>
  <c r="C19" i="1" s="1"/>
  <c r="C18" i="1"/>
  <c r="D18" i="1" s="1"/>
  <c r="B18" i="1"/>
  <c r="D17" i="1"/>
  <c r="B17" i="1"/>
  <c r="C17" i="1" s="1"/>
  <c r="C16" i="1"/>
  <c r="D16" i="1" s="1"/>
  <c r="B16" i="1"/>
  <c r="D15" i="1"/>
  <c r="B15" i="1"/>
  <c r="C15" i="1" s="1"/>
  <c r="C14" i="1"/>
  <c r="D14" i="1" s="1"/>
  <c r="B14" i="1"/>
  <c r="D13" i="1"/>
  <c r="B13" i="1"/>
  <c r="C13" i="1" s="1"/>
  <c r="C12" i="1"/>
  <c r="D12" i="1" s="1"/>
  <c r="B12" i="1"/>
  <c r="D11" i="1"/>
  <c r="B11" i="1"/>
  <c r="C11" i="1" s="1"/>
  <c r="B10" i="1"/>
  <c r="C10" i="1" s="1"/>
  <c r="D10" i="1" s="1"/>
  <c r="D9" i="1"/>
  <c r="B9" i="1"/>
  <c r="C9" i="1" s="1"/>
  <c r="N2" i="1"/>
  <c r="H187" i="1" s="1"/>
  <c r="H2" i="1"/>
  <c r="H1" i="1"/>
  <c r="H3" i="1" l="1"/>
  <c r="H125" i="1"/>
  <c r="H151" i="1"/>
  <c r="H159" i="1"/>
  <c r="I135" i="1"/>
  <c r="H153" i="1"/>
  <c r="H179" i="1"/>
  <c r="H157" i="1"/>
  <c r="H216" i="1"/>
  <c r="J216" i="1" s="1"/>
  <c r="H215" i="1"/>
  <c r="H214" i="1"/>
  <c r="J214" i="1" s="1"/>
  <c r="H213" i="1"/>
  <c r="H212" i="1"/>
  <c r="J212" i="1" s="1"/>
  <c r="H211" i="1"/>
  <c r="H210" i="1"/>
  <c r="J210" i="1" s="1"/>
  <c r="H209" i="1"/>
  <c r="H208" i="1"/>
  <c r="J208" i="1" s="1"/>
  <c r="H207" i="1"/>
  <c r="H206" i="1"/>
  <c r="J206" i="1" s="1"/>
  <c r="H205" i="1"/>
  <c r="H204" i="1"/>
  <c r="J204" i="1" s="1"/>
  <c r="H203" i="1"/>
  <c r="H202" i="1"/>
  <c r="J202" i="1" s="1"/>
  <c r="H201" i="1"/>
  <c r="H200" i="1"/>
  <c r="J200" i="1" s="1"/>
  <c r="H198" i="1"/>
  <c r="H196" i="1"/>
  <c r="H194" i="1"/>
  <c r="H192" i="1"/>
  <c r="J192" i="1" s="1"/>
  <c r="H190" i="1"/>
  <c r="H188" i="1"/>
  <c r="J188" i="1" s="1"/>
  <c r="H186" i="1"/>
  <c r="J186" i="1" s="1"/>
  <c r="H184" i="1"/>
  <c r="H182" i="1"/>
  <c r="H180" i="1"/>
  <c r="J180" i="1" s="1"/>
  <c r="H178" i="1"/>
  <c r="J178" i="1" s="1"/>
  <c r="H193" i="1"/>
  <c r="J193" i="1" s="1"/>
  <c r="H185" i="1"/>
  <c r="H177" i="1"/>
  <c r="H176" i="1"/>
  <c r="H175" i="1"/>
  <c r="J175" i="1" s="1"/>
  <c r="H174" i="1"/>
  <c r="H173" i="1"/>
  <c r="H172" i="1"/>
  <c r="H171" i="1"/>
  <c r="J171" i="1" s="1"/>
  <c r="H170" i="1"/>
  <c r="H169" i="1"/>
  <c r="H168" i="1"/>
  <c r="H167" i="1"/>
  <c r="J167" i="1" s="1"/>
  <c r="H166" i="1"/>
  <c r="H165" i="1"/>
  <c r="H164" i="1"/>
  <c r="H163" i="1"/>
  <c r="J163" i="1" s="1"/>
  <c r="H162" i="1"/>
  <c r="H161" i="1"/>
  <c r="H197" i="1"/>
  <c r="J197" i="1" s="1"/>
  <c r="H189" i="1"/>
  <c r="J189" i="1" s="1"/>
  <c r="H181" i="1"/>
  <c r="H199" i="1"/>
  <c r="J199" i="1" s="1"/>
  <c r="H191" i="1"/>
  <c r="J191" i="1" s="1"/>
  <c r="H183" i="1"/>
  <c r="J183" i="1" s="1"/>
  <c r="H148" i="1"/>
  <c r="H147" i="1"/>
  <c r="H146" i="1"/>
  <c r="H145" i="1"/>
  <c r="J145" i="1" s="1"/>
  <c r="H144" i="1"/>
  <c r="H143" i="1"/>
  <c r="H142" i="1"/>
  <c r="H141" i="1"/>
  <c r="J141" i="1" s="1"/>
  <c r="H140" i="1"/>
  <c r="H139" i="1"/>
  <c r="H138" i="1"/>
  <c r="H137" i="1"/>
  <c r="J137" i="1" s="1"/>
  <c r="H136" i="1"/>
  <c r="H135" i="1"/>
  <c r="H134" i="1"/>
  <c r="H133" i="1"/>
  <c r="J133" i="1" s="1"/>
  <c r="K133" i="1" s="1"/>
  <c r="H132" i="1"/>
  <c r="H131" i="1"/>
  <c r="H130" i="1"/>
  <c r="H129" i="1"/>
  <c r="J129" i="1" s="1"/>
  <c r="H128" i="1"/>
  <c r="H127" i="1"/>
  <c r="H126" i="1"/>
  <c r="J126" i="1" s="1"/>
  <c r="H122" i="1"/>
  <c r="H124" i="1"/>
  <c r="H160" i="1"/>
  <c r="J160" i="1" s="1"/>
  <c r="H158" i="1"/>
  <c r="J158" i="1" s="1"/>
  <c r="H156" i="1"/>
  <c r="J156" i="1" s="1"/>
  <c r="H154" i="1"/>
  <c r="J154" i="1" s="1"/>
  <c r="H152" i="1"/>
  <c r="J152" i="1" s="1"/>
  <c r="H150" i="1"/>
  <c r="H123" i="1"/>
  <c r="H121" i="1"/>
  <c r="I126" i="1"/>
  <c r="I127" i="1"/>
  <c r="I128" i="1"/>
  <c r="I129" i="1"/>
  <c r="I130" i="1"/>
  <c r="I131" i="1"/>
  <c r="I132" i="1"/>
  <c r="I134" i="1"/>
  <c r="I136" i="1"/>
  <c r="H195" i="1"/>
  <c r="J195" i="1" s="1"/>
  <c r="F213" i="1"/>
  <c r="F209" i="1"/>
  <c r="F205" i="1"/>
  <c r="F201" i="1"/>
  <c r="F199" i="1"/>
  <c r="F197" i="1"/>
  <c r="F195" i="1"/>
  <c r="F193" i="1"/>
  <c r="F191" i="1"/>
  <c r="F189" i="1"/>
  <c r="F187" i="1"/>
  <c r="I187" i="1" s="1"/>
  <c r="F185" i="1"/>
  <c r="F183" i="1"/>
  <c r="F181" i="1"/>
  <c r="F179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216" i="1"/>
  <c r="F212" i="1"/>
  <c r="F208" i="1"/>
  <c r="F204" i="1"/>
  <c r="F194" i="1"/>
  <c r="I194" i="1" s="1"/>
  <c r="F186" i="1"/>
  <c r="F178" i="1"/>
  <c r="F198" i="1"/>
  <c r="F190" i="1"/>
  <c r="F182" i="1"/>
  <c r="I182" i="1" s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I137" i="1" s="1"/>
  <c r="F200" i="1"/>
  <c r="F192" i="1"/>
  <c r="F184" i="1"/>
  <c r="I184" i="1" s="1"/>
  <c r="F215" i="1"/>
  <c r="F211" i="1"/>
  <c r="F207" i="1"/>
  <c r="F203" i="1"/>
  <c r="F123" i="1"/>
  <c r="F196" i="1"/>
  <c r="I196" i="1" s="1"/>
  <c r="F188" i="1"/>
  <c r="F180" i="1"/>
  <c r="F125" i="1"/>
  <c r="F121" i="1"/>
  <c r="F214" i="1"/>
  <c r="F210" i="1"/>
  <c r="F206" i="1"/>
  <c r="F202" i="1"/>
  <c r="I202" i="1" s="1"/>
  <c r="K202" i="1" s="1"/>
  <c r="F124" i="1"/>
  <c r="H149" i="1"/>
  <c r="J149" i="1" s="1"/>
  <c r="F122" i="1"/>
  <c r="H155" i="1"/>
  <c r="J155" i="1" s="1"/>
  <c r="I180" i="1" l="1"/>
  <c r="K180" i="1" s="1"/>
  <c r="I138" i="1"/>
  <c r="I146" i="1"/>
  <c r="I150" i="1"/>
  <c r="I154" i="1"/>
  <c r="K154" i="1" s="1"/>
  <c r="I158" i="1"/>
  <c r="K158" i="1" s="1"/>
  <c r="I190" i="1"/>
  <c r="I216" i="1"/>
  <c r="K216" i="1" s="1"/>
  <c r="I164" i="1"/>
  <c r="I168" i="1"/>
  <c r="I172" i="1"/>
  <c r="I176" i="1"/>
  <c r="I183" i="1"/>
  <c r="K183" i="1" s="1"/>
  <c r="I199" i="1"/>
  <c r="K199" i="1" s="1"/>
  <c r="I213" i="1"/>
  <c r="I210" i="1"/>
  <c r="K210" i="1" s="1"/>
  <c r="I203" i="1"/>
  <c r="I142" i="1"/>
  <c r="I188" i="1"/>
  <c r="K188" i="1" s="1"/>
  <c r="I207" i="1"/>
  <c r="I198" i="1"/>
  <c r="I161" i="1"/>
  <c r="I201" i="1"/>
  <c r="K172" i="1"/>
  <c r="I191" i="1"/>
  <c r="K191" i="1" s="1"/>
  <c r="J184" i="1"/>
  <c r="K184" i="1" s="1"/>
  <c r="I214" i="1"/>
  <c r="K214" i="1" s="1"/>
  <c r="I192" i="1"/>
  <c r="K192" i="1" s="1"/>
  <c r="I139" i="1"/>
  <c r="I143" i="1"/>
  <c r="I147" i="1"/>
  <c r="I151" i="1"/>
  <c r="I155" i="1"/>
  <c r="K155" i="1" s="1"/>
  <c r="I159" i="1"/>
  <c r="K159" i="1" s="1"/>
  <c r="I204" i="1"/>
  <c r="K204" i="1" s="1"/>
  <c r="I165" i="1"/>
  <c r="K165" i="1" s="1"/>
  <c r="I169" i="1"/>
  <c r="I173" i="1"/>
  <c r="I177" i="1"/>
  <c r="I185" i="1"/>
  <c r="I193" i="1"/>
  <c r="K193" i="1" s="1"/>
  <c r="K127" i="1"/>
  <c r="J150" i="1"/>
  <c r="J130" i="1"/>
  <c r="J134" i="1"/>
  <c r="J138" i="1"/>
  <c r="J142" i="1"/>
  <c r="K142" i="1" s="1"/>
  <c r="J146" i="1"/>
  <c r="K146" i="1" s="1"/>
  <c r="J164" i="1"/>
  <c r="K164" i="1" s="1"/>
  <c r="J168" i="1"/>
  <c r="J172" i="1"/>
  <c r="J176" i="1"/>
  <c r="J194" i="1"/>
  <c r="K194" i="1" s="1"/>
  <c r="J201" i="1"/>
  <c r="J205" i="1"/>
  <c r="J209" i="1"/>
  <c r="J213" i="1"/>
  <c r="K213" i="1" s="1"/>
  <c r="J157" i="1"/>
  <c r="J159" i="1"/>
  <c r="K196" i="1"/>
  <c r="I211" i="1"/>
  <c r="I200" i="1"/>
  <c r="K200" i="1" s="1"/>
  <c r="I140" i="1"/>
  <c r="I144" i="1"/>
  <c r="I148" i="1"/>
  <c r="K148" i="1" s="1"/>
  <c r="I152" i="1"/>
  <c r="K152" i="1" s="1"/>
  <c r="I156" i="1"/>
  <c r="K156" i="1" s="1"/>
  <c r="I160" i="1"/>
  <c r="K160" i="1" s="1"/>
  <c r="I178" i="1"/>
  <c r="K178" i="1" s="1"/>
  <c r="I208" i="1"/>
  <c r="K208" i="1" s="1"/>
  <c r="I162" i="1"/>
  <c r="I166" i="1"/>
  <c r="K166" i="1" s="1"/>
  <c r="I170" i="1"/>
  <c r="K170" i="1" s="1"/>
  <c r="I174" i="1"/>
  <c r="I179" i="1"/>
  <c r="I195" i="1"/>
  <c r="K195" i="1" s="1"/>
  <c r="I205" i="1"/>
  <c r="K205" i="1" s="1"/>
  <c r="K130" i="1"/>
  <c r="K126" i="1"/>
  <c r="J127" i="1"/>
  <c r="J218" i="1" s="1"/>
  <c r="J131" i="1"/>
  <c r="K131" i="1" s="1"/>
  <c r="J135" i="1"/>
  <c r="K135" i="1" s="1"/>
  <c r="J139" i="1"/>
  <c r="J143" i="1"/>
  <c r="J147" i="1"/>
  <c r="J161" i="1"/>
  <c r="J165" i="1"/>
  <c r="J169" i="1"/>
  <c r="J173" i="1"/>
  <c r="J177" i="1"/>
  <c r="J196" i="1"/>
  <c r="J179" i="1"/>
  <c r="J151" i="1"/>
  <c r="I206" i="1"/>
  <c r="K206" i="1" s="1"/>
  <c r="I215" i="1"/>
  <c r="K137" i="1"/>
  <c r="I141" i="1"/>
  <c r="K141" i="1" s="1"/>
  <c r="I145" i="1"/>
  <c r="K145" i="1" s="1"/>
  <c r="I149" i="1"/>
  <c r="K149" i="1" s="1"/>
  <c r="I153" i="1"/>
  <c r="I157" i="1"/>
  <c r="K157" i="1" s="1"/>
  <c r="K182" i="1"/>
  <c r="I186" i="1"/>
  <c r="K186" i="1" s="1"/>
  <c r="I212" i="1"/>
  <c r="K212" i="1" s="1"/>
  <c r="I163" i="1"/>
  <c r="K163" i="1" s="1"/>
  <c r="I167" i="1"/>
  <c r="K167" i="1" s="1"/>
  <c r="I171" i="1"/>
  <c r="K171" i="1" s="1"/>
  <c r="I175" i="1"/>
  <c r="K175" i="1" s="1"/>
  <c r="I181" i="1"/>
  <c r="I189" i="1"/>
  <c r="K189" i="1" s="1"/>
  <c r="I197" i="1"/>
  <c r="K197" i="1" s="1"/>
  <c r="I209" i="1"/>
  <c r="K134" i="1"/>
  <c r="K129" i="1"/>
  <c r="J128" i="1"/>
  <c r="K128" i="1" s="1"/>
  <c r="J132" i="1"/>
  <c r="K132" i="1" s="1"/>
  <c r="J136" i="1"/>
  <c r="K136" i="1" s="1"/>
  <c r="J140" i="1"/>
  <c r="J144" i="1"/>
  <c r="J148" i="1"/>
  <c r="J181" i="1"/>
  <c r="J162" i="1"/>
  <c r="J166" i="1"/>
  <c r="J170" i="1"/>
  <c r="J174" i="1"/>
  <c r="J185" i="1"/>
  <c r="J182" i="1"/>
  <c r="J190" i="1"/>
  <c r="K190" i="1" s="1"/>
  <c r="J198" i="1"/>
  <c r="K198" i="1" s="1"/>
  <c r="J203" i="1"/>
  <c r="K203" i="1" s="1"/>
  <c r="J207" i="1"/>
  <c r="J211" i="1"/>
  <c r="J215" i="1"/>
  <c r="J153" i="1"/>
  <c r="J187" i="1"/>
  <c r="K187" i="1" s="1"/>
  <c r="K150" i="1" l="1"/>
  <c r="K176" i="1"/>
  <c r="K207" i="1"/>
  <c r="K161" i="1"/>
  <c r="K201" i="1"/>
  <c r="K168" i="1"/>
  <c r="K138" i="1"/>
  <c r="I218" i="1"/>
  <c r="K3" i="1" s="1"/>
  <c r="K4" i="1" s="1"/>
  <c r="K211" i="1"/>
  <c r="K185" i="1"/>
  <c r="K143" i="1"/>
  <c r="K181" i="1"/>
  <c r="K144" i="1"/>
  <c r="K177" i="1"/>
  <c r="K139" i="1"/>
  <c r="K209" i="1"/>
  <c r="K153" i="1"/>
  <c r="K179" i="1"/>
  <c r="K162" i="1"/>
  <c r="K140" i="1"/>
  <c r="K173" i="1"/>
  <c r="K151" i="1"/>
  <c r="K215" i="1"/>
  <c r="K174" i="1"/>
  <c r="K169" i="1"/>
  <c r="K147" i="1"/>
  <c r="L218" i="1" l="1"/>
  <c r="P4" i="1" s="1"/>
  <c r="P8" i="1" s="1"/>
  <c r="P7" i="1" l="1"/>
</calcChain>
</file>

<file path=xl/sharedStrings.xml><?xml version="1.0" encoding="utf-8"?>
<sst xmlns="http://schemas.openxmlformats.org/spreadsheetml/2006/main" count="58" uniqueCount="48">
  <si>
    <t>09/05/2024 - partial evening addition</t>
  </si>
  <si>
    <t>start time</t>
  </si>
  <si>
    <t>sc_add</t>
  </si>
  <si>
    <t>uS</t>
  </si>
  <si>
    <t>length (m)</t>
  </si>
  <si>
    <t>bkgd_sc</t>
  </si>
  <si>
    <t>ln(R0) = ln(Rx) - kx</t>
  </si>
  <si>
    <t>x = distance downstream</t>
  </si>
  <si>
    <t>SUNA: 9 values per min, every 2 min - averaged</t>
  </si>
  <si>
    <t>n_add</t>
  </si>
  <si>
    <t>g   (97% pure)</t>
  </si>
  <si>
    <t>width (m)</t>
  </si>
  <si>
    <t>bkgd_n</t>
  </si>
  <si>
    <t>ratio_init</t>
  </si>
  <si>
    <t>Q</t>
  </si>
  <si>
    <t>L/min</t>
  </si>
  <si>
    <t>-k =( LN(R0)-LN(Rx))/x</t>
  </si>
  <si>
    <t>(n_add/sc_add)</t>
  </si>
  <si>
    <t>cms</t>
  </si>
  <si>
    <t xml:space="preserve">-k = </t>
  </si>
  <si>
    <t>Q = spc_add/(sum[(spc_corr[i]*(t[i]-t[i-1])) ; each timestep is 1 minute so the t is just *1…</t>
  </si>
  <si>
    <t>Sw</t>
  </si>
  <si>
    <t>DateTime (UTC+00:00:00)</t>
  </si>
  <si>
    <t>DateTime_MDT</t>
  </si>
  <si>
    <t>clock_time_MDT</t>
  </si>
  <si>
    <t>time_elapsed</t>
  </si>
  <si>
    <t>sc</t>
  </si>
  <si>
    <t>corr_sc</t>
  </si>
  <si>
    <t>no3_um</t>
  </si>
  <si>
    <t>corr_no3</t>
  </si>
  <si>
    <t>AUC_salt</t>
  </si>
  <si>
    <t>AUC_n</t>
  </si>
  <si>
    <t>ratio</t>
  </si>
  <si>
    <t>notes</t>
  </si>
  <si>
    <t>Vf</t>
  </si>
  <si>
    <t>Rx (auc_n/auc_sc)</t>
  </si>
  <si>
    <t>auc_sc</t>
  </si>
  <si>
    <t>auc_n</t>
  </si>
  <si>
    <t>Date</t>
  </si>
  <si>
    <t>clock_time</t>
  </si>
  <si>
    <t>elapsed_time</t>
  </si>
  <si>
    <t>n_conc</t>
  </si>
  <si>
    <t>corr_n_conc</t>
  </si>
  <si>
    <t>R0</t>
  </si>
  <si>
    <t>bkgd</t>
  </si>
  <si>
    <t>reach_length</t>
  </si>
  <si>
    <t>str_width</t>
  </si>
  <si>
    <t>R_auc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</si>
</sst>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\ h:mm;@"/>
    <numFmt numFmtId="165" formatCode="h:mm;@"/>
    <numFmt numFmtId="166" formatCode="0.0"/>
    <numFmt numFmtId="167" formatCode="[$-F400]h:mm:ss\ AM/PM"/>
    <numFmt numFmtId="168" formatCode="0.000000000"/>
    <numFmt numFmtId="169" formatCode="m/d/yy\ hh:mm:ss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2" fillId="0" borderId="0" xfId="0" applyNumberFormat="1" applyFont="1"/>
    <xf numFmtId="20" fontId="2" fillId="0" borderId="0" xfId="0" applyNumberFormat="1" applyFont="1"/>
    <xf numFmtId="166" fontId="2" fillId="2" borderId="0" xfId="0" applyNumberFormat="1" applyFont="1" applyFill="1"/>
    <xf numFmtId="166" fontId="2" fillId="0" borderId="0" xfId="0" applyNumberFormat="1" applyFont="1"/>
    <xf numFmtId="0" fontId="2" fillId="0" borderId="0" xfId="0" applyFont="1"/>
    <xf numFmtId="2" fontId="2" fillId="2" borderId="0" xfId="0" applyNumberFormat="1" applyFont="1" applyFill="1"/>
    <xf numFmtId="2" fontId="2" fillId="0" borderId="0" xfId="0" applyNumberFormat="1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20" fontId="3" fillId="0" borderId="0" xfId="0" applyNumberFormat="1" applyFont="1"/>
    <xf numFmtId="167" fontId="2" fillId="0" borderId="0" xfId="0" applyNumberFormat="1" applyFont="1"/>
    <xf numFmtId="2" fontId="0" fillId="0" borderId="0" xfId="0" applyNumberFormat="1"/>
    <xf numFmtId="21" fontId="2" fillId="0" borderId="0" xfId="0" applyNumberFormat="1" applyFont="1"/>
    <xf numFmtId="164" fontId="2" fillId="0" borderId="0" xfId="0" applyNumberFormat="1" applyFont="1"/>
    <xf numFmtId="168" fontId="0" fillId="0" borderId="0" xfId="0" applyNumberFormat="1"/>
    <xf numFmtId="2" fontId="2" fillId="3" borderId="0" xfId="0" applyNumberFormat="1" applyFont="1" applyFill="1"/>
    <xf numFmtId="0" fontId="0" fillId="0" borderId="0" xfId="0" quotePrefix="1"/>
    <xf numFmtId="0" fontId="4" fillId="0" borderId="0" xfId="0" applyFont="1"/>
    <xf numFmtId="0" fontId="2" fillId="3" borderId="0" xfId="0" applyFont="1" applyFill="1"/>
    <xf numFmtId="164" fontId="0" fillId="0" borderId="0" xfId="0" applyNumberFormat="1"/>
    <xf numFmtId="1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  <xf numFmtId="20" fontId="0" fillId="3" borderId="0" xfId="0" applyNumberFormat="1" applyFill="1"/>
    <xf numFmtId="166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165" fontId="0" fillId="0" borderId="0" xfId="0" applyNumberFormat="1"/>
    <xf numFmtId="20" fontId="0" fillId="0" borderId="0" xfId="0" applyNumberFormat="1"/>
    <xf numFmtId="166" fontId="0" fillId="0" borderId="0" xfId="0" applyNumberFormat="1"/>
    <xf numFmtId="164" fontId="0" fillId="4" borderId="0" xfId="0" applyNumberFormat="1" applyFill="1"/>
    <xf numFmtId="165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20" fontId="0" fillId="5" borderId="0" xfId="0" applyNumberFormat="1" applyFill="1"/>
    <xf numFmtId="166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169" fontId="0" fillId="0" borderId="0" xfId="0" applyNumberFormat="1"/>
    <xf numFmtId="14" fontId="0" fillId="0" borderId="0" xfId="0" applyNumberFormat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C177-D290-9C4C-9A1F-2CA158A1D2E0}">
  <dimension ref="A1:R1568"/>
  <sheetViews>
    <sheetView topLeftCell="D1" workbookViewId="0">
      <selection activeCell="G1" sqref="G1:H3"/>
    </sheetView>
  </sheetViews>
  <sheetFormatPr baseColWidth="10" defaultRowHeight="16" x14ac:dyDescent="0.2"/>
  <cols>
    <col min="1" max="1" width="15" customWidth="1"/>
    <col min="2" max="2" width="15" style="24" customWidth="1"/>
    <col min="3" max="3" width="15" style="32" customWidth="1"/>
    <col min="4" max="4" width="15" style="33" customWidth="1"/>
    <col min="5" max="5" width="15" customWidth="1"/>
    <col min="6" max="12" width="14" customWidth="1"/>
    <col min="13" max="13" width="16.6640625" customWidth="1"/>
    <col min="16" max="16" width="14" style="24" customWidth="1"/>
    <col min="17" max="17" width="10.83203125" style="16"/>
  </cols>
  <sheetData>
    <row r="1" spans="1:18" x14ac:dyDescent="0.2">
      <c r="A1" s="1" t="s">
        <v>0</v>
      </c>
      <c r="B1" s="2"/>
      <c r="C1" s="3"/>
      <c r="D1" s="4" t="s">
        <v>1</v>
      </c>
      <c r="E1" s="5">
        <v>0.67152777777777772</v>
      </c>
      <c r="F1" s="6"/>
      <c r="G1" s="7" t="s">
        <v>2</v>
      </c>
      <c r="H1" s="8">
        <f>(23.12-0.08)*1000*2060</f>
        <v>47462400.000000007</v>
      </c>
      <c r="I1" s="9" t="s">
        <v>3</v>
      </c>
      <c r="J1" s="7" t="s">
        <v>4</v>
      </c>
      <c r="K1" s="10">
        <v>900</v>
      </c>
      <c r="L1" s="7"/>
      <c r="M1" s="7" t="s">
        <v>5</v>
      </c>
      <c r="N1" s="5">
        <f>AVERAGE(E114:E125)</f>
        <v>205.625</v>
      </c>
      <c r="P1" t="s">
        <v>6</v>
      </c>
      <c r="Q1"/>
      <c r="R1" t="s">
        <v>7</v>
      </c>
    </row>
    <row r="2" spans="1:18" x14ac:dyDescent="0.2">
      <c r="A2" s="11" t="s">
        <v>8</v>
      </c>
      <c r="B2" s="12"/>
      <c r="C2" s="13"/>
      <c r="D2" s="14"/>
      <c r="E2" s="15">
        <v>0.67152777777777772</v>
      </c>
      <c r="F2" s="6"/>
      <c r="G2" s="9" t="s">
        <v>9</v>
      </c>
      <c r="H2" s="8">
        <f>(1300*0.97)</f>
        <v>1261</v>
      </c>
      <c r="I2" s="16" t="s">
        <v>10</v>
      </c>
      <c r="J2" s="7" t="s">
        <v>11</v>
      </c>
      <c r="K2" s="10">
        <v>17.5</v>
      </c>
      <c r="L2" s="7"/>
      <c r="M2" s="7" t="s">
        <v>12</v>
      </c>
      <c r="N2" s="8">
        <f>AVERAGE(G114:G123)</f>
        <v>8.216333333333333</v>
      </c>
      <c r="P2"/>
      <c r="Q2"/>
    </row>
    <row r="3" spans="1:18" x14ac:dyDescent="0.2">
      <c r="A3" s="17">
        <v>0.25</v>
      </c>
      <c r="B3" s="18"/>
      <c r="C3" s="3"/>
      <c r="D3" s="4"/>
      <c r="E3" s="6"/>
      <c r="F3" s="6"/>
      <c r="G3" s="9" t="s">
        <v>13</v>
      </c>
      <c r="H3" s="19">
        <f>H2/H1</f>
        <v>2.6568399406688238E-5</v>
      </c>
      <c r="I3" s="9"/>
      <c r="J3" s="7" t="s">
        <v>14</v>
      </c>
      <c r="K3" s="20">
        <f>H1/I218</f>
        <v>54365.453452077556</v>
      </c>
      <c r="L3" s="7" t="s">
        <v>15</v>
      </c>
      <c r="M3" s="7"/>
      <c r="N3" s="7"/>
      <c r="P3" s="21" t="s">
        <v>16</v>
      </c>
      <c r="Q3"/>
    </row>
    <row r="4" spans="1:18" x14ac:dyDescent="0.2">
      <c r="A4" s="7"/>
      <c r="B4" s="18"/>
      <c r="C4" s="3"/>
      <c r="D4" s="4"/>
      <c r="E4" s="7"/>
      <c r="F4" s="7"/>
      <c r="G4" s="7" t="s">
        <v>17</v>
      </c>
      <c r="H4" s="7"/>
      <c r="I4" s="7"/>
      <c r="K4" s="20">
        <f>K3*0.001*60</f>
        <v>3261.9272071246537</v>
      </c>
      <c r="L4" s="7" t="s">
        <v>18</v>
      </c>
      <c r="M4" s="7"/>
      <c r="N4" s="7"/>
      <c r="O4" s="21" t="s">
        <v>19</v>
      </c>
      <c r="P4" s="22">
        <f>(LN(H3)-LN(L218))/K1</f>
        <v>-1.0260249363454771E-2</v>
      </c>
      <c r="Q4"/>
    </row>
    <row r="5" spans="1:18" x14ac:dyDescent="0.2">
      <c r="A5" s="7"/>
      <c r="B5" s="18"/>
      <c r="C5" s="3"/>
      <c r="D5" s="4"/>
      <c r="E5" s="7"/>
      <c r="F5" s="7"/>
      <c r="G5" s="7"/>
      <c r="H5" s="7"/>
      <c r="I5" s="7"/>
      <c r="K5" s="23"/>
      <c r="L5" s="7"/>
      <c r="M5" s="7"/>
      <c r="N5" s="7"/>
      <c r="O5" s="21"/>
      <c r="P5" s="22"/>
      <c r="Q5"/>
    </row>
    <row r="6" spans="1:18" x14ac:dyDescent="0.2">
      <c r="A6" s="7"/>
      <c r="B6" s="18"/>
      <c r="C6" s="3"/>
      <c r="D6" s="4"/>
      <c r="E6" s="7"/>
      <c r="F6" s="7"/>
      <c r="G6" s="7"/>
      <c r="H6" s="7"/>
      <c r="I6" s="7"/>
      <c r="J6" s="7" t="s">
        <v>20</v>
      </c>
      <c r="K6" s="7"/>
      <c r="L6" s="7"/>
      <c r="M6" s="7"/>
      <c r="N6" s="7"/>
    </row>
    <row r="7" spans="1:18" x14ac:dyDescent="0.2">
      <c r="A7" s="7"/>
      <c r="B7" s="18"/>
      <c r="C7" s="3"/>
      <c r="D7" s="4"/>
      <c r="E7" s="7"/>
      <c r="F7" s="7"/>
      <c r="G7" s="7"/>
      <c r="H7" s="7"/>
      <c r="I7" s="7"/>
      <c r="J7" s="7"/>
      <c r="K7" s="7"/>
      <c r="L7" s="7"/>
      <c r="M7" s="7"/>
      <c r="N7" s="7"/>
      <c r="O7" t="s">
        <v>21</v>
      </c>
      <c r="P7" s="25">
        <f>-1/P4</f>
        <v>97.463518144288642</v>
      </c>
    </row>
    <row r="8" spans="1:18" x14ac:dyDescent="0.2">
      <c r="A8" s="24" t="s">
        <v>22</v>
      </c>
      <c r="B8" s="24" t="s">
        <v>23</v>
      </c>
      <c r="C8" s="3" t="s">
        <v>24</v>
      </c>
      <c r="D8" s="4" t="s">
        <v>25</v>
      </c>
      <c r="E8" s="6" t="s">
        <v>26</v>
      </c>
      <c r="F8" s="9" t="s">
        <v>27</v>
      </c>
      <c r="G8" s="7" t="s">
        <v>28</v>
      </c>
      <c r="H8" s="7" t="s">
        <v>29</v>
      </c>
      <c r="I8" s="7" t="s">
        <v>30</v>
      </c>
      <c r="J8" s="7" t="s">
        <v>31</v>
      </c>
      <c r="K8" s="9" t="s">
        <v>32</v>
      </c>
      <c r="L8" s="7" t="s">
        <v>33</v>
      </c>
      <c r="M8" s="24"/>
      <c r="O8" t="s">
        <v>34</v>
      </c>
      <c r="P8" s="25">
        <f>-P4*K4/K2</f>
        <v>1.9124678028878013</v>
      </c>
    </row>
    <row r="9" spans="1:18" hidden="1" x14ac:dyDescent="0.2">
      <c r="A9" s="26">
        <v>45540.921597222223</v>
      </c>
      <c r="B9" s="26">
        <f t="shared" ref="B9:B72" si="0">A9-$A$3</f>
        <v>45540.671597222223</v>
      </c>
      <c r="C9" s="27">
        <f t="shared" ref="C9:C72" si="1">B9</f>
        <v>45540.671597222223</v>
      </c>
      <c r="D9" s="28">
        <f>C9-$E$2</f>
        <v>45540.000069444446</v>
      </c>
      <c r="E9" s="29">
        <v>205.1</v>
      </c>
      <c r="F9" s="30"/>
      <c r="G9" s="31">
        <v>7.9933333333333332</v>
      </c>
      <c r="M9" s="24"/>
    </row>
    <row r="10" spans="1:18" hidden="1" x14ac:dyDescent="0.2">
      <c r="A10" s="24">
        <v>45540.922291666669</v>
      </c>
      <c r="B10" s="24">
        <f t="shared" si="0"/>
        <v>45540.672291666669</v>
      </c>
      <c r="C10" s="32">
        <f t="shared" si="1"/>
        <v>45540.672291666669</v>
      </c>
      <c r="D10" s="33">
        <f t="shared" ref="D10:D73" si="2">C10-$E$2</f>
        <v>45540.000763888893</v>
      </c>
      <c r="E10" s="34">
        <v>205</v>
      </c>
      <c r="G10" s="16">
        <v>7.9833333333333334</v>
      </c>
      <c r="M10" s="24"/>
    </row>
    <row r="11" spans="1:18" hidden="1" x14ac:dyDescent="0.2">
      <c r="A11" s="24">
        <v>45540.922986111109</v>
      </c>
      <c r="B11" s="24">
        <f t="shared" si="0"/>
        <v>45540.672986111109</v>
      </c>
      <c r="C11" s="32">
        <f t="shared" si="1"/>
        <v>45540.672986111109</v>
      </c>
      <c r="D11" s="33">
        <f t="shared" si="2"/>
        <v>45540.001458333332</v>
      </c>
      <c r="E11" s="34">
        <v>205.1</v>
      </c>
      <c r="G11" s="16">
        <v>7.996666666666667</v>
      </c>
      <c r="M11" s="24"/>
    </row>
    <row r="12" spans="1:18" hidden="1" x14ac:dyDescent="0.2">
      <c r="A12" s="24">
        <v>45540.923680555556</v>
      </c>
      <c r="B12" s="24">
        <f t="shared" si="0"/>
        <v>45540.673680555556</v>
      </c>
      <c r="C12" s="32">
        <f t="shared" si="1"/>
        <v>45540.673680555556</v>
      </c>
      <c r="D12" s="33">
        <f t="shared" si="2"/>
        <v>45540.002152777779</v>
      </c>
      <c r="E12" s="34">
        <v>205.1</v>
      </c>
      <c r="G12" s="16">
        <v>8.01</v>
      </c>
      <c r="M12" s="24"/>
    </row>
    <row r="13" spans="1:18" hidden="1" x14ac:dyDescent="0.2">
      <c r="A13" s="24">
        <v>45540.924375000002</v>
      </c>
      <c r="B13" s="24">
        <f t="shared" si="0"/>
        <v>45540.674375000002</v>
      </c>
      <c r="C13" s="32">
        <f t="shared" si="1"/>
        <v>45540.674375000002</v>
      </c>
      <c r="D13" s="33">
        <f t="shared" si="2"/>
        <v>45540.002847222226</v>
      </c>
      <c r="E13" s="34">
        <v>205.1</v>
      </c>
      <c r="G13" s="16">
        <v>7.9899999999999993</v>
      </c>
      <c r="M13" s="24"/>
    </row>
    <row r="14" spans="1:18" hidden="1" x14ac:dyDescent="0.2">
      <c r="A14" s="24">
        <v>45540.925069444442</v>
      </c>
      <c r="B14" s="24">
        <f t="shared" si="0"/>
        <v>45540.675069444442</v>
      </c>
      <c r="C14" s="32">
        <f t="shared" si="1"/>
        <v>45540.675069444442</v>
      </c>
      <c r="D14" s="33">
        <f t="shared" si="2"/>
        <v>45540.003541666665</v>
      </c>
      <c r="E14" s="34">
        <v>205</v>
      </c>
      <c r="G14" s="16">
        <v>8.01</v>
      </c>
      <c r="M14" s="24"/>
    </row>
    <row r="15" spans="1:18" hidden="1" x14ac:dyDescent="0.2">
      <c r="A15" s="24">
        <v>45540.925763888888</v>
      </c>
      <c r="B15" s="24">
        <f t="shared" si="0"/>
        <v>45540.675763888888</v>
      </c>
      <c r="C15" s="32">
        <f t="shared" si="1"/>
        <v>45540.675763888888</v>
      </c>
      <c r="D15" s="33">
        <f t="shared" si="2"/>
        <v>45540.004236111112</v>
      </c>
      <c r="E15" s="34">
        <v>205.3</v>
      </c>
      <c r="G15" s="16">
        <v>8.0200000000000014</v>
      </c>
      <c r="M15" s="24"/>
    </row>
    <row r="16" spans="1:18" hidden="1" x14ac:dyDescent="0.2">
      <c r="A16" s="24">
        <v>45540.926458333335</v>
      </c>
      <c r="B16" s="24">
        <f t="shared" si="0"/>
        <v>45540.676458333335</v>
      </c>
      <c r="C16" s="32">
        <f t="shared" si="1"/>
        <v>45540.676458333335</v>
      </c>
      <c r="D16" s="33">
        <f t="shared" si="2"/>
        <v>45540.004930555559</v>
      </c>
      <c r="E16" s="34">
        <v>205</v>
      </c>
      <c r="G16" s="16">
        <v>8.0333333333333332</v>
      </c>
      <c r="M16" s="24"/>
    </row>
    <row r="17" spans="1:13" hidden="1" x14ac:dyDescent="0.2">
      <c r="A17" s="24">
        <v>45540.927152777775</v>
      </c>
      <c r="B17" s="24">
        <f t="shared" si="0"/>
        <v>45540.677152777775</v>
      </c>
      <c r="C17" s="32">
        <f t="shared" si="1"/>
        <v>45540.677152777775</v>
      </c>
      <c r="D17" s="33">
        <f t="shared" si="2"/>
        <v>45540.005624999998</v>
      </c>
      <c r="E17" s="34">
        <v>205.1</v>
      </c>
      <c r="G17" s="16">
        <v>8.0233333333333317</v>
      </c>
      <c r="M17" s="24"/>
    </row>
    <row r="18" spans="1:13" hidden="1" x14ac:dyDescent="0.2">
      <c r="A18" s="24">
        <v>45540.927847222221</v>
      </c>
      <c r="B18" s="24">
        <f t="shared" si="0"/>
        <v>45540.677847222221</v>
      </c>
      <c r="C18" s="32">
        <f t="shared" si="1"/>
        <v>45540.677847222221</v>
      </c>
      <c r="D18" s="33">
        <f t="shared" si="2"/>
        <v>45540.006319444445</v>
      </c>
      <c r="E18" s="34">
        <v>205.2</v>
      </c>
      <c r="G18" s="16">
        <v>8.0133333333333336</v>
      </c>
      <c r="M18" s="24"/>
    </row>
    <row r="19" spans="1:13" hidden="1" x14ac:dyDescent="0.2">
      <c r="A19" s="24">
        <v>45540.928541666668</v>
      </c>
      <c r="B19" s="24">
        <f t="shared" si="0"/>
        <v>45540.678541666668</v>
      </c>
      <c r="C19" s="32">
        <f t="shared" si="1"/>
        <v>45540.678541666668</v>
      </c>
      <c r="D19" s="33">
        <f t="shared" si="2"/>
        <v>45540.007013888891</v>
      </c>
      <c r="E19" s="34">
        <v>205.1</v>
      </c>
      <c r="G19" s="16">
        <v>8.0299999999999994</v>
      </c>
      <c r="M19" s="24"/>
    </row>
    <row r="20" spans="1:13" hidden="1" x14ac:dyDescent="0.2">
      <c r="A20" s="24">
        <v>45540.929236111115</v>
      </c>
      <c r="B20" s="24">
        <f t="shared" si="0"/>
        <v>45540.679236111115</v>
      </c>
      <c r="C20" s="32">
        <f t="shared" si="1"/>
        <v>45540.679236111115</v>
      </c>
      <c r="D20" s="33">
        <f t="shared" si="2"/>
        <v>45540.007708333338</v>
      </c>
      <c r="E20" s="34">
        <v>205.3</v>
      </c>
      <c r="G20" s="16">
        <v>8.02</v>
      </c>
      <c r="M20" s="24"/>
    </row>
    <row r="21" spans="1:13" hidden="1" x14ac:dyDescent="0.2">
      <c r="A21" s="24">
        <v>45540.929930555554</v>
      </c>
      <c r="B21" s="24">
        <f t="shared" si="0"/>
        <v>45540.679930555554</v>
      </c>
      <c r="C21" s="32">
        <f t="shared" si="1"/>
        <v>45540.679930555554</v>
      </c>
      <c r="D21" s="33">
        <f t="shared" si="2"/>
        <v>45540.008402777778</v>
      </c>
      <c r="E21" s="34">
        <v>205.3</v>
      </c>
      <c r="G21" s="16">
        <v>8.0399999999999991</v>
      </c>
      <c r="M21" s="24"/>
    </row>
    <row r="22" spans="1:13" hidden="1" x14ac:dyDescent="0.2">
      <c r="A22" s="24">
        <v>45540.930625000001</v>
      </c>
      <c r="B22" s="24">
        <f t="shared" si="0"/>
        <v>45540.680625000001</v>
      </c>
      <c r="C22" s="32">
        <f t="shared" si="1"/>
        <v>45540.680625000001</v>
      </c>
      <c r="D22" s="33">
        <f t="shared" si="2"/>
        <v>45540.009097222224</v>
      </c>
      <c r="E22" s="34">
        <v>205.1</v>
      </c>
      <c r="G22" s="16">
        <v>8.0566666666666666</v>
      </c>
      <c r="M22" s="24"/>
    </row>
    <row r="23" spans="1:13" hidden="1" x14ac:dyDescent="0.2">
      <c r="A23" s="24">
        <v>45540.931319444448</v>
      </c>
      <c r="B23" s="24">
        <f t="shared" si="0"/>
        <v>45540.681319444448</v>
      </c>
      <c r="C23" s="32">
        <f t="shared" si="1"/>
        <v>45540.681319444448</v>
      </c>
      <c r="D23" s="33">
        <f t="shared" si="2"/>
        <v>45540.009791666671</v>
      </c>
      <c r="E23" s="34">
        <v>205.2</v>
      </c>
      <c r="G23" s="16">
        <v>8.0366666666666671</v>
      </c>
      <c r="M23" s="24"/>
    </row>
    <row r="24" spans="1:13" hidden="1" x14ac:dyDescent="0.2">
      <c r="A24" s="24">
        <v>45540.932013888887</v>
      </c>
      <c r="B24" s="24">
        <f t="shared" si="0"/>
        <v>45540.682013888887</v>
      </c>
      <c r="C24" s="32">
        <f t="shared" si="1"/>
        <v>45540.682013888887</v>
      </c>
      <c r="D24" s="33">
        <f t="shared" si="2"/>
        <v>45540.01048611111</v>
      </c>
      <c r="E24" s="34">
        <v>205.2</v>
      </c>
      <c r="G24" s="16">
        <v>8.0500000000000007</v>
      </c>
      <c r="M24" s="24"/>
    </row>
    <row r="25" spans="1:13" hidden="1" x14ac:dyDescent="0.2">
      <c r="A25" s="24">
        <v>45540.932708333334</v>
      </c>
      <c r="B25" s="24">
        <f t="shared" si="0"/>
        <v>45540.682708333334</v>
      </c>
      <c r="C25" s="32">
        <f t="shared" si="1"/>
        <v>45540.682708333334</v>
      </c>
      <c r="D25" s="33">
        <f t="shared" si="2"/>
        <v>45540.011180555557</v>
      </c>
      <c r="E25" s="34">
        <v>205.1</v>
      </c>
      <c r="G25" s="16">
        <v>8.0533333333333328</v>
      </c>
      <c r="M25" s="24"/>
    </row>
    <row r="26" spans="1:13" hidden="1" x14ac:dyDescent="0.2">
      <c r="A26" s="24">
        <v>45540.93340277778</v>
      </c>
      <c r="B26" s="24">
        <f t="shared" si="0"/>
        <v>45540.68340277778</v>
      </c>
      <c r="C26" s="32">
        <f t="shared" si="1"/>
        <v>45540.68340277778</v>
      </c>
      <c r="D26" s="33">
        <f t="shared" si="2"/>
        <v>45540.011875000004</v>
      </c>
      <c r="E26" s="34">
        <v>205.2</v>
      </c>
      <c r="G26" s="16">
        <v>8.0666666666666682</v>
      </c>
      <c r="M26" s="24"/>
    </row>
    <row r="27" spans="1:13" hidden="1" x14ac:dyDescent="0.2">
      <c r="A27" s="24">
        <v>45540.93409722222</v>
      </c>
      <c r="B27" s="24">
        <f t="shared" si="0"/>
        <v>45540.68409722222</v>
      </c>
      <c r="C27" s="32">
        <f t="shared" si="1"/>
        <v>45540.68409722222</v>
      </c>
      <c r="D27" s="33">
        <f t="shared" si="2"/>
        <v>45540.012569444443</v>
      </c>
      <c r="E27" s="34">
        <v>205.2</v>
      </c>
      <c r="G27" s="16">
        <v>8.0533333333333328</v>
      </c>
      <c r="M27" s="24"/>
    </row>
    <row r="28" spans="1:13" hidden="1" x14ac:dyDescent="0.2">
      <c r="A28" s="24">
        <v>45540.934791666667</v>
      </c>
      <c r="B28" s="24">
        <f t="shared" si="0"/>
        <v>45540.684791666667</v>
      </c>
      <c r="C28" s="32">
        <f t="shared" si="1"/>
        <v>45540.684791666667</v>
      </c>
      <c r="D28" s="33">
        <f t="shared" si="2"/>
        <v>45540.01326388889</v>
      </c>
      <c r="E28" s="34">
        <v>205.2</v>
      </c>
      <c r="G28" s="16">
        <v>8.0633333333333344</v>
      </c>
      <c r="M28" s="24"/>
    </row>
    <row r="29" spans="1:13" hidden="1" x14ac:dyDescent="0.2">
      <c r="A29" s="24">
        <v>45540.935486111113</v>
      </c>
      <c r="B29" s="24">
        <f t="shared" si="0"/>
        <v>45540.685486111113</v>
      </c>
      <c r="C29" s="32">
        <f t="shared" si="1"/>
        <v>45540.685486111113</v>
      </c>
      <c r="D29" s="33">
        <f t="shared" si="2"/>
        <v>45540.013958333337</v>
      </c>
      <c r="E29" s="34">
        <v>205.3</v>
      </c>
      <c r="G29" s="16">
        <v>8.07</v>
      </c>
      <c r="M29" s="24"/>
    </row>
    <row r="30" spans="1:13" hidden="1" x14ac:dyDescent="0.2">
      <c r="A30" s="24">
        <v>45540.936180555553</v>
      </c>
      <c r="B30" s="24">
        <f t="shared" si="0"/>
        <v>45540.686180555553</v>
      </c>
      <c r="C30" s="32">
        <f t="shared" si="1"/>
        <v>45540.686180555553</v>
      </c>
      <c r="D30" s="33">
        <f t="shared" si="2"/>
        <v>45540.014652777776</v>
      </c>
      <c r="E30" s="34">
        <v>205.1</v>
      </c>
      <c r="G30" s="16">
        <v>8.06</v>
      </c>
      <c r="M30" s="24"/>
    </row>
    <row r="31" spans="1:13" hidden="1" x14ac:dyDescent="0.2">
      <c r="A31" s="24">
        <v>45540.936874999999</v>
      </c>
      <c r="B31" s="24">
        <f t="shared" si="0"/>
        <v>45540.686874999999</v>
      </c>
      <c r="C31" s="32">
        <f t="shared" si="1"/>
        <v>45540.686874999999</v>
      </c>
      <c r="D31" s="33">
        <f t="shared" si="2"/>
        <v>45540.015347222223</v>
      </c>
      <c r="E31" s="34">
        <v>205.2</v>
      </c>
      <c r="G31" s="16">
        <v>8.08</v>
      </c>
      <c r="M31" s="24"/>
    </row>
    <row r="32" spans="1:13" hidden="1" x14ac:dyDescent="0.2">
      <c r="A32" s="24">
        <v>45540.937569444446</v>
      </c>
      <c r="B32" s="24">
        <f t="shared" si="0"/>
        <v>45540.687569444446</v>
      </c>
      <c r="C32" s="32">
        <f t="shared" si="1"/>
        <v>45540.687569444446</v>
      </c>
      <c r="D32" s="33">
        <f t="shared" si="2"/>
        <v>45540.016041666669</v>
      </c>
      <c r="E32" s="34">
        <v>205.2</v>
      </c>
      <c r="G32" s="16">
        <v>8.076666666666668</v>
      </c>
      <c r="M32" s="24"/>
    </row>
    <row r="33" spans="1:13" hidden="1" x14ac:dyDescent="0.2">
      <c r="A33" s="24">
        <v>45540.938263888886</v>
      </c>
      <c r="B33" s="24">
        <f t="shared" si="0"/>
        <v>45540.688263888886</v>
      </c>
      <c r="C33" s="32">
        <f t="shared" si="1"/>
        <v>45540.688263888886</v>
      </c>
      <c r="D33" s="33">
        <f t="shared" si="2"/>
        <v>45540.016736111109</v>
      </c>
      <c r="E33" s="34">
        <v>205.3</v>
      </c>
      <c r="G33" s="16">
        <v>8.0733333333333324</v>
      </c>
      <c r="M33" s="24"/>
    </row>
    <row r="34" spans="1:13" hidden="1" x14ac:dyDescent="0.2">
      <c r="A34" s="24">
        <v>45540.938958333332</v>
      </c>
      <c r="B34" s="24">
        <f t="shared" si="0"/>
        <v>45540.688958333332</v>
      </c>
      <c r="C34" s="32">
        <f t="shared" si="1"/>
        <v>45540.688958333332</v>
      </c>
      <c r="D34" s="33">
        <f t="shared" si="2"/>
        <v>45540.017430555556</v>
      </c>
      <c r="E34" s="34">
        <v>205.2</v>
      </c>
      <c r="G34" s="16">
        <v>8.086666666666666</v>
      </c>
      <c r="M34" s="24"/>
    </row>
    <row r="35" spans="1:13" hidden="1" x14ac:dyDescent="0.2">
      <c r="A35" s="24">
        <v>45540.939652777779</v>
      </c>
      <c r="B35" s="24">
        <f t="shared" si="0"/>
        <v>45540.689652777779</v>
      </c>
      <c r="C35" s="32">
        <f t="shared" si="1"/>
        <v>45540.689652777779</v>
      </c>
      <c r="D35" s="33">
        <f t="shared" si="2"/>
        <v>45540.018125000002</v>
      </c>
      <c r="E35" s="34">
        <v>205.2</v>
      </c>
      <c r="G35" s="16">
        <v>8.086666666666666</v>
      </c>
      <c r="M35" s="24"/>
    </row>
    <row r="36" spans="1:13" hidden="1" x14ac:dyDescent="0.2">
      <c r="A36" s="24">
        <v>45540.940347222226</v>
      </c>
      <c r="B36" s="24">
        <f t="shared" si="0"/>
        <v>45540.690347222226</v>
      </c>
      <c r="C36" s="32">
        <f t="shared" si="1"/>
        <v>45540.690347222226</v>
      </c>
      <c r="D36" s="33">
        <f t="shared" si="2"/>
        <v>45540.018819444449</v>
      </c>
      <c r="E36" s="34">
        <v>205.3</v>
      </c>
      <c r="G36" s="16">
        <v>8.086666666666666</v>
      </c>
      <c r="M36" s="24"/>
    </row>
    <row r="37" spans="1:13" hidden="1" x14ac:dyDescent="0.2">
      <c r="A37" s="24">
        <v>45540.941041666665</v>
      </c>
      <c r="B37" s="24">
        <f t="shared" si="0"/>
        <v>45540.691041666665</v>
      </c>
      <c r="C37" s="32">
        <f t="shared" si="1"/>
        <v>45540.691041666665</v>
      </c>
      <c r="D37" s="33">
        <f t="shared" si="2"/>
        <v>45540.019513888888</v>
      </c>
      <c r="E37" s="34">
        <v>205.1</v>
      </c>
      <c r="G37" s="16">
        <v>8.0933333333333337</v>
      </c>
      <c r="M37" s="24"/>
    </row>
    <row r="38" spans="1:13" hidden="1" x14ac:dyDescent="0.2">
      <c r="A38" s="24">
        <v>45540.941736111112</v>
      </c>
      <c r="B38" s="24">
        <f t="shared" si="0"/>
        <v>45540.691736111112</v>
      </c>
      <c r="C38" s="32">
        <f t="shared" si="1"/>
        <v>45540.691736111112</v>
      </c>
      <c r="D38" s="33">
        <f t="shared" si="2"/>
        <v>45540.020208333335</v>
      </c>
      <c r="E38" s="34">
        <v>205.1</v>
      </c>
      <c r="G38" s="16">
        <v>8.1066666666666674</v>
      </c>
      <c r="M38" s="24"/>
    </row>
    <row r="39" spans="1:13" hidden="1" x14ac:dyDescent="0.2">
      <c r="A39" s="24">
        <v>45540.942430555559</v>
      </c>
      <c r="B39" s="24">
        <f t="shared" si="0"/>
        <v>45540.692430555559</v>
      </c>
      <c r="C39" s="32">
        <f t="shared" si="1"/>
        <v>45540.692430555559</v>
      </c>
      <c r="D39" s="33">
        <f t="shared" si="2"/>
        <v>45540.020902777782</v>
      </c>
      <c r="E39" s="34">
        <v>205.3</v>
      </c>
      <c r="G39" s="16">
        <v>8.1033333333333335</v>
      </c>
      <c r="M39" s="24"/>
    </row>
    <row r="40" spans="1:13" hidden="1" x14ac:dyDescent="0.2">
      <c r="A40" s="24">
        <v>45540.943124999998</v>
      </c>
      <c r="B40" s="24">
        <f t="shared" si="0"/>
        <v>45540.693124999998</v>
      </c>
      <c r="C40" s="32">
        <f t="shared" si="1"/>
        <v>45540.693124999998</v>
      </c>
      <c r="D40" s="33">
        <f t="shared" si="2"/>
        <v>45540.021597222221</v>
      </c>
      <c r="E40" s="34">
        <v>205.4</v>
      </c>
      <c r="G40" s="16">
        <v>8.1066666666666674</v>
      </c>
      <c r="M40" s="24"/>
    </row>
    <row r="41" spans="1:13" hidden="1" x14ac:dyDescent="0.2">
      <c r="A41" s="24">
        <v>45540.943819444445</v>
      </c>
      <c r="B41" s="24">
        <f t="shared" si="0"/>
        <v>45540.693819444445</v>
      </c>
      <c r="C41" s="32">
        <f t="shared" si="1"/>
        <v>45540.693819444445</v>
      </c>
      <c r="D41" s="33">
        <f t="shared" si="2"/>
        <v>45540.022291666668</v>
      </c>
      <c r="E41" s="34">
        <v>205.3</v>
      </c>
      <c r="G41" s="16">
        <v>8.1</v>
      </c>
      <c r="M41" s="24"/>
    </row>
    <row r="42" spans="1:13" hidden="1" x14ac:dyDescent="0.2">
      <c r="A42" s="24">
        <v>45540.944513888891</v>
      </c>
      <c r="B42" s="24">
        <f t="shared" si="0"/>
        <v>45540.694513888891</v>
      </c>
      <c r="C42" s="32">
        <f t="shared" si="1"/>
        <v>45540.694513888891</v>
      </c>
      <c r="D42" s="33">
        <f t="shared" si="2"/>
        <v>45540.022986111115</v>
      </c>
      <c r="E42" s="34">
        <v>205.3</v>
      </c>
      <c r="G42" s="16">
        <v>8.1033333333333335</v>
      </c>
      <c r="M42" s="24"/>
    </row>
    <row r="43" spans="1:13" hidden="1" x14ac:dyDescent="0.2">
      <c r="A43" s="24">
        <v>45540.945208333331</v>
      </c>
      <c r="B43" s="24">
        <f t="shared" si="0"/>
        <v>45540.695208333331</v>
      </c>
      <c r="C43" s="32">
        <f t="shared" si="1"/>
        <v>45540.695208333331</v>
      </c>
      <c r="D43" s="33">
        <f t="shared" si="2"/>
        <v>45540.023680555554</v>
      </c>
      <c r="E43" s="34">
        <v>205.2</v>
      </c>
      <c r="G43" s="16">
        <v>8.1066666666666674</v>
      </c>
      <c r="M43" s="24"/>
    </row>
    <row r="44" spans="1:13" hidden="1" x14ac:dyDescent="0.2">
      <c r="A44" s="24">
        <v>45540.945902777778</v>
      </c>
      <c r="B44" s="24">
        <f t="shared" si="0"/>
        <v>45540.695902777778</v>
      </c>
      <c r="C44" s="32">
        <f t="shared" si="1"/>
        <v>45540.695902777778</v>
      </c>
      <c r="D44" s="33">
        <f t="shared" si="2"/>
        <v>45540.024375000001</v>
      </c>
      <c r="E44" s="34">
        <v>205.2</v>
      </c>
      <c r="G44" s="16">
        <v>8.1199999999999992</v>
      </c>
      <c r="M44" s="24"/>
    </row>
    <row r="45" spans="1:13" hidden="1" x14ac:dyDescent="0.2">
      <c r="A45" s="24">
        <v>45540.946597222224</v>
      </c>
      <c r="B45" s="24">
        <f t="shared" si="0"/>
        <v>45540.696597222224</v>
      </c>
      <c r="C45" s="32">
        <f t="shared" si="1"/>
        <v>45540.696597222224</v>
      </c>
      <c r="D45" s="33">
        <f t="shared" si="2"/>
        <v>45540.025069444448</v>
      </c>
      <c r="E45" s="34">
        <v>205.3</v>
      </c>
      <c r="G45" s="16">
        <v>8.1166666666666671</v>
      </c>
      <c r="M45" s="24"/>
    </row>
    <row r="46" spans="1:13" hidden="1" x14ac:dyDescent="0.2">
      <c r="A46" s="24">
        <v>45540.947291666664</v>
      </c>
      <c r="B46" s="24">
        <f t="shared" si="0"/>
        <v>45540.697291666664</v>
      </c>
      <c r="C46" s="32">
        <f t="shared" si="1"/>
        <v>45540.697291666664</v>
      </c>
      <c r="D46" s="33">
        <f t="shared" si="2"/>
        <v>45540.025763888887</v>
      </c>
      <c r="E46" s="34">
        <v>205.1</v>
      </c>
      <c r="G46" s="16">
        <v>8.1233333333333348</v>
      </c>
      <c r="M46" s="24"/>
    </row>
    <row r="47" spans="1:13" hidden="1" x14ac:dyDescent="0.2">
      <c r="A47" s="24">
        <v>45540.94798611111</v>
      </c>
      <c r="B47" s="24">
        <f t="shared" si="0"/>
        <v>45540.69798611111</v>
      </c>
      <c r="C47" s="32">
        <f t="shared" si="1"/>
        <v>45540.69798611111</v>
      </c>
      <c r="D47" s="33">
        <f t="shared" si="2"/>
        <v>45540.026458333334</v>
      </c>
      <c r="E47" s="34">
        <v>205.3</v>
      </c>
      <c r="G47" s="16">
        <v>8.1133333333333333</v>
      </c>
      <c r="M47" s="24"/>
    </row>
    <row r="48" spans="1:13" hidden="1" x14ac:dyDescent="0.2">
      <c r="A48" s="24">
        <v>45540.948680555557</v>
      </c>
      <c r="B48" s="24">
        <f t="shared" si="0"/>
        <v>45540.698680555557</v>
      </c>
      <c r="C48" s="32">
        <f t="shared" si="1"/>
        <v>45540.698680555557</v>
      </c>
      <c r="D48" s="33">
        <f t="shared" si="2"/>
        <v>45540.02715277778</v>
      </c>
      <c r="E48" s="34">
        <v>205.2</v>
      </c>
      <c r="G48" s="16">
        <v>8.11</v>
      </c>
      <c r="M48" s="24"/>
    </row>
    <row r="49" spans="1:13" hidden="1" x14ac:dyDescent="0.2">
      <c r="A49" s="24">
        <v>45540.949374999997</v>
      </c>
      <c r="B49" s="24">
        <f t="shared" si="0"/>
        <v>45540.699374999997</v>
      </c>
      <c r="C49" s="32">
        <f t="shared" si="1"/>
        <v>45540.699374999997</v>
      </c>
      <c r="D49" s="33">
        <f t="shared" si="2"/>
        <v>45540.02784722222</v>
      </c>
      <c r="E49" s="34">
        <v>205.3</v>
      </c>
      <c r="G49" s="16">
        <v>8.1199999999999992</v>
      </c>
      <c r="M49" s="24"/>
    </row>
    <row r="50" spans="1:13" hidden="1" x14ac:dyDescent="0.2">
      <c r="A50" s="24">
        <v>45540.950069444443</v>
      </c>
      <c r="B50" s="24">
        <f t="shared" si="0"/>
        <v>45540.700069444443</v>
      </c>
      <c r="C50" s="32">
        <f t="shared" si="1"/>
        <v>45540.700069444443</v>
      </c>
      <c r="D50" s="33">
        <f t="shared" si="2"/>
        <v>45540.028541666667</v>
      </c>
      <c r="E50" s="34">
        <v>205.4</v>
      </c>
      <c r="G50" s="16">
        <v>8.1300000000000008</v>
      </c>
      <c r="M50" s="24"/>
    </row>
    <row r="51" spans="1:13" hidden="1" x14ac:dyDescent="0.2">
      <c r="A51" s="24">
        <v>45540.95076388889</v>
      </c>
      <c r="B51" s="24">
        <f t="shared" si="0"/>
        <v>45540.70076388889</v>
      </c>
      <c r="C51" s="32">
        <f t="shared" si="1"/>
        <v>45540.70076388889</v>
      </c>
      <c r="D51" s="33">
        <f t="shared" si="2"/>
        <v>45540.029236111113</v>
      </c>
      <c r="E51" s="34">
        <v>205.3</v>
      </c>
      <c r="G51" s="16">
        <v>8.1266666666666669</v>
      </c>
      <c r="M51" s="24"/>
    </row>
    <row r="52" spans="1:13" hidden="1" x14ac:dyDescent="0.2">
      <c r="A52" s="24">
        <v>45540.951458333337</v>
      </c>
      <c r="B52" s="24">
        <f t="shared" si="0"/>
        <v>45540.701458333337</v>
      </c>
      <c r="C52" s="32">
        <f t="shared" si="1"/>
        <v>45540.701458333337</v>
      </c>
      <c r="D52" s="33">
        <f t="shared" si="2"/>
        <v>45540.02993055556</v>
      </c>
      <c r="E52" s="34">
        <v>205.4</v>
      </c>
      <c r="G52" s="16">
        <v>8.1366666666666649</v>
      </c>
      <c r="M52" s="24"/>
    </row>
    <row r="53" spans="1:13" hidden="1" x14ac:dyDescent="0.2">
      <c r="A53" s="24">
        <v>45540.952152777776</v>
      </c>
      <c r="B53" s="24">
        <f t="shared" si="0"/>
        <v>45540.702152777776</v>
      </c>
      <c r="C53" s="32">
        <f t="shared" si="1"/>
        <v>45540.702152777776</v>
      </c>
      <c r="D53" s="33">
        <f t="shared" si="2"/>
        <v>45540.030624999999</v>
      </c>
      <c r="E53" s="34">
        <v>205.2</v>
      </c>
      <c r="G53" s="16">
        <v>8.1333333333333329</v>
      </c>
      <c r="M53" s="24"/>
    </row>
    <row r="54" spans="1:13" hidden="1" x14ac:dyDescent="0.2">
      <c r="A54" s="24">
        <v>45540.952847222223</v>
      </c>
      <c r="B54" s="24">
        <f t="shared" si="0"/>
        <v>45540.702847222223</v>
      </c>
      <c r="C54" s="32">
        <f t="shared" si="1"/>
        <v>45540.702847222223</v>
      </c>
      <c r="D54" s="33">
        <f t="shared" si="2"/>
        <v>45540.031319444446</v>
      </c>
      <c r="E54" s="34">
        <v>205.2</v>
      </c>
      <c r="G54" s="16">
        <v>8.1300000000000008</v>
      </c>
      <c r="M54" s="24"/>
    </row>
    <row r="55" spans="1:13" hidden="1" x14ac:dyDescent="0.2">
      <c r="A55" s="24">
        <v>45540.953541666669</v>
      </c>
      <c r="B55" s="24">
        <f t="shared" si="0"/>
        <v>45540.703541666669</v>
      </c>
      <c r="C55" s="32">
        <f t="shared" si="1"/>
        <v>45540.703541666669</v>
      </c>
      <c r="D55" s="33">
        <f t="shared" si="2"/>
        <v>45540.032013888893</v>
      </c>
      <c r="E55" s="34">
        <v>205.3</v>
      </c>
      <c r="G55" s="16">
        <v>8.1266666666666669</v>
      </c>
      <c r="M55" s="24"/>
    </row>
    <row r="56" spans="1:13" hidden="1" x14ac:dyDescent="0.2">
      <c r="A56" s="24">
        <v>45540.954236111109</v>
      </c>
      <c r="B56" s="24">
        <f t="shared" si="0"/>
        <v>45540.704236111109</v>
      </c>
      <c r="C56" s="32">
        <f t="shared" si="1"/>
        <v>45540.704236111109</v>
      </c>
      <c r="D56" s="33">
        <f t="shared" si="2"/>
        <v>45540.032708333332</v>
      </c>
      <c r="E56" s="34">
        <v>205.2</v>
      </c>
      <c r="G56" s="16">
        <v>8.1166666666666671</v>
      </c>
      <c r="M56" s="24"/>
    </row>
    <row r="57" spans="1:13" hidden="1" x14ac:dyDescent="0.2">
      <c r="A57" s="24">
        <v>45540.954930555556</v>
      </c>
      <c r="B57" s="24">
        <f t="shared" si="0"/>
        <v>45540.704930555556</v>
      </c>
      <c r="C57" s="32">
        <f t="shared" si="1"/>
        <v>45540.704930555556</v>
      </c>
      <c r="D57" s="33">
        <f t="shared" si="2"/>
        <v>45540.033402777779</v>
      </c>
      <c r="E57" s="34">
        <v>205.4</v>
      </c>
      <c r="G57" s="16">
        <v>8.1466666666666665</v>
      </c>
      <c r="M57" s="24"/>
    </row>
    <row r="58" spans="1:13" hidden="1" x14ac:dyDescent="0.2">
      <c r="A58" s="24">
        <v>45540.955625000002</v>
      </c>
      <c r="B58" s="24">
        <f t="shared" si="0"/>
        <v>45540.705625000002</v>
      </c>
      <c r="C58" s="32">
        <f t="shared" si="1"/>
        <v>45540.705625000002</v>
      </c>
      <c r="D58" s="33">
        <f t="shared" si="2"/>
        <v>45540.034097222226</v>
      </c>
      <c r="E58" s="34">
        <v>205.2</v>
      </c>
      <c r="G58" s="16">
        <v>8.1333333333333329</v>
      </c>
      <c r="M58" s="24"/>
    </row>
    <row r="59" spans="1:13" hidden="1" x14ac:dyDescent="0.2">
      <c r="A59" s="24">
        <v>45540.956319444442</v>
      </c>
      <c r="B59" s="24">
        <f t="shared" si="0"/>
        <v>45540.706319444442</v>
      </c>
      <c r="C59" s="32">
        <f t="shared" si="1"/>
        <v>45540.706319444442</v>
      </c>
      <c r="D59" s="33">
        <f t="shared" si="2"/>
        <v>45540.034791666665</v>
      </c>
      <c r="E59" s="34">
        <v>205.3</v>
      </c>
      <c r="G59" s="16">
        <v>8.14</v>
      </c>
      <c r="M59" s="24"/>
    </row>
    <row r="60" spans="1:13" hidden="1" x14ac:dyDescent="0.2">
      <c r="A60" s="24">
        <v>45540.957013888888</v>
      </c>
      <c r="B60" s="24">
        <f t="shared" si="0"/>
        <v>45540.707013888888</v>
      </c>
      <c r="C60" s="32">
        <f t="shared" si="1"/>
        <v>45540.707013888888</v>
      </c>
      <c r="D60" s="33">
        <f t="shared" si="2"/>
        <v>45540.035486111112</v>
      </c>
      <c r="E60" s="34">
        <v>205.2</v>
      </c>
      <c r="G60" s="16">
        <v>8.1366666666666685</v>
      </c>
      <c r="M60" s="24"/>
    </row>
    <row r="61" spans="1:13" hidden="1" x14ac:dyDescent="0.2">
      <c r="A61" s="24">
        <v>45540.957708333335</v>
      </c>
      <c r="B61" s="24">
        <f t="shared" si="0"/>
        <v>45540.707708333335</v>
      </c>
      <c r="C61" s="32">
        <f t="shared" si="1"/>
        <v>45540.707708333335</v>
      </c>
      <c r="D61" s="33">
        <f t="shared" si="2"/>
        <v>45540.036180555559</v>
      </c>
      <c r="E61" s="34">
        <v>205.3</v>
      </c>
      <c r="G61" s="16">
        <v>8.1566666666666681</v>
      </c>
      <c r="M61" s="24"/>
    </row>
    <row r="62" spans="1:13" hidden="1" x14ac:dyDescent="0.2">
      <c r="A62" s="24">
        <v>45540.958402777775</v>
      </c>
      <c r="B62" s="24">
        <f t="shared" si="0"/>
        <v>45540.708402777775</v>
      </c>
      <c r="C62" s="32">
        <f t="shared" si="1"/>
        <v>45540.708402777775</v>
      </c>
      <c r="D62" s="33">
        <f t="shared" si="2"/>
        <v>45540.036874999998</v>
      </c>
      <c r="E62" s="34">
        <v>205.2</v>
      </c>
      <c r="G62" s="16">
        <v>8.1466666666666665</v>
      </c>
      <c r="M62" s="24"/>
    </row>
    <row r="63" spans="1:13" hidden="1" x14ac:dyDescent="0.2">
      <c r="A63" s="24">
        <v>45540.959097222221</v>
      </c>
      <c r="B63" s="24">
        <f t="shared" si="0"/>
        <v>45540.709097222221</v>
      </c>
      <c r="C63" s="32">
        <f t="shared" si="1"/>
        <v>45540.709097222221</v>
      </c>
      <c r="D63" s="33">
        <f t="shared" si="2"/>
        <v>45540.037569444445</v>
      </c>
      <c r="E63" s="34">
        <v>205.4</v>
      </c>
      <c r="G63" s="16">
        <v>8.1466666666666665</v>
      </c>
      <c r="M63" s="24"/>
    </row>
    <row r="64" spans="1:13" hidden="1" x14ac:dyDescent="0.2">
      <c r="A64" s="24">
        <v>45540.959791666668</v>
      </c>
      <c r="B64" s="24">
        <f t="shared" si="0"/>
        <v>45540.709791666668</v>
      </c>
      <c r="C64" s="32">
        <f t="shared" si="1"/>
        <v>45540.709791666668</v>
      </c>
      <c r="D64" s="33">
        <f t="shared" si="2"/>
        <v>45540.038263888891</v>
      </c>
      <c r="E64" s="34">
        <v>205.4</v>
      </c>
      <c r="G64" s="16">
        <v>8.1433333333333326</v>
      </c>
      <c r="M64" s="24"/>
    </row>
    <row r="65" spans="1:13" hidden="1" x14ac:dyDescent="0.2">
      <c r="A65" s="24">
        <v>45540.960486111115</v>
      </c>
      <c r="B65" s="24">
        <f t="shared" si="0"/>
        <v>45540.710486111115</v>
      </c>
      <c r="C65" s="32">
        <f t="shared" si="1"/>
        <v>45540.710486111115</v>
      </c>
      <c r="D65" s="33">
        <f t="shared" si="2"/>
        <v>45540.038958333338</v>
      </c>
      <c r="E65" s="34">
        <v>205.2</v>
      </c>
      <c r="G65" s="16">
        <v>8.1566666666666681</v>
      </c>
      <c r="M65" s="24"/>
    </row>
    <row r="66" spans="1:13" hidden="1" x14ac:dyDescent="0.2">
      <c r="A66" s="24">
        <v>45540.961180555554</v>
      </c>
      <c r="B66" s="24">
        <f t="shared" si="0"/>
        <v>45540.711180555554</v>
      </c>
      <c r="C66" s="32">
        <f t="shared" si="1"/>
        <v>45540.711180555554</v>
      </c>
      <c r="D66" s="33">
        <f t="shared" si="2"/>
        <v>45540.039652777778</v>
      </c>
      <c r="E66" s="34">
        <v>205.3</v>
      </c>
      <c r="G66" s="16">
        <v>8.1600000000000019</v>
      </c>
      <c r="M66" s="24"/>
    </row>
    <row r="67" spans="1:13" hidden="1" x14ac:dyDescent="0.2">
      <c r="A67" s="24">
        <v>45540.961875000001</v>
      </c>
      <c r="B67" s="24">
        <f t="shared" si="0"/>
        <v>45540.711875000001</v>
      </c>
      <c r="C67" s="32">
        <f t="shared" si="1"/>
        <v>45540.711875000001</v>
      </c>
      <c r="D67" s="33">
        <f t="shared" si="2"/>
        <v>45540.040347222224</v>
      </c>
      <c r="E67" s="34">
        <v>205.2</v>
      </c>
      <c r="G67" s="16">
        <v>8.14</v>
      </c>
      <c r="M67" s="24"/>
    </row>
    <row r="68" spans="1:13" hidden="1" x14ac:dyDescent="0.2">
      <c r="A68" s="24">
        <v>45540.962569444448</v>
      </c>
      <c r="B68" s="24">
        <f t="shared" si="0"/>
        <v>45540.712569444448</v>
      </c>
      <c r="C68" s="32">
        <f t="shared" si="1"/>
        <v>45540.712569444448</v>
      </c>
      <c r="D68" s="33">
        <f t="shared" si="2"/>
        <v>45540.041041666671</v>
      </c>
      <c r="E68" s="34">
        <v>205.4</v>
      </c>
      <c r="G68" s="16">
        <v>8.1499999999999986</v>
      </c>
      <c r="M68" s="24"/>
    </row>
    <row r="69" spans="1:13" hidden="1" x14ac:dyDescent="0.2">
      <c r="A69" s="24">
        <v>45540.963263888887</v>
      </c>
      <c r="B69" s="24">
        <f t="shared" si="0"/>
        <v>45540.713263888887</v>
      </c>
      <c r="C69" s="32">
        <f t="shared" si="1"/>
        <v>45540.713263888887</v>
      </c>
      <c r="D69" s="33">
        <f t="shared" si="2"/>
        <v>45540.04173611111</v>
      </c>
      <c r="E69" s="34">
        <v>205.3</v>
      </c>
      <c r="G69" s="16">
        <v>8.1566666666666663</v>
      </c>
      <c r="M69" s="24"/>
    </row>
    <row r="70" spans="1:13" hidden="1" x14ac:dyDescent="0.2">
      <c r="A70" s="24">
        <v>45540.963958333334</v>
      </c>
      <c r="B70" s="24">
        <f t="shared" si="0"/>
        <v>45540.713958333334</v>
      </c>
      <c r="C70" s="32">
        <f t="shared" si="1"/>
        <v>45540.713958333334</v>
      </c>
      <c r="D70" s="33">
        <f t="shared" si="2"/>
        <v>45540.042430555557</v>
      </c>
      <c r="E70" s="34">
        <v>205.3</v>
      </c>
      <c r="G70" s="16">
        <v>8.1399999999999988</v>
      </c>
      <c r="M70" s="24"/>
    </row>
    <row r="71" spans="1:13" hidden="1" x14ac:dyDescent="0.2">
      <c r="A71" s="24">
        <v>45540.96465277778</v>
      </c>
      <c r="B71" s="24">
        <f t="shared" si="0"/>
        <v>45540.71465277778</v>
      </c>
      <c r="C71" s="32">
        <f t="shared" si="1"/>
        <v>45540.71465277778</v>
      </c>
      <c r="D71" s="33">
        <f t="shared" si="2"/>
        <v>45540.043125000004</v>
      </c>
      <c r="E71" s="34">
        <v>205.3</v>
      </c>
      <c r="G71" s="16">
        <v>8.1433333333333326</v>
      </c>
      <c r="M71" s="24"/>
    </row>
    <row r="72" spans="1:13" hidden="1" x14ac:dyDescent="0.2">
      <c r="A72" s="24">
        <v>45540.96534722222</v>
      </c>
      <c r="B72" s="24">
        <f t="shared" si="0"/>
        <v>45540.71534722222</v>
      </c>
      <c r="C72" s="32">
        <f t="shared" si="1"/>
        <v>45540.71534722222</v>
      </c>
      <c r="D72" s="33">
        <f t="shared" si="2"/>
        <v>45540.043819444443</v>
      </c>
      <c r="E72" s="34">
        <v>205.4</v>
      </c>
      <c r="G72" s="16">
        <v>8.1466666666666665</v>
      </c>
      <c r="M72" s="24"/>
    </row>
    <row r="73" spans="1:13" hidden="1" x14ac:dyDescent="0.2">
      <c r="A73" s="24">
        <v>45540.966041666667</v>
      </c>
      <c r="B73" s="24">
        <f t="shared" ref="B73:B136" si="3">A73-$A$3</f>
        <v>45540.716041666667</v>
      </c>
      <c r="C73" s="32">
        <f t="shared" ref="C73:C136" si="4">B73</f>
        <v>45540.716041666667</v>
      </c>
      <c r="D73" s="33">
        <f t="shared" si="2"/>
        <v>45540.04451388889</v>
      </c>
      <c r="E73" s="34">
        <v>205.3</v>
      </c>
      <c r="G73" s="16">
        <v>8.163333333333334</v>
      </c>
      <c r="M73" s="24"/>
    </row>
    <row r="74" spans="1:13" hidden="1" x14ac:dyDescent="0.2">
      <c r="A74" s="24">
        <v>45540.966736111113</v>
      </c>
      <c r="B74" s="24">
        <f t="shared" si="3"/>
        <v>45540.716736111113</v>
      </c>
      <c r="C74" s="32">
        <f t="shared" si="4"/>
        <v>45540.716736111113</v>
      </c>
      <c r="D74" s="33">
        <f t="shared" ref="D74:D137" si="5">C74-$E$2</f>
        <v>45540.045208333337</v>
      </c>
      <c r="E74" s="34">
        <v>205.4</v>
      </c>
      <c r="G74" s="16">
        <v>8.1633333333333322</v>
      </c>
      <c r="M74" s="24"/>
    </row>
    <row r="75" spans="1:13" hidden="1" x14ac:dyDescent="0.2">
      <c r="A75" s="24">
        <v>45540.967430555553</v>
      </c>
      <c r="B75" s="24">
        <f t="shared" si="3"/>
        <v>45540.717430555553</v>
      </c>
      <c r="C75" s="32">
        <f t="shared" si="4"/>
        <v>45540.717430555553</v>
      </c>
      <c r="D75" s="33">
        <f t="shared" si="5"/>
        <v>45540.045902777776</v>
      </c>
      <c r="E75" s="34">
        <v>205.3</v>
      </c>
      <c r="G75" s="16">
        <v>8.1466666666666683</v>
      </c>
      <c r="M75" s="24"/>
    </row>
    <row r="76" spans="1:13" hidden="1" x14ac:dyDescent="0.2">
      <c r="A76" s="24">
        <v>45540.968124999999</v>
      </c>
      <c r="B76" s="24">
        <f t="shared" si="3"/>
        <v>45540.718124999999</v>
      </c>
      <c r="C76" s="32">
        <f t="shared" si="4"/>
        <v>45540.718124999999</v>
      </c>
      <c r="D76" s="33">
        <f t="shared" si="5"/>
        <v>45540.046597222223</v>
      </c>
      <c r="E76" s="34">
        <v>205.3</v>
      </c>
      <c r="G76" s="16">
        <v>8.1566666666666681</v>
      </c>
      <c r="M76" s="24"/>
    </row>
    <row r="77" spans="1:13" hidden="1" x14ac:dyDescent="0.2">
      <c r="A77" s="24">
        <v>45540.968819444446</v>
      </c>
      <c r="B77" s="24">
        <f t="shared" si="3"/>
        <v>45540.718819444446</v>
      </c>
      <c r="C77" s="32">
        <f t="shared" si="4"/>
        <v>45540.718819444446</v>
      </c>
      <c r="D77" s="33">
        <f t="shared" si="5"/>
        <v>45540.047291666669</v>
      </c>
      <c r="E77" s="34">
        <v>205.5</v>
      </c>
      <c r="G77" s="16">
        <v>8.15</v>
      </c>
      <c r="M77" s="24"/>
    </row>
    <row r="78" spans="1:13" hidden="1" x14ac:dyDescent="0.2">
      <c r="A78" s="24">
        <v>45540.969513888886</v>
      </c>
      <c r="B78" s="24">
        <f t="shared" si="3"/>
        <v>45540.719513888886</v>
      </c>
      <c r="C78" s="32">
        <f t="shared" si="4"/>
        <v>45540.719513888886</v>
      </c>
      <c r="D78" s="33">
        <f t="shared" si="5"/>
        <v>45540.047986111109</v>
      </c>
      <c r="E78" s="34">
        <v>205.3</v>
      </c>
      <c r="G78" s="16">
        <v>8.16</v>
      </c>
      <c r="M78" s="24"/>
    </row>
    <row r="79" spans="1:13" hidden="1" x14ac:dyDescent="0.2">
      <c r="A79" s="24">
        <v>45540.970208333332</v>
      </c>
      <c r="B79" s="24">
        <f t="shared" si="3"/>
        <v>45540.720208333332</v>
      </c>
      <c r="C79" s="32">
        <f t="shared" si="4"/>
        <v>45540.720208333332</v>
      </c>
      <c r="D79" s="33">
        <f t="shared" si="5"/>
        <v>45540.048680555556</v>
      </c>
      <c r="E79" s="34">
        <v>205.4</v>
      </c>
      <c r="G79" s="16">
        <v>8.16</v>
      </c>
      <c r="M79" s="24"/>
    </row>
    <row r="80" spans="1:13" hidden="1" x14ac:dyDescent="0.2">
      <c r="A80" s="24">
        <v>45540.970902777779</v>
      </c>
      <c r="B80" s="24">
        <f t="shared" si="3"/>
        <v>45540.720902777779</v>
      </c>
      <c r="C80" s="32">
        <f t="shared" si="4"/>
        <v>45540.720902777779</v>
      </c>
      <c r="D80" s="33">
        <f t="shared" si="5"/>
        <v>45540.049375000002</v>
      </c>
      <c r="E80" s="34">
        <v>205.3</v>
      </c>
      <c r="G80" s="16">
        <v>8.163333333333334</v>
      </c>
      <c r="M80" s="24"/>
    </row>
    <row r="81" spans="1:13" hidden="1" x14ac:dyDescent="0.2">
      <c r="A81" s="24">
        <v>45540.971597222226</v>
      </c>
      <c r="B81" s="24">
        <f t="shared" si="3"/>
        <v>45540.721597222226</v>
      </c>
      <c r="C81" s="32">
        <f t="shared" si="4"/>
        <v>45540.721597222226</v>
      </c>
      <c r="D81" s="33">
        <f t="shared" si="5"/>
        <v>45540.050069444449</v>
      </c>
      <c r="E81" s="34">
        <v>205.3</v>
      </c>
      <c r="G81" s="16">
        <v>8.1733333333333338</v>
      </c>
      <c r="M81" s="24"/>
    </row>
    <row r="82" spans="1:13" hidden="1" x14ac:dyDescent="0.2">
      <c r="A82" s="24">
        <v>45540.972291666665</v>
      </c>
      <c r="B82" s="24">
        <f t="shared" si="3"/>
        <v>45540.722291666665</v>
      </c>
      <c r="C82" s="32">
        <f t="shared" si="4"/>
        <v>45540.722291666665</v>
      </c>
      <c r="D82" s="33">
        <f t="shared" si="5"/>
        <v>45540.050763888888</v>
      </c>
      <c r="E82" s="34">
        <v>205.2</v>
      </c>
      <c r="G82" s="16">
        <v>8.1766666666666676</v>
      </c>
      <c r="M82" s="24"/>
    </row>
    <row r="83" spans="1:13" hidden="1" x14ac:dyDescent="0.2">
      <c r="A83" s="24">
        <v>45540.972986111112</v>
      </c>
      <c r="B83" s="24">
        <f t="shared" si="3"/>
        <v>45540.722986111112</v>
      </c>
      <c r="C83" s="32">
        <f t="shared" si="4"/>
        <v>45540.722986111112</v>
      </c>
      <c r="D83" s="33">
        <f t="shared" si="5"/>
        <v>45540.051458333335</v>
      </c>
      <c r="E83" s="34">
        <v>205.5</v>
      </c>
      <c r="G83" s="16">
        <v>8.1733333333333338</v>
      </c>
      <c r="M83" s="24"/>
    </row>
    <row r="84" spans="1:13" hidden="1" x14ac:dyDescent="0.2">
      <c r="A84" s="24">
        <v>45540.973680555559</v>
      </c>
      <c r="B84" s="24">
        <f t="shared" si="3"/>
        <v>45540.723680555559</v>
      </c>
      <c r="C84" s="32">
        <f t="shared" si="4"/>
        <v>45540.723680555559</v>
      </c>
      <c r="D84" s="33">
        <f t="shared" si="5"/>
        <v>45540.052152777782</v>
      </c>
      <c r="E84" s="34">
        <v>205.4</v>
      </c>
      <c r="G84" s="16">
        <v>8.17</v>
      </c>
      <c r="M84" s="24"/>
    </row>
    <row r="85" spans="1:13" hidden="1" x14ac:dyDescent="0.2">
      <c r="A85" s="24">
        <v>45540.974374999998</v>
      </c>
      <c r="B85" s="24">
        <f t="shared" si="3"/>
        <v>45540.724374999998</v>
      </c>
      <c r="C85" s="32">
        <f t="shared" si="4"/>
        <v>45540.724374999998</v>
      </c>
      <c r="D85" s="33">
        <f t="shared" si="5"/>
        <v>45540.052847222221</v>
      </c>
      <c r="E85" s="34">
        <v>205.4</v>
      </c>
      <c r="G85" s="16">
        <v>8.1833333333333318</v>
      </c>
      <c r="M85" s="24"/>
    </row>
    <row r="86" spans="1:13" hidden="1" x14ac:dyDescent="0.2">
      <c r="A86" s="24">
        <v>45540.975069444445</v>
      </c>
      <c r="B86" s="24">
        <f t="shared" si="3"/>
        <v>45540.725069444445</v>
      </c>
      <c r="C86" s="32">
        <f t="shared" si="4"/>
        <v>45540.725069444445</v>
      </c>
      <c r="D86" s="33">
        <f t="shared" si="5"/>
        <v>45540.053541666668</v>
      </c>
      <c r="E86" s="34">
        <v>205.3</v>
      </c>
      <c r="G86" s="16">
        <v>8.163333333333334</v>
      </c>
      <c r="M86" s="24"/>
    </row>
    <row r="87" spans="1:13" hidden="1" x14ac:dyDescent="0.2">
      <c r="A87" s="24">
        <v>45540.975763888891</v>
      </c>
      <c r="B87" s="24">
        <f t="shared" si="3"/>
        <v>45540.725763888891</v>
      </c>
      <c r="C87" s="32">
        <f t="shared" si="4"/>
        <v>45540.725763888891</v>
      </c>
      <c r="D87" s="33">
        <f t="shared" si="5"/>
        <v>45540.054236111115</v>
      </c>
      <c r="E87" s="34">
        <v>205.4</v>
      </c>
      <c r="G87" s="16">
        <v>8.1866666666666674</v>
      </c>
      <c r="M87" s="24"/>
    </row>
    <row r="88" spans="1:13" hidden="1" x14ac:dyDescent="0.2">
      <c r="A88" s="24">
        <v>45540.976458333331</v>
      </c>
      <c r="B88" s="24">
        <f t="shared" si="3"/>
        <v>45540.726458333331</v>
      </c>
      <c r="C88" s="32">
        <f t="shared" si="4"/>
        <v>45540.726458333331</v>
      </c>
      <c r="D88" s="33">
        <f t="shared" si="5"/>
        <v>45540.054930555554</v>
      </c>
      <c r="E88" s="34">
        <v>205.5</v>
      </c>
      <c r="G88" s="16">
        <v>8.1766666666666676</v>
      </c>
      <c r="M88" s="24"/>
    </row>
    <row r="89" spans="1:13" hidden="1" x14ac:dyDescent="0.2">
      <c r="A89" s="24">
        <v>45540.977152777778</v>
      </c>
      <c r="B89" s="24">
        <f t="shared" si="3"/>
        <v>45540.727152777778</v>
      </c>
      <c r="C89" s="32">
        <f t="shared" si="4"/>
        <v>45540.727152777778</v>
      </c>
      <c r="D89" s="33">
        <f t="shared" si="5"/>
        <v>45540.055625000001</v>
      </c>
      <c r="E89" s="34">
        <v>205.4</v>
      </c>
      <c r="G89" s="16">
        <v>8.1866666666666656</v>
      </c>
      <c r="M89" s="24"/>
    </row>
    <row r="90" spans="1:13" hidden="1" x14ac:dyDescent="0.2">
      <c r="A90" s="24">
        <v>45540.977847222224</v>
      </c>
      <c r="B90" s="24">
        <f t="shared" si="3"/>
        <v>45540.727847222224</v>
      </c>
      <c r="C90" s="32">
        <f t="shared" si="4"/>
        <v>45540.727847222224</v>
      </c>
      <c r="D90" s="33">
        <f t="shared" si="5"/>
        <v>45540.056319444448</v>
      </c>
      <c r="E90" s="34">
        <v>205.4</v>
      </c>
      <c r="G90" s="16">
        <v>8.1999999999999993</v>
      </c>
      <c r="M90" s="24"/>
    </row>
    <row r="91" spans="1:13" hidden="1" x14ac:dyDescent="0.2">
      <c r="A91" s="24">
        <v>45540.978541666664</v>
      </c>
      <c r="B91" s="24">
        <f t="shared" si="3"/>
        <v>45540.728541666664</v>
      </c>
      <c r="C91" s="32">
        <f t="shared" si="4"/>
        <v>45540.728541666664</v>
      </c>
      <c r="D91" s="33">
        <f t="shared" si="5"/>
        <v>45540.057013888887</v>
      </c>
      <c r="E91" s="34">
        <v>205.4</v>
      </c>
      <c r="G91" s="16">
        <v>8.19</v>
      </c>
      <c r="M91" s="24"/>
    </row>
    <row r="92" spans="1:13" hidden="1" x14ac:dyDescent="0.2">
      <c r="A92" s="24">
        <v>45540.97923611111</v>
      </c>
      <c r="B92" s="24">
        <f t="shared" si="3"/>
        <v>45540.72923611111</v>
      </c>
      <c r="C92" s="32">
        <f t="shared" si="4"/>
        <v>45540.72923611111</v>
      </c>
      <c r="D92" s="33">
        <f t="shared" si="5"/>
        <v>45540.057708333334</v>
      </c>
      <c r="E92" s="34">
        <v>205.4</v>
      </c>
      <c r="G92" s="16">
        <v>8.18</v>
      </c>
      <c r="M92" s="24"/>
    </row>
    <row r="93" spans="1:13" hidden="1" x14ac:dyDescent="0.2">
      <c r="A93" s="24">
        <v>45540.979930555557</v>
      </c>
      <c r="B93" s="24">
        <f t="shared" si="3"/>
        <v>45540.729930555557</v>
      </c>
      <c r="C93" s="32">
        <f t="shared" si="4"/>
        <v>45540.729930555557</v>
      </c>
      <c r="D93" s="33">
        <f t="shared" si="5"/>
        <v>45540.05840277778</v>
      </c>
      <c r="E93" s="34">
        <v>205.3</v>
      </c>
      <c r="G93" s="16">
        <v>8.1766666666666676</v>
      </c>
      <c r="M93" s="24"/>
    </row>
    <row r="94" spans="1:13" hidden="1" x14ac:dyDescent="0.2">
      <c r="A94" s="24">
        <v>45540.980624999997</v>
      </c>
      <c r="B94" s="24">
        <f t="shared" si="3"/>
        <v>45540.730624999997</v>
      </c>
      <c r="C94" s="32">
        <f t="shared" si="4"/>
        <v>45540.730624999997</v>
      </c>
      <c r="D94" s="33">
        <f t="shared" si="5"/>
        <v>45540.05909722222</v>
      </c>
      <c r="E94" s="34">
        <v>205.4</v>
      </c>
      <c r="G94" s="16">
        <v>8.1833333333333318</v>
      </c>
      <c r="M94" s="24"/>
    </row>
    <row r="95" spans="1:13" hidden="1" x14ac:dyDescent="0.2">
      <c r="A95" s="24">
        <v>45540.981319444443</v>
      </c>
      <c r="B95" s="24">
        <f t="shared" si="3"/>
        <v>45540.731319444443</v>
      </c>
      <c r="C95" s="32">
        <f t="shared" si="4"/>
        <v>45540.731319444443</v>
      </c>
      <c r="D95" s="33">
        <f t="shared" si="5"/>
        <v>45540.059791666667</v>
      </c>
      <c r="E95" s="34">
        <v>205.4</v>
      </c>
      <c r="G95" s="16">
        <v>8.19</v>
      </c>
      <c r="M95" s="24"/>
    </row>
    <row r="96" spans="1:13" hidden="1" x14ac:dyDescent="0.2">
      <c r="A96" s="24">
        <v>45540.98201388889</v>
      </c>
      <c r="B96" s="24">
        <f t="shared" si="3"/>
        <v>45540.73201388889</v>
      </c>
      <c r="C96" s="32">
        <f t="shared" si="4"/>
        <v>45540.73201388889</v>
      </c>
      <c r="D96" s="33">
        <f t="shared" si="5"/>
        <v>45540.060486111113</v>
      </c>
      <c r="E96" s="34">
        <v>205.4</v>
      </c>
      <c r="G96" s="16">
        <v>8.19</v>
      </c>
      <c r="M96" s="24"/>
    </row>
    <row r="97" spans="1:13" hidden="1" x14ac:dyDescent="0.2">
      <c r="A97" s="24">
        <v>45540.982708333337</v>
      </c>
      <c r="B97" s="24">
        <f t="shared" si="3"/>
        <v>45540.732708333337</v>
      </c>
      <c r="C97" s="32">
        <f t="shared" si="4"/>
        <v>45540.732708333337</v>
      </c>
      <c r="D97" s="33">
        <f t="shared" si="5"/>
        <v>45540.06118055556</v>
      </c>
      <c r="E97" s="34">
        <v>205.4</v>
      </c>
      <c r="G97" s="16">
        <v>8.1833333333333318</v>
      </c>
      <c r="M97" s="24"/>
    </row>
    <row r="98" spans="1:13" hidden="1" x14ac:dyDescent="0.2">
      <c r="A98" s="24">
        <v>45540.983402777776</v>
      </c>
      <c r="B98" s="24">
        <f t="shared" si="3"/>
        <v>45540.733402777776</v>
      </c>
      <c r="C98" s="32">
        <f t="shared" si="4"/>
        <v>45540.733402777776</v>
      </c>
      <c r="D98" s="33">
        <f t="shared" si="5"/>
        <v>45540.061874999999</v>
      </c>
      <c r="E98" s="34">
        <v>205.4</v>
      </c>
      <c r="G98" s="16">
        <v>8.1766666666666676</v>
      </c>
      <c r="M98" s="24"/>
    </row>
    <row r="99" spans="1:13" hidden="1" x14ac:dyDescent="0.2">
      <c r="A99" s="24">
        <v>45540.984097222223</v>
      </c>
      <c r="B99" s="24">
        <f t="shared" si="3"/>
        <v>45540.734097222223</v>
      </c>
      <c r="C99" s="32">
        <f t="shared" si="4"/>
        <v>45540.734097222223</v>
      </c>
      <c r="D99" s="33">
        <f t="shared" si="5"/>
        <v>45540.062569444446</v>
      </c>
      <c r="E99" s="34">
        <v>205.5</v>
      </c>
      <c r="G99" s="16">
        <v>8.19</v>
      </c>
      <c r="M99" s="24"/>
    </row>
    <row r="100" spans="1:13" hidden="1" x14ac:dyDescent="0.2">
      <c r="A100" s="24">
        <v>45540.984791666669</v>
      </c>
      <c r="B100" s="24">
        <f t="shared" si="3"/>
        <v>45540.734791666669</v>
      </c>
      <c r="C100" s="32">
        <f t="shared" si="4"/>
        <v>45540.734791666669</v>
      </c>
      <c r="D100" s="33">
        <f t="shared" si="5"/>
        <v>45540.063263888893</v>
      </c>
      <c r="E100" s="34">
        <v>205.5</v>
      </c>
      <c r="G100" s="16">
        <v>8.19</v>
      </c>
      <c r="M100" s="24"/>
    </row>
    <row r="101" spans="1:13" hidden="1" x14ac:dyDescent="0.2">
      <c r="A101" s="24">
        <v>45540.985486111109</v>
      </c>
      <c r="B101" s="24">
        <f t="shared" si="3"/>
        <v>45540.735486111109</v>
      </c>
      <c r="C101" s="32">
        <f t="shared" si="4"/>
        <v>45540.735486111109</v>
      </c>
      <c r="D101" s="33">
        <f t="shared" si="5"/>
        <v>45540.063958333332</v>
      </c>
      <c r="E101" s="34">
        <v>205.3</v>
      </c>
      <c r="G101" s="16">
        <v>8.1766666666666676</v>
      </c>
      <c r="M101" s="24"/>
    </row>
    <row r="102" spans="1:13" hidden="1" x14ac:dyDescent="0.2">
      <c r="A102" s="24">
        <v>45540.986180555556</v>
      </c>
      <c r="B102" s="24">
        <f t="shared" si="3"/>
        <v>45540.736180555556</v>
      </c>
      <c r="C102" s="32">
        <f t="shared" si="4"/>
        <v>45540.736180555556</v>
      </c>
      <c r="D102" s="33">
        <f t="shared" si="5"/>
        <v>45540.064652777779</v>
      </c>
      <c r="E102" s="34">
        <v>205.4</v>
      </c>
      <c r="G102" s="16">
        <v>8.18</v>
      </c>
      <c r="M102" s="24"/>
    </row>
    <row r="103" spans="1:13" hidden="1" x14ac:dyDescent="0.2">
      <c r="A103" s="24">
        <v>45540.986875000002</v>
      </c>
      <c r="B103" s="24">
        <f t="shared" si="3"/>
        <v>45540.736875000002</v>
      </c>
      <c r="C103" s="32">
        <f t="shared" si="4"/>
        <v>45540.736875000002</v>
      </c>
      <c r="D103" s="33">
        <f t="shared" si="5"/>
        <v>45540.065347222226</v>
      </c>
      <c r="E103" s="34">
        <v>205.4</v>
      </c>
      <c r="G103" s="16">
        <v>8.1766666666666676</v>
      </c>
      <c r="M103" s="24"/>
    </row>
    <row r="104" spans="1:13" hidden="1" x14ac:dyDescent="0.2">
      <c r="A104" s="24">
        <v>45540.987569444442</v>
      </c>
      <c r="B104" s="24">
        <f t="shared" si="3"/>
        <v>45540.737569444442</v>
      </c>
      <c r="C104" s="32">
        <f t="shared" si="4"/>
        <v>45540.737569444442</v>
      </c>
      <c r="D104" s="33">
        <f t="shared" si="5"/>
        <v>45540.066041666665</v>
      </c>
      <c r="E104" s="34">
        <v>205.6</v>
      </c>
      <c r="G104" s="16">
        <v>8.1933333333333334</v>
      </c>
      <c r="M104" s="24"/>
    </row>
    <row r="105" spans="1:13" hidden="1" x14ac:dyDescent="0.2">
      <c r="A105" s="24">
        <v>45540.988263888888</v>
      </c>
      <c r="B105" s="24">
        <f t="shared" si="3"/>
        <v>45540.738263888888</v>
      </c>
      <c r="C105" s="32">
        <f t="shared" si="4"/>
        <v>45540.738263888888</v>
      </c>
      <c r="D105" s="33">
        <f t="shared" si="5"/>
        <v>45540.066736111112</v>
      </c>
      <c r="E105" s="34">
        <v>205.4</v>
      </c>
      <c r="G105" s="16">
        <v>8.1766666666666676</v>
      </c>
      <c r="M105" s="24"/>
    </row>
    <row r="106" spans="1:13" hidden="1" x14ac:dyDescent="0.2">
      <c r="A106" s="24">
        <v>45540.988958333335</v>
      </c>
      <c r="B106" s="24">
        <f t="shared" si="3"/>
        <v>45540.738958333335</v>
      </c>
      <c r="C106" s="32">
        <f t="shared" si="4"/>
        <v>45540.738958333335</v>
      </c>
      <c r="D106" s="33">
        <f t="shared" si="5"/>
        <v>45540.067430555559</v>
      </c>
      <c r="E106" s="34">
        <v>205.5</v>
      </c>
      <c r="G106" s="16">
        <v>8.19</v>
      </c>
      <c r="M106" s="24"/>
    </row>
    <row r="107" spans="1:13" hidden="1" x14ac:dyDescent="0.2">
      <c r="A107" s="24">
        <v>45540.989652777775</v>
      </c>
      <c r="B107" s="24">
        <f t="shared" si="3"/>
        <v>45540.739652777775</v>
      </c>
      <c r="C107" s="32">
        <f t="shared" si="4"/>
        <v>45540.739652777775</v>
      </c>
      <c r="D107" s="33">
        <f t="shared" si="5"/>
        <v>45540.068124999998</v>
      </c>
      <c r="E107" s="34">
        <v>205.5</v>
      </c>
      <c r="G107" s="16">
        <v>8.1866666666666656</v>
      </c>
      <c r="M107" s="24"/>
    </row>
    <row r="108" spans="1:13" x14ac:dyDescent="0.2">
      <c r="A108" s="24">
        <v>45540.990347222221</v>
      </c>
      <c r="B108" s="24">
        <f t="shared" si="3"/>
        <v>45540.740347222221</v>
      </c>
      <c r="C108" s="32">
        <f t="shared" si="4"/>
        <v>45540.740347222221</v>
      </c>
      <c r="D108" s="33">
        <f t="shared" si="5"/>
        <v>45540.068819444445</v>
      </c>
      <c r="E108" s="34">
        <v>205.4</v>
      </c>
      <c r="G108" s="16">
        <v>8.19</v>
      </c>
      <c r="M108" s="24"/>
    </row>
    <row r="109" spans="1:13" x14ac:dyDescent="0.2">
      <c r="A109" s="24">
        <v>45540.991041666668</v>
      </c>
      <c r="B109" s="24">
        <f t="shared" si="3"/>
        <v>45540.741041666668</v>
      </c>
      <c r="C109" s="32">
        <f t="shared" si="4"/>
        <v>45540.741041666668</v>
      </c>
      <c r="D109" s="33">
        <f t="shared" si="5"/>
        <v>45540.069513888891</v>
      </c>
      <c r="E109" s="34">
        <v>205.4</v>
      </c>
      <c r="G109" s="16">
        <v>8.1966666666666672</v>
      </c>
      <c r="M109" s="24"/>
    </row>
    <row r="110" spans="1:13" x14ac:dyDescent="0.2">
      <c r="A110" s="24">
        <v>45540.991736111115</v>
      </c>
      <c r="B110" s="24">
        <f t="shared" si="3"/>
        <v>45540.741736111115</v>
      </c>
      <c r="C110" s="32">
        <f t="shared" si="4"/>
        <v>45540.741736111115</v>
      </c>
      <c r="D110" s="33">
        <f t="shared" si="5"/>
        <v>45540.070208333338</v>
      </c>
      <c r="E110" s="34">
        <v>205.4</v>
      </c>
      <c r="G110" s="16">
        <v>8.19</v>
      </c>
      <c r="M110" s="24"/>
    </row>
    <row r="111" spans="1:13" x14ac:dyDescent="0.2">
      <c r="A111" s="24">
        <v>45540.992430555554</v>
      </c>
      <c r="B111" s="24">
        <f t="shared" si="3"/>
        <v>45540.742430555554</v>
      </c>
      <c r="C111" s="32">
        <f t="shared" si="4"/>
        <v>45540.742430555554</v>
      </c>
      <c r="D111" s="33">
        <f t="shared" si="5"/>
        <v>45540.070902777778</v>
      </c>
      <c r="E111" s="34">
        <v>205.3</v>
      </c>
      <c r="G111" s="16">
        <v>8.2033333333333331</v>
      </c>
      <c r="M111" s="24"/>
    </row>
    <row r="112" spans="1:13" x14ac:dyDescent="0.2">
      <c r="A112" s="24">
        <v>45540.993125000001</v>
      </c>
      <c r="B112" s="24">
        <f t="shared" si="3"/>
        <v>45540.743125000001</v>
      </c>
      <c r="C112" s="32">
        <f t="shared" si="4"/>
        <v>45540.743125000001</v>
      </c>
      <c r="D112" s="33">
        <f t="shared" si="5"/>
        <v>45540.071597222224</v>
      </c>
      <c r="E112" s="34">
        <v>205.6</v>
      </c>
      <c r="G112" s="16">
        <v>8.1999999999999993</v>
      </c>
      <c r="M112" s="24"/>
    </row>
    <row r="113" spans="1:13" x14ac:dyDescent="0.2">
      <c r="A113" s="24">
        <v>45540.993819444448</v>
      </c>
      <c r="B113" s="24">
        <f t="shared" si="3"/>
        <v>45540.743819444448</v>
      </c>
      <c r="C113" s="32">
        <f t="shared" si="4"/>
        <v>45540.743819444448</v>
      </c>
      <c r="D113" s="33">
        <f t="shared" si="5"/>
        <v>45540.072291666671</v>
      </c>
      <c r="E113" s="34">
        <v>205.6</v>
      </c>
      <c r="G113" s="16">
        <v>8.2033333333333331</v>
      </c>
      <c r="M113" s="24"/>
    </row>
    <row r="114" spans="1:13" x14ac:dyDescent="0.2">
      <c r="A114" s="35">
        <v>45540.994513888887</v>
      </c>
      <c r="B114" s="35">
        <f t="shared" si="3"/>
        <v>45540.744513888887</v>
      </c>
      <c r="C114" s="36">
        <f t="shared" si="4"/>
        <v>45540.744513888887</v>
      </c>
      <c r="D114" s="37">
        <f t="shared" si="5"/>
        <v>45540.07298611111</v>
      </c>
      <c r="E114" s="38">
        <v>205.6</v>
      </c>
      <c r="F114" s="39"/>
      <c r="G114" s="40">
        <v>8.1966666666666654</v>
      </c>
      <c r="H114" s="39"/>
      <c r="I114" s="39"/>
      <c r="J114" s="39"/>
      <c r="K114" s="39"/>
      <c r="L114" s="39"/>
      <c r="M114" s="24"/>
    </row>
    <row r="115" spans="1:13" x14ac:dyDescent="0.2">
      <c r="A115" s="35">
        <v>45540.995208333334</v>
      </c>
      <c r="B115" s="35">
        <f t="shared" si="3"/>
        <v>45540.745208333334</v>
      </c>
      <c r="C115" s="36">
        <f t="shared" si="4"/>
        <v>45540.745208333334</v>
      </c>
      <c r="D115" s="37">
        <f t="shared" si="5"/>
        <v>45540.073680555557</v>
      </c>
      <c r="E115" s="38">
        <v>205.7</v>
      </c>
      <c r="F115" s="39"/>
      <c r="G115" s="40">
        <v>8.2133333333333329</v>
      </c>
      <c r="H115" s="39"/>
      <c r="I115" s="39"/>
      <c r="J115" s="39"/>
      <c r="K115" s="39"/>
      <c r="L115" s="39"/>
      <c r="M115" s="24"/>
    </row>
    <row r="116" spans="1:13" x14ac:dyDescent="0.2">
      <c r="A116" s="35">
        <v>45540.99590277778</v>
      </c>
      <c r="B116" s="35">
        <f t="shared" si="3"/>
        <v>45540.74590277778</v>
      </c>
      <c r="C116" s="36">
        <f t="shared" si="4"/>
        <v>45540.74590277778</v>
      </c>
      <c r="D116" s="37">
        <f t="shared" si="5"/>
        <v>45540.074375000004</v>
      </c>
      <c r="E116" s="38">
        <v>205.6</v>
      </c>
      <c r="F116" s="39"/>
      <c r="G116" s="40">
        <v>8.2100000000000009</v>
      </c>
      <c r="H116" s="39"/>
      <c r="I116" s="39"/>
      <c r="J116" s="39"/>
      <c r="K116" s="39"/>
      <c r="L116" s="39"/>
      <c r="M116" s="24"/>
    </row>
    <row r="117" spans="1:13" x14ac:dyDescent="0.2">
      <c r="A117" s="35">
        <v>45540.99659722222</v>
      </c>
      <c r="B117" s="35">
        <f t="shared" si="3"/>
        <v>45540.74659722222</v>
      </c>
      <c r="C117" s="36">
        <f t="shared" si="4"/>
        <v>45540.74659722222</v>
      </c>
      <c r="D117" s="37">
        <f t="shared" si="5"/>
        <v>45540.075069444443</v>
      </c>
      <c r="E117" s="38">
        <v>205.6</v>
      </c>
      <c r="F117" s="39"/>
      <c r="G117" s="40">
        <v>8.2233333333333345</v>
      </c>
      <c r="H117" s="39"/>
      <c r="I117" s="39"/>
      <c r="J117" s="39"/>
      <c r="K117" s="39"/>
      <c r="L117" s="39"/>
      <c r="M117" s="24"/>
    </row>
    <row r="118" spans="1:13" x14ac:dyDescent="0.2">
      <c r="A118" s="35">
        <v>45540.997291666667</v>
      </c>
      <c r="B118" s="35">
        <f t="shared" si="3"/>
        <v>45540.747291666667</v>
      </c>
      <c r="C118" s="36">
        <f t="shared" si="4"/>
        <v>45540.747291666667</v>
      </c>
      <c r="D118" s="37">
        <f t="shared" si="5"/>
        <v>45540.07576388889</v>
      </c>
      <c r="E118" s="38">
        <v>205.6</v>
      </c>
      <c r="F118" s="39"/>
      <c r="G118" s="40">
        <v>8.2200000000000006</v>
      </c>
      <c r="H118" s="39"/>
      <c r="I118" s="39"/>
      <c r="J118" s="39"/>
      <c r="K118" s="39"/>
      <c r="L118" s="39"/>
      <c r="M118" s="24"/>
    </row>
    <row r="119" spans="1:13" x14ac:dyDescent="0.2">
      <c r="A119" s="35">
        <v>45540.997986111113</v>
      </c>
      <c r="B119" s="35">
        <f t="shared" si="3"/>
        <v>45540.747986111113</v>
      </c>
      <c r="C119" s="36">
        <f t="shared" si="4"/>
        <v>45540.747986111113</v>
      </c>
      <c r="D119" s="37">
        <f t="shared" si="5"/>
        <v>45540.076458333337</v>
      </c>
      <c r="E119" s="38">
        <v>205.4</v>
      </c>
      <c r="F119" s="39"/>
      <c r="G119" s="40">
        <v>8.2099999999999991</v>
      </c>
      <c r="H119" s="39"/>
      <c r="I119" s="39"/>
      <c r="J119" s="39"/>
      <c r="K119" s="39"/>
      <c r="L119" s="39"/>
      <c r="M119" s="24"/>
    </row>
    <row r="120" spans="1:13" x14ac:dyDescent="0.2">
      <c r="A120" s="35">
        <v>45540.998680555553</v>
      </c>
      <c r="B120" s="35">
        <f t="shared" si="3"/>
        <v>45540.748680555553</v>
      </c>
      <c r="C120" s="36">
        <f t="shared" si="4"/>
        <v>45540.748680555553</v>
      </c>
      <c r="D120" s="37">
        <f t="shared" si="5"/>
        <v>45540.077152777776</v>
      </c>
      <c r="E120" s="38">
        <v>205.7</v>
      </c>
      <c r="F120" s="39"/>
      <c r="G120" s="40">
        <v>8.2200000000000006</v>
      </c>
      <c r="H120" s="39"/>
      <c r="I120" s="39"/>
      <c r="J120" s="39"/>
      <c r="K120" s="39"/>
      <c r="L120" s="39"/>
      <c r="M120" s="24"/>
    </row>
    <row r="121" spans="1:13" x14ac:dyDescent="0.2">
      <c r="A121" s="35">
        <v>45540.999374999999</v>
      </c>
      <c r="B121" s="35">
        <f t="shared" si="3"/>
        <v>45540.749374999999</v>
      </c>
      <c r="C121" s="36">
        <f t="shared" si="4"/>
        <v>45540.749374999999</v>
      </c>
      <c r="D121" s="37">
        <f t="shared" si="5"/>
        <v>45540.077847222223</v>
      </c>
      <c r="E121" s="38">
        <v>205.7</v>
      </c>
      <c r="F121" s="38">
        <f t="shared" ref="F121:F125" si="6">E121-$N$1</f>
        <v>7.4999999999988631E-2</v>
      </c>
      <c r="G121" s="40">
        <v>8.2233333333333345</v>
      </c>
      <c r="H121" s="40">
        <f t="shared" ref="H121:H125" si="7">G121-$N$2</f>
        <v>7.0000000000014495E-3</v>
      </c>
      <c r="I121" s="39"/>
      <c r="J121" s="39"/>
      <c r="K121" s="39"/>
      <c r="L121" s="39"/>
      <c r="M121" s="24"/>
    </row>
    <row r="122" spans="1:13" x14ac:dyDescent="0.2">
      <c r="A122" s="35">
        <v>45541.000069444446</v>
      </c>
      <c r="B122" s="35">
        <f t="shared" si="3"/>
        <v>45540.750069444446</v>
      </c>
      <c r="C122" s="36">
        <f t="shared" si="4"/>
        <v>45540.750069444446</v>
      </c>
      <c r="D122" s="37">
        <f t="shared" si="5"/>
        <v>45540.078541666669</v>
      </c>
      <c r="E122" s="38">
        <v>205.7</v>
      </c>
      <c r="F122" s="38">
        <f t="shared" si="6"/>
        <v>7.4999999999988631E-2</v>
      </c>
      <c r="G122" s="40">
        <v>8.2233333333333345</v>
      </c>
      <c r="H122" s="40">
        <f t="shared" si="7"/>
        <v>7.0000000000014495E-3</v>
      </c>
      <c r="I122" s="39"/>
      <c r="J122" s="39"/>
      <c r="K122" s="39"/>
      <c r="L122" s="39"/>
      <c r="M122" s="24"/>
    </row>
    <row r="123" spans="1:13" x14ac:dyDescent="0.2">
      <c r="A123" s="35">
        <v>45541.000763888886</v>
      </c>
      <c r="B123" s="35">
        <f t="shared" si="3"/>
        <v>45540.750763888886</v>
      </c>
      <c r="C123" s="36">
        <f t="shared" si="4"/>
        <v>45540.750763888886</v>
      </c>
      <c r="D123" s="37">
        <f t="shared" si="5"/>
        <v>45540.079236111109</v>
      </c>
      <c r="E123" s="38">
        <v>205.5</v>
      </c>
      <c r="F123" s="38">
        <f t="shared" si="6"/>
        <v>-0.125</v>
      </c>
      <c r="G123" s="40">
        <v>8.2233333333333345</v>
      </c>
      <c r="H123" s="40">
        <f t="shared" si="7"/>
        <v>7.0000000000014495E-3</v>
      </c>
      <c r="I123" s="39"/>
      <c r="J123" s="39"/>
      <c r="K123" s="39"/>
      <c r="L123" s="39"/>
      <c r="M123" s="24"/>
    </row>
    <row r="124" spans="1:13" x14ac:dyDescent="0.2">
      <c r="A124" s="35">
        <v>45541.001458333332</v>
      </c>
      <c r="B124" s="35">
        <f t="shared" si="3"/>
        <v>45540.751458333332</v>
      </c>
      <c r="C124" s="36">
        <f t="shared" si="4"/>
        <v>45540.751458333332</v>
      </c>
      <c r="D124" s="37">
        <f t="shared" si="5"/>
        <v>45540.079930555556</v>
      </c>
      <c r="E124" s="38">
        <v>205.7</v>
      </c>
      <c r="F124" s="38">
        <f t="shared" si="6"/>
        <v>7.4999999999988631E-2</v>
      </c>
      <c r="G124" s="31">
        <v>8.2466666666666679</v>
      </c>
      <c r="H124" s="40">
        <f t="shared" si="7"/>
        <v>3.0333333333334878E-2</v>
      </c>
      <c r="I124" s="39"/>
      <c r="J124" s="39"/>
      <c r="K124" s="39"/>
      <c r="L124" s="39"/>
      <c r="M124" s="24"/>
    </row>
    <row r="125" spans="1:13" x14ac:dyDescent="0.2">
      <c r="A125" s="35">
        <v>45541.002152777779</v>
      </c>
      <c r="B125" s="35">
        <f t="shared" si="3"/>
        <v>45540.752152777779</v>
      </c>
      <c r="C125" s="36">
        <f t="shared" si="4"/>
        <v>45540.752152777779</v>
      </c>
      <c r="D125" s="37">
        <f t="shared" si="5"/>
        <v>45540.080625000002</v>
      </c>
      <c r="E125" s="38">
        <v>205.7</v>
      </c>
      <c r="F125" s="38">
        <f t="shared" si="6"/>
        <v>7.4999999999988631E-2</v>
      </c>
      <c r="G125" s="31">
        <v>8.2433333333333323</v>
      </c>
      <c r="H125" s="40">
        <f t="shared" si="7"/>
        <v>2.6999999999999247E-2</v>
      </c>
      <c r="I125" s="39"/>
      <c r="J125" s="39"/>
      <c r="K125" s="39"/>
      <c r="L125" s="39"/>
      <c r="M125" s="24"/>
    </row>
    <row r="126" spans="1:13" x14ac:dyDescent="0.2">
      <c r="A126" s="24">
        <v>45541.002847222226</v>
      </c>
      <c r="B126" s="24">
        <f t="shared" si="3"/>
        <v>45540.752847222226</v>
      </c>
      <c r="C126" s="32">
        <f t="shared" si="4"/>
        <v>45540.752847222226</v>
      </c>
      <c r="D126" s="33">
        <f t="shared" si="5"/>
        <v>45540.081319444449</v>
      </c>
      <c r="E126" s="29">
        <v>205.8</v>
      </c>
      <c r="F126" s="34">
        <f>E126-$N$1</f>
        <v>0.17500000000001137</v>
      </c>
      <c r="G126" s="31">
        <v>8.3000000000000007</v>
      </c>
      <c r="H126" s="16">
        <f>G126-$N$2</f>
        <v>8.3666666666667666E-2</v>
      </c>
      <c r="I126" s="16">
        <f>ABS((F126+F125)/2)</f>
        <v>0.125</v>
      </c>
      <c r="J126" s="16">
        <f>ABS((H126+H125)/2)</f>
        <v>5.5333333333333456E-2</v>
      </c>
      <c r="K126" s="16">
        <f>I126/J126</f>
        <v>2.259036144578308</v>
      </c>
      <c r="M126" s="24"/>
    </row>
    <row r="127" spans="1:13" x14ac:dyDescent="0.2">
      <c r="A127" s="24">
        <v>45541.003541666665</v>
      </c>
      <c r="B127" s="24">
        <f t="shared" si="3"/>
        <v>45540.753541666665</v>
      </c>
      <c r="C127" s="32">
        <f t="shared" si="4"/>
        <v>45540.753541666665</v>
      </c>
      <c r="D127" s="33">
        <f t="shared" si="5"/>
        <v>45540.082013888888</v>
      </c>
      <c r="E127" s="29">
        <v>206</v>
      </c>
      <c r="F127" s="34">
        <f t="shared" ref="F127:F190" si="8">E127-$N$1</f>
        <v>0.375</v>
      </c>
      <c r="G127" s="16">
        <v>8.3400000000000016</v>
      </c>
      <c r="H127" s="16">
        <f t="shared" ref="H127:H190" si="9">G127-$N$2</f>
        <v>0.12366666666666859</v>
      </c>
      <c r="I127" s="16">
        <f t="shared" ref="I127:I190" si="10">ABS((F127+F126)/2)</f>
        <v>0.27500000000000568</v>
      </c>
      <c r="J127" s="16">
        <f t="shared" ref="J127:J190" si="11">ABS((H127+H126)/2)</f>
        <v>0.10366666666666813</v>
      </c>
      <c r="K127" s="16">
        <f t="shared" ref="K127:K190" si="12">I127/J127</f>
        <v>2.6527331189710783</v>
      </c>
      <c r="M127" s="24"/>
    </row>
    <row r="128" spans="1:13" x14ac:dyDescent="0.2">
      <c r="A128" s="24">
        <v>45541.004236111112</v>
      </c>
      <c r="B128" s="24">
        <f t="shared" si="3"/>
        <v>45540.754236111112</v>
      </c>
      <c r="C128" s="32">
        <f t="shared" si="4"/>
        <v>45540.754236111112</v>
      </c>
      <c r="D128" s="33">
        <f t="shared" si="5"/>
        <v>45540.082708333335</v>
      </c>
      <c r="E128" s="34">
        <v>206.1</v>
      </c>
      <c r="F128" s="34">
        <f t="shared" si="8"/>
        <v>0.47499999999999432</v>
      </c>
      <c r="G128" s="16">
        <v>8.3466666666666658</v>
      </c>
      <c r="H128" s="16">
        <f t="shared" si="9"/>
        <v>0.13033333333333275</v>
      </c>
      <c r="I128" s="16">
        <f t="shared" si="10"/>
        <v>0.42499999999999716</v>
      </c>
      <c r="J128" s="16">
        <f t="shared" si="11"/>
        <v>0.12700000000000067</v>
      </c>
      <c r="K128" s="16">
        <f t="shared" si="12"/>
        <v>3.3464566929133457</v>
      </c>
      <c r="M128" s="24"/>
    </row>
    <row r="129" spans="1:13" x14ac:dyDescent="0.2">
      <c r="A129" s="24">
        <v>45541.004930555559</v>
      </c>
      <c r="B129" s="24">
        <f t="shared" si="3"/>
        <v>45540.754930555559</v>
      </c>
      <c r="C129" s="32">
        <f t="shared" si="4"/>
        <v>45540.754930555559</v>
      </c>
      <c r="D129" s="33">
        <f t="shared" si="5"/>
        <v>45540.083402777782</v>
      </c>
      <c r="E129" s="34">
        <v>206.7</v>
      </c>
      <c r="F129" s="34">
        <f t="shared" si="8"/>
        <v>1.0749999999999886</v>
      </c>
      <c r="G129" s="16">
        <v>8.4566666666666652</v>
      </c>
      <c r="H129" s="16">
        <f t="shared" si="9"/>
        <v>0.24033333333333218</v>
      </c>
      <c r="I129" s="16">
        <f t="shared" si="10"/>
        <v>0.77499999999999147</v>
      </c>
      <c r="J129" s="16">
        <f t="shared" si="11"/>
        <v>0.18533333333333246</v>
      </c>
      <c r="K129" s="16">
        <f t="shared" si="12"/>
        <v>4.1816546762589661</v>
      </c>
      <c r="M129" s="24"/>
    </row>
    <row r="130" spans="1:13" x14ac:dyDescent="0.2">
      <c r="A130" s="24">
        <v>45541.005624999998</v>
      </c>
      <c r="B130" s="24">
        <f t="shared" si="3"/>
        <v>45540.755624999998</v>
      </c>
      <c r="C130" s="32">
        <f t="shared" si="4"/>
        <v>45540.755624999998</v>
      </c>
      <c r="D130" s="33">
        <f t="shared" si="5"/>
        <v>45540.084097222221</v>
      </c>
      <c r="E130" s="34">
        <v>207</v>
      </c>
      <c r="F130" s="34">
        <f t="shared" si="8"/>
        <v>1.375</v>
      </c>
      <c r="G130" s="16">
        <v>8.51</v>
      </c>
      <c r="H130" s="16">
        <f t="shared" si="9"/>
        <v>0.29366666666666674</v>
      </c>
      <c r="I130" s="16">
        <f t="shared" si="10"/>
        <v>1.2249999999999943</v>
      </c>
      <c r="J130" s="16">
        <f t="shared" si="11"/>
        <v>0.26699999999999946</v>
      </c>
      <c r="K130" s="16">
        <f t="shared" si="12"/>
        <v>4.5880149812733961</v>
      </c>
      <c r="M130" s="24"/>
    </row>
    <row r="131" spans="1:13" x14ac:dyDescent="0.2">
      <c r="A131" s="24">
        <v>45541.006319444445</v>
      </c>
      <c r="B131" s="24">
        <f t="shared" si="3"/>
        <v>45540.756319444445</v>
      </c>
      <c r="C131" s="32">
        <f t="shared" si="4"/>
        <v>45540.756319444445</v>
      </c>
      <c r="D131" s="33">
        <f t="shared" si="5"/>
        <v>45540.084791666668</v>
      </c>
      <c r="E131" s="34">
        <v>207.2</v>
      </c>
      <c r="F131" s="34">
        <f t="shared" si="8"/>
        <v>1.5749999999999886</v>
      </c>
      <c r="G131" s="16">
        <v>8.5866666666666678</v>
      </c>
      <c r="H131" s="16">
        <f t="shared" si="9"/>
        <v>0.37033333333333474</v>
      </c>
      <c r="I131" s="16">
        <f t="shared" si="10"/>
        <v>1.4749999999999943</v>
      </c>
      <c r="J131" s="16">
        <f t="shared" si="11"/>
        <v>0.33200000000000074</v>
      </c>
      <c r="K131" s="16">
        <f t="shared" si="12"/>
        <v>4.4427710843373225</v>
      </c>
      <c r="M131" s="24"/>
    </row>
    <row r="132" spans="1:13" x14ac:dyDescent="0.2">
      <c r="A132" s="24">
        <v>45541.007013888891</v>
      </c>
      <c r="B132" s="24">
        <f t="shared" si="3"/>
        <v>45540.757013888891</v>
      </c>
      <c r="C132" s="32">
        <f t="shared" si="4"/>
        <v>45540.757013888891</v>
      </c>
      <c r="D132" s="33">
        <f t="shared" si="5"/>
        <v>45540.085486111115</v>
      </c>
      <c r="E132" s="34">
        <v>208.1</v>
      </c>
      <c r="F132" s="34">
        <f t="shared" si="8"/>
        <v>2.4749999999999943</v>
      </c>
      <c r="G132" s="16">
        <v>8.8699999999999992</v>
      </c>
      <c r="H132" s="16">
        <f t="shared" si="9"/>
        <v>0.65366666666666617</v>
      </c>
      <c r="I132" s="16">
        <f t="shared" si="10"/>
        <v>2.0249999999999915</v>
      </c>
      <c r="J132" s="16">
        <f t="shared" si="11"/>
        <v>0.51200000000000045</v>
      </c>
      <c r="K132" s="16">
        <f t="shared" si="12"/>
        <v>3.95507812499998</v>
      </c>
      <c r="M132" s="24"/>
    </row>
    <row r="133" spans="1:13" x14ac:dyDescent="0.2">
      <c r="A133" s="24">
        <v>45541.007708333331</v>
      </c>
      <c r="B133" s="24">
        <f t="shared" si="3"/>
        <v>45540.757708333331</v>
      </c>
      <c r="C133" s="32">
        <f t="shared" si="4"/>
        <v>45540.757708333331</v>
      </c>
      <c r="D133" s="33">
        <f t="shared" si="5"/>
        <v>45540.086180555554</v>
      </c>
      <c r="E133" s="34">
        <v>208.4</v>
      </c>
      <c r="F133" s="34">
        <f t="shared" si="8"/>
        <v>2.7750000000000057</v>
      </c>
      <c r="G133" s="16">
        <v>8.7966666666666669</v>
      </c>
      <c r="H133" s="16">
        <f t="shared" si="9"/>
        <v>0.58033333333333381</v>
      </c>
      <c r="I133" s="16">
        <f t="shared" si="10"/>
        <v>2.625</v>
      </c>
      <c r="J133" s="16">
        <f t="shared" si="11"/>
        <v>0.61699999999999999</v>
      </c>
      <c r="K133" s="16">
        <f t="shared" si="12"/>
        <v>4.2544570502431123</v>
      </c>
      <c r="M133" s="24"/>
    </row>
    <row r="134" spans="1:13" x14ac:dyDescent="0.2">
      <c r="A134" s="24">
        <v>45541.008402777778</v>
      </c>
      <c r="B134" s="24">
        <f t="shared" si="3"/>
        <v>45540.758402777778</v>
      </c>
      <c r="C134" s="32">
        <f t="shared" si="4"/>
        <v>45540.758402777778</v>
      </c>
      <c r="D134" s="33">
        <f t="shared" si="5"/>
        <v>45540.086875000001</v>
      </c>
      <c r="E134" s="34">
        <v>209.8</v>
      </c>
      <c r="F134" s="34">
        <f t="shared" si="8"/>
        <v>4.1750000000000114</v>
      </c>
      <c r="G134" s="16">
        <v>9.1033333333333335</v>
      </c>
      <c r="H134" s="16">
        <f t="shared" si="9"/>
        <v>0.88700000000000045</v>
      </c>
      <c r="I134" s="16">
        <f t="shared" si="10"/>
        <v>3.4750000000000085</v>
      </c>
      <c r="J134" s="16">
        <f t="shared" si="11"/>
        <v>0.73366666666666713</v>
      </c>
      <c r="K134" s="16">
        <f t="shared" si="12"/>
        <v>4.7364834166288139</v>
      </c>
      <c r="M134" s="24"/>
    </row>
    <row r="135" spans="1:13" x14ac:dyDescent="0.2">
      <c r="A135" s="24">
        <v>45541.009097222224</v>
      </c>
      <c r="B135" s="24">
        <f t="shared" si="3"/>
        <v>45540.759097222224</v>
      </c>
      <c r="C135" s="32">
        <f t="shared" si="4"/>
        <v>45540.759097222224</v>
      </c>
      <c r="D135" s="33">
        <f t="shared" si="5"/>
        <v>45540.087569444448</v>
      </c>
      <c r="E135" s="34">
        <v>208.8</v>
      </c>
      <c r="F135" s="34">
        <f t="shared" si="8"/>
        <v>3.1750000000000114</v>
      </c>
      <c r="G135" s="16">
        <v>9.06</v>
      </c>
      <c r="H135" s="16">
        <f t="shared" si="9"/>
        <v>0.84366666666666745</v>
      </c>
      <c r="I135" s="16">
        <f t="shared" si="10"/>
        <v>3.6750000000000114</v>
      </c>
      <c r="J135" s="16">
        <f t="shared" si="11"/>
        <v>0.86533333333333395</v>
      </c>
      <c r="K135" s="16">
        <f t="shared" si="12"/>
        <v>4.2469183359013964</v>
      </c>
      <c r="M135" s="24"/>
    </row>
    <row r="136" spans="1:13" x14ac:dyDescent="0.2">
      <c r="A136" s="24">
        <v>45541.009791666664</v>
      </c>
      <c r="B136" s="24">
        <f t="shared" si="3"/>
        <v>45540.759791666664</v>
      </c>
      <c r="C136" s="32">
        <f t="shared" si="4"/>
        <v>45540.759791666664</v>
      </c>
      <c r="D136" s="33">
        <f t="shared" si="5"/>
        <v>45540.088263888887</v>
      </c>
      <c r="E136" s="34">
        <v>211.2</v>
      </c>
      <c r="F136" s="34">
        <f t="shared" si="8"/>
        <v>5.5749999999999886</v>
      </c>
      <c r="G136" s="16">
        <v>9.7233333333333345</v>
      </c>
      <c r="H136" s="16">
        <f t="shared" si="9"/>
        <v>1.5070000000000014</v>
      </c>
      <c r="I136" s="16">
        <f t="shared" si="10"/>
        <v>4.375</v>
      </c>
      <c r="J136" s="16">
        <f t="shared" si="11"/>
        <v>1.1753333333333345</v>
      </c>
      <c r="K136" s="16">
        <f t="shared" si="12"/>
        <v>3.7223482699943244</v>
      </c>
      <c r="M136" s="24"/>
    </row>
    <row r="137" spans="1:13" x14ac:dyDescent="0.2">
      <c r="A137" s="24">
        <v>45541.01048611111</v>
      </c>
      <c r="B137" s="24">
        <f t="shared" ref="B137:B200" si="13">A137-$A$3</f>
        <v>45540.76048611111</v>
      </c>
      <c r="C137" s="32">
        <f t="shared" ref="C137:C200" si="14">B137</f>
        <v>45540.76048611111</v>
      </c>
      <c r="D137" s="33">
        <f t="shared" si="5"/>
        <v>45540.088958333334</v>
      </c>
      <c r="E137" s="34">
        <v>211.7</v>
      </c>
      <c r="F137" s="34">
        <f t="shared" si="8"/>
        <v>6.0749999999999886</v>
      </c>
      <c r="G137" s="16">
        <v>9.8666666666666671</v>
      </c>
      <c r="H137" s="16">
        <f t="shared" si="9"/>
        <v>1.6503333333333341</v>
      </c>
      <c r="I137" s="16">
        <f t="shared" si="10"/>
        <v>5.8249999999999886</v>
      </c>
      <c r="J137" s="16">
        <f t="shared" si="11"/>
        <v>1.5786666666666678</v>
      </c>
      <c r="K137" s="16">
        <f t="shared" si="12"/>
        <v>3.6898226351351253</v>
      </c>
      <c r="M137" s="24"/>
    </row>
    <row r="138" spans="1:13" x14ac:dyDescent="0.2">
      <c r="A138" s="24">
        <v>45541.011180555557</v>
      </c>
      <c r="B138" s="24">
        <f t="shared" si="13"/>
        <v>45540.761180555557</v>
      </c>
      <c r="C138" s="32">
        <f t="shared" si="14"/>
        <v>45540.761180555557</v>
      </c>
      <c r="D138" s="33">
        <f t="shared" ref="D138:D201" si="15">C138-$E$2</f>
        <v>45540.08965277778</v>
      </c>
      <c r="E138" s="34">
        <v>211.5</v>
      </c>
      <c r="F138" s="34">
        <f t="shared" si="8"/>
        <v>5.875</v>
      </c>
      <c r="G138" s="16">
        <v>9.86</v>
      </c>
      <c r="H138" s="16">
        <f t="shared" si="9"/>
        <v>1.6436666666666664</v>
      </c>
      <c r="I138" s="16">
        <f t="shared" si="10"/>
        <v>5.9749999999999943</v>
      </c>
      <c r="J138" s="16">
        <f t="shared" si="11"/>
        <v>1.6470000000000002</v>
      </c>
      <c r="K138" s="16">
        <f t="shared" si="12"/>
        <v>3.6278081360048535</v>
      </c>
      <c r="M138" s="24"/>
    </row>
    <row r="139" spans="1:13" x14ac:dyDescent="0.2">
      <c r="A139" s="24">
        <v>45541.011874999997</v>
      </c>
      <c r="B139" s="24">
        <f t="shared" si="13"/>
        <v>45540.761874999997</v>
      </c>
      <c r="C139" s="32">
        <f t="shared" si="14"/>
        <v>45540.761874999997</v>
      </c>
      <c r="D139" s="33">
        <f t="shared" si="15"/>
        <v>45540.09034722222</v>
      </c>
      <c r="E139" s="34">
        <v>212.4</v>
      </c>
      <c r="F139" s="34">
        <f t="shared" si="8"/>
        <v>6.7750000000000057</v>
      </c>
      <c r="G139" s="16">
        <v>9.9700000000000006</v>
      </c>
      <c r="H139" s="16">
        <f t="shared" si="9"/>
        <v>1.7536666666666676</v>
      </c>
      <c r="I139" s="16">
        <f t="shared" si="10"/>
        <v>6.3250000000000028</v>
      </c>
      <c r="J139" s="16">
        <f t="shared" si="11"/>
        <v>1.698666666666667</v>
      </c>
      <c r="K139" s="16">
        <f t="shared" si="12"/>
        <v>3.7235086342229211</v>
      </c>
      <c r="M139" s="24"/>
    </row>
    <row r="140" spans="1:13" x14ac:dyDescent="0.2">
      <c r="A140" s="24">
        <v>45541.012569444443</v>
      </c>
      <c r="B140" s="24">
        <f t="shared" si="13"/>
        <v>45540.762569444443</v>
      </c>
      <c r="C140" s="32">
        <f t="shared" si="14"/>
        <v>45540.762569444443</v>
      </c>
      <c r="D140" s="33">
        <f t="shared" si="15"/>
        <v>45540.091041666667</v>
      </c>
      <c r="E140" s="34">
        <v>214.5</v>
      </c>
      <c r="F140" s="34">
        <f t="shared" si="8"/>
        <v>8.875</v>
      </c>
      <c r="G140" s="16">
        <v>10.219999999999999</v>
      </c>
      <c r="H140" s="16">
        <f t="shared" si="9"/>
        <v>2.0036666666666658</v>
      </c>
      <c r="I140" s="16">
        <f t="shared" si="10"/>
        <v>7.8250000000000028</v>
      </c>
      <c r="J140" s="16">
        <f t="shared" si="11"/>
        <v>1.8786666666666667</v>
      </c>
      <c r="K140" s="16">
        <f t="shared" si="12"/>
        <v>4.1651880766501082</v>
      </c>
      <c r="M140" s="24"/>
    </row>
    <row r="141" spans="1:13" x14ac:dyDescent="0.2">
      <c r="A141" s="24">
        <v>45541.01326388889</v>
      </c>
      <c r="B141" s="24">
        <f t="shared" si="13"/>
        <v>45540.76326388889</v>
      </c>
      <c r="C141" s="32">
        <f t="shared" si="14"/>
        <v>45540.76326388889</v>
      </c>
      <c r="D141" s="33">
        <f t="shared" si="15"/>
        <v>45540.091736111113</v>
      </c>
      <c r="E141" s="34">
        <v>213.8</v>
      </c>
      <c r="F141" s="34">
        <f t="shared" si="8"/>
        <v>8.1750000000000114</v>
      </c>
      <c r="G141" s="16">
        <v>10.456666666666667</v>
      </c>
      <c r="H141" s="16">
        <f t="shared" si="9"/>
        <v>2.240333333333334</v>
      </c>
      <c r="I141" s="16">
        <f t="shared" si="10"/>
        <v>8.5250000000000057</v>
      </c>
      <c r="J141" s="16">
        <f t="shared" si="11"/>
        <v>2.1219999999999999</v>
      </c>
      <c r="K141" s="16">
        <f t="shared" si="12"/>
        <v>4.0174363807728586</v>
      </c>
      <c r="M141" s="24"/>
    </row>
    <row r="142" spans="1:13" x14ac:dyDescent="0.2">
      <c r="A142" s="24">
        <v>45541.013958333337</v>
      </c>
      <c r="B142" s="24">
        <f t="shared" si="13"/>
        <v>45540.763958333337</v>
      </c>
      <c r="C142" s="32">
        <f t="shared" si="14"/>
        <v>45540.763958333337</v>
      </c>
      <c r="D142" s="33">
        <f t="shared" si="15"/>
        <v>45540.09243055556</v>
      </c>
      <c r="E142" s="34">
        <v>216.8</v>
      </c>
      <c r="F142" s="34">
        <f t="shared" si="8"/>
        <v>11.175000000000011</v>
      </c>
      <c r="G142" s="16">
        <v>10.71</v>
      </c>
      <c r="H142" s="16">
        <f t="shared" si="9"/>
        <v>2.4936666666666678</v>
      </c>
      <c r="I142" s="16">
        <f t="shared" si="10"/>
        <v>9.6750000000000114</v>
      </c>
      <c r="J142" s="16">
        <f t="shared" si="11"/>
        <v>2.3670000000000009</v>
      </c>
      <c r="K142" s="16">
        <f t="shared" si="12"/>
        <v>4.0874524714828926</v>
      </c>
      <c r="M142" s="24"/>
    </row>
    <row r="143" spans="1:13" x14ac:dyDescent="0.2">
      <c r="A143" s="24">
        <v>45541.014652777776</v>
      </c>
      <c r="B143" s="24">
        <f t="shared" si="13"/>
        <v>45540.764652777776</v>
      </c>
      <c r="C143" s="32">
        <f t="shared" si="14"/>
        <v>45540.764652777776</v>
      </c>
      <c r="D143" s="33">
        <f t="shared" si="15"/>
        <v>45540.093124999999</v>
      </c>
      <c r="E143" s="34">
        <v>216.6</v>
      </c>
      <c r="F143" s="34">
        <f t="shared" si="8"/>
        <v>10.974999999999994</v>
      </c>
      <c r="G143" s="16">
        <v>10.836666666666666</v>
      </c>
      <c r="H143" s="16">
        <f t="shared" si="9"/>
        <v>2.620333333333333</v>
      </c>
      <c r="I143" s="16">
        <f t="shared" si="10"/>
        <v>11.075000000000003</v>
      </c>
      <c r="J143" s="16">
        <f t="shared" si="11"/>
        <v>2.5570000000000004</v>
      </c>
      <c r="K143" s="16">
        <f t="shared" si="12"/>
        <v>4.3312475557293713</v>
      </c>
      <c r="M143" s="24"/>
    </row>
    <row r="144" spans="1:13" x14ac:dyDescent="0.2">
      <c r="A144" s="24">
        <v>45541.015347222223</v>
      </c>
      <c r="B144" s="24">
        <f t="shared" si="13"/>
        <v>45540.765347222223</v>
      </c>
      <c r="C144" s="32">
        <f t="shared" si="14"/>
        <v>45540.765347222223</v>
      </c>
      <c r="D144" s="33">
        <f t="shared" si="15"/>
        <v>45540.093819444446</v>
      </c>
      <c r="E144" s="34">
        <v>215.8</v>
      </c>
      <c r="F144" s="34">
        <f t="shared" si="8"/>
        <v>10.175000000000011</v>
      </c>
      <c r="G144" s="16">
        <v>10.973333333333334</v>
      </c>
      <c r="H144" s="16">
        <f t="shared" si="9"/>
        <v>2.7570000000000014</v>
      </c>
      <c r="I144" s="16">
        <f t="shared" si="10"/>
        <v>10.575000000000003</v>
      </c>
      <c r="J144" s="16">
        <f t="shared" si="11"/>
        <v>2.6886666666666672</v>
      </c>
      <c r="K144" s="16">
        <f t="shared" si="12"/>
        <v>3.933176295561617</v>
      </c>
      <c r="M144" s="24"/>
    </row>
    <row r="145" spans="1:13" x14ac:dyDescent="0.2">
      <c r="A145" s="24">
        <v>45541.016041666669</v>
      </c>
      <c r="B145" s="24">
        <f t="shared" si="13"/>
        <v>45540.766041666669</v>
      </c>
      <c r="C145" s="32">
        <f t="shared" si="14"/>
        <v>45540.766041666669</v>
      </c>
      <c r="D145" s="33">
        <f t="shared" si="15"/>
        <v>45540.094513888893</v>
      </c>
      <c r="E145" s="34">
        <v>215.2</v>
      </c>
      <c r="F145" s="34">
        <f t="shared" si="8"/>
        <v>9.5749999999999886</v>
      </c>
      <c r="G145" s="16">
        <v>10.92</v>
      </c>
      <c r="H145" s="16">
        <f t="shared" si="9"/>
        <v>2.7036666666666669</v>
      </c>
      <c r="I145" s="16">
        <f t="shared" si="10"/>
        <v>9.875</v>
      </c>
      <c r="J145" s="16">
        <f t="shared" si="11"/>
        <v>2.7303333333333342</v>
      </c>
      <c r="K145" s="16">
        <f t="shared" si="12"/>
        <v>3.6167745086070067</v>
      </c>
      <c r="M145" s="24"/>
    </row>
    <row r="146" spans="1:13" x14ac:dyDescent="0.2">
      <c r="A146" s="24">
        <v>45541.016736111109</v>
      </c>
      <c r="B146" s="24">
        <f t="shared" si="13"/>
        <v>45540.766736111109</v>
      </c>
      <c r="C146" s="32">
        <f t="shared" si="14"/>
        <v>45540.766736111109</v>
      </c>
      <c r="D146" s="33">
        <f t="shared" si="15"/>
        <v>45540.095208333332</v>
      </c>
      <c r="E146" s="34">
        <v>216.8</v>
      </c>
      <c r="F146" s="34">
        <f t="shared" si="8"/>
        <v>11.175000000000011</v>
      </c>
      <c r="G146" s="16">
        <v>11.203333333333333</v>
      </c>
      <c r="H146" s="16">
        <f t="shared" si="9"/>
        <v>2.9870000000000001</v>
      </c>
      <c r="I146" s="16">
        <f t="shared" si="10"/>
        <v>10.375</v>
      </c>
      <c r="J146" s="16">
        <f t="shared" si="11"/>
        <v>2.8453333333333335</v>
      </c>
      <c r="K146" s="16">
        <f t="shared" si="12"/>
        <v>3.6463214620431113</v>
      </c>
      <c r="M146" s="24"/>
    </row>
    <row r="147" spans="1:13" x14ac:dyDescent="0.2">
      <c r="A147" s="24">
        <v>45541.017430555556</v>
      </c>
      <c r="B147" s="24">
        <f t="shared" si="13"/>
        <v>45540.767430555556</v>
      </c>
      <c r="C147" s="32">
        <f t="shared" si="14"/>
        <v>45540.767430555556</v>
      </c>
      <c r="D147" s="33">
        <f t="shared" si="15"/>
        <v>45540.095902777779</v>
      </c>
      <c r="E147" s="34">
        <v>217</v>
      </c>
      <c r="F147" s="34">
        <f t="shared" si="8"/>
        <v>11.375</v>
      </c>
      <c r="G147" s="16">
        <v>11.339999999999998</v>
      </c>
      <c r="H147" s="16">
        <f t="shared" si="9"/>
        <v>3.123666666666665</v>
      </c>
      <c r="I147" s="16">
        <f t="shared" si="10"/>
        <v>11.275000000000006</v>
      </c>
      <c r="J147" s="16">
        <f t="shared" si="11"/>
        <v>3.0553333333333326</v>
      </c>
      <c r="K147" s="16">
        <f t="shared" si="12"/>
        <v>3.6902683831551415</v>
      </c>
      <c r="M147" s="24"/>
    </row>
    <row r="148" spans="1:13" x14ac:dyDescent="0.2">
      <c r="A148" s="24">
        <v>45541.018125000002</v>
      </c>
      <c r="B148" s="24">
        <f t="shared" si="13"/>
        <v>45540.768125000002</v>
      </c>
      <c r="C148" s="32">
        <f t="shared" si="14"/>
        <v>45540.768125000002</v>
      </c>
      <c r="D148" s="33">
        <f t="shared" si="15"/>
        <v>45540.096597222226</v>
      </c>
      <c r="E148" s="34">
        <v>216.8</v>
      </c>
      <c r="F148" s="34">
        <f t="shared" si="8"/>
        <v>11.175000000000011</v>
      </c>
      <c r="G148" s="16">
        <v>11.229999999999999</v>
      </c>
      <c r="H148" s="16">
        <f t="shared" si="9"/>
        <v>3.0136666666666656</v>
      </c>
      <c r="I148" s="16">
        <f t="shared" si="10"/>
        <v>11.275000000000006</v>
      </c>
      <c r="J148" s="16">
        <f t="shared" si="11"/>
        <v>3.0686666666666653</v>
      </c>
      <c r="K148" s="16">
        <f t="shared" si="12"/>
        <v>3.674234195090162</v>
      </c>
      <c r="M148" s="24"/>
    </row>
    <row r="149" spans="1:13" x14ac:dyDescent="0.2">
      <c r="A149" s="24">
        <v>45541.018819444442</v>
      </c>
      <c r="B149" s="24">
        <f t="shared" si="13"/>
        <v>45540.768819444442</v>
      </c>
      <c r="C149" s="32">
        <f t="shared" si="14"/>
        <v>45540.768819444442</v>
      </c>
      <c r="D149" s="33">
        <f t="shared" si="15"/>
        <v>45540.097291666665</v>
      </c>
      <c r="E149" s="34">
        <v>217.8</v>
      </c>
      <c r="F149" s="34">
        <f t="shared" si="8"/>
        <v>12.175000000000011</v>
      </c>
      <c r="G149" s="16">
        <v>11.280000000000001</v>
      </c>
      <c r="H149" s="16">
        <f t="shared" si="9"/>
        <v>3.0636666666666681</v>
      </c>
      <c r="I149" s="16">
        <f t="shared" si="10"/>
        <v>11.675000000000011</v>
      </c>
      <c r="J149" s="16">
        <f t="shared" si="11"/>
        <v>3.0386666666666668</v>
      </c>
      <c r="K149" s="16">
        <f t="shared" si="12"/>
        <v>3.8421456779289196</v>
      </c>
      <c r="M149" s="24"/>
    </row>
    <row r="150" spans="1:13" x14ac:dyDescent="0.2">
      <c r="A150" s="24">
        <v>45541.019513888888</v>
      </c>
      <c r="B150" s="24">
        <f t="shared" si="13"/>
        <v>45540.769513888888</v>
      </c>
      <c r="C150" s="32">
        <f t="shared" si="14"/>
        <v>45540.769513888888</v>
      </c>
      <c r="D150" s="33">
        <f t="shared" si="15"/>
        <v>45540.097986111112</v>
      </c>
      <c r="E150" s="34">
        <v>217</v>
      </c>
      <c r="F150" s="34">
        <f t="shared" si="8"/>
        <v>11.375</v>
      </c>
      <c r="G150" s="16">
        <v>11.326666666666668</v>
      </c>
      <c r="H150" s="16">
        <f t="shared" si="9"/>
        <v>3.1103333333333349</v>
      </c>
      <c r="I150" s="16">
        <f t="shared" si="10"/>
        <v>11.775000000000006</v>
      </c>
      <c r="J150" s="16">
        <f t="shared" si="11"/>
        <v>3.0870000000000015</v>
      </c>
      <c r="K150" s="16">
        <f t="shared" si="12"/>
        <v>3.814382896015549</v>
      </c>
      <c r="M150" s="24"/>
    </row>
    <row r="151" spans="1:13" x14ac:dyDescent="0.2">
      <c r="A151" s="24">
        <v>45541.020208333335</v>
      </c>
      <c r="B151" s="24">
        <f t="shared" si="13"/>
        <v>45540.770208333335</v>
      </c>
      <c r="C151" s="32">
        <f t="shared" si="14"/>
        <v>45540.770208333335</v>
      </c>
      <c r="D151" s="33">
        <f t="shared" si="15"/>
        <v>45540.098680555559</v>
      </c>
      <c r="E151" s="34">
        <v>215.3</v>
      </c>
      <c r="F151" s="34">
        <f t="shared" si="8"/>
        <v>9.6750000000000114</v>
      </c>
      <c r="G151" s="16">
        <v>11.213333333333333</v>
      </c>
      <c r="H151" s="16">
        <f t="shared" si="9"/>
        <v>2.9969999999999999</v>
      </c>
      <c r="I151" s="16">
        <f t="shared" si="10"/>
        <v>10.525000000000006</v>
      </c>
      <c r="J151" s="16">
        <f t="shared" si="11"/>
        <v>3.0536666666666674</v>
      </c>
      <c r="K151" s="16">
        <f t="shared" si="12"/>
        <v>3.4466761270603654</v>
      </c>
      <c r="M151" s="24"/>
    </row>
    <row r="152" spans="1:13" x14ac:dyDescent="0.2">
      <c r="A152" s="24">
        <v>45541.020902777775</v>
      </c>
      <c r="B152" s="24">
        <f t="shared" si="13"/>
        <v>45540.770902777775</v>
      </c>
      <c r="C152" s="32">
        <f t="shared" si="14"/>
        <v>45540.770902777775</v>
      </c>
      <c r="D152" s="33">
        <f t="shared" si="15"/>
        <v>45540.099374999998</v>
      </c>
      <c r="E152" s="34">
        <v>217.5</v>
      </c>
      <c r="F152" s="34">
        <f t="shared" si="8"/>
        <v>11.875</v>
      </c>
      <c r="G152" s="16">
        <v>11.363333333333335</v>
      </c>
      <c r="H152" s="16">
        <f t="shared" si="9"/>
        <v>3.147000000000002</v>
      </c>
      <c r="I152" s="16">
        <f t="shared" si="10"/>
        <v>10.775000000000006</v>
      </c>
      <c r="J152" s="16">
        <f t="shared" si="11"/>
        <v>3.072000000000001</v>
      </c>
      <c r="K152" s="16">
        <f t="shared" si="12"/>
        <v>3.5074869791666674</v>
      </c>
      <c r="M152" s="24"/>
    </row>
    <row r="153" spans="1:13" x14ac:dyDescent="0.2">
      <c r="A153" s="24">
        <v>45541.021597222221</v>
      </c>
      <c r="B153" s="24">
        <f t="shared" si="13"/>
        <v>45540.771597222221</v>
      </c>
      <c r="C153" s="32">
        <f t="shared" si="14"/>
        <v>45540.771597222221</v>
      </c>
      <c r="D153" s="33">
        <f t="shared" si="15"/>
        <v>45540.100069444445</v>
      </c>
      <c r="E153" s="34">
        <v>218.2</v>
      </c>
      <c r="F153" s="34">
        <f t="shared" si="8"/>
        <v>12.574999999999989</v>
      </c>
      <c r="G153" s="16">
        <v>11.383333333333333</v>
      </c>
      <c r="H153" s="16">
        <f t="shared" si="9"/>
        <v>3.1669999999999998</v>
      </c>
      <c r="I153" s="16">
        <f t="shared" si="10"/>
        <v>12.224999999999994</v>
      </c>
      <c r="J153" s="16">
        <f t="shared" si="11"/>
        <v>3.1570000000000009</v>
      </c>
      <c r="K153" s="16">
        <f t="shared" si="12"/>
        <v>3.8723471650300891</v>
      </c>
      <c r="M153" s="24"/>
    </row>
    <row r="154" spans="1:13" x14ac:dyDescent="0.2">
      <c r="A154" s="24">
        <v>45541.022291666668</v>
      </c>
      <c r="B154" s="24">
        <f t="shared" si="13"/>
        <v>45540.772291666668</v>
      </c>
      <c r="C154" s="32">
        <f t="shared" si="14"/>
        <v>45540.772291666668</v>
      </c>
      <c r="D154" s="33">
        <f t="shared" si="15"/>
        <v>45540.100763888891</v>
      </c>
      <c r="E154" s="34">
        <v>215.6</v>
      </c>
      <c r="F154" s="34">
        <f t="shared" si="8"/>
        <v>9.9749999999999943</v>
      </c>
      <c r="G154" s="16">
        <v>11.263333333333334</v>
      </c>
      <c r="H154" s="16">
        <f t="shared" si="9"/>
        <v>3.0470000000000006</v>
      </c>
      <c r="I154" s="16">
        <f t="shared" si="10"/>
        <v>11.274999999999991</v>
      </c>
      <c r="J154" s="16">
        <f t="shared" si="11"/>
        <v>3.1070000000000002</v>
      </c>
      <c r="K154" s="16">
        <f t="shared" si="12"/>
        <v>3.6289024782748602</v>
      </c>
      <c r="M154" s="24"/>
    </row>
    <row r="155" spans="1:13" x14ac:dyDescent="0.2">
      <c r="A155" s="24">
        <v>45541.022986111115</v>
      </c>
      <c r="B155" s="24">
        <f t="shared" si="13"/>
        <v>45540.772986111115</v>
      </c>
      <c r="C155" s="32">
        <f t="shared" si="14"/>
        <v>45540.772986111115</v>
      </c>
      <c r="D155" s="33">
        <f t="shared" si="15"/>
        <v>45540.101458333338</v>
      </c>
      <c r="E155" s="34">
        <v>217</v>
      </c>
      <c r="F155" s="34">
        <f t="shared" si="8"/>
        <v>11.375</v>
      </c>
      <c r="G155" s="16">
        <v>11.343333333333334</v>
      </c>
      <c r="H155" s="16">
        <f t="shared" si="9"/>
        <v>3.1270000000000007</v>
      </c>
      <c r="I155" s="16">
        <f t="shared" si="10"/>
        <v>10.674999999999997</v>
      </c>
      <c r="J155" s="16">
        <f t="shared" si="11"/>
        <v>3.0870000000000006</v>
      </c>
      <c r="K155" s="16">
        <f t="shared" si="12"/>
        <v>3.4580498866213136</v>
      </c>
      <c r="M155" s="24"/>
    </row>
    <row r="156" spans="1:13" x14ac:dyDescent="0.2">
      <c r="A156" s="24">
        <v>45541.023680555554</v>
      </c>
      <c r="B156" s="24">
        <f t="shared" si="13"/>
        <v>45540.773680555554</v>
      </c>
      <c r="C156" s="32">
        <f t="shared" si="14"/>
        <v>45540.773680555554</v>
      </c>
      <c r="D156" s="33">
        <f t="shared" si="15"/>
        <v>45540.102152777778</v>
      </c>
      <c r="E156" s="34">
        <v>217.8</v>
      </c>
      <c r="F156" s="34">
        <f t="shared" si="8"/>
        <v>12.175000000000011</v>
      </c>
      <c r="G156" s="16">
        <v>11.496666666666664</v>
      </c>
      <c r="H156" s="16">
        <f t="shared" si="9"/>
        <v>3.2803333333333313</v>
      </c>
      <c r="I156" s="16">
        <f t="shared" si="10"/>
        <v>11.775000000000006</v>
      </c>
      <c r="J156" s="16">
        <f t="shared" si="11"/>
        <v>3.203666666666666</v>
      </c>
      <c r="K156" s="16">
        <f t="shared" si="12"/>
        <v>3.6754760170637835</v>
      </c>
      <c r="M156" s="24"/>
    </row>
    <row r="157" spans="1:13" x14ac:dyDescent="0.2">
      <c r="A157" s="24">
        <v>45541.024375000001</v>
      </c>
      <c r="B157" s="24">
        <f t="shared" si="13"/>
        <v>45540.774375000001</v>
      </c>
      <c r="C157" s="32">
        <f t="shared" si="14"/>
        <v>45540.774375000001</v>
      </c>
      <c r="D157" s="33">
        <f t="shared" si="15"/>
        <v>45540.102847222224</v>
      </c>
      <c r="E157" s="34">
        <v>217.4</v>
      </c>
      <c r="F157" s="34">
        <f t="shared" si="8"/>
        <v>11.775000000000006</v>
      </c>
      <c r="G157" s="16">
        <v>11.463333333333333</v>
      </c>
      <c r="H157" s="16">
        <f t="shared" si="9"/>
        <v>3.2469999999999999</v>
      </c>
      <c r="I157" s="16">
        <f t="shared" si="10"/>
        <v>11.975000000000009</v>
      </c>
      <c r="J157" s="16">
        <f t="shared" si="11"/>
        <v>3.2636666666666656</v>
      </c>
      <c r="K157" s="16">
        <f t="shared" si="12"/>
        <v>3.6691859871310424</v>
      </c>
      <c r="M157" s="24"/>
    </row>
    <row r="158" spans="1:13" x14ac:dyDescent="0.2">
      <c r="A158" s="24">
        <v>45541.025069444448</v>
      </c>
      <c r="B158" s="24">
        <f t="shared" si="13"/>
        <v>45540.775069444448</v>
      </c>
      <c r="C158" s="32">
        <f t="shared" si="14"/>
        <v>45540.775069444448</v>
      </c>
      <c r="D158" s="33">
        <f t="shared" si="15"/>
        <v>45540.103541666671</v>
      </c>
      <c r="E158" s="34">
        <v>218.1</v>
      </c>
      <c r="F158" s="34">
        <f t="shared" si="8"/>
        <v>12.474999999999994</v>
      </c>
      <c r="G158" s="16">
        <v>11.546666666666667</v>
      </c>
      <c r="H158" s="16">
        <f t="shared" si="9"/>
        <v>3.3303333333333338</v>
      </c>
      <c r="I158" s="16">
        <f t="shared" si="10"/>
        <v>12.125</v>
      </c>
      <c r="J158" s="16">
        <f t="shared" si="11"/>
        <v>3.2886666666666668</v>
      </c>
      <c r="K158" s="16">
        <f t="shared" si="12"/>
        <v>3.6869045205757143</v>
      </c>
      <c r="M158" s="24"/>
    </row>
    <row r="159" spans="1:13" x14ac:dyDescent="0.2">
      <c r="A159" s="24">
        <v>45541.025763888887</v>
      </c>
      <c r="B159" s="24">
        <f t="shared" si="13"/>
        <v>45540.775763888887</v>
      </c>
      <c r="C159" s="32">
        <f t="shared" si="14"/>
        <v>45540.775763888887</v>
      </c>
      <c r="D159" s="33">
        <f t="shared" si="15"/>
        <v>45540.10423611111</v>
      </c>
      <c r="E159" s="34">
        <v>217.5</v>
      </c>
      <c r="F159" s="34">
        <f t="shared" si="8"/>
        <v>11.875</v>
      </c>
      <c r="G159" s="16">
        <v>11.56</v>
      </c>
      <c r="H159" s="16">
        <f t="shared" si="9"/>
        <v>3.3436666666666675</v>
      </c>
      <c r="I159" s="16">
        <f t="shared" si="10"/>
        <v>12.174999999999997</v>
      </c>
      <c r="J159" s="16">
        <f t="shared" si="11"/>
        <v>3.3370000000000006</v>
      </c>
      <c r="K159" s="16">
        <f t="shared" si="12"/>
        <v>3.6484866646688627</v>
      </c>
      <c r="M159" s="24"/>
    </row>
    <row r="160" spans="1:13" x14ac:dyDescent="0.2">
      <c r="A160" s="24">
        <v>45541.026458333334</v>
      </c>
      <c r="B160" s="24">
        <f t="shared" si="13"/>
        <v>45540.776458333334</v>
      </c>
      <c r="C160" s="32">
        <f t="shared" si="14"/>
        <v>45540.776458333334</v>
      </c>
      <c r="D160" s="33">
        <f t="shared" si="15"/>
        <v>45540.104930555557</v>
      </c>
      <c r="E160" s="34">
        <v>217.5</v>
      </c>
      <c r="F160" s="34">
        <f t="shared" si="8"/>
        <v>11.875</v>
      </c>
      <c r="G160" s="16">
        <v>11.43</v>
      </c>
      <c r="H160" s="16">
        <f t="shared" si="9"/>
        <v>3.2136666666666667</v>
      </c>
      <c r="I160" s="16">
        <f t="shared" si="10"/>
        <v>11.875</v>
      </c>
      <c r="J160" s="16">
        <f t="shared" si="11"/>
        <v>3.2786666666666671</v>
      </c>
      <c r="K160" s="16">
        <f t="shared" si="12"/>
        <v>3.6218991459943064</v>
      </c>
      <c r="M160" s="24"/>
    </row>
    <row r="161" spans="1:13" x14ac:dyDescent="0.2">
      <c r="A161" s="24">
        <v>45541.02715277778</v>
      </c>
      <c r="B161" s="24">
        <f t="shared" si="13"/>
        <v>45540.77715277778</v>
      </c>
      <c r="C161" s="32">
        <f t="shared" si="14"/>
        <v>45540.77715277778</v>
      </c>
      <c r="D161" s="33">
        <f t="shared" si="15"/>
        <v>45540.105625000004</v>
      </c>
      <c r="E161" s="34">
        <v>217.6</v>
      </c>
      <c r="F161" s="34">
        <f t="shared" si="8"/>
        <v>11.974999999999994</v>
      </c>
      <c r="G161" s="16">
        <v>11.473333333333334</v>
      </c>
      <c r="H161" s="16">
        <f t="shared" si="9"/>
        <v>3.2570000000000014</v>
      </c>
      <c r="I161" s="16">
        <f t="shared" si="10"/>
        <v>11.924999999999997</v>
      </c>
      <c r="J161" s="16">
        <f t="shared" si="11"/>
        <v>3.2353333333333341</v>
      </c>
      <c r="K161" s="16">
        <f t="shared" si="12"/>
        <v>3.6858644137646799</v>
      </c>
      <c r="M161" s="24"/>
    </row>
    <row r="162" spans="1:13" x14ac:dyDescent="0.2">
      <c r="A162" s="24">
        <v>45541.02784722222</v>
      </c>
      <c r="B162" s="24">
        <f t="shared" si="13"/>
        <v>45540.77784722222</v>
      </c>
      <c r="C162" s="32">
        <f t="shared" si="14"/>
        <v>45540.77784722222</v>
      </c>
      <c r="D162" s="33">
        <f t="shared" si="15"/>
        <v>45540.106319444443</v>
      </c>
      <c r="E162" s="34">
        <v>217.9</v>
      </c>
      <c r="F162" s="34">
        <f t="shared" si="8"/>
        <v>12.275000000000006</v>
      </c>
      <c r="G162" s="16">
        <v>11.553333333333333</v>
      </c>
      <c r="H162" s="16">
        <f t="shared" si="9"/>
        <v>3.3369999999999997</v>
      </c>
      <c r="I162" s="16">
        <f t="shared" si="10"/>
        <v>12.125</v>
      </c>
      <c r="J162" s="16">
        <f t="shared" si="11"/>
        <v>3.2970000000000006</v>
      </c>
      <c r="K162" s="16">
        <f t="shared" si="12"/>
        <v>3.67758568395511</v>
      </c>
      <c r="M162" s="24"/>
    </row>
    <row r="163" spans="1:13" x14ac:dyDescent="0.2">
      <c r="A163" s="24">
        <v>45541.028541666667</v>
      </c>
      <c r="B163" s="24">
        <f t="shared" si="13"/>
        <v>45540.778541666667</v>
      </c>
      <c r="C163" s="32">
        <f t="shared" si="14"/>
        <v>45540.778541666667</v>
      </c>
      <c r="D163" s="33">
        <f t="shared" si="15"/>
        <v>45540.10701388889</v>
      </c>
      <c r="E163" s="34">
        <v>217.6</v>
      </c>
      <c r="F163" s="34">
        <f t="shared" si="8"/>
        <v>11.974999999999994</v>
      </c>
      <c r="G163" s="16">
        <v>11.503333333333332</v>
      </c>
      <c r="H163" s="16">
        <f t="shared" si="9"/>
        <v>3.286999999999999</v>
      </c>
      <c r="I163" s="16">
        <f t="shared" si="10"/>
        <v>12.125</v>
      </c>
      <c r="J163" s="16">
        <f t="shared" si="11"/>
        <v>3.3119999999999994</v>
      </c>
      <c r="K163" s="16">
        <f t="shared" si="12"/>
        <v>3.660929951690822</v>
      </c>
      <c r="M163" s="24"/>
    </row>
    <row r="164" spans="1:13" x14ac:dyDescent="0.2">
      <c r="A164" s="24">
        <v>45541.029236111113</v>
      </c>
      <c r="B164" s="24">
        <f t="shared" si="13"/>
        <v>45540.779236111113</v>
      </c>
      <c r="C164" s="32">
        <f t="shared" si="14"/>
        <v>45540.779236111113</v>
      </c>
      <c r="D164" s="33">
        <f t="shared" si="15"/>
        <v>45540.107708333337</v>
      </c>
      <c r="E164" s="34">
        <v>217.9</v>
      </c>
      <c r="F164" s="34">
        <f t="shared" si="8"/>
        <v>12.275000000000006</v>
      </c>
      <c r="G164" s="16">
        <v>11.536666666666667</v>
      </c>
      <c r="H164" s="16">
        <f t="shared" si="9"/>
        <v>3.320333333333334</v>
      </c>
      <c r="I164" s="16">
        <f t="shared" si="10"/>
        <v>12.125</v>
      </c>
      <c r="J164" s="16">
        <f t="shared" si="11"/>
        <v>3.3036666666666665</v>
      </c>
      <c r="K164" s="16">
        <f t="shared" si="12"/>
        <v>3.670164463727172</v>
      </c>
      <c r="M164" s="24"/>
    </row>
    <row r="165" spans="1:13" x14ac:dyDescent="0.2">
      <c r="A165" s="24">
        <v>45541.029930555553</v>
      </c>
      <c r="B165" s="24">
        <f t="shared" si="13"/>
        <v>45540.779930555553</v>
      </c>
      <c r="C165" s="32">
        <f t="shared" si="14"/>
        <v>45540.779930555553</v>
      </c>
      <c r="D165" s="33">
        <f t="shared" si="15"/>
        <v>45540.108402777776</v>
      </c>
      <c r="E165" s="34">
        <v>218.1</v>
      </c>
      <c r="F165" s="34">
        <f t="shared" si="8"/>
        <v>12.474999999999994</v>
      </c>
      <c r="G165" s="16">
        <v>11.61</v>
      </c>
      <c r="H165" s="16">
        <f t="shared" si="9"/>
        <v>3.3936666666666664</v>
      </c>
      <c r="I165" s="16">
        <f t="shared" si="10"/>
        <v>12.375</v>
      </c>
      <c r="J165" s="16">
        <f t="shared" si="11"/>
        <v>3.3570000000000002</v>
      </c>
      <c r="K165" s="16">
        <f t="shared" si="12"/>
        <v>3.6863270777479888</v>
      </c>
      <c r="M165" s="24"/>
    </row>
    <row r="166" spans="1:13" x14ac:dyDescent="0.2">
      <c r="A166" s="24">
        <v>45541.030624999999</v>
      </c>
      <c r="B166" s="24">
        <f t="shared" si="13"/>
        <v>45540.780624999999</v>
      </c>
      <c r="C166" s="32">
        <f t="shared" si="14"/>
        <v>45540.780624999999</v>
      </c>
      <c r="D166" s="33">
        <f t="shared" si="15"/>
        <v>45540.109097222223</v>
      </c>
      <c r="E166" s="34">
        <v>217.9</v>
      </c>
      <c r="F166" s="34">
        <f t="shared" si="8"/>
        <v>12.275000000000006</v>
      </c>
      <c r="G166" s="16">
        <v>11.546666666666667</v>
      </c>
      <c r="H166" s="16">
        <f t="shared" si="9"/>
        <v>3.3303333333333338</v>
      </c>
      <c r="I166" s="16">
        <f t="shared" si="10"/>
        <v>12.375</v>
      </c>
      <c r="J166" s="16">
        <f t="shared" si="11"/>
        <v>3.3620000000000001</v>
      </c>
      <c r="K166" s="16">
        <f t="shared" si="12"/>
        <v>3.6808447352766209</v>
      </c>
      <c r="M166" s="24"/>
    </row>
    <row r="167" spans="1:13" x14ac:dyDescent="0.2">
      <c r="A167" s="24">
        <v>45541.031319444446</v>
      </c>
      <c r="B167" s="24">
        <f t="shared" si="13"/>
        <v>45540.781319444446</v>
      </c>
      <c r="C167" s="32">
        <f t="shared" si="14"/>
        <v>45540.781319444446</v>
      </c>
      <c r="D167" s="33">
        <f t="shared" si="15"/>
        <v>45540.109791666669</v>
      </c>
      <c r="E167" s="34">
        <v>218.5</v>
      </c>
      <c r="F167" s="34">
        <f t="shared" si="8"/>
        <v>12.875</v>
      </c>
      <c r="G167" s="16">
        <v>11.516666666666666</v>
      </c>
      <c r="H167" s="16">
        <f t="shared" si="9"/>
        <v>3.3003333333333327</v>
      </c>
      <c r="I167" s="16">
        <f t="shared" si="10"/>
        <v>12.575000000000003</v>
      </c>
      <c r="J167" s="16">
        <f t="shared" si="11"/>
        <v>3.3153333333333332</v>
      </c>
      <c r="K167" s="16">
        <f t="shared" si="12"/>
        <v>3.7929821033581348</v>
      </c>
      <c r="M167" s="24"/>
    </row>
    <row r="168" spans="1:13" x14ac:dyDescent="0.2">
      <c r="A168" s="24">
        <v>45541.032013888886</v>
      </c>
      <c r="B168" s="24">
        <f t="shared" si="13"/>
        <v>45540.782013888886</v>
      </c>
      <c r="C168" s="32">
        <f t="shared" si="14"/>
        <v>45540.782013888886</v>
      </c>
      <c r="D168" s="33">
        <f t="shared" si="15"/>
        <v>45540.110486111109</v>
      </c>
      <c r="E168" s="34">
        <v>217.9</v>
      </c>
      <c r="F168" s="34">
        <f t="shared" si="8"/>
        <v>12.275000000000006</v>
      </c>
      <c r="G168" s="16">
        <v>11.653333333333334</v>
      </c>
      <c r="H168" s="16">
        <f t="shared" si="9"/>
        <v>3.4370000000000012</v>
      </c>
      <c r="I168" s="16">
        <f t="shared" si="10"/>
        <v>12.575000000000003</v>
      </c>
      <c r="J168" s="16">
        <f t="shared" si="11"/>
        <v>3.3686666666666669</v>
      </c>
      <c r="K168" s="16">
        <f t="shared" si="12"/>
        <v>3.7329309321195336</v>
      </c>
      <c r="M168" s="24"/>
    </row>
    <row r="169" spans="1:13" x14ac:dyDescent="0.2">
      <c r="A169" s="24">
        <v>45541.032708333332</v>
      </c>
      <c r="B169" s="24">
        <f t="shared" si="13"/>
        <v>45540.782708333332</v>
      </c>
      <c r="C169" s="32">
        <f t="shared" si="14"/>
        <v>45540.782708333332</v>
      </c>
      <c r="D169" s="33">
        <f t="shared" si="15"/>
        <v>45540.111180555556</v>
      </c>
      <c r="E169" s="34">
        <v>217.7</v>
      </c>
      <c r="F169" s="34">
        <f t="shared" si="8"/>
        <v>12.074999999999989</v>
      </c>
      <c r="G169" s="16">
        <v>11.549999999999999</v>
      </c>
      <c r="H169" s="16">
        <f t="shared" si="9"/>
        <v>3.3336666666666659</v>
      </c>
      <c r="I169" s="16">
        <f t="shared" si="10"/>
        <v>12.174999999999997</v>
      </c>
      <c r="J169" s="16">
        <f t="shared" si="11"/>
        <v>3.3853333333333335</v>
      </c>
      <c r="K169" s="16">
        <f t="shared" si="12"/>
        <v>3.596396218983851</v>
      </c>
      <c r="M169" s="24"/>
    </row>
    <row r="170" spans="1:13" x14ac:dyDescent="0.2">
      <c r="A170" s="24">
        <v>45541.033402777779</v>
      </c>
      <c r="B170" s="24">
        <f t="shared" si="13"/>
        <v>45540.783402777779</v>
      </c>
      <c r="C170" s="32">
        <f t="shared" si="14"/>
        <v>45540.783402777779</v>
      </c>
      <c r="D170" s="33">
        <f t="shared" si="15"/>
        <v>45540.111875000002</v>
      </c>
      <c r="E170" s="34">
        <v>217.9</v>
      </c>
      <c r="F170" s="34">
        <f t="shared" si="8"/>
        <v>12.275000000000006</v>
      </c>
      <c r="G170" s="16">
        <v>11.533333333333331</v>
      </c>
      <c r="H170" s="16">
        <f t="shared" si="9"/>
        <v>3.3169999999999984</v>
      </c>
      <c r="I170" s="16">
        <f t="shared" si="10"/>
        <v>12.174999999999997</v>
      </c>
      <c r="J170" s="16">
        <f t="shared" si="11"/>
        <v>3.3253333333333321</v>
      </c>
      <c r="K170" s="16">
        <f t="shared" si="12"/>
        <v>3.6612870890136331</v>
      </c>
      <c r="M170" s="24"/>
    </row>
    <row r="171" spans="1:13" x14ac:dyDescent="0.2">
      <c r="A171" s="24">
        <v>45541.034097222226</v>
      </c>
      <c r="B171" s="24">
        <f t="shared" si="13"/>
        <v>45540.784097222226</v>
      </c>
      <c r="C171" s="32">
        <f t="shared" si="14"/>
        <v>45540.784097222226</v>
      </c>
      <c r="D171" s="33">
        <f t="shared" si="15"/>
        <v>45540.112569444449</v>
      </c>
      <c r="E171" s="34">
        <v>217.9</v>
      </c>
      <c r="F171" s="34">
        <f t="shared" si="8"/>
        <v>12.275000000000006</v>
      </c>
      <c r="G171" s="16">
        <v>11.586666666666666</v>
      </c>
      <c r="H171" s="16">
        <f t="shared" si="9"/>
        <v>3.370333333333333</v>
      </c>
      <c r="I171" s="16">
        <f t="shared" si="10"/>
        <v>12.275000000000006</v>
      </c>
      <c r="J171" s="16">
        <f t="shared" si="11"/>
        <v>3.3436666666666657</v>
      </c>
      <c r="K171" s="16">
        <f t="shared" si="12"/>
        <v>3.6711195294586809</v>
      </c>
      <c r="M171" s="24"/>
    </row>
    <row r="172" spans="1:13" x14ac:dyDescent="0.2">
      <c r="A172" s="24">
        <v>45541.034791666665</v>
      </c>
      <c r="B172" s="24">
        <f t="shared" si="13"/>
        <v>45540.784791666665</v>
      </c>
      <c r="C172" s="32">
        <f t="shared" si="14"/>
        <v>45540.784791666665</v>
      </c>
      <c r="D172" s="33">
        <f t="shared" si="15"/>
        <v>45540.113263888888</v>
      </c>
      <c r="E172" s="34">
        <v>218</v>
      </c>
      <c r="F172" s="34">
        <f t="shared" si="8"/>
        <v>12.375</v>
      </c>
      <c r="G172" s="16">
        <v>11.589999999999998</v>
      </c>
      <c r="H172" s="16">
        <f t="shared" si="9"/>
        <v>3.373666666666665</v>
      </c>
      <c r="I172" s="16">
        <f t="shared" si="10"/>
        <v>12.325000000000003</v>
      </c>
      <c r="J172" s="16">
        <f t="shared" si="11"/>
        <v>3.371999999999999</v>
      </c>
      <c r="K172" s="16">
        <f t="shared" si="12"/>
        <v>3.6551008303677364</v>
      </c>
      <c r="M172" s="24"/>
    </row>
    <row r="173" spans="1:13" x14ac:dyDescent="0.2">
      <c r="A173" s="24">
        <v>45541.035486111112</v>
      </c>
      <c r="B173" s="24">
        <f t="shared" si="13"/>
        <v>45540.785486111112</v>
      </c>
      <c r="C173" s="32">
        <f t="shared" si="14"/>
        <v>45540.785486111112</v>
      </c>
      <c r="D173" s="33">
        <f t="shared" si="15"/>
        <v>45540.113958333335</v>
      </c>
      <c r="E173" s="34">
        <v>217.7</v>
      </c>
      <c r="F173" s="34">
        <f t="shared" si="8"/>
        <v>12.074999999999989</v>
      </c>
      <c r="G173" s="16">
        <v>11.536666666666667</v>
      </c>
      <c r="H173" s="16">
        <f t="shared" si="9"/>
        <v>3.320333333333334</v>
      </c>
      <c r="I173" s="16">
        <f t="shared" si="10"/>
        <v>12.224999999999994</v>
      </c>
      <c r="J173" s="16">
        <f t="shared" si="11"/>
        <v>3.3469999999999995</v>
      </c>
      <c r="K173" s="16">
        <f t="shared" si="12"/>
        <v>3.6525246489393477</v>
      </c>
      <c r="M173" s="24"/>
    </row>
    <row r="174" spans="1:13" x14ac:dyDescent="0.2">
      <c r="A174" s="24">
        <v>45541.036180555559</v>
      </c>
      <c r="B174" s="24">
        <f t="shared" si="13"/>
        <v>45540.786180555559</v>
      </c>
      <c r="C174" s="32">
        <f t="shared" si="14"/>
        <v>45540.786180555559</v>
      </c>
      <c r="D174" s="33">
        <f t="shared" si="15"/>
        <v>45540.114652777782</v>
      </c>
      <c r="E174" s="34">
        <v>217.7</v>
      </c>
      <c r="F174" s="34">
        <f t="shared" si="8"/>
        <v>12.074999999999989</v>
      </c>
      <c r="G174" s="16">
        <v>11.576666666666668</v>
      </c>
      <c r="H174" s="16">
        <f t="shared" si="9"/>
        <v>3.3603333333333349</v>
      </c>
      <c r="I174" s="16">
        <f t="shared" si="10"/>
        <v>12.074999999999989</v>
      </c>
      <c r="J174" s="16">
        <f t="shared" si="11"/>
        <v>3.3403333333333345</v>
      </c>
      <c r="K174" s="16">
        <f t="shared" si="12"/>
        <v>3.6149086917473259</v>
      </c>
      <c r="M174" s="24"/>
    </row>
    <row r="175" spans="1:13" x14ac:dyDescent="0.2">
      <c r="A175" s="24">
        <v>45541.036874999998</v>
      </c>
      <c r="B175" s="24">
        <f t="shared" si="13"/>
        <v>45540.786874999998</v>
      </c>
      <c r="C175" s="32">
        <f t="shared" si="14"/>
        <v>45540.786874999998</v>
      </c>
      <c r="D175" s="33">
        <f t="shared" si="15"/>
        <v>45540.115347222221</v>
      </c>
      <c r="E175" s="34">
        <v>217.7</v>
      </c>
      <c r="F175" s="34">
        <f t="shared" si="8"/>
        <v>12.074999999999989</v>
      </c>
      <c r="G175" s="16">
        <v>11.589999999999998</v>
      </c>
      <c r="H175" s="16">
        <f t="shared" si="9"/>
        <v>3.373666666666665</v>
      </c>
      <c r="I175" s="16">
        <f t="shared" si="10"/>
        <v>12.074999999999989</v>
      </c>
      <c r="J175" s="16">
        <f t="shared" si="11"/>
        <v>3.367</v>
      </c>
      <c r="K175" s="16">
        <f t="shared" si="12"/>
        <v>3.5862785862785831</v>
      </c>
      <c r="M175" s="24"/>
    </row>
    <row r="176" spans="1:13" x14ac:dyDescent="0.2">
      <c r="A176" s="24">
        <v>45541.037569444445</v>
      </c>
      <c r="B176" s="24">
        <f t="shared" si="13"/>
        <v>45540.787569444445</v>
      </c>
      <c r="C176" s="32">
        <f t="shared" si="14"/>
        <v>45540.787569444445</v>
      </c>
      <c r="D176" s="33">
        <f t="shared" si="15"/>
        <v>45540.116041666668</v>
      </c>
      <c r="E176" s="34">
        <v>217.7</v>
      </c>
      <c r="F176" s="34">
        <f t="shared" si="8"/>
        <v>12.074999999999989</v>
      </c>
      <c r="G176" s="16">
        <v>11.573333333333332</v>
      </c>
      <c r="H176" s="16">
        <f t="shared" si="9"/>
        <v>3.3569999999999993</v>
      </c>
      <c r="I176" s="16">
        <f t="shared" si="10"/>
        <v>12.074999999999989</v>
      </c>
      <c r="J176" s="16">
        <f t="shared" si="11"/>
        <v>3.3653333333333322</v>
      </c>
      <c r="K176" s="16">
        <f t="shared" si="12"/>
        <v>3.5880546751188569</v>
      </c>
      <c r="M176" s="24"/>
    </row>
    <row r="177" spans="1:13" x14ac:dyDescent="0.2">
      <c r="A177" s="24">
        <v>45541.038263888891</v>
      </c>
      <c r="B177" s="24">
        <f t="shared" si="13"/>
        <v>45540.788263888891</v>
      </c>
      <c r="C177" s="32">
        <f t="shared" si="14"/>
        <v>45540.788263888891</v>
      </c>
      <c r="D177" s="33">
        <f t="shared" si="15"/>
        <v>45540.116736111115</v>
      </c>
      <c r="E177" s="34">
        <v>217.7</v>
      </c>
      <c r="F177" s="34">
        <f t="shared" si="8"/>
        <v>12.074999999999989</v>
      </c>
      <c r="G177" s="16">
        <v>11.556666666666667</v>
      </c>
      <c r="H177" s="16">
        <f t="shared" si="9"/>
        <v>3.3403333333333336</v>
      </c>
      <c r="I177" s="16">
        <f t="shared" si="10"/>
        <v>12.074999999999989</v>
      </c>
      <c r="J177" s="16">
        <f t="shared" si="11"/>
        <v>3.3486666666666665</v>
      </c>
      <c r="K177" s="16">
        <f t="shared" si="12"/>
        <v>3.6059128011148682</v>
      </c>
      <c r="M177" s="24"/>
    </row>
    <row r="178" spans="1:13" x14ac:dyDescent="0.2">
      <c r="A178" s="24">
        <v>45541.038958333331</v>
      </c>
      <c r="B178" s="24">
        <f t="shared" si="13"/>
        <v>45540.788958333331</v>
      </c>
      <c r="C178" s="32">
        <f t="shared" si="14"/>
        <v>45540.788958333331</v>
      </c>
      <c r="D178" s="33">
        <f t="shared" si="15"/>
        <v>45540.117430555554</v>
      </c>
      <c r="E178" s="34">
        <v>217.5</v>
      </c>
      <c r="F178" s="34">
        <f t="shared" si="8"/>
        <v>11.875</v>
      </c>
      <c r="G178" s="16">
        <v>11.5</v>
      </c>
      <c r="H178" s="16">
        <f t="shared" si="9"/>
        <v>3.283666666666667</v>
      </c>
      <c r="I178" s="16">
        <f t="shared" si="10"/>
        <v>11.974999999999994</v>
      </c>
      <c r="J178" s="16">
        <f t="shared" si="11"/>
        <v>3.3120000000000003</v>
      </c>
      <c r="K178" s="16">
        <f t="shared" si="12"/>
        <v>3.6156400966183555</v>
      </c>
      <c r="M178" s="24"/>
    </row>
    <row r="179" spans="1:13" x14ac:dyDescent="0.2">
      <c r="A179" s="24">
        <v>45541.039652777778</v>
      </c>
      <c r="B179" s="24">
        <f t="shared" si="13"/>
        <v>45540.789652777778</v>
      </c>
      <c r="C179" s="32">
        <f t="shared" si="14"/>
        <v>45540.789652777778</v>
      </c>
      <c r="D179" s="33">
        <f t="shared" si="15"/>
        <v>45540.118125000001</v>
      </c>
      <c r="E179" s="34">
        <v>217.2</v>
      </c>
      <c r="F179" s="34">
        <f t="shared" si="8"/>
        <v>11.574999999999989</v>
      </c>
      <c r="G179" s="16">
        <v>11.443333333333333</v>
      </c>
      <c r="H179" s="16">
        <f t="shared" si="9"/>
        <v>3.2270000000000003</v>
      </c>
      <c r="I179" s="16">
        <f t="shared" si="10"/>
        <v>11.724999999999994</v>
      </c>
      <c r="J179" s="16">
        <f t="shared" si="11"/>
        <v>3.2553333333333336</v>
      </c>
      <c r="K179" s="16">
        <f t="shared" si="12"/>
        <v>3.601781691583041</v>
      </c>
      <c r="M179" s="24"/>
    </row>
    <row r="180" spans="1:13" x14ac:dyDescent="0.2">
      <c r="A180" s="24">
        <v>45541.040347222224</v>
      </c>
      <c r="B180" s="24">
        <f t="shared" si="13"/>
        <v>45540.790347222224</v>
      </c>
      <c r="C180" s="32">
        <f t="shared" si="14"/>
        <v>45540.790347222224</v>
      </c>
      <c r="D180" s="33">
        <f t="shared" si="15"/>
        <v>45540.118819444448</v>
      </c>
      <c r="E180" s="34">
        <v>216.9</v>
      </c>
      <c r="F180" s="34">
        <f t="shared" si="8"/>
        <v>11.275000000000006</v>
      </c>
      <c r="G180" s="16">
        <v>11.363333333333332</v>
      </c>
      <c r="H180" s="16">
        <f t="shared" si="9"/>
        <v>3.1469999999999985</v>
      </c>
      <c r="I180" s="16">
        <f t="shared" si="10"/>
        <v>11.424999999999997</v>
      </c>
      <c r="J180" s="16">
        <f t="shared" si="11"/>
        <v>3.1869999999999994</v>
      </c>
      <c r="K180" s="16">
        <f t="shared" si="12"/>
        <v>3.5848760589896451</v>
      </c>
      <c r="M180" s="24"/>
    </row>
    <row r="181" spans="1:13" x14ac:dyDescent="0.2">
      <c r="A181" s="24">
        <v>45541.041041666664</v>
      </c>
      <c r="B181" s="24">
        <f t="shared" si="13"/>
        <v>45540.791041666664</v>
      </c>
      <c r="C181" s="32">
        <f t="shared" si="14"/>
        <v>45540.791041666664</v>
      </c>
      <c r="D181" s="33">
        <f t="shared" si="15"/>
        <v>45540.119513888887</v>
      </c>
      <c r="E181" s="34">
        <v>216.3</v>
      </c>
      <c r="F181" s="34">
        <f t="shared" si="8"/>
        <v>10.675000000000011</v>
      </c>
      <c r="G181" s="16">
        <v>11.363333333333335</v>
      </c>
      <c r="H181" s="16">
        <f t="shared" si="9"/>
        <v>3.147000000000002</v>
      </c>
      <c r="I181" s="16">
        <f t="shared" si="10"/>
        <v>10.975000000000009</v>
      </c>
      <c r="J181" s="16">
        <f t="shared" si="11"/>
        <v>3.1470000000000002</v>
      </c>
      <c r="K181" s="16">
        <f t="shared" si="12"/>
        <v>3.4874483635208158</v>
      </c>
      <c r="M181" s="24"/>
    </row>
    <row r="182" spans="1:13" x14ac:dyDescent="0.2">
      <c r="A182" s="24">
        <v>45541.04173611111</v>
      </c>
      <c r="B182" s="24">
        <f t="shared" si="13"/>
        <v>45540.79173611111</v>
      </c>
      <c r="C182" s="32">
        <f t="shared" si="14"/>
        <v>45540.79173611111</v>
      </c>
      <c r="D182" s="33">
        <f t="shared" si="15"/>
        <v>45540.120208333334</v>
      </c>
      <c r="E182" s="34">
        <v>217.2</v>
      </c>
      <c r="F182" s="34">
        <f t="shared" si="8"/>
        <v>11.574999999999989</v>
      </c>
      <c r="G182" s="16">
        <v>11.339999999999998</v>
      </c>
      <c r="H182" s="16">
        <f t="shared" si="9"/>
        <v>3.123666666666665</v>
      </c>
      <c r="I182" s="16">
        <f t="shared" si="10"/>
        <v>11.125</v>
      </c>
      <c r="J182" s="16">
        <f t="shared" si="11"/>
        <v>3.1353333333333335</v>
      </c>
      <c r="K182" s="16">
        <f t="shared" si="12"/>
        <v>3.5482670635764402</v>
      </c>
      <c r="M182" s="24"/>
    </row>
    <row r="183" spans="1:13" x14ac:dyDescent="0.2">
      <c r="A183" s="24">
        <v>45541.042430555557</v>
      </c>
      <c r="B183" s="24">
        <f t="shared" si="13"/>
        <v>45540.792430555557</v>
      </c>
      <c r="C183" s="32">
        <f t="shared" si="14"/>
        <v>45540.792430555557</v>
      </c>
      <c r="D183" s="33">
        <f t="shared" si="15"/>
        <v>45540.12090277778</v>
      </c>
      <c r="E183" s="34">
        <v>217.2</v>
      </c>
      <c r="F183" s="34">
        <f t="shared" si="8"/>
        <v>11.574999999999989</v>
      </c>
      <c r="G183" s="16">
        <v>11.36</v>
      </c>
      <c r="H183" s="16">
        <f t="shared" si="9"/>
        <v>3.1436666666666664</v>
      </c>
      <c r="I183" s="16">
        <f t="shared" si="10"/>
        <v>11.574999999999989</v>
      </c>
      <c r="J183" s="16">
        <f t="shared" si="11"/>
        <v>3.1336666666666657</v>
      </c>
      <c r="K183" s="16">
        <f t="shared" si="12"/>
        <v>3.6937559834060183</v>
      </c>
      <c r="M183" s="24"/>
    </row>
    <row r="184" spans="1:13" x14ac:dyDescent="0.2">
      <c r="A184" s="24">
        <v>45541.043124999997</v>
      </c>
      <c r="B184" s="24">
        <f t="shared" si="13"/>
        <v>45540.793124999997</v>
      </c>
      <c r="C184" s="32">
        <f t="shared" si="14"/>
        <v>45540.793124999997</v>
      </c>
      <c r="D184" s="33">
        <f t="shared" si="15"/>
        <v>45540.12159722222</v>
      </c>
      <c r="E184" s="34">
        <v>217.1</v>
      </c>
      <c r="F184" s="34">
        <f t="shared" si="8"/>
        <v>11.474999999999994</v>
      </c>
      <c r="G184" s="16">
        <v>11.373333333333333</v>
      </c>
      <c r="H184" s="16">
        <f t="shared" si="9"/>
        <v>3.157</v>
      </c>
      <c r="I184" s="16">
        <f t="shared" si="10"/>
        <v>11.524999999999991</v>
      </c>
      <c r="J184" s="16">
        <f t="shared" si="11"/>
        <v>3.1503333333333332</v>
      </c>
      <c r="K184" s="16">
        <f t="shared" si="12"/>
        <v>3.6583430324833324</v>
      </c>
      <c r="M184" s="24"/>
    </row>
    <row r="185" spans="1:13" x14ac:dyDescent="0.2">
      <c r="A185" s="24">
        <v>45541.043819444443</v>
      </c>
      <c r="B185" s="24">
        <f t="shared" si="13"/>
        <v>45540.793819444443</v>
      </c>
      <c r="C185" s="32">
        <f t="shared" si="14"/>
        <v>45540.793819444443</v>
      </c>
      <c r="D185" s="33">
        <f t="shared" si="15"/>
        <v>45540.122291666667</v>
      </c>
      <c r="E185" s="34">
        <v>216.9</v>
      </c>
      <c r="F185" s="34">
        <f t="shared" si="8"/>
        <v>11.275000000000006</v>
      </c>
      <c r="G185" s="16">
        <v>11.266666666666666</v>
      </c>
      <c r="H185" s="16">
        <f t="shared" si="9"/>
        <v>3.0503333333333327</v>
      </c>
      <c r="I185" s="16">
        <f t="shared" si="10"/>
        <v>11.375</v>
      </c>
      <c r="J185" s="16">
        <f t="shared" si="11"/>
        <v>3.1036666666666664</v>
      </c>
      <c r="K185" s="16">
        <f t="shared" si="12"/>
        <v>3.665019868972184</v>
      </c>
      <c r="M185" s="24"/>
    </row>
    <row r="186" spans="1:13" x14ac:dyDescent="0.2">
      <c r="A186" s="24">
        <v>45541.04451388889</v>
      </c>
      <c r="B186" s="24">
        <f t="shared" si="13"/>
        <v>45540.79451388889</v>
      </c>
      <c r="C186" s="32">
        <f t="shared" si="14"/>
        <v>45540.79451388889</v>
      </c>
      <c r="D186" s="33">
        <f t="shared" si="15"/>
        <v>45540.122986111113</v>
      </c>
      <c r="E186" s="34">
        <v>216.7</v>
      </c>
      <c r="F186" s="34">
        <f t="shared" si="8"/>
        <v>11.074999999999989</v>
      </c>
      <c r="G186" s="16">
        <v>11.286666666666667</v>
      </c>
      <c r="H186" s="16">
        <f t="shared" si="9"/>
        <v>3.070333333333334</v>
      </c>
      <c r="I186" s="16">
        <f t="shared" si="10"/>
        <v>11.174999999999997</v>
      </c>
      <c r="J186" s="16">
        <f t="shared" si="11"/>
        <v>3.0603333333333333</v>
      </c>
      <c r="K186" s="16">
        <f t="shared" si="12"/>
        <v>3.651563010565297</v>
      </c>
      <c r="M186" s="24"/>
    </row>
    <row r="187" spans="1:13" x14ac:dyDescent="0.2">
      <c r="A187" s="24">
        <v>45541.045208333337</v>
      </c>
      <c r="B187" s="24">
        <f t="shared" si="13"/>
        <v>45540.795208333337</v>
      </c>
      <c r="C187" s="32">
        <f t="shared" si="14"/>
        <v>45540.795208333337</v>
      </c>
      <c r="D187" s="33">
        <f t="shared" si="15"/>
        <v>45540.12368055556</v>
      </c>
      <c r="E187" s="34">
        <v>216.5</v>
      </c>
      <c r="F187" s="34">
        <f t="shared" si="8"/>
        <v>10.875</v>
      </c>
      <c r="G187" s="16">
        <v>11.25</v>
      </c>
      <c r="H187" s="16">
        <f t="shared" si="9"/>
        <v>3.033666666666667</v>
      </c>
      <c r="I187" s="16">
        <f t="shared" si="10"/>
        <v>10.974999999999994</v>
      </c>
      <c r="J187" s="16">
        <f t="shared" si="11"/>
        <v>3.0520000000000005</v>
      </c>
      <c r="K187" s="16">
        <f t="shared" si="12"/>
        <v>3.5960026212319764</v>
      </c>
      <c r="M187" s="24"/>
    </row>
    <row r="188" spans="1:13" x14ac:dyDescent="0.2">
      <c r="A188" s="24">
        <v>45541.045902777776</v>
      </c>
      <c r="B188" s="24">
        <f t="shared" si="13"/>
        <v>45540.795902777776</v>
      </c>
      <c r="C188" s="32">
        <f t="shared" si="14"/>
        <v>45540.795902777776</v>
      </c>
      <c r="D188" s="33">
        <f t="shared" si="15"/>
        <v>45540.124374999999</v>
      </c>
      <c r="E188" s="34">
        <v>216.4</v>
      </c>
      <c r="F188" s="34">
        <f t="shared" si="8"/>
        <v>10.775000000000006</v>
      </c>
      <c r="G188" s="16">
        <v>11.193333333333333</v>
      </c>
      <c r="H188" s="16">
        <f t="shared" si="9"/>
        <v>2.9770000000000003</v>
      </c>
      <c r="I188" s="16">
        <f t="shared" si="10"/>
        <v>10.825000000000003</v>
      </c>
      <c r="J188" s="16">
        <f t="shared" si="11"/>
        <v>3.0053333333333336</v>
      </c>
      <c r="K188" s="16">
        <f t="shared" si="12"/>
        <v>3.6019299023957414</v>
      </c>
      <c r="M188" s="24"/>
    </row>
    <row r="189" spans="1:13" x14ac:dyDescent="0.2">
      <c r="A189" s="24">
        <v>45541.046597222223</v>
      </c>
      <c r="B189" s="24">
        <f t="shared" si="13"/>
        <v>45540.796597222223</v>
      </c>
      <c r="C189" s="32">
        <f t="shared" si="14"/>
        <v>45540.796597222223</v>
      </c>
      <c r="D189" s="33">
        <f t="shared" si="15"/>
        <v>45540.125069444446</v>
      </c>
      <c r="E189" s="34">
        <v>216.4</v>
      </c>
      <c r="F189" s="34">
        <f t="shared" si="8"/>
        <v>10.775000000000006</v>
      </c>
      <c r="G189" s="16">
        <v>11.213333333333333</v>
      </c>
      <c r="H189" s="16">
        <f t="shared" si="9"/>
        <v>2.9969999999999999</v>
      </c>
      <c r="I189" s="16">
        <f t="shared" si="10"/>
        <v>10.775000000000006</v>
      </c>
      <c r="J189" s="16">
        <f t="shared" si="11"/>
        <v>2.9870000000000001</v>
      </c>
      <c r="K189" s="16">
        <f t="shared" si="12"/>
        <v>3.607298292601274</v>
      </c>
      <c r="M189" s="24"/>
    </row>
    <row r="190" spans="1:13" x14ac:dyDescent="0.2">
      <c r="A190" s="24">
        <v>45541.047291666669</v>
      </c>
      <c r="B190" s="24">
        <f t="shared" si="13"/>
        <v>45540.797291666669</v>
      </c>
      <c r="C190" s="32">
        <f t="shared" si="14"/>
        <v>45540.797291666669</v>
      </c>
      <c r="D190" s="33">
        <f t="shared" si="15"/>
        <v>45540.125763888893</v>
      </c>
      <c r="E190" s="34">
        <v>216.3</v>
      </c>
      <c r="F190" s="34">
        <f t="shared" si="8"/>
        <v>10.675000000000011</v>
      </c>
      <c r="G190" s="16">
        <v>11.18</v>
      </c>
      <c r="H190" s="16">
        <f t="shared" si="9"/>
        <v>2.9636666666666667</v>
      </c>
      <c r="I190" s="16">
        <f t="shared" si="10"/>
        <v>10.725000000000009</v>
      </c>
      <c r="J190" s="16">
        <f t="shared" si="11"/>
        <v>2.9803333333333333</v>
      </c>
      <c r="K190" s="16">
        <f t="shared" si="12"/>
        <v>3.5985907616597723</v>
      </c>
      <c r="M190" s="24"/>
    </row>
    <row r="191" spans="1:13" x14ac:dyDescent="0.2">
      <c r="A191" s="24">
        <v>45541.047986111109</v>
      </c>
      <c r="B191" s="24">
        <f t="shared" si="13"/>
        <v>45540.797986111109</v>
      </c>
      <c r="C191" s="32">
        <f t="shared" si="14"/>
        <v>45540.797986111109</v>
      </c>
      <c r="D191" s="33">
        <f t="shared" si="15"/>
        <v>45540.126458333332</v>
      </c>
      <c r="E191" s="34">
        <v>216.3</v>
      </c>
      <c r="F191" s="34">
        <f t="shared" ref="F191:F216" si="16">E191-$N$1</f>
        <v>10.675000000000011</v>
      </c>
      <c r="G191" s="16">
        <v>11.143333333333333</v>
      </c>
      <c r="H191" s="16">
        <f t="shared" ref="H191:H216" si="17">G191-$N$2</f>
        <v>2.9269999999999996</v>
      </c>
      <c r="I191" s="16">
        <f t="shared" ref="I191:I216" si="18">ABS((F191+F190)/2)</f>
        <v>10.675000000000011</v>
      </c>
      <c r="J191" s="16">
        <f t="shared" ref="J191:J216" si="19">ABS((H191+H190)/2)</f>
        <v>2.9453333333333331</v>
      </c>
      <c r="K191" s="16">
        <f t="shared" ref="K191:K216" si="20">I191/J191</f>
        <v>3.6243775464010906</v>
      </c>
      <c r="M191" s="24"/>
    </row>
    <row r="192" spans="1:13" x14ac:dyDescent="0.2">
      <c r="A192" s="24">
        <v>45541.048680555556</v>
      </c>
      <c r="B192" s="24">
        <f t="shared" si="13"/>
        <v>45540.798680555556</v>
      </c>
      <c r="C192" s="32">
        <f t="shared" si="14"/>
        <v>45540.798680555556</v>
      </c>
      <c r="D192" s="33">
        <f t="shared" si="15"/>
        <v>45540.127152777779</v>
      </c>
      <c r="E192" s="34">
        <v>216.1</v>
      </c>
      <c r="F192" s="34">
        <f t="shared" si="16"/>
        <v>10.474999999999994</v>
      </c>
      <c r="G192" s="16">
        <v>11.136666666666665</v>
      </c>
      <c r="H192" s="16">
        <f t="shared" si="17"/>
        <v>2.9203333333333319</v>
      </c>
      <c r="I192" s="16">
        <f t="shared" si="18"/>
        <v>10.575000000000003</v>
      </c>
      <c r="J192" s="16">
        <f t="shared" si="19"/>
        <v>2.9236666666666657</v>
      </c>
      <c r="K192" s="16">
        <f t="shared" si="20"/>
        <v>3.6170334055409894</v>
      </c>
      <c r="M192" s="24"/>
    </row>
    <row r="193" spans="1:13" x14ac:dyDescent="0.2">
      <c r="A193" s="24">
        <v>45541.049375000002</v>
      </c>
      <c r="B193" s="24">
        <f t="shared" si="13"/>
        <v>45540.799375000002</v>
      </c>
      <c r="C193" s="32">
        <f t="shared" si="14"/>
        <v>45540.799375000002</v>
      </c>
      <c r="D193" s="33">
        <f t="shared" si="15"/>
        <v>45540.127847222226</v>
      </c>
      <c r="E193" s="34">
        <v>216.1</v>
      </c>
      <c r="F193" s="34">
        <f t="shared" si="16"/>
        <v>10.474999999999994</v>
      </c>
      <c r="G193" s="16">
        <v>11.103333333333333</v>
      </c>
      <c r="H193" s="16">
        <f t="shared" si="17"/>
        <v>2.8870000000000005</v>
      </c>
      <c r="I193" s="16">
        <f t="shared" si="18"/>
        <v>10.474999999999994</v>
      </c>
      <c r="J193" s="16">
        <f t="shared" si="19"/>
        <v>2.9036666666666662</v>
      </c>
      <c r="K193" s="16">
        <f t="shared" si="20"/>
        <v>3.6075077488233256</v>
      </c>
      <c r="M193" s="24"/>
    </row>
    <row r="194" spans="1:13" x14ac:dyDescent="0.2">
      <c r="A194" s="24">
        <v>45541.050069444442</v>
      </c>
      <c r="B194" s="24">
        <f t="shared" si="13"/>
        <v>45540.800069444442</v>
      </c>
      <c r="C194" s="32">
        <f t="shared" si="14"/>
        <v>45540.800069444442</v>
      </c>
      <c r="D194" s="33">
        <f t="shared" si="15"/>
        <v>45540.128541666665</v>
      </c>
      <c r="E194" s="34">
        <v>216</v>
      </c>
      <c r="F194" s="34">
        <f t="shared" si="16"/>
        <v>10.375</v>
      </c>
      <c r="G194" s="16">
        <v>11.063333333333333</v>
      </c>
      <c r="H194" s="16">
        <f t="shared" si="17"/>
        <v>2.8469999999999995</v>
      </c>
      <c r="I194" s="16">
        <f t="shared" si="18"/>
        <v>10.424999999999997</v>
      </c>
      <c r="J194" s="16">
        <f t="shared" si="19"/>
        <v>2.867</v>
      </c>
      <c r="K194" s="16">
        <f t="shared" si="20"/>
        <v>3.6362050924311116</v>
      </c>
      <c r="M194" s="24"/>
    </row>
    <row r="195" spans="1:13" x14ac:dyDescent="0.2">
      <c r="A195" s="24">
        <v>45541.050763888888</v>
      </c>
      <c r="B195" s="24">
        <f t="shared" si="13"/>
        <v>45540.800763888888</v>
      </c>
      <c r="C195" s="32">
        <f t="shared" si="14"/>
        <v>45540.800763888888</v>
      </c>
      <c r="D195" s="33">
        <f t="shared" si="15"/>
        <v>45540.129236111112</v>
      </c>
      <c r="E195" s="34">
        <v>216</v>
      </c>
      <c r="F195" s="34">
        <f t="shared" si="16"/>
        <v>10.375</v>
      </c>
      <c r="G195" s="16">
        <v>11.06</v>
      </c>
      <c r="H195" s="16">
        <f t="shared" si="17"/>
        <v>2.8436666666666675</v>
      </c>
      <c r="I195" s="16">
        <f t="shared" si="18"/>
        <v>10.375</v>
      </c>
      <c r="J195" s="16">
        <f t="shared" si="19"/>
        <v>2.8453333333333335</v>
      </c>
      <c r="K195" s="16">
        <f t="shared" si="20"/>
        <v>3.6463214620431113</v>
      </c>
      <c r="M195" s="24"/>
    </row>
    <row r="196" spans="1:13" x14ac:dyDescent="0.2">
      <c r="A196" s="24">
        <v>45541.051458333335</v>
      </c>
      <c r="B196" s="24">
        <f t="shared" si="13"/>
        <v>45540.801458333335</v>
      </c>
      <c r="C196" s="32">
        <f t="shared" si="14"/>
        <v>45540.801458333335</v>
      </c>
      <c r="D196" s="33">
        <f t="shared" si="15"/>
        <v>45540.129930555559</v>
      </c>
      <c r="E196" s="34">
        <v>215.8</v>
      </c>
      <c r="F196" s="34">
        <f t="shared" si="16"/>
        <v>10.175000000000011</v>
      </c>
      <c r="G196" s="16">
        <v>11.023333333333333</v>
      </c>
      <c r="H196" s="16">
        <f t="shared" si="17"/>
        <v>2.8070000000000004</v>
      </c>
      <c r="I196" s="16">
        <f t="shared" si="18"/>
        <v>10.275000000000006</v>
      </c>
      <c r="J196" s="16">
        <f t="shared" si="19"/>
        <v>2.8253333333333339</v>
      </c>
      <c r="K196" s="16">
        <f t="shared" si="20"/>
        <v>3.6367390278433236</v>
      </c>
      <c r="M196" s="24"/>
    </row>
    <row r="197" spans="1:13" x14ac:dyDescent="0.2">
      <c r="A197" s="24">
        <v>45541.052152777775</v>
      </c>
      <c r="B197" s="24">
        <f t="shared" si="13"/>
        <v>45540.802152777775</v>
      </c>
      <c r="C197" s="32">
        <f t="shared" si="14"/>
        <v>45540.802152777775</v>
      </c>
      <c r="D197" s="33">
        <f t="shared" si="15"/>
        <v>45540.130624999998</v>
      </c>
      <c r="E197" s="34">
        <v>215.4</v>
      </c>
      <c r="F197" s="34">
        <f t="shared" si="16"/>
        <v>9.7750000000000057</v>
      </c>
      <c r="G197" s="16">
        <v>10.983333333333334</v>
      </c>
      <c r="H197" s="16">
        <f t="shared" si="17"/>
        <v>2.7670000000000012</v>
      </c>
      <c r="I197" s="16">
        <f t="shared" si="18"/>
        <v>9.9750000000000085</v>
      </c>
      <c r="J197" s="16">
        <f t="shared" si="19"/>
        <v>2.7870000000000008</v>
      </c>
      <c r="K197" s="16">
        <f t="shared" si="20"/>
        <v>3.5791173304628652</v>
      </c>
      <c r="M197" s="24"/>
    </row>
    <row r="198" spans="1:13" x14ac:dyDescent="0.2">
      <c r="A198" s="24">
        <v>45541.052847222221</v>
      </c>
      <c r="B198" s="24">
        <f t="shared" si="13"/>
        <v>45540.802847222221</v>
      </c>
      <c r="C198" s="32">
        <f t="shared" si="14"/>
        <v>45540.802847222221</v>
      </c>
      <c r="D198" s="33">
        <f t="shared" si="15"/>
        <v>45540.131319444445</v>
      </c>
      <c r="E198" s="34">
        <v>215.7</v>
      </c>
      <c r="F198" s="34">
        <f t="shared" si="16"/>
        <v>10.074999999999989</v>
      </c>
      <c r="G198" s="16">
        <v>10.966666666666669</v>
      </c>
      <c r="H198" s="16">
        <f t="shared" si="17"/>
        <v>2.7503333333333355</v>
      </c>
      <c r="I198" s="16">
        <f t="shared" si="18"/>
        <v>9.9249999999999972</v>
      </c>
      <c r="J198" s="16">
        <f t="shared" si="19"/>
        <v>2.7586666666666684</v>
      </c>
      <c r="K198" s="16">
        <f t="shared" si="20"/>
        <v>3.5977525374577057</v>
      </c>
      <c r="M198" s="24"/>
    </row>
    <row r="199" spans="1:13" x14ac:dyDescent="0.2">
      <c r="A199" s="24">
        <v>45541.053541666668</v>
      </c>
      <c r="B199" s="24">
        <f t="shared" si="13"/>
        <v>45540.803541666668</v>
      </c>
      <c r="C199" s="32">
        <f t="shared" si="14"/>
        <v>45540.803541666668</v>
      </c>
      <c r="D199" s="33">
        <f t="shared" si="15"/>
        <v>45540.132013888891</v>
      </c>
      <c r="E199" s="34">
        <v>215.6</v>
      </c>
      <c r="F199" s="34">
        <f t="shared" si="16"/>
        <v>9.9749999999999943</v>
      </c>
      <c r="G199" s="16">
        <v>10.936666666666666</v>
      </c>
      <c r="H199" s="16">
        <f t="shared" si="17"/>
        <v>2.7203333333333326</v>
      </c>
      <c r="I199" s="16">
        <f t="shared" si="18"/>
        <v>10.024999999999991</v>
      </c>
      <c r="J199" s="16">
        <f t="shared" si="19"/>
        <v>2.7353333333333341</v>
      </c>
      <c r="K199" s="16">
        <f t="shared" si="20"/>
        <v>3.6650012186205174</v>
      </c>
      <c r="M199" s="24"/>
    </row>
    <row r="200" spans="1:13" x14ac:dyDescent="0.2">
      <c r="A200" s="24">
        <v>45541.054236111115</v>
      </c>
      <c r="B200" s="24">
        <f t="shared" si="13"/>
        <v>45540.804236111115</v>
      </c>
      <c r="C200" s="32">
        <f t="shared" si="14"/>
        <v>45540.804236111115</v>
      </c>
      <c r="D200" s="33">
        <f t="shared" si="15"/>
        <v>45540.132708333338</v>
      </c>
      <c r="E200" s="34">
        <v>215.4</v>
      </c>
      <c r="F200" s="34">
        <f t="shared" si="16"/>
        <v>9.7750000000000057</v>
      </c>
      <c r="G200" s="16">
        <v>10.92</v>
      </c>
      <c r="H200" s="16">
        <f t="shared" si="17"/>
        <v>2.7036666666666669</v>
      </c>
      <c r="I200" s="16">
        <f t="shared" si="18"/>
        <v>9.875</v>
      </c>
      <c r="J200" s="16">
        <f t="shared" si="19"/>
        <v>2.7119999999999997</v>
      </c>
      <c r="K200" s="16">
        <f t="shared" si="20"/>
        <v>3.6412241887905608</v>
      </c>
      <c r="M200" s="24"/>
    </row>
    <row r="201" spans="1:13" x14ac:dyDescent="0.2">
      <c r="A201" s="24">
        <v>45541.054930555554</v>
      </c>
      <c r="B201" s="24">
        <f t="shared" ref="B201:B260" si="21">A201-$A$3</f>
        <v>45540.804930555554</v>
      </c>
      <c r="C201" s="32">
        <f t="shared" ref="C201:C260" si="22">B201</f>
        <v>45540.804930555554</v>
      </c>
      <c r="D201" s="33">
        <f t="shared" si="15"/>
        <v>45540.133402777778</v>
      </c>
      <c r="E201" s="34">
        <v>215.4</v>
      </c>
      <c r="F201" s="34">
        <f t="shared" si="16"/>
        <v>9.7750000000000057</v>
      </c>
      <c r="G201" s="16">
        <v>10.893333333333333</v>
      </c>
      <c r="H201" s="16">
        <f t="shared" si="17"/>
        <v>2.6769999999999996</v>
      </c>
      <c r="I201" s="16">
        <f t="shared" si="18"/>
        <v>9.7750000000000057</v>
      </c>
      <c r="J201" s="16">
        <f t="shared" si="19"/>
        <v>2.6903333333333332</v>
      </c>
      <c r="K201" s="16">
        <f t="shared" si="20"/>
        <v>3.6333787634741692</v>
      </c>
      <c r="M201" s="24"/>
    </row>
    <row r="202" spans="1:13" x14ac:dyDescent="0.2">
      <c r="A202" s="24">
        <v>45541.055625000001</v>
      </c>
      <c r="B202" s="24">
        <f t="shared" si="21"/>
        <v>45540.805625000001</v>
      </c>
      <c r="C202" s="32">
        <f t="shared" si="22"/>
        <v>45540.805625000001</v>
      </c>
      <c r="D202" s="33">
        <f t="shared" ref="D202:D226" si="23">C202-$E$2</f>
        <v>45540.134097222224</v>
      </c>
      <c r="E202" s="34">
        <v>215.2</v>
      </c>
      <c r="F202" s="34">
        <f t="shared" si="16"/>
        <v>9.5749999999999886</v>
      </c>
      <c r="G202" s="16">
        <v>10.886666666666665</v>
      </c>
      <c r="H202" s="16">
        <f t="shared" si="17"/>
        <v>2.6703333333333319</v>
      </c>
      <c r="I202" s="16">
        <f t="shared" si="18"/>
        <v>9.6749999999999972</v>
      </c>
      <c r="J202" s="16">
        <f t="shared" si="19"/>
        <v>2.6736666666666657</v>
      </c>
      <c r="K202" s="16">
        <f t="shared" si="20"/>
        <v>3.618626106470515</v>
      </c>
      <c r="M202" s="24"/>
    </row>
    <row r="203" spans="1:13" x14ac:dyDescent="0.2">
      <c r="A203" s="24">
        <v>45541.056319444448</v>
      </c>
      <c r="B203" s="24">
        <f t="shared" si="21"/>
        <v>45540.806319444448</v>
      </c>
      <c r="C203" s="32">
        <f t="shared" si="22"/>
        <v>45540.806319444448</v>
      </c>
      <c r="D203" s="33">
        <f t="shared" si="23"/>
        <v>45540.134791666671</v>
      </c>
      <c r="E203" s="34">
        <v>215.3</v>
      </c>
      <c r="F203" s="34">
        <f t="shared" si="16"/>
        <v>9.6750000000000114</v>
      </c>
      <c r="G203" s="16">
        <v>10.88</v>
      </c>
      <c r="H203" s="16">
        <f t="shared" si="17"/>
        <v>2.6636666666666677</v>
      </c>
      <c r="I203" s="16">
        <f t="shared" si="18"/>
        <v>9.625</v>
      </c>
      <c r="J203" s="16">
        <f t="shared" si="19"/>
        <v>2.6669999999999998</v>
      </c>
      <c r="K203" s="16">
        <f t="shared" si="20"/>
        <v>3.6089238845144358</v>
      </c>
      <c r="M203" s="24"/>
    </row>
    <row r="204" spans="1:13" x14ac:dyDescent="0.2">
      <c r="A204" s="24">
        <v>45541.057013888887</v>
      </c>
      <c r="B204" s="24">
        <f t="shared" si="21"/>
        <v>45540.807013888887</v>
      </c>
      <c r="C204" s="32">
        <f t="shared" si="22"/>
        <v>45540.807013888887</v>
      </c>
      <c r="D204" s="33">
        <f t="shared" si="23"/>
        <v>45540.13548611111</v>
      </c>
      <c r="E204" s="34">
        <v>215.4</v>
      </c>
      <c r="F204" s="34">
        <f t="shared" si="16"/>
        <v>9.7750000000000057</v>
      </c>
      <c r="G204" s="16">
        <v>10.89</v>
      </c>
      <c r="H204" s="16">
        <f t="shared" si="17"/>
        <v>2.6736666666666675</v>
      </c>
      <c r="I204" s="16">
        <f t="shared" si="18"/>
        <v>9.7250000000000085</v>
      </c>
      <c r="J204" s="16">
        <f t="shared" si="19"/>
        <v>2.6686666666666676</v>
      </c>
      <c r="K204" s="16">
        <f t="shared" si="20"/>
        <v>3.6441418935798171</v>
      </c>
      <c r="M204" s="24"/>
    </row>
    <row r="205" spans="1:13" x14ac:dyDescent="0.2">
      <c r="A205" s="24">
        <v>45541.057708333334</v>
      </c>
      <c r="B205" s="24">
        <f t="shared" si="21"/>
        <v>45540.807708333334</v>
      </c>
      <c r="C205" s="32">
        <f t="shared" si="22"/>
        <v>45540.807708333334</v>
      </c>
      <c r="D205" s="33">
        <f t="shared" si="23"/>
        <v>45540.136180555557</v>
      </c>
      <c r="E205" s="34">
        <v>215.2</v>
      </c>
      <c r="F205" s="34">
        <f t="shared" si="16"/>
        <v>9.5749999999999886</v>
      </c>
      <c r="G205" s="16">
        <v>10.856666666666667</v>
      </c>
      <c r="H205" s="16">
        <f t="shared" si="17"/>
        <v>2.6403333333333343</v>
      </c>
      <c r="I205" s="16">
        <f t="shared" si="18"/>
        <v>9.6749999999999972</v>
      </c>
      <c r="J205" s="16">
        <f t="shared" si="19"/>
        <v>2.6570000000000009</v>
      </c>
      <c r="K205" s="16">
        <f t="shared" si="20"/>
        <v>3.6413248024087292</v>
      </c>
    </row>
    <row r="206" spans="1:13" x14ac:dyDescent="0.2">
      <c r="A206" s="24">
        <v>45541.05840277778</v>
      </c>
      <c r="B206" s="24">
        <f t="shared" si="21"/>
        <v>45540.80840277778</v>
      </c>
      <c r="C206" s="32">
        <f t="shared" si="22"/>
        <v>45540.80840277778</v>
      </c>
      <c r="D206" s="33">
        <f t="shared" si="23"/>
        <v>45540.136875000004</v>
      </c>
      <c r="E206" s="34">
        <v>215.1</v>
      </c>
      <c r="F206" s="34">
        <f t="shared" si="16"/>
        <v>9.4749999999999943</v>
      </c>
      <c r="G206" s="16">
        <v>10.823333333333332</v>
      </c>
      <c r="H206" s="16">
        <f t="shared" si="17"/>
        <v>2.6069999999999993</v>
      </c>
      <c r="I206" s="16">
        <f t="shared" si="18"/>
        <v>9.5249999999999915</v>
      </c>
      <c r="J206" s="16">
        <f t="shared" si="19"/>
        <v>2.6236666666666668</v>
      </c>
      <c r="K206" s="16">
        <f t="shared" si="20"/>
        <v>3.6304154491170082</v>
      </c>
    </row>
    <row r="207" spans="1:13" x14ac:dyDescent="0.2">
      <c r="A207" s="24">
        <v>45541.05909722222</v>
      </c>
      <c r="B207" s="24">
        <f t="shared" si="21"/>
        <v>45540.80909722222</v>
      </c>
      <c r="C207" s="32">
        <f t="shared" si="22"/>
        <v>45540.80909722222</v>
      </c>
      <c r="D207" s="33">
        <f t="shared" si="23"/>
        <v>45540.137569444443</v>
      </c>
      <c r="E207" s="34">
        <v>214.9</v>
      </c>
      <c r="F207" s="34">
        <f t="shared" si="16"/>
        <v>9.2750000000000057</v>
      </c>
      <c r="G207" s="16">
        <v>10.776666666666666</v>
      </c>
      <c r="H207" s="16">
        <f t="shared" si="17"/>
        <v>2.5603333333333325</v>
      </c>
      <c r="I207" s="16">
        <f t="shared" si="18"/>
        <v>9.375</v>
      </c>
      <c r="J207" s="16">
        <f t="shared" si="19"/>
        <v>2.5836666666666659</v>
      </c>
      <c r="K207" s="16">
        <f t="shared" si="20"/>
        <v>3.6285640562508075</v>
      </c>
    </row>
    <row r="208" spans="1:13" x14ac:dyDescent="0.2">
      <c r="A208" s="24">
        <v>45541.059791666667</v>
      </c>
      <c r="B208" s="24">
        <f t="shared" si="21"/>
        <v>45540.809791666667</v>
      </c>
      <c r="C208" s="32">
        <f t="shared" si="22"/>
        <v>45540.809791666667</v>
      </c>
      <c r="D208" s="33">
        <f t="shared" si="23"/>
        <v>45540.13826388889</v>
      </c>
      <c r="E208" s="34">
        <v>214.8</v>
      </c>
      <c r="F208" s="34">
        <f t="shared" si="16"/>
        <v>9.1750000000000114</v>
      </c>
      <c r="G208" s="16">
        <v>10.726666666666667</v>
      </c>
      <c r="H208" s="16">
        <f t="shared" si="17"/>
        <v>2.5103333333333335</v>
      </c>
      <c r="I208" s="16">
        <f t="shared" si="18"/>
        <v>9.2250000000000085</v>
      </c>
      <c r="J208" s="16">
        <f t="shared" si="19"/>
        <v>2.535333333333333</v>
      </c>
      <c r="K208" s="16">
        <f t="shared" si="20"/>
        <v>3.6385748093610348</v>
      </c>
    </row>
    <row r="209" spans="1:13" x14ac:dyDescent="0.2">
      <c r="A209" s="24">
        <v>45541.060486111113</v>
      </c>
      <c r="B209" s="24">
        <f t="shared" si="21"/>
        <v>45540.810486111113</v>
      </c>
      <c r="C209" s="32">
        <f t="shared" si="22"/>
        <v>45540.810486111113</v>
      </c>
      <c r="D209" s="33">
        <f t="shared" si="23"/>
        <v>45540.138958333337</v>
      </c>
      <c r="E209" s="34">
        <v>215</v>
      </c>
      <c r="F209" s="34">
        <f t="shared" si="16"/>
        <v>9.375</v>
      </c>
      <c r="G209" s="16">
        <v>10.79</v>
      </c>
      <c r="H209" s="16">
        <f t="shared" si="17"/>
        <v>2.5736666666666661</v>
      </c>
      <c r="I209" s="16">
        <f t="shared" si="18"/>
        <v>9.2750000000000057</v>
      </c>
      <c r="J209" s="16">
        <f t="shared" si="19"/>
        <v>2.5419999999999998</v>
      </c>
      <c r="K209" s="16">
        <f t="shared" si="20"/>
        <v>3.6487018095987436</v>
      </c>
    </row>
    <row r="210" spans="1:13" x14ac:dyDescent="0.2">
      <c r="A210" s="24">
        <v>45541.061180555553</v>
      </c>
      <c r="B210" s="24">
        <f t="shared" si="21"/>
        <v>45540.811180555553</v>
      </c>
      <c r="C210" s="32">
        <f t="shared" si="22"/>
        <v>45540.811180555553</v>
      </c>
      <c r="D210" s="33">
        <f t="shared" si="23"/>
        <v>45540.139652777776</v>
      </c>
      <c r="E210" s="34">
        <v>214.7</v>
      </c>
      <c r="F210" s="34">
        <f t="shared" si="16"/>
        <v>9.0749999999999886</v>
      </c>
      <c r="G210" s="16">
        <v>10.723333333333334</v>
      </c>
      <c r="H210" s="16">
        <f t="shared" si="17"/>
        <v>2.5070000000000014</v>
      </c>
      <c r="I210" s="16">
        <f t="shared" si="18"/>
        <v>9.2249999999999943</v>
      </c>
      <c r="J210" s="16">
        <f t="shared" si="19"/>
        <v>2.5403333333333338</v>
      </c>
      <c r="K210" s="16">
        <f t="shared" si="20"/>
        <v>3.6314132003674029</v>
      </c>
    </row>
    <row r="211" spans="1:13" x14ac:dyDescent="0.2">
      <c r="A211" s="24">
        <v>45541.061874999999</v>
      </c>
      <c r="B211" s="24">
        <f t="shared" si="21"/>
        <v>45540.811874999999</v>
      </c>
      <c r="C211" s="32">
        <f t="shared" si="22"/>
        <v>45540.811874999999</v>
      </c>
      <c r="D211" s="33">
        <f t="shared" si="23"/>
        <v>45540.140347222223</v>
      </c>
      <c r="E211" s="34">
        <v>214.8</v>
      </c>
      <c r="F211" s="34">
        <f t="shared" si="16"/>
        <v>9.1750000000000114</v>
      </c>
      <c r="G211" s="16">
        <v>10.71</v>
      </c>
      <c r="H211" s="16">
        <f t="shared" si="17"/>
        <v>2.4936666666666678</v>
      </c>
      <c r="I211" s="16">
        <f t="shared" si="18"/>
        <v>9.125</v>
      </c>
      <c r="J211" s="16">
        <f t="shared" si="19"/>
        <v>2.5003333333333346</v>
      </c>
      <c r="K211" s="16">
        <f t="shared" si="20"/>
        <v>3.6495133982135695</v>
      </c>
    </row>
    <row r="212" spans="1:13" x14ac:dyDescent="0.2">
      <c r="A212" s="24">
        <v>45541.062569444446</v>
      </c>
      <c r="B212" s="24">
        <f t="shared" si="21"/>
        <v>45540.812569444446</v>
      </c>
      <c r="C212" s="32">
        <f t="shared" si="22"/>
        <v>45540.812569444446</v>
      </c>
      <c r="D212" s="33">
        <f t="shared" si="23"/>
        <v>45540.141041666669</v>
      </c>
      <c r="E212" s="34">
        <v>214.7</v>
      </c>
      <c r="F212" s="34">
        <f t="shared" si="16"/>
        <v>9.0749999999999886</v>
      </c>
      <c r="G212" s="16">
        <v>10.71</v>
      </c>
      <c r="H212" s="16">
        <f t="shared" si="17"/>
        <v>2.4936666666666678</v>
      </c>
      <c r="I212" s="16">
        <f t="shared" si="18"/>
        <v>9.125</v>
      </c>
      <c r="J212" s="16">
        <f t="shared" si="19"/>
        <v>2.4936666666666678</v>
      </c>
      <c r="K212" s="16">
        <f t="shared" si="20"/>
        <v>3.6592701510493231</v>
      </c>
    </row>
    <row r="213" spans="1:13" x14ac:dyDescent="0.2">
      <c r="A213" s="24">
        <v>45541.063263888886</v>
      </c>
      <c r="B213" s="24">
        <f t="shared" si="21"/>
        <v>45540.813263888886</v>
      </c>
      <c r="C213" s="32">
        <f t="shared" si="22"/>
        <v>45540.813263888886</v>
      </c>
      <c r="D213" s="33">
        <f t="shared" si="23"/>
        <v>45540.141736111109</v>
      </c>
      <c r="E213" s="34">
        <v>214.6</v>
      </c>
      <c r="F213" s="34">
        <f t="shared" si="16"/>
        <v>8.9749999999999943</v>
      </c>
      <c r="G213" s="16">
        <v>10.666666666666666</v>
      </c>
      <c r="H213" s="16">
        <f t="shared" si="17"/>
        <v>2.450333333333333</v>
      </c>
      <c r="I213" s="16">
        <f t="shared" si="18"/>
        <v>9.0249999999999915</v>
      </c>
      <c r="J213" s="16">
        <f t="shared" si="19"/>
        <v>2.4720000000000004</v>
      </c>
      <c r="K213" s="16">
        <f t="shared" si="20"/>
        <v>3.6508899676375366</v>
      </c>
    </row>
    <row r="214" spans="1:13" x14ac:dyDescent="0.2">
      <c r="A214" s="24">
        <v>45541.063958333332</v>
      </c>
      <c r="B214" s="24">
        <f t="shared" si="21"/>
        <v>45540.813958333332</v>
      </c>
      <c r="C214" s="32">
        <f t="shared" si="22"/>
        <v>45540.813958333332</v>
      </c>
      <c r="D214" s="33">
        <f t="shared" si="23"/>
        <v>45540.142430555556</v>
      </c>
      <c r="E214" s="34">
        <v>214.3</v>
      </c>
      <c r="F214" s="34">
        <f t="shared" si="16"/>
        <v>8.6750000000000114</v>
      </c>
      <c r="G214" s="16">
        <v>10.616666666666667</v>
      </c>
      <c r="H214" s="16">
        <f t="shared" si="17"/>
        <v>2.4003333333333341</v>
      </c>
      <c r="I214" s="16">
        <f t="shared" si="18"/>
        <v>8.8250000000000028</v>
      </c>
      <c r="J214" s="16">
        <f t="shared" si="19"/>
        <v>2.4253333333333336</v>
      </c>
      <c r="K214" s="16">
        <f t="shared" si="20"/>
        <v>3.6386750962067076</v>
      </c>
    </row>
    <row r="215" spans="1:13" x14ac:dyDescent="0.2">
      <c r="A215" s="24">
        <v>45541.064652777779</v>
      </c>
      <c r="B215" s="24">
        <f t="shared" si="21"/>
        <v>45540.814652777779</v>
      </c>
      <c r="C215" s="32">
        <f t="shared" si="22"/>
        <v>45540.814652777779</v>
      </c>
      <c r="D215" s="33">
        <f t="shared" si="23"/>
        <v>45540.143125000002</v>
      </c>
      <c r="E215" s="34">
        <v>214.4</v>
      </c>
      <c r="F215" s="34">
        <f t="shared" si="16"/>
        <v>8.7750000000000057</v>
      </c>
      <c r="G215" s="16">
        <v>10.590000000000002</v>
      </c>
      <c r="H215" s="16">
        <f t="shared" si="17"/>
        <v>2.3736666666666686</v>
      </c>
      <c r="I215" s="16">
        <f t="shared" si="18"/>
        <v>8.7250000000000085</v>
      </c>
      <c r="J215" s="16">
        <f t="shared" si="19"/>
        <v>2.3870000000000013</v>
      </c>
      <c r="K215" s="16">
        <f t="shared" si="20"/>
        <v>3.6552157519899469</v>
      </c>
    </row>
    <row r="216" spans="1:13" x14ac:dyDescent="0.2">
      <c r="A216" s="24">
        <v>45541.065347222226</v>
      </c>
      <c r="B216" s="24">
        <f t="shared" si="21"/>
        <v>45540.815347222226</v>
      </c>
      <c r="C216" s="32">
        <f t="shared" si="22"/>
        <v>45540.815347222226</v>
      </c>
      <c r="D216" s="33">
        <f t="shared" si="23"/>
        <v>45540.143819444449</v>
      </c>
      <c r="E216" s="34">
        <v>214.3</v>
      </c>
      <c r="F216" s="34">
        <f t="shared" si="16"/>
        <v>8.6750000000000114</v>
      </c>
      <c r="G216" s="16">
        <v>10.546666666666667</v>
      </c>
      <c r="H216" s="16">
        <f t="shared" si="17"/>
        <v>2.3303333333333338</v>
      </c>
      <c r="I216" s="16">
        <f t="shared" si="18"/>
        <v>8.7250000000000085</v>
      </c>
      <c r="J216" s="16">
        <f t="shared" si="19"/>
        <v>2.3520000000000012</v>
      </c>
      <c r="K216" s="16">
        <f t="shared" si="20"/>
        <v>3.7096088435374166</v>
      </c>
    </row>
    <row r="217" spans="1:13" x14ac:dyDescent="0.2">
      <c r="A217" s="41">
        <v>45541.066041666665</v>
      </c>
      <c r="B217" s="41">
        <f t="shared" si="21"/>
        <v>45540.816041666665</v>
      </c>
      <c r="C217" s="42">
        <f t="shared" si="22"/>
        <v>45540.816041666665</v>
      </c>
      <c r="D217" s="43">
        <f t="shared" si="23"/>
        <v>45540.144513888888</v>
      </c>
      <c r="E217" s="44">
        <v>214</v>
      </c>
      <c r="F217" s="45"/>
      <c r="G217" s="46">
        <v>-1</v>
      </c>
    </row>
    <row r="218" spans="1:13" x14ac:dyDescent="0.2">
      <c r="A218" s="41">
        <v>45541.654907407406</v>
      </c>
      <c r="B218" s="41">
        <f t="shared" si="21"/>
        <v>45541.404907407406</v>
      </c>
      <c r="C218" s="42">
        <f t="shared" si="22"/>
        <v>45541.404907407406</v>
      </c>
      <c r="D218" s="43">
        <f t="shared" si="23"/>
        <v>45540.73337962963</v>
      </c>
      <c r="E218" s="45"/>
      <c r="F218" s="45"/>
      <c r="G218" s="46">
        <v>1.4866666666666666</v>
      </c>
      <c r="I218" s="16">
        <f>SUM(I126:I216)</f>
        <v>873.02499999999998</v>
      </c>
      <c r="J218" s="16">
        <f>SUM(J126:J216)</f>
        <v>237.55533333333338</v>
      </c>
      <c r="K218" s="16"/>
      <c r="L218" s="16">
        <f>J218/I218</f>
        <v>0.27210599161917859</v>
      </c>
      <c r="M218" t="s">
        <v>35</v>
      </c>
    </row>
    <row r="219" spans="1:13" x14ac:dyDescent="0.2">
      <c r="A219" s="24">
        <v>45541.687569444446</v>
      </c>
      <c r="B219" s="24">
        <f t="shared" si="21"/>
        <v>45541.437569444446</v>
      </c>
      <c r="C219" s="32">
        <f t="shared" si="22"/>
        <v>45541.437569444446</v>
      </c>
      <c r="D219" s="33">
        <f t="shared" si="23"/>
        <v>45540.766041666669</v>
      </c>
      <c r="G219" s="16">
        <v>8.0612500000000011</v>
      </c>
      <c r="I219" t="s">
        <v>36</v>
      </c>
      <c r="J219" t="s">
        <v>37</v>
      </c>
    </row>
    <row r="220" spans="1:13" x14ac:dyDescent="0.2">
      <c r="A220" s="24">
        <v>45541.708402777775</v>
      </c>
      <c r="B220" s="24">
        <f t="shared" si="21"/>
        <v>45541.458402777775</v>
      </c>
      <c r="C220" s="32">
        <f t="shared" si="22"/>
        <v>45541.458402777775</v>
      </c>
      <c r="D220" s="33">
        <f t="shared" si="23"/>
        <v>45540.786874999998</v>
      </c>
      <c r="G220" s="16">
        <v>8.0637500000000006</v>
      </c>
    </row>
    <row r="221" spans="1:13" x14ac:dyDescent="0.2">
      <c r="A221" s="24">
        <v>45541.72923611111</v>
      </c>
      <c r="B221" s="24">
        <f t="shared" si="21"/>
        <v>45541.47923611111</v>
      </c>
      <c r="C221" s="32">
        <f t="shared" si="22"/>
        <v>45541.47923611111</v>
      </c>
      <c r="D221" s="33">
        <f t="shared" si="23"/>
        <v>45540.807708333334</v>
      </c>
      <c r="G221" s="16">
        <v>8.0225000000000009</v>
      </c>
    </row>
    <row r="222" spans="1:13" x14ac:dyDescent="0.2">
      <c r="A222" s="24">
        <v>45541.750069444446</v>
      </c>
      <c r="B222" s="24">
        <f t="shared" si="21"/>
        <v>45541.500069444446</v>
      </c>
      <c r="C222" s="32">
        <f t="shared" si="22"/>
        <v>45541.500069444446</v>
      </c>
      <c r="D222" s="33">
        <f t="shared" si="23"/>
        <v>45540.828541666669</v>
      </c>
      <c r="G222" s="16">
        <v>7.9862500000000001</v>
      </c>
    </row>
    <row r="223" spans="1:13" x14ac:dyDescent="0.2">
      <c r="A223" s="24">
        <v>45541.770902777775</v>
      </c>
      <c r="B223" s="24">
        <f t="shared" si="21"/>
        <v>45541.520902777775</v>
      </c>
      <c r="C223" s="32">
        <f t="shared" si="22"/>
        <v>45541.520902777775</v>
      </c>
      <c r="D223" s="33">
        <f t="shared" si="23"/>
        <v>45540.849374999998</v>
      </c>
      <c r="G223" s="16">
        <v>7.9449999999999994</v>
      </c>
    </row>
    <row r="224" spans="1:13" x14ac:dyDescent="0.2">
      <c r="A224" s="24">
        <v>45541.79173611111</v>
      </c>
      <c r="B224" s="24">
        <f t="shared" si="21"/>
        <v>45541.54173611111</v>
      </c>
      <c r="C224" s="32">
        <f t="shared" si="22"/>
        <v>45541.54173611111</v>
      </c>
      <c r="D224" s="33">
        <f t="shared" si="23"/>
        <v>45540.870208333334</v>
      </c>
      <c r="G224" s="16">
        <v>7.9062500000000009</v>
      </c>
    </row>
    <row r="225" spans="1:7" x14ac:dyDescent="0.2">
      <c r="A225" s="24">
        <v>45541.812569444446</v>
      </c>
      <c r="B225" s="24">
        <f t="shared" si="21"/>
        <v>45541.562569444446</v>
      </c>
      <c r="C225" s="32">
        <f t="shared" si="22"/>
        <v>45541.562569444446</v>
      </c>
      <c r="D225" s="33">
        <f t="shared" si="23"/>
        <v>45540.891041666669</v>
      </c>
      <c r="G225" s="16">
        <v>7.8612500000000001</v>
      </c>
    </row>
    <row r="226" spans="1:7" x14ac:dyDescent="0.2">
      <c r="A226" s="24">
        <v>45541.833402777775</v>
      </c>
      <c r="B226" s="24">
        <f t="shared" si="21"/>
        <v>45541.583402777775</v>
      </c>
      <c r="C226" s="32">
        <f t="shared" si="22"/>
        <v>45541.583402777775</v>
      </c>
      <c r="D226" s="33">
        <f t="shared" si="23"/>
        <v>45540.911874999998</v>
      </c>
      <c r="G226" s="16">
        <v>7.8375000000000004</v>
      </c>
    </row>
    <row r="227" spans="1:7" x14ac:dyDescent="0.2">
      <c r="A227" s="47"/>
    </row>
    <row r="228" spans="1:7" x14ac:dyDescent="0.2">
      <c r="A228" s="47"/>
    </row>
    <row r="229" spans="1:7" x14ac:dyDescent="0.2">
      <c r="A229" s="47"/>
    </row>
    <row r="230" spans="1:7" x14ac:dyDescent="0.2">
      <c r="A230" s="47"/>
    </row>
    <row r="231" spans="1:7" x14ac:dyDescent="0.2">
      <c r="A231" s="47"/>
    </row>
    <row r="232" spans="1:7" x14ac:dyDescent="0.2">
      <c r="A232" s="47"/>
    </row>
    <row r="233" spans="1:7" x14ac:dyDescent="0.2">
      <c r="A233" s="47"/>
    </row>
    <row r="234" spans="1:7" x14ac:dyDescent="0.2">
      <c r="A234" s="47"/>
    </row>
    <row r="235" spans="1:7" x14ac:dyDescent="0.2">
      <c r="A235" s="47"/>
    </row>
    <row r="236" spans="1:7" x14ac:dyDescent="0.2">
      <c r="A236" s="47"/>
    </row>
    <row r="237" spans="1:7" x14ac:dyDescent="0.2">
      <c r="A237" s="47"/>
    </row>
    <row r="238" spans="1:7" x14ac:dyDescent="0.2">
      <c r="A238" s="47"/>
    </row>
    <row r="239" spans="1:7" x14ac:dyDescent="0.2">
      <c r="A239" s="47"/>
    </row>
    <row r="240" spans="1:7" x14ac:dyDescent="0.2">
      <c r="A240" s="47"/>
    </row>
    <row r="241" spans="1:1" x14ac:dyDescent="0.2">
      <c r="A241" s="47"/>
    </row>
    <row r="242" spans="1:1" x14ac:dyDescent="0.2">
      <c r="A242" s="47"/>
    </row>
    <row r="243" spans="1:1" x14ac:dyDescent="0.2">
      <c r="A243" s="47"/>
    </row>
    <row r="244" spans="1:1" x14ac:dyDescent="0.2">
      <c r="A244" s="47"/>
    </row>
    <row r="245" spans="1:1" x14ac:dyDescent="0.2">
      <c r="A245" s="47"/>
    </row>
    <row r="246" spans="1:1" x14ac:dyDescent="0.2">
      <c r="A246" s="47"/>
    </row>
    <row r="247" spans="1:1" x14ac:dyDescent="0.2">
      <c r="A247" s="47"/>
    </row>
    <row r="248" spans="1:1" x14ac:dyDescent="0.2">
      <c r="A248" s="47"/>
    </row>
    <row r="249" spans="1:1" x14ac:dyDescent="0.2">
      <c r="A249" s="47"/>
    </row>
    <row r="250" spans="1:1" x14ac:dyDescent="0.2">
      <c r="A250" s="47"/>
    </row>
    <row r="251" spans="1:1" x14ac:dyDescent="0.2">
      <c r="A251" s="47"/>
    </row>
    <row r="252" spans="1:1" x14ac:dyDescent="0.2">
      <c r="A252" s="47"/>
    </row>
    <row r="253" spans="1:1" x14ac:dyDescent="0.2">
      <c r="A253" s="47"/>
    </row>
    <row r="254" spans="1:1" x14ac:dyDescent="0.2">
      <c r="A254" s="47"/>
    </row>
    <row r="255" spans="1:1" x14ac:dyDescent="0.2">
      <c r="A255" s="47"/>
    </row>
    <row r="256" spans="1:1" x14ac:dyDescent="0.2">
      <c r="A256" s="47"/>
    </row>
    <row r="257" spans="1:1" x14ac:dyDescent="0.2">
      <c r="A257" s="47"/>
    </row>
    <row r="258" spans="1:1" x14ac:dyDescent="0.2">
      <c r="A258" s="47"/>
    </row>
    <row r="259" spans="1:1" x14ac:dyDescent="0.2">
      <c r="A259" s="47"/>
    </row>
    <row r="260" spans="1:1" x14ac:dyDescent="0.2">
      <c r="A260" s="47"/>
    </row>
    <row r="261" spans="1:1" x14ac:dyDescent="0.2">
      <c r="A261" s="47"/>
    </row>
    <row r="262" spans="1:1" x14ac:dyDescent="0.2">
      <c r="A262" s="47"/>
    </row>
    <row r="263" spans="1:1" x14ac:dyDescent="0.2">
      <c r="A263" s="47"/>
    </row>
    <row r="264" spans="1:1" x14ac:dyDescent="0.2">
      <c r="A264" s="47"/>
    </row>
    <row r="265" spans="1:1" x14ac:dyDescent="0.2">
      <c r="A265" s="47"/>
    </row>
    <row r="266" spans="1:1" x14ac:dyDescent="0.2">
      <c r="A266" s="47"/>
    </row>
    <row r="267" spans="1:1" x14ac:dyDescent="0.2">
      <c r="A267" s="47"/>
    </row>
    <row r="268" spans="1:1" x14ac:dyDescent="0.2">
      <c r="A268" s="47"/>
    </row>
    <row r="269" spans="1:1" x14ac:dyDescent="0.2">
      <c r="A269" s="47"/>
    </row>
    <row r="270" spans="1:1" x14ac:dyDescent="0.2">
      <c r="A270" s="47"/>
    </row>
    <row r="271" spans="1:1" x14ac:dyDescent="0.2">
      <c r="A271" s="47"/>
    </row>
    <row r="272" spans="1:1" x14ac:dyDescent="0.2">
      <c r="A272" s="47"/>
    </row>
    <row r="273" spans="1:1" x14ac:dyDescent="0.2">
      <c r="A273" s="47"/>
    </row>
    <row r="274" spans="1:1" x14ac:dyDescent="0.2">
      <c r="A274" s="47"/>
    </row>
    <row r="275" spans="1:1" x14ac:dyDescent="0.2">
      <c r="A275" s="47"/>
    </row>
    <row r="276" spans="1:1" x14ac:dyDescent="0.2">
      <c r="A276" s="47"/>
    </row>
    <row r="277" spans="1:1" x14ac:dyDescent="0.2">
      <c r="A277" s="47"/>
    </row>
    <row r="278" spans="1:1" x14ac:dyDescent="0.2">
      <c r="A278" s="47"/>
    </row>
    <row r="279" spans="1:1" x14ac:dyDescent="0.2">
      <c r="A279" s="47"/>
    </row>
    <row r="280" spans="1:1" x14ac:dyDescent="0.2">
      <c r="A280" s="47"/>
    </row>
    <row r="281" spans="1:1" x14ac:dyDescent="0.2">
      <c r="A281" s="47"/>
    </row>
    <row r="282" spans="1:1" x14ac:dyDescent="0.2">
      <c r="A282" s="47"/>
    </row>
    <row r="283" spans="1:1" x14ac:dyDescent="0.2">
      <c r="A283" s="47"/>
    </row>
    <row r="284" spans="1:1" x14ac:dyDescent="0.2">
      <c r="A284" s="47"/>
    </row>
    <row r="285" spans="1:1" x14ac:dyDescent="0.2">
      <c r="A285" s="47"/>
    </row>
    <row r="286" spans="1:1" x14ac:dyDescent="0.2">
      <c r="A286" s="47"/>
    </row>
    <row r="287" spans="1:1" x14ac:dyDescent="0.2">
      <c r="A287" s="47"/>
    </row>
    <row r="288" spans="1:1" x14ac:dyDescent="0.2">
      <c r="A288" s="47"/>
    </row>
    <row r="289" spans="1:1" x14ac:dyDescent="0.2">
      <c r="A289" s="47"/>
    </row>
    <row r="290" spans="1:1" x14ac:dyDescent="0.2">
      <c r="A290" s="47"/>
    </row>
    <row r="291" spans="1:1" x14ac:dyDescent="0.2">
      <c r="A291" s="47"/>
    </row>
    <row r="292" spans="1:1" x14ac:dyDescent="0.2">
      <c r="A292" s="47"/>
    </row>
    <row r="293" spans="1:1" x14ac:dyDescent="0.2">
      <c r="A293" s="47"/>
    </row>
    <row r="294" spans="1:1" x14ac:dyDescent="0.2">
      <c r="A294" s="47"/>
    </row>
    <row r="295" spans="1:1" x14ac:dyDescent="0.2">
      <c r="A295" s="47"/>
    </row>
    <row r="296" spans="1:1" x14ac:dyDescent="0.2">
      <c r="A296" s="47"/>
    </row>
    <row r="297" spans="1:1" x14ac:dyDescent="0.2">
      <c r="A297" s="47"/>
    </row>
    <row r="298" spans="1:1" x14ac:dyDescent="0.2">
      <c r="A298" s="47"/>
    </row>
    <row r="299" spans="1:1" x14ac:dyDescent="0.2">
      <c r="A299" s="47"/>
    </row>
    <row r="300" spans="1:1" x14ac:dyDescent="0.2">
      <c r="A300" s="47"/>
    </row>
    <row r="301" spans="1:1" x14ac:dyDescent="0.2">
      <c r="A301" s="47"/>
    </row>
    <row r="302" spans="1:1" x14ac:dyDescent="0.2">
      <c r="A302" s="47"/>
    </row>
    <row r="303" spans="1:1" x14ac:dyDescent="0.2">
      <c r="A303" s="47"/>
    </row>
    <row r="304" spans="1:1" x14ac:dyDescent="0.2">
      <c r="A304" s="47"/>
    </row>
    <row r="305" spans="1:1" x14ac:dyDescent="0.2">
      <c r="A305" s="47"/>
    </row>
    <row r="306" spans="1:1" x14ac:dyDescent="0.2">
      <c r="A306" s="47"/>
    </row>
    <row r="307" spans="1:1" x14ac:dyDescent="0.2">
      <c r="A307" s="47"/>
    </row>
    <row r="308" spans="1:1" x14ac:dyDescent="0.2">
      <c r="A308" s="47"/>
    </row>
    <row r="309" spans="1:1" x14ac:dyDescent="0.2">
      <c r="A309" s="47"/>
    </row>
    <row r="310" spans="1:1" x14ac:dyDescent="0.2">
      <c r="A310" s="47"/>
    </row>
    <row r="311" spans="1:1" x14ac:dyDescent="0.2">
      <c r="A311" s="47"/>
    </row>
    <row r="312" spans="1:1" x14ac:dyDescent="0.2">
      <c r="A312" s="47"/>
    </row>
    <row r="313" spans="1:1" x14ac:dyDescent="0.2">
      <c r="A313" s="47"/>
    </row>
    <row r="314" spans="1:1" x14ac:dyDescent="0.2">
      <c r="A314" s="47"/>
    </row>
    <row r="315" spans="1:1" x14ac:dyDescent="0.2">
      <c r="A315" s="47"/>
    </row>
    <row r="316" spans="1:1" x14ac:dyDescent="0.2">
      <c r="A316" s="47"/>
    </row>
    <row r="317" spans="1:1" x14ac:dyDescent="0.2">
      <c r="A317" s="47"/>
    </row>
    <row r="318" spans="1:1" x14ac:dyDescent="0.2">
      <c r="A318" s="47"/>
    </row>
    <row r="319" spans="1:1" x14ac:dyDescent="0.2">
      <c r="A319" s="47"/>
    </row>
    <row r="320" spans="1:1" x14ac:dyDescent="0.2">
      <c r="A320" s="47"/>
    </row>
    <row r="321" spans="1:1" x14ac:dyDescent="0.2">
      <c r="A321" s="47"/>
    </row>
    <row r="322" spans="1:1" x14ac:dyDescent="0.2">
      <c r="A322" s="47"/>
    </row>
    <row r="323" spans="1:1" x14ac:dyDescent="0.2">
      <c r="A323" s="47"/>
    </row>
    <row r="324" spans="1:1" x14ac:dyDescent="0.2">
      <c r="A324" s="47"/>
    </row>
    <row r="325" spans="1:1" x14ac:dyDescent="0.2">
      <c r="A325" s="47"/>
    </row>
    <row r="326" spans="1:1" x14ac:dyDescent="0.2">
      <c r="A326" s="47"/>
    </row>
    <row r="327" spans="1:1" x14ac:dyDescent="0.2">
      <c r="A327" s="47"/>
    </row>
    <row r="328" spans="1:1" x14ac:dyDescent="0.2">
      <c r="A328" s="47"/>
    </row>
    <row r="329" spans="1:1" x14ac:dyDescent="0.2">
      <c r="A329" s="47"/>
    </row>
    <row r="330" spans="1:1" x14ac:dyDescent="0.2">
      <c r="A330" s="47"/>
    </row>
    <row r="331" spans="1:1" x14ac:dyDescent="0.2">
      <c r="A331" s="47"/>
    </row>
    <row r="332" spans="1:1" x14ac:dyDescent="0.2">
      <c r="A332" s="47"/>
    </row>
    <row r="333" spans="1:1" x14ac:dyDescent="0.2">
      <c r="A333" s="47"/>
    </row>
    <row r="334" spans="1:1" x14ac:dyDescent="0.2">
      <c r="A334" s="47"/>
    </row>
    <row r="335" spans="1:1" x14ac:dyDescent="0.2">
      <c r="A335" s="47"/>
    </row>
    <row r="336" spans="1:1" x14ac:dyDescent="0.2">
      <c r="A336" s="47"/>
    </row>
    <row r="337" spans="1:1" x14ac:dyDescent="0.2">
      <c r="A337" s="47"/>
    </row>
    <row r="338" spans="1:1" x14ac:dyDescent="0.2">
      <c r="A338" s="47"/>
    </row>
    <row r="339" spans="1:1" x14ac:dyDescent="0.2">
      <c r="A339" s="47"/>
    </row>
    <row r="340" spans="1:1" x14ac:dyDescent="0.2">
      <c r="A340" s="47"/>
    </row>
    <row r="341" spans="1:1" x14ac:dyDescent="0.2">
      <c r="A341" s="47"/>
    </row>
    <row r="342" spans="1:1" x14ac:dyDescent="0.2">
      <c r="A342" s="47"/>
    </row>
    <row r="343" spans="1:1" x14ac:dyDescent="0.2">
      <c r="A343" s="47"/>
    </row>
    <row r="344" spans="1:1" x14ac:dyDescent="0.2">
      <c r="A344" s="47"/>
    </row>
    <row r="345" spans="1:1" x14ac:dyDescent="0.2">
      <c r="A345" s="47"/>
    </row>
    <row r="346" spans="1:1" x14ac:dyDescent="0.2">
      <c r="A346" s="47"/>
    </row>
    <row r="347" spans="1:1" x14ac:dyDescent="0.2">
      <c r="A347" s="47"/>
    </row>
    <row r="348" spans="1:1" x14ac:dyDescent="0.2">
      <c r="A348" s="47"/>
    </row>
    <row r="349" spans="1:1" x14ac:dyDescent="0.2">
      <c r="A349" s="47"/>
    </row>
    <row r="350" spans="1:1" x14ac:dyDescent="0.2">
      <c r="A350" s="47"/>
    </row>
    <row r="351" spans="1:1" x14ac:dyDescent="0.2">
      <c r="A351" s="47"/>
    </row>
    <row r="352" spans="1:1" x14ac:dyDescent="0.2">
      <c r="A352" s="47"/>
    </row>
    <row r="353" spans="1:1" x14ac:dyDescent="0.2">
      <c r="A353" s="47"/>
    </row>
    <row r="354" spans="1:1" x14ac:dyDescent="0.2">
      <c r="A354" s="47"/>
    </row>
    <row r="355" spans="1:1" x14ac:dyDescent="0.2">
      <c r="A355" s="47"/>
    </row>
    <row r="356" spans="1:1" x14ac:dyDescent="0.2">
      <c r="A356" s="47"/>
    </row>
    <row r="357" spans="1:1" x14ac:dyDescent="0.2">
      <c r="A357" s="47"/>
    </row>
    <row r="358" spans="1:1" x14ac:dyDescent="0.2">
      <c r="A358" s="47"/>
    </row>
    <row r="359" spans="1:1" x14ac:dyDescent="0.2">
      <c r="A359" s="47"/>
    </row>
    <row r="360" spans="1:1" x14ac:dyDescent="0.2">
      <c r="A360" s="47"/>
    </row>
    <row r="361" spans="1:1" x14ac:dyDescent="0.2">
      <c r="A361" s="47"/>
    </row>
    <row r="362" spans="1:1" x14ac:dyDescent="0.2">
      <c r="A362" s="47"/>
    </row>
    <row r="363" spans="1:1" x14ac:dyDescent="0.2">
      <c r="A363" s="47"/>
    </row>
    <row r="364" spans="1:1" x14ac:dyDescent="0.2">
      <c r="A364" s="47"/>
    </row>
    <row r="365" spans="1:1" x14ac:dyDescent="0.2">
      <c r="A365" s="47"/>
    </row>
    <row r="366" spans="1:1" x14ac:dyDescent="0.2">
      <c r="A366" s="47"/>
    </row>
    <row r="367" spans="1:1" x14ac:dyDescent="0.2">
      <c r="A367" s="47"/>
    </row>
    <row r="368" spans="1:1" x14ac:dyDescent="0.2">
      <c r="A368" s="47"/>
    </row>
    <row r="369" spans="1:1" x14ac:dyDescent="0.2">
      <c r="A369" s="47"/>
    </row>
    <row r="370" spans="1:1" x14ac:dyDescent="0.2">
      <c r="A370" s="47"/>
    </row>
    <row r="371" spans="1:1" x14ac:dyDescent="0.2">
      <c r="A371" s="47"/>
    </row>
    <row r="372" spans="1:1" x14ac:dyDescent="0.2">
      <c r="A372" s="47"/>
    </row>
    <row r="373" spans="1:1" x14ac:dyDescent="0.2">
      <c r="A373" s="47"/>
    </row>
    <row r="374" spans="1:1" x14ac:dyDescent="0.2">
      <c r="A374" s="47"/>
    </row>
    <row r="375" spans="1:1" x14ac:dyDescent="0.2">
      <c r="A375" s="47"/>
    </row>
    <row r="376" spans="1:1" x14ac:dyDescent="0.2">
      <c r="A376" s="47"/>
    </row>
    <row r="377" spans="1:1" x14ac:dyDescent="0.2">
      <c r="A377" s="47"/>
    </row>
    <row r="378" spans="1:1" x14ac:dyDescent="0.2">
      <c r="A378" s="47"/>
    </row>
    <row r="379" spans="1:1" x14ac:dyDescent="0.2">
      <c r="A379" s="47"/>
    </row>
    <row r="380" spans="1:1" x14ac:dyDescent="0.2">
      <c r="A380" s="47"/>
    </row>
    <row r="381" spans="1:1" x14ac:dyDescent="0.2">
      <c r="A381" s="47"/>
    </row>
    <row r="382" spans="1:1" x14ac:dyDescent="0.2">
      <c r="A382" s="47"/>
    </row>
    <row r="383" spans="1:1" x14ac:dyDescent="0.2">
      <c r="A383" s="47"/>
    </row>
    <row r="384" spans="1:1" x14ac:dyDescent="0.2">
      <c r="A384" s="47"/>
    </row>
    <row r="385" spans="1:1" x14ac:dyDescent="0.2">
      <c r="A385" s="47"/>
    </row>
    <row r="386" spans="1:1" x14ac:dyDescent="0.2">
      <c r="A386" s="47"/>
    </row>
    <row r="387" spans="1:1" x14ac:dyDescent="0.2">
      <c r="A387" s="47"/>
    </row>
    <row r="388" spans="1:1" x14ac:dyDescent="0.2">
      <c r="A388" s="47"/>
    </row>
    <row r="389" spans="1:1" x14ac:dyDescent="0.2">
      <c r="A389" s="47"/>
    </row>
    <row r="390" spans="1:1" x14ac:dyDescent="0.2">
      <c r="A390" s="47"/>
    </row>
    <row r="391" spans="1:1" x14ac:dyDescent="0.2">
      <c r="A391" s="47"/>
    </row>
    <row r="392" spans="1:1" x14ac:dyDescent="0.2">
      <c r="A392" s="47"/>
    </row>
    <row r="393" spans="1:1" x14ac:dyDescent="0.2">
      <c r="A393" s="47"/>
    </row>
    <row r="394" spans="1:1" x14ac:dyDescent="0.2">
      <c r="A394" s="47"/>
    </row>
    <row r="395" spans="1:1" x14ac:dyDescent="0.2">
      <c r="A395" s="47"/>
    </row>
    <row r="396" spans="1:1" x14ac:dyDescent="0.2">
      <c r="A396" s="47"/>
    </row>
    <row r="397" spans="1:1" x14ac:dyDescent="0.2">
      <c r="A397" s="47"/>
    </row>
    <row r="398" spans="1:1" x14ac:dyDescent="0.2">
      <c r="A398" s="47"/>
    </row>
    <row r="399" spans="1:1" x14ac:dyDescent="0.2">
      <c r="A399" s="47"/>
    </row>
    <row r="400" spans="1:1" x14ac:dyDescent="0.2">
      <c r="A400" s="47"/>
    </row>
    <row r="401" spans="1:1" x14ac:dyDescent="0.2">
      <c r="A401" s="47"/>
    </row>
    <row r="402" spans="1:1" x14ac:dyDescent="0.2">
      <c r="A402" s="47"/>
    </row>
    <row r="403" spans="1:1" x14ac:dyDescent="0.2">
      <c r="A403" s="47"/>
    </row>
    <row r="404" spans="1:1" x14ac:dyDescent="0.2">
      <c r="A404" s="47"/>
    </row>
    <row r="405" spans="1:1" x14ac:dyDescent="0.2">
      <c r="A405" s="47"/>
    </row>
    <row r="406" spans="1:1" x14ac:dyDescent="0.2">
      <c r="A406" s="47"/>
    </row>
    <row r="407" spans="1:1" x14ac:dyDescent="0.2">
      <c r="A407" s="47"/>
    </row>
    <row r="408" spans="1:1" x14ac:dyDescent="0.2">
      <c r="A408" s="47"/>
    </row>
    <row r="409" spans="1:1" x14ac:dyDescent="0.2">
      <c r="A409" s="47"/>
    </row>
    <row r="410" spans="1:1" x14ac:dyDescent="0.2">
      <c r="A410" s="47"/>
    </row>
    <row r="411" spans="1:1" x14ac:dyDescent="0.2">
      <c r="A411" s="47"/>
    </row>
    <row r="412" spans="1:1" x14ac:dyDescent="0.2">
      <c r="A412" s="47"/>
    </row>
    <row r="413" spans="1:1" x14ac:dyDescent="0.2">
      <c r="A413" s="47"/>
    </row>
    <row r="414" spans="1:1" x14ac:dyDescent="0.2">
      <c r="A414" s="47"/>
    </row>
    <row r="415" spans="1:1" x14ac:dyDescent="0.2">
      <c r="A415" s="47"/>
    </row>
    <row r="416" spans="1:1" x14ac:dyDescent="0.2">
      <c r="A416" s="47"/>
    </row>
    <row r="417" spans="1:1" x14ac:dyDescent="0.2">
      <c r="A417" s="47"/>
    </row>
    <row r="418" spans="1:1" x14ac:dyDescent="0.2">
      <c r="A418" s="47"/>
    </row>
    <row r="419" spans="1:1" x14ac:dyDescent="0.2">
      <c r="A419" s="47"/>
    </row>
    <row r="420" spans="1:1" x14ac:dyDescent="0.2">
      <c r="A420" s="47"/>
    </row>
    <row r="421" spans="1:1" x14ac:dyDescent="0.2">
      <c r="A421" s="47"/>
    </row>
    <row r="422" spans="1:1" x14ac:dyDescent="0.2">
      <c r="A422" s="47"/>
    </row>
    <row r="423" spans="1:1" x14ac:dyDescent="0.2">
      <c r="A423" s="47"/>
    </row>
    <row r="424" spans="1:1" x14ac:dyDescent="0.2">
      <c r="A424" s="47"/>
    </row>
    <row r="425" spans="1:1" x14ac:dyDescent="0.2">
      <c r="A425" s="47"/>
    </row>
    <row r="426" spans="1:1" x14ac:dyDescent="0.2">
      <c r="A426" s="47"/>
    </row>
    <row r="427" spans="1:1" x14ac:dyDescent="0.2">
      <c r="A427" s="47"/>
    </row>
    <row r="428" spans="1:1" x14ac:dyDescent="0.2">
      <c r="A428" s="47"/>
    </row>
    <row r="429" spans="1:1" x14ac:dyDescent="0.2">
      <c r="A429" s="47"/>
    </row>
    <row r="430" spans="1:1" x14ac:dyDescent="0.2">
      <c r="A430" s="47"/>
    </row>
    <row r="431" spans="1:1" x14ac:dyDescent="0.2">
      <c r="A431" s="47"/>
    </row>
    <row r="432" spans="1:1" x14ac:dyDescent="0.2">
      <c r="A432" s="47"/>
    </row>
    <row r="433" spans="1:1" x14ac:dyDescent="0.2">
      <c r="A433" s="47"/>
    </row>
    <row r="434" spans="1:1" x14ac:dyDescent="0.2">
      <c r="A434" s="47"/>
    </row>
    <row r="435" spans="1:1" x14ac:dyDescent="0.2">
      <c r="A435" s="47"/>
    </row>
    <row r="436" spans="1:1" x14ac:dyDescent="0.2">
      <c r="A436" s="47"/>
    </row>
    <row r="437" spans="1:1" x14ac:dyDescent="0.2">
      <c r="A437" s="47"/>
    </row>
    <row r="438" spans="1:1" x14ac:dyDescent="0.2">
      <c r="A438" s="47"/>
    </row>
    <row r="439" spans="1:1" x14ac:dyDescent="0.2">
      <c r="A439" s="47"/>
    </row>
    <row r="440" spans="1:1" x14ac:dyDescent="0.2">
      <c r="A440" s="47"/>
    </row>
    <row r="441" spans="1:1" x14ac:dyDescent="0.2">
      <c r="A441" s="47"/>
    </row>
    <row r="442" spans="1:1" x14ac:dyDescent="0.2">
      <c r="A442" s="47"/>
    </row>
    <row r="443" spans="1:1" x14ac:dyDescent="0.2">
      <c r="A443" s="47"/>
    </row>
    <row r="444" spans="1:1" x14ac:dyDescent="0.2">
      <c r="A444" s="47"/>
    </row>
    <row r="445" spans="1:1" x14ac:dyDescent="0.2">
      <c r="A445" s="47"/>
    </row>
    <row r="446" spans="1:1" x14ac:dyDescent="0.2">
      <c r="A446" s="47"/>
    </row>
    <row r="447" spans="1:1" x14ac:dyDescent="0.2">
      <c r="A447" s="47"/>
    </row>
    <row r="448" spans="1:1" x14ac:dyDescent="0.2">
      <c r="A448" s="47"/>
    </row>
    <row r="449" spans="1:1" x14ac:dyDescent="0.2">
      <c r="A449" s="47"/>
    </row>
    <row r="450" spans="1:1" x14ac:dyDescent="0.2">
      <c r="A450" s="47"/>
    </row>
    <row r="451" spans="1:1" x14ac:dyDescent="0.2">
      <c r="A451" s="47"/>
    </row>
    <row r="452" spans="1:1" x14ac:dyDescent="0.2">
      <c r="A452" s="47"/>
    </row>
    <row r="453" spans="1:1" x14ac:dyDescent="0.2">
      <c r="A453" s="47"/>
    </row>
    <row r="454" spans="1:1" x14ac:dyDescent="0.2">
      <c r="A454" s="47"/>
    </row>
    <row r="455" spans="1:1" x14ac:dyDescent="0.2">
      <c r="A455" s="47"/>
    </row>
    <row r="456" spans="1:1" x14ac:dyDescent="0.2">
      <c r="A456" s="47"/>
    </row>
    <row r="457" spans="1:1" x14ac:dyDescent="0.2">
      <c r="A457" s="47"/>
    </row>
    <row r="458" spans="1:1" x14ac:dyDescent="0.2">
      <c r="A458" s="47"/>
    </row>
    <row r="459" spans="1:1" x14ac:dyDescent="0.2">
      <c r="A459" s="47"/>
    </row>
    <row r="460" spans="1:1" x14ac:dyDescent="0.2">
      <c r="A460" s="47"/>
    </row>
    <row r="461" spans="1:1" x14ac:dyDescent="0.2">
      <c r="A461" s="47"/>
    </row>
    <row r="462" spans="1:1" x14ac:dyDescent="0.2">
      <c r="A462" s="47"/>
    </row>
    <row r="463" spans="1:1" x14ac:dyDescent="0.2">
      <c r="A463" s="47"/>
    </row>
    <row r="464" spans="1:1" x14ac:dyDescent="0.2">
      <c r="A464" s="47"/>
    </row>
    <row r="465" spans="1:1" x14ac:dyDescent="0.2">
      <c r="A465" s="47"/>
    </row>
    <row r="466" spans="1:1" x14ac:dyDescent="0.2">
      <c r="A466" s="47"/>
    </row>
    <row r="467" spans="1:1" x14ac:dyDescent="0.2">
      <c r="A467" s="47"/>
    </row>
    <row r="468" spans="1:1" x14ac:dyDescent="0.2">
      <c r="A468" s="47"/>
    </row>
    <row r="469" spans="1:1" x14ac:dyDescent="0.2">
      <c r="A469" s="47"/>
    </row>
    <row r="470" spans="1:1" x14ac:dyDescent="0.2">
      <c r="A470" s="47"/>
    </row>
    <row r="471" spans="1:1" x14ac:dyDescent="0.2">
      <c r="A471" s="47"/>
    </row>
    <row r="472" spans="1:1" x14ac:dyDescent="0.2">
      <c r="A472" s="47"/>
    </row>
    <row r="473" spans="1:1" x14ac:dyDescent="0.2">
      <c r="A473" s="47"/>
    </row>
    <row r="474" spans="1:1" x14ac:dyDescent="0.2">
      <c r="A474" s="47"/>
    </row>
    <row r="475" spans="1:1" x14ac:dyDescent="0.2">
      <c r="A475" s="47"/>
    </row>
    <row r="476" spans="1:1" x14ac:dyDescent="0.2">
      <c r="A476" s="47"/>
    </row>
    <row r="477" spans="1:1" x14ac:dyDescent="0.2">
      <c r="A477" s="47"/>
    </row>
    <row r="478" spans="1:1" x14ac:dyDescent="0.2">
      <c r="A478" s="47"/>
    </row>
    <row r="479" spans="1:1" x14ac:dyDescent="0.2">
      <c r="A479" s="47"/>
    </row>
    <row r="480" spans="1:1" x14ac:dyDescent="0.2">
      <c r="A480" s="47"/>
    </row>
    <row r="481" spans="1:1" x14ac:dyDescent="0.2">
      <c r="A481" s="47"/>
    </row>
    <row r="482" spans="1:1" x14ac:dyDescent="0.2">
      <c r="A482" s="47"/>
    </row>
    <row r="483" spans="1:1" x14ac:dyDescent="0.2">
      <c r="A483" s="47"/>
    </row>
    <row r="484" spans="1:1" x14ac:dyDescent="0.2">
      <c r="A484" s="47"/>
    </row>
    <row r="485" spans="1:1" x14ac:dyDescent="0.2">
      <c r="A485" s="47"/>
    </row>
    <row r="486" spans="1:1" x14ac:dyDescent="0.2">
      <c r="A486" s="47"/>
    </row>
    <row r="487" spans="1:1" x14ac:dyDescent="0.2">
      <c r="A487" s="47"/>
    </row>
    <row r="488" spans="1:1" x14ac:dyDescent="0.2">
      <c r="A488" s="47"/>
    </row>
    <row r="489" spans="1:1" x14ac:dyDescent="0.2">
      <c r="A489" s="47"/>
    </row>
    <row r="490" spans="1:1" x14ac:dyDescent="0.2">
      <c r="A490" s="47"/>
    </row>
    <row r="491" spans="1:1" x14ac:dyDescent="0.2">
      <c r="A491" s="47"/>
    </row>
    <row r="492" spans="1:1" x14ac:dyDescent="0.2">
      <c r="A492" s="47"/>
    </row>
    <row r="493" spans="1:1" x14ac:dyDescent="0.2">
      <c r="A493" s="47"/>
    </row>
    <row r="494" spans="1:1" x14ac:dyDescent="0.2">
      <c r="A494" s="47"/>
    </row>
    <row r="495" spans="1:1" x14ac:dyDescent="0.2">
      <c r="A495" s="47"/>
    </row>
    <row r="496" spans="1:1" x14ac:dyDescent="0.2">
      <c r="A496" s="47"/>
    </row>
    <row r="497" spans="1:1" x14ac:dyDescent="0.2">
      <c r="A497" s="47"/>
    </row>
    <row r="498" spans="1:1" x14ac:dyDescent="0.2">
      <c r="A498" s="47"/>
    </row>
    <row r="499" spans="1:1" x14ac:dyDescent="0.2">
      <c r="A499" s="47"/>
    </row>
    <row r="500" spans="1:1" x14ac:dyDescent="0.2">
      <c r="A500" s="47"/>
    </row>
    <row r="501" spans="1:1" x14ac:dyDescent="0.2">
      <c r="A501" s="47"/>
    </row>
    <row r="502" spans="1:1" x14ac:dyDescent="0.2">
      <c r="A502" s="47"/>
    </row>
    <row r="503" spans="1:1" x14ac:dyDescent="0.2">
      <c r="A503" s="47"/>
    </row>
    <row r="504" spans="1:1" x14ac:dyDescent="0.2">
      <c r="A504" s="47"/>
    </row>
    <row r="505" spans="1:1" x14ac:dyDescent="0.2">
      <c r="A505" s="47"/>
    </row>
    <row r="506" spans="1:1" x14ac:dyDescent="0.2">
      <c r="A506" s="47"/>
    </row>
    <row r="507" spans="1:1" x14ac:dyDescent="0.2">
      <c r="A507" s="47"/>
    </row>
    <row r="508" spans="1:1" x14ac:dyDescent="0.2">
      <c r="A508" s="47"/>
    </row>
    <row r="509" spans="1:1" x14ac:dyDescent="0.2">
      <c r="A509" s="47"/>
    </row>
    <row r="510" spans="1:1" x14ac:dyDescent="0.2">
      <c r="A510" s="47"/>
    </row>
    <row r="511" spans="1:1" x14ac:dyDescent="0.2">
      <c r="A511" s="47"/>
    </row>
    <row r="512" spans="1:1" x14ac:dyDescent="0.2">
      <c r="A512" s="47"/>
    </row>
    <row r="513" spans="1:1" x14ac:dyDescent="0.2">
      <c r="A513" s="47"/>
    </row>
    <row r="514" spans="1:1" x14ac:dyDescent="0.2">
      <c r="A514" s="47"/>
    </row>
    <row r="515" spans="1:1" x14ac:dyDescent="0.2">
      <c r="A515" s="47"/>
    </row>
    <row r="516" spans="1:1" x14ac:dyDescent="0.2">
      <c r="A516" s="47"/>
    </row>
    <row r="517" spans="1:1" x14ac:dyDescent="0.2">
      <c r="A517" s="47"/>
    </row>
    <row r="518" spans="1:1" x14ac:dyDescent="0.2">
      <c r="A518" s="47"/>
    </row>
    <row r="519" spans="1:1" x14ac:dyDescent="0.2">
      <c r="A519" s="47"/>
    </row>
    <row r="520" spans="1:1" x14ac:dyDescent="0.2">
      <c r="A520" s="47"/>
    </row>
    <row r="521" spans="1:1" x14ac:dyDescent="0.2">
      <c r="A521" s="47"/>
    </row>
    <row r="522" spans="1:1" x14ac:dyDescent="0.2">
      <c r="A522" s="47"/>
    </row>
    <row r="523" spans="1:1" x14ac:dyDescent="0.2">
      <c r="A523" s="47"/>
    </row>
    <row r="524" spans="1:1" x14ac:dyDescent="0.2">
      <c r="A524" s="47"/>
    </row>
    <row r="525" spans="1:1" x14ac:dyDescent="0.2">
      <c r="A525" s="47"/>
    </row>
    <row r="526" spans="1:1" x14ac:dyDescent="0.2">
      <c r="A526" s="47"/>
    </row>
    <row r="527" spans="1:1" x14ac:dyDescent="0.2">
      <c r="A527" s="47"/>
    </row>
    <row r="528" spans="1:1" x14ac:dyDescent="0.2">
      <c r="A528" s="47"/>
    </row>
    <row r="529" spans="1:1" x14ac:dyDescent="0.2">
      <c r="A529" s="47"/>
    </row>
    <row r="530" spans="1:1" x14ac:dyDescent="0.2">
      <c r="A530" s="47"/>
    </row>
    <row r="531" spans="1:1" x14ac:dyDescent="0.2">
      <c r="A531" s="47"/>
    </row>
    <row r="532" spans="1:1" x14ac:dyDescent="0.2">
      <c r="A532" s="47"/>
    </row>
    <row r="533" spans="1:1" x14ac:dyDescent="0.2">
      <c r="A533" s="47"/>
    </row>
    <row r="534" spans="1:1" x14ac:dyDescent="0.2">
      <c r="A534" s="47"/>
    </row>
    <row r="535" spans="1:1" x14ac:dyDescent="0.2">
      <c r="A535" s="47"/>
    </row>
    <row r="536" spans="1:1" x14ac:dyDescent="0.2">
      <c r="A536" s="47"/>
    </row>
    <row r="537" spans="1:1" x14ac:dyDescent="0.2">
      <c r="A537" s="47"/>
    </row>
    <row r="538" spans="1:1" x14ac:dyDescent="0.2">
      <c r="A538" s="47"/>
    </row>
    <row r="539" spans="1:1" x14ac:dyDescent="0.2">
      <c r="A539" s="47"/>
    </row>
    <row r="540" spans="1:1" x14ac:dyDescent="0.2">
      <c r="A540" s="47"/>
    </row>
    <row r="541" spans="1:1" x14ac:dyDescent="0.2">
      <c r="A541" s="47"/>
    </row>
    <row r="542" spans="1:1" x14ac:dyDescent="0.2">
      <c r="A542" s="47"/>
    </row>
    <row r="543" spans="1:1" x14ac:dyDescent="0.2">
      <c r="A543" s="47"/>
    </row>
    <row r="544" spans="1:1" x14ac:dyDescent="0.2">
      <c r="A544" s="47"/>
    </row>
    <row r="545" spans="1:1" x14ac:dyDescent="0.2">
      <c r="A545" s="47"/>
    </row>
    <row r="546" spans="1:1" x14ac:dyDescent="0.2">
      <c r="A546" s="47"/>
    </row>
    <row r="547" spans="1:1" x14ac:dyDescent="0.2">
      <c r="A547" s="47"/>
    </row>
    <row r="548" spans="1:1" x14ac:dyDescent="0.2">
      <c r="A548" s="47"/>
    </row>
    <row r="549" spans="1:1" x14ac:dyDescent="0.2">
      <c r="A549" s="47"/>
    </row>
    <row r="550" spans="1:1" x14ac:dyDescent="0.2">
      <c r="A550" s="47"/>
    </row>
    <row r="551" spans="1:1" x14ac:dyDescent="0.2">
      <c r="A551" s="47"/>
    </row>
    <row r="552" spans="1:1" x14ac:dyDescent="0.2">
      <c r="A552" s="47"/>
    </row>
    <row r="553" spans="1:1" x14ac:dyDescent="0.2">
      <c r="A553" s="47"/>
    </row>
    <row r="554" spans="1:1" x14ac:dyDescent="0.2">
      <c r="A554" s="47"/>
    </row>
    <row r="555" spans="1:1" x14ac:dyDescent="0.2">
      <c r="A555" s="47"/>
    </row>
    <row r="556" spans="1:1" x14ac:dyDescent="0.2">
      <c r="A556" s="47"/>
    </row>
    <row r="557" spans="1:1" x14ac:dyDescent="0.2">
      <c r="A557" s="47"/>
    </row>
    <row r="558" spans="1:1" x14ac:dyDescent="0.2">
      <c r="A558" s="47"/>
    </row>
    <row r="559" spans="1:1" x14ac:dyDescent="0.2">
      <c r="A559" s="47"/>
    </row>
    <row r="560" spans="1:1" x14ac:dyDescent="0.2">
      <c r="A560" s="47"/>
    </row>
    <row r="561" spans="1:1" x14ac:dyDescent="0.2">
      <c r="A561" s="47"/>
    </row>
    <row r="562" spans="1:1" x14ac:dyDescent="0.2">
      <c r="A562" s="47"/>
    </row>
    <row r="563" spans="1:1" x14ac:dyDescent="0.2">
      <c r="A563" s="47"/>
    </row>
    <row r="564" spans="1:1" x14ac:dyDescent="0.2">
      <c r="A564" s="47"/>
    </row>
    <row r="565" spans="1:1" x14ac:dyDescent="0.2">
      <c r="A565" s="47"/>
    </row>
    <row r="566" spans="1:1" x14ac:dyDescent="0.2">
      <c r="A566" s="47"/>
    </row>
    <row r="567" spans="1:1" x14ac:dyDescent="0.2">
      <c r="A567" s="47"/>
    </row>
    <row r="568" spans="1:1" x14ac:dyDescent="0.2">
      <c r="A568" s="47"/>
    </row>
    <row r="569" spans="1:1" x14ac:dyDescent="0.2">
      <c r="A569" s="47"/>
    </row>
    <row r="570" spans="1:1" x14ac:dyDescent="0.2">
      <c r="A570" s="47"/>
    </row>
    <row r="571" spans="1:1" x14ac:dyDescent="0.2">
      <c r="A571" s="47"/>
    </row>
    <row r="572" spans="1:1" x14ac:dyDescent="0.2">
      <c r="A572" s="47"/>
    </row>
    <row r="573" spans="1:1" x14ac:dyDescent="0.2">
      <c r="A573" s="47"/>
    </row>
    <row r="574" spans="1:1" x14ac:dyDescent="0.2">
      <c r="A574" s="47"/>
    </row>
    <row r="575" spans="1:1" x14ac:dyDescent="0.2">
      <c r="A575" s="47"/>
    </row>
    <row r="576" spans="1:1" x14ac:dyDescent="0.2">
      <c r="A576" s="47"/>
    </row>
    <row r="577" spans="1:1" x14ac:dyDescent="0.2">
      <c r="A577" s="47"/>
    </row>
    <row r="578" spans="1:1" x14ac:dyDescent="0.2">
      <c r="A578" s="47"/>
    </row>
    <row r="579" spans="1:1" x14ac:dyDescent="0.2">
      <c r="A579" s="47"/>
    </row>
    <row r="580" spans="1:1" x14ac:dyDescent="0.2">
      <c r="A580" s="47"/>
    </row>
    <row r="581" spans="1:1" x14ac:dyDescent="0.2">
      <c r="A581" s="47"/>
    </row>
    <row r="582" spans="1:1" x14ac:dyDescent="0.2">
      <c r="A582" s="47"/>
    </row>
    <row r="583" spans="1:1" x14ac:dyDescent="0.2">
      <c r="A583" s="47"/>
    </row>
    <row r="584" spans="1:1" x14ac:dyDescent="0.2">
      <c r="A584" s="47"/>
    </row>
    <row r="585" spans="1:1" x14ac:dyDescent="0.2">
      <c r="A585" s="47"/>
    </row>
    <row r="586" spans="1:1" x14ac:dyDescent="0.2">
      <c r="A586" s="47"/>
    </row>
    <row r="587" spans="1:1" x14ac:dyDescent="0.2">
      <c r="A587" s="47"/>
    </row>
    <row r="588" spans="1:1" x14ac:dyDescent="0.2">
      <c r="A588" s="47"/>
    </row>
    <row r="589" spans="1:1" x14ac:dyDescent="0.2">
      <c r="A589" s="47"/>
    </row>
    <row r="590" spans="1:1" x14ac:dyDescent="0.2">
      <c r="A590" s="47"/>
    </row>
    <row r="591" spans="1:1" x14ac:dyDescent="0.2">
      <c r="A591" s="47"/>
    </row>
    <row r="592" spans="1:1" x14ac:dyDescent="0.2">
      <c r="A592" s="47"/>
    </row>
    <row r="593" spans="1:1" x14ac:dyDescent="0.2">
      <c r="A593" s="47"/>
    </row>
    <row r="594" spans="1:1" x14ac:dyDescent="0.2">
      <c r="A594" s="47"/>
    </row>
    <row r="595" spans="1:1" x14ac:dyDescent="0.2">
      <c r="A595" s="47"/>
    </row>
    <row r="596" spans="1:1" x14ac:dyDescent="0.2">
      <c r="A596" s="47"/>
    </row>
    <row r="597" spans="1:1" x14ac:dyDescent="0.2">
      <c r="A597" s="47"/>
    </row>
    <row r="598" spans="1:1" x14ac:dyDescent="0.2">
      <c r="A598" s="47"/>
    </row>
    <row r="599" spans="1:1" x14ac:dyDescent="0.2">
      <c r="A599" s="47"/>
    </row>
    <row r="600" spans="1:1" x14ac:dyDescent="0.2">
      <c r="A600" s="47"/>
    </row>
    <row r="601" spans="1:1" x14ac:dyDescent="0.2">
      <c r="A601" s="47"/>
    </row>
    <row r="602" spans="1:1" x14ac:dyDescent="0.2">
      <c r="A602" s="47"/>
    </row>
    <row r="603" spans="1:1" x14ac:dyDescent="0.2">
      <c r="A603" s="47"/>
    </row>
    <row r="604" spans="1:1" x14ac:dyDescent="0.2">
      <c r="A604" s="47"/>
    </row>
    <row r="605" spans="1:1" x14ac:dyDescent="0.2">
      <c r="A605" s="47"/>
    </row>
    <row r="606" spans="1:1" x14ac:dyDescent="0.2">
      <c r="A606" s="47"/>
    </row>
    <row r="607" spans="1:1" x14ac:dyDescent="0.2">
      <c r="A607" s="47"/>
    </row>
    <row r="608" spans="1:1" x14ac:dyDescent="0.2">
      <c r="A608" s="47"/>
    </row>
    <row r="609" spans="1:1" x14ac:dyDescent="0.2">
      <c r="A609" s="47"/>
    </row>
    <row r="610" spans="1:1" x14ac:dyDescent="0.2">
      <c r="A610" s="47"/>
    </row>
    <row r="611" spans="1:1" x14ac:dyDescent="0.2">
      <c r="A611" s="47"/>
    </row>
    <row r="612" spans="1:1" x14ac:dyDescent="0.2">
      <c r="A612" s="47"/>
    </row>
    <row r="613" spans="1:1" x14ac:dyDescent="0.2">
      <c r="A613" s="47"/>
    </row>
    <row r="614" spans="1:1" x14ac:dyDescent="0.2">
      <c r="A614" s="47"/>
    </row>
    <row r="615" spans="1:1" x14ac:dyDescent="0.2">
      <c r="A615" s="47"/>
    </row>
    <row r="616" spans="1:1" x14ac:dyDescent="0.2">
      <c r="A616" s="47"/>
    </row>
    <row r="617" spans="1:1" x14ac:dyDescent="0.2">
      <c r="A617" s="47"/>
    </row>
    <row r="618" spans="1:1" x14ac:dyDescent="0.2">
      <c r="A618" s="47"/>
    </row>
    <row r="619" spans="1:1" x14ac:dyDescent="0.2">
      <c r="A619" s="47"/>
    </row>
    <row r="620" spans="1:1" x14ac:dyDescent="0.2">
      <c r="A620" s="47"/>
    </row>
    <row r="621" spans="1:1" x14ac:dyDescent="0.2">
      <c r="A621" s="47"/>
    </row>
    <row r="622" spans="1:1" x14ac:dyDescent="0.2">
      <c r="A622" s="47"/>
    </row>
    <row r="623" spans="1:1" x14ac:dyDescent="0.2">
      <c r="A623" s="47"/>
    </row>
    <row r="624" spans="1:1" x14ac:dyDescent="0.2">
      <c r="A624" s="47"/>
    </row>
    <row r="625" spans="1:1" x14ac:dyDescent="0.2">
      <c r="A625" s="47"/>
    </row>
    <row r="626" spans="1:1" x14ac:dyDescent="0.2">
      <c r="A626" s="47"/>
    </row>
    <row r="627" spans="1:1" x14ac:dyDescent="0.2">
      <c r="A627" s="47"/>
    </row>
    <row r="628" spans="1:1" x14ac:dyDescent="0.2">
      <c r="A628" s="47"/>
    </row>
    <row r="629" spans="1:1" x14ac:dyDescent="0.2">
      <c r="A629" s="47"/>
    </row>
    <row r="630" spans="1:1" x14ac:dyDescent="0.2">
      <c r="A630" s="47"/>
    </row>
    <row r="631" spans="1:1" x14ac:dyDescent="0.2">
      <c r="A631" s="47"/>
    </row>
    <row r="632" spans="1:1" x14ac:dyDescent="0.2">
      <c r="A632" s="47"/>
    </row>
    <row r="633" spans="1:1" x14ac:dyDescent="0.2">
      <c r="A633" s="47"/>
    </row>
    <row r="634" spans="1:1" x14ac:dyDescent="0.2">
      <c r="A634" s="47"/>
    </row>
    <row r="635" spans="1:1" x14ac:dyDescent="0.2">
      <c r="A635" s="47"/>
    </row>
    <row r="636" spans="1:1" x14ac:dyDescent="0.2">
      <c r="A636" s="47"/>
    </row>
    <row r="637" spans="1:1" x14ac:dyDescent="0.2">
      <c r="A637" s="47"/>
    </row>
    <row r="638" spans="1:1" x14ac:dyDescent="0.2">
      <c r="A638" s="47"/>
    </row>
    <row r="639" spans="1:1" x14ac:dyDescent="0.2">
      <c r="A639" s="47"/>
    </row>
    <row r="640" spans="1:1" x14ac:dyDescent="0.2">
      <c r="A640" s="47"/>
    </row>
    <row r="641" spans="1:1" x14ac:dyDescent="0.2">
      <c r="A641" s="47"/>
    </row>
    <row r="642" spans="1:1" x14ac:dyDescent="0.2">
      <c r="A642" s="47"/>
    </row>
    <row r="643" spans="1:1" x14ac:dyDescent="0.2">
      <c r="A643" s="47"/>
    </row>
    <row r="644" spans="1:1" x14ac:dyDescent="0.2">
      <c r="A644" s="47"/>
    </row>
    <row r="645" spans="1:1" x14ac:dyDescent="0.2">
      <c r="A645" s="47"/>
    </row>
    <row r="646" spans="1:1" x14ac:dyDescent="0.2">
      <c r="A646" s="47"/>
    </row>
    <row r="647" spans="1:1" x14ac:dyDescent="0.2">
      <c r="A647" s="47"/>
    </row>
    <row r="648" spans="1:1" x14ac:dyDescent="0.2">
      <c r="A648" s="47"/>
    </row>
    <row r="649" spans="1:1" x14ac:dyDescent="0.2">
      <c r="A649" s="47"/>
    </row>
    <row r="650" spans="1:1" x14ac:dyDescent="0.2">
      <c r="A650" s="47"/>
    </row>
    <row r="651" spans="1:1" x14ac:dyDescent="0.2">
      <c r="A651" s="47"/>
    </row>
    <row r="652" spans="1:1" x14ac:dyDescent="0.2">
      <c r="A652" s="47"/>
    </row>
    <row r="653" spans="1:1" x14ac:dyDescent="0.2">
      <c r="A653" s="47"/>
    </row>
    <row r="654" spans="1:1" x14ac:dyDescent="0.2">
      <c r="A654" s="47"/>
    </row>
    <row r="655" spans="1:1" x14ac:dyDescent="0.2">
      <c r="A655" s="47"/>
    </row>
    <row r="656" spans="1:1" x14ac:dyDescent="0.2">
      <c r="A656" s="47"/>
    </row>
    <row r="657" spans="1:1" x14ac:dyDescent="0.2">
      <c r="A657" s="47"/>
    </row>
    <row r="658" spans="1:1" x14ac:dyDescent="0.2">
      <c r="A658" s="47"/>
    </row>
    <row r="659" spans="1:1" x14ac:dyDescent="0.2">
      <c r="A659" s="47"/>
    </row>
    <row r="660" spans="1:1" x14ac:dyDescent="0.2">
      <c r="A660" s="47"/>
    </row>
    <row r="661" spans="1:1" x14ac:dyDescent="0.2">
      <c r="A661" s="47"/>
    </row>
    <row r="662" spans="1:1" x14ac:dyDescent="0.2">
      <c r="A662" s="47"/>
    </row>
    <row r="663" spans="1:1" x14ac:dyDescent="0.2">
      <c r="A663" s="47"/>
    </row>
    <row r="664" spans="1:1" x14ac:dyDescent="0.2">
      <c r="A664" s="47"/>
    </row>
    <row r="665" spans="1:1" x14ac:dyDescent="0.2">
      <c r="A665" s="47"/>
    </row>
    <row r="666" spans="1:1" x14ac:dyDescent="0.2">
      <c r="A666" s="47"/>
    </row>
    <row r="667" spans="1:1" x14ac:dyDescent="0.2">
      <c r="A667" s="47"/>
    </row>
    <row r="668" spans="1:1" x14ac:dyDescent="0.2">
      <c r="A668" s="47"/>
    </row>
    <row r="669" spans="1:1" x14ac:dyDescent="0.2">
      <c r="A669" s="47"/>
    </row>
    <row r="670" spans="1:1" x14ac:dyDescent="0.2">
      <c r="A670" s="47"/>
    </row>
    <row r="671" spans="1:1" x14ac:dyDescent="0.2">
      <c r="A671" s="47"/>
    </row>
    <row r="672" spans="1:1" x14ac:dyDescent="0.2">
      <c r="A672" s="47"/>
    </row>
    <row r="673" spans="1:1" x14ac:dyDescent="0.2">
      <c r="A673" s="47"/>
    </row>
    <row r="674" spans="1:1" x14ac:dyDescent="0.2">
      <c r="A674" s="47"/>
    </row>
    <row r="675" spans="1:1" x14ac:dyDescent="0.2">
      <c r="A675" s="47"/>
    </row>
    <row r="676" spans="1:1" x14ac:dyDescent="0.2">
      <c r="A676" s="47"/>
    </row>
    <row r="677" spans="1:1" x14ac:dyDescent="0.2">
      <c r="A677" s="47"/>
    </row>
    <row r="678" spans="1:1" x14ac:dyDescent="0.2">
      <c r="A678" s="47"/>
    </row>
    <row r="679" spans="1:1" x14ac:dyDescent="0.2">
      <c r="A679" s="47"/>
    </row>
    <row r="680" spans="1:1" x14ac:dyDescent="0.2">
      <c r="A680" s="47"/>
    </row>
    <row r="681" spans="1:1" x14ac:dyDescent="0.2">
      <c r="A681" s="47"/>
    </row>
    <row r="682" spans="1:1" x14ac:dyDescent="0.2">
      <c r="A682" s="47"/>
    </row>
    <row r="683" spans="1:1" x14ac:dyDescent="0.2">
      <c r="A683" s="47"/>
    </row>
    <row r="684" spans="1:1" x14ac:dyDescent="0.2">
      <c r="A684" s="47"/>
    </row>
    <row r="685" spans="1:1" x14ac:dyDescent="0.2">
      <c r="A685" s="47"/>
    </row>
    <row r="686" spans="1:1" x14ac:dyDescent="0.2">
      <c r="A686" s="47"/>
    </row>
    <row r="687" spans="1:1" x14ac:dyDescent="0.2">
      <c r="A687" s="47"/>
    </row>
    <row r="688" spans="1:1" x14ac:dyDescent="0.2">
      <c r="A688" s="47"/>
    </row>
    <row r="689" spans="1:1" x14ac:dyDescent="0.2">
      <c r="A689" s="47"/>
    </row>
    <row r="690" spans="1:1" x14ac:dyDescent="0.2">
      <c r="A690" s="47"/>
    </row>
    <row r="691" spans="1:1" x14ac:dyDescent="0.2">
      <c r="A691" s="47"/>
    </row>
    <row r="692" spans="1:1" x14ac:dyDescent="0.2">
      <c r="A692" s="47"/>
    </row>
    <row r="693" spans="1:1" x14ac:dyDescent="0.2">
      <c r="A693" s="47"/>
    </row>
    <row r="694" spans="1:1" x14ac:dyDescent="0.2">
      <c r="A694" s="47"/>
    </row>
    <row r="695" spans="1:1" x14ac:dyDescent="0.2">
      <c r="A695" s="47"/>
    </row>
    <row r="696" spans="1:1" x14ac:dyDescent="0.2">
      <c r="A696" s="47"/>
    </row>
    <row r="697" spans="1:1" x14ac:dyDescent="0.2">
      <c r="A697" s="47"/>
    </row>
    <row r="698" spans="1:1" x14ac:dyDescent="0.2">
      <c r="A698" s="47"/>
    </row>
    <row r="699" spans="1:1" x14ac:dyDescent="0.2">
      <c r="A699" s="47"/>
    </row>
    <row r="700" spans="1:1" x14ac:dyDescent="0.2">
      <c r="A700" s="47"/>
    </row>
    <row r="701" spans="1:1" x14ac:dyDescent="0.2">
      <c r="A701" s="47"/>
    </row>
    <row r="702" spans="1:1" x14ac:dyDescent="0.2">
      <c r="A702" s="47"/>
    </row>
    <row r="703" spans="1:1" x14ac:dyDescent="0.2">
      <c r="A703" s="47"/>
    </row>
    <row r="704" spans="1:1" x14ac:dyDescent="0.2">
      <c r="A704" s="47"/>
    </row>
    <row r="705" spans="1:1" x14ac:dyDescent="0.2">
      <c r="A705" s="47"/>
    </row>
    <row r="706" spans="1:1" x14ac:dyDescent="0.2">
      <c r="A706" s="47"/>
    </row>
    <row r="707" spans="1:1" x14ac:dyDescent="0.2">
      <c r="A707" s="47"/>
    </row>
    <row r="708" spans="1:1" x14ac:dyDescent="0.2">
      <c r="A708" s="47"/>
    </row>
    <row r="709" spans="1:1" x14ac:dyDescent="0.2">
      <c r="A709" s="47"/>
    </row>
    <row r="710" spans="1:1" x14ac:dyDescent="0.2">
      <c r="A710" s="47"/>
    </row>
    <row r="711" spans="1:1" x14ac:dyDescent="0.2">
      <c r="A711" s="47"/>
    </row>
    <row r="712" spans="1:1" x14ac:dyDescent="0.2">
      <c r="A712" s="47"/>
    </row>
    <row r="713" spans="1:1" x14ac:dyDescent="0.2">
      <c r="A713" s="47"/>
    </row>
    <row r="714" spans="1:1" x14ac:dyDescent="0.2">
      <c r="A714" s="47"/>
    </row>
    <row r="715" spans="1:1" x14ac:dyDescent="0.2">
      <c r="A715" s="47"/>
    </row>
    <row r="716" spans="1:1" x14ac:dyDescent="0.2">
      <c r="A716" s="47"/>
    </row>
    <row r="717" spans="1:1" x14ac:dyDescent="0.2">
      <c r="A717" s="47"/>
    </row>
    <row r="718" spans="1:1" x14ac:dyDescent="0.2">
      <c r="A718" s="47"/>
    </row>
    <row r="719" spans="1:1" x14ac:dyDescent="0.2">
      <c r="A719" s="47"/>
    </row>
    <row r="720" spans="1:1" x14ac:dyDescent="0.2">
      <c r="A720" s="47"/>
    </row>
    <row r="721" spans="1:1" x14ac:dyDescent="0.2">
      <c r="A721" s="47"/>
    </row>
    <row r="722" spans="1:1" x14ac:dyDescent="0.2">
      <c r="A722" s="47"/>
    </row>
    <row r="723" spans="1:1" x14ac:dyDescent="0.2">
      <c r="A723" s="47"/>
    </row>
    <row r="724" spans="1:1" x14ac:dyDescent="0.2">
      <c r="A724" s="47"/>
    </row>
    <row r="725" spans="1:1" x14ac:dyDescent="0.2">
      <c r="A725" s="47"/>
    </row>
    <row r="726" spans="1:1" x14ac:dyDescent="0.2">
      <c r="A726" s="47"/>
    </row>
    <row r="727" spans="1:1" x14ac:dyDescent="0.2">
      <c r="A727" s="47"/>
    </row>
    <row r="728" spans="1:1" x14ac:dyDescent="0.2">
      <c r="A728" s="47"/>
    </row>
    <row r="729" spans="1:1" x14ac:dyDescent="0.2">
      <c r="A729" s="47"/>
    </row>
    <row r="730" spans="1:1" x14ac:dyDescent="0.2">
      <c r="A730" s="47"/>
    </row>
    <row r="731" spans="1:1" x14ac:dyDescent="0.2">
      <c r="A731" s="47"/>
    </row>
    <row r="732" spans="1:1" x14ac:dyDescent="0.2">
      <c r="A732" s="47"/>
    </row>
    <row r="733" spans="1:1" x14ac:dyDescent="0.2">
      <c r="A733" s="47"/>
    </row>
    <row r="734" spans="1:1" x14ac:dyDescent="0.2">
      <c r="A734" s="47"/>
    </row>
    <row r="735" spans="1:1" x14ac:dyDescent="0.2">
      <c r="A735" s="47"/>
    </row>
    <row r="736" spans="1:1" x14ac:dyDescent="0.2">
      <c r="A736" s="47"/>
    </row>
    <row r="737" spans="1:1" x14ac:dyDescent="0.2">
      <c r="A737" s="47"/>
    </row>
    <row r="738" spans="1:1" x14ac:dyDescent="0.2">
      <c r="A738" s="47"/>
    </row>
    <row r="739" spans="1:1" x14ac:dyDescent="0.2">
      <c r="A739" s="47"/>
    </row>
    <row r="740" spans="1:1" x14ac:dyDescent="0.2">
      <c r="A740" s="47"/>
    </row>
    <row r="741" spans="1:1" x14ac:dyDescent="0.2">
      <c r="A741" s="47"/>
    </row>
    <row r="742" spans="1:1" x14ac:dyDescent="0.2">
      <c r="A742" s="47"/>
    </row>
    <row r="743" spans="1:1" x14ac:dyDescent="0.2">
      <c r="A743" s="47"/>
    </row>
    <row r="744" spans="1:1" x14ac:dyDescent="0.2">
      <c r="A744" s="47"/>
    </row>
    <row r="745" spans="1:1" x14ac:dyDescent="0.2">
      <c r="A745" s="47"/>
    </row>
    <row r="746" spans="1:1" x14ac:dyDescent="0.2">
      <c r="A746" s="47"/>
    </row>
    <row r="747" spans="1:1" x14ac:dyDescent="0.2">
      <c r="A747" s="47"/>
    </row>
    <row r="748" spans="1:1" x14ac:dyDescent="0.2">
      <c r="A748" s="47"/>
    </row>
    <row r="749" spans="1:1" x14ac:dyDescent="0.2">
      <c r="A749" s="47"/>
    </row>
    <row r="750" spans="1:1" x14ac:dyDescent="0.2">
      <c r="A750" s="47"/>
    </row>
    <row r="751" spans="1:1" x14ac:dyDescent="0.2">
      <c r="A751" s="47"/>
    </row>
    <row r="752" spans="1:1" x14ac:dyDescent="0.2">
      <c r="A752" s="47"/>
    </row>
    <row r="753" spans="1:1" x14ac:dyDescent="0.2">
      <c r="A753" s="47"/>
    </row>
    <row r="754" spans="1:1" x14ac:dyDescent="0.2">
      <c r="A754" s="47"/>
    </row>
    <row r="755" spans="1:1" x14ac:dyDescent="0.2">
      <c r="A755" s="47"/>
    </row>
    <row r="756" spans="1:1" x14ac:dyDescent="0.2">
      <c r="A756" s="47"/>
    </row>
    <row r="757" spans="1:1" x14ac:dyDescent="0.2">
      <c r="A757" s="47"/>
    </row>
    <row r="758" spans="1:1" x14ac:dyDescent="0.2">
      <c r="A758" s="47"/>
    </row>
    <row r="759" spans="1:1" x14ac:dyDescent="0.2">
      <c r="A759" s="47"/>
    </row>
    <row r="760" spans="1:1" x14ac:dyDescent="0.2">
      <c r="A760" s="47"/>
    </row>
    <row r="761" spans="1:1" x14ac:dyDescent="0.2">
      <c r="A761" s="47"/>
    </row>
    <row r="762" spans="1:1" x14ac:dyDescent="0.2">
      <c r="A762" s="47"/>
    </row>
    <row r="763" spans="1:1" x14ac:dyDescent="0.2">
      <c r="A763" s="47"/>
    </row>
    <row r="764" spans="1:1" x14ac:dyDescent="0.2">
      <c r="A764" s="47"/>
    </row>
    <row r="765" spans="1:1" x14ac:dyDescent="0.2">
      <c r="A765" s="47"/>
    </row>
    <row r="766" spans="1:1" x14ac:dyDescent="0.2">
      <c r="A766" s="47"/>
    </row>
    <row r="767" spans="1:1" x14ac:dyDescent="0.2">
      <c r="A767" s="47"/>
    </row>
    <row r="768" spans="1:1" x14ac:dyDescent="0.2">
      <c r="A768" s="47"/>
    </row>
    <row r="769" spans="1:1" x14ac:dyDescent="0.2">
      <c r="A769" s="47"/>
    </row>
    <row r="770" spans="1:1" x14ac:dyDescent="0.2">
      <c r="A770" s="47"/>
    </row>
    <row r="771" spans="1:1" x14ac:dyDescent="0.2">
      <c r="A771" s="47"/>
    </row>
    <row r="772" spans="1:1" x14ac:dyDescent="0.2">
      <c r="A772" s="47"/>
    </row>
    <row r="773" spans="1:1" x14ac:dyDescent="0.2">
      <c r="A773" s="47"/>
    </row>
    <row r="774" spans="1:1" x14ac:dyDescent="0.2">
      <c r="A774" s="47"/>
    </row>
    <row r="775" spans="1:1" x14ac:dyDescent="0.2">
      <c r="A775" s="47"/>
    </row>
    <row r="776" spans="1:1" x14ac:dyDescent="0.2">
      <c r="A776" s="47"/>
    </row>
    <row r="777" spans="1:1" x14ac:dyDescent="0.2">
      <c r="A777" s="47"/>
    </row>
    <row r="778" spans="1:1" x14ac:dyDescent="0.2">
      <c r="A778" s="47"/>
    </row>
    <row r="779" spans="1:1" x14ac:dyDescent="0.2">
      <c r="A779" s="47"/>
    </row>
    <row r="780" spans="1:1" x14ac:dyDescent="0.2">
      <c r="A780" s="47"/>
    </row>
    <row r="781" spans="1:1" x14ac:dyDescent="0.2">
      <c r="A781" s="47"/>
    </row>
    <row r="782" spans="1:1" x14ac:dyDescent="0.2">
      <c r="A782" s="47"/>
    </row>
    <row r="783" spans="1:1" x14ac:dyDescent="0.2">
      <c r="A783" s="47"/>
    </row>
    <row r="784" spans="1:1" x14ac:dyDescent="0.2">
      <c r="A784" s="47"/>
    </row>
    <row r="785" spans="1:1" x14ac:dyDescent="0.2">
      <c r="A785" s="47"/>
    </row>
    <row r="786" spans="1:1" x14ac:dyDescent="0.2">
      <c r="A786" s="47"/>
    </row>
    <row r="787" spans="1:1" x14ac:dyDescent="0.2">
      <c r="A787" s="47"/>
    </row>
    <row r="788" spans="1:1" x14ac:dyDescent="0.2">
      <c r="A788" s="47"/>
    </row>
    <row r="789" spans="1:1" x14ac:dyDescent="0.2">
      <c r="A789" s="47"/>
    </row>
    <row r="790" spans="1:1" x14ac:dyDescent="0.2">
      <c r="A790" s="47"/>
    </row>
    <row r="791" spans="1:1" x14ac:dyDescent="0.2">
      <c r="A791" s="47"/>
    </row>
    <row r="792" spans="1:1" x14ac:dyDescent="0.2">
      <c r="A792" s="47"/>
    </row>
    <row r="793" spans="1:1" x14ac:dyDescent="0.2">
      <c r="A793" s="47"/>
    </row>
    <row r="794" spans="1:1" x14ac:dyDescent="0.2">
      <c r="A794" s="47"/>
    </row>
    <row r="795" spans="1:1" x14ac:dyDescent="0.2">
      <c r="A795" s="47"/>
    </row>
    <row r="796" spans="1:1" x14ac:dyDescent="0.2">
      <c r="A796" s="47"/>
    </row>
    <row r="797" spans="1:1" x14ac:dyDescent="0.2">
      <c r="A797" s="47"/>
    </row>
    <row r="798" spans="1:1" x14ac:dyDescent="0.2">
      <c r="A798" s="47"/>
    </row>
    <row r="799" spans="1:1" x14ac:dyDescent="0.2">
      <c r="A799" s="47"/>
    </row>
    <row r="800" spans="1:1" x14ac:dyDescent="0.2">
      <c r="A800" s="47"/>
    </row>
    <row r="801" spans="1:1" x14ac:dyDescent="0.2">
      <c r="A801" s="47"/>
    </row>
    <row r="802" spans="1:1" x14ac:dyDescent="0.2">
      <c r="A802" s="47"/>
    </row>
    <row r="803" spans="1:1" x14ac:dyDescent="0.2">
      <c r="A803" s="47"/>
    </row>
    <row r="804" spans="1:1" x14ac:dyDescent="0.2">
      <c r="A804" s="47"/>
    </row>
    <row r="805" spans="1:1" x14ac:dyDescent="0.2">
      <c r="A805" s="47"/>
    </row>
    <row r="806" spans="1:1" x14ac:dyDescent="0.2">
      <c r="A806" s="47"/>
    </row>
    <row r="807" spans="1:1" x14ac:dyDescent="0.2">
      <c r="A807" s="47"/>
    </row>
    <row r="808" spans="1:1" x14ac:dyDescent="0.2">
      <c r="A808" s="47"/>
    </row>
    <row r="809" spans="1:1" x14ac:dyDescent="0.2">
      <c r="A809" s="47"/>
    </row>
    <row r="810" spans="1:1" x14ac:dyDescent="0.2">
      <c r="A810" s="47"/>
    </row>
    <row r="811" spans="1:1" x14ac:dyDescent="0.2">
      <c r="A811" s="47"/>
    </row>
    <row r="812" spans="1:1" x14ac:dyDescent="0.2">
      <c r="A812" s="47"/>
    </row>
    <row r="813" spans="1:1" x14ac:dyDescent="0.2">
      <c r="A813" s="47"/>
    </row>
    <row r="814" spans="1:1" x14ac:dyDescent="0.2">
      <c r="A814" s="47"/>
    </row>
    <row r="815" spans="1:1" x14ac:dyDescent="0.2">
      <c r="A815" s="47"/>
    </row>
    <row r="816" spans="1:1" x14ac:dyDescent="0.2">
      <c r="A816" s="47"/>
    </row>
    <row r="817" spans="1:1" x14ac:dyDescent="0.2">
      <c r="A817" s="47"/>
    </row>
    <row r="818" spans="1:1" x14ac:dyDescent="0.2">
      <c r="A818" s="47"/>
    </row>
    <row r="819" spans="1:1" x14ac:dyDescent="0.2">
      <c r="A819" s="47"/>
    </row>
    <row r="820" spans="1:1" x14ac:dyDescent="0.2">
      <c r="A820" s="47"/>
    </row>
    <row r="821" spans="1:1" x14ac:dyDescent="0.2">
      <c r="A821" s="47"/>
    </row>
    <row r="822" spans="1:1" x14ac:dyDescent="0.2">
      <c r="A822" s="47"/>
    </row>
    <row r="823" spans="1:1" x14ac:dyDescent="0.2">
      <c r="A823" s="47"/>
    </row>
    <row r="824" spans="1:1" x14ac:dyDescent="0.2">
      <c r="A824" s="47"/>
    </row>
    <row r="825" spans="1:1" x14ac:dyDescent="0.2">
      <c r="A825" s="47"/>
    </row>
    <row r="826" spans="1:1" x14ac:dyDescent="0.2">
      <c r="A826" s="47"/>
    </row>
    <row r="827" spans="1:1" x14ac:dyDescent="0.2">
      <c r="A827" s="47"/>
    </row>
    <row r="828" spans="1:1" x14ac:dyDescent="0.2">
      <c r="A828" s="47"/>
    </row>
    <row r="829" spans="1:1" x14ac:dyDescent="0.2">
      <c r="A829" s="47"/>
    </row>
    <row r="830" spans="1:1" x14ac:dyDescent="0.2">
      <c r="A830" s="47"/>
    </row>
    <row r="831" spans="1:1" x14ac:dyDescent="0.2">
      <c r="A831" s="47"/>
    </row>
    <row r="832" spans="1:1" x14ac:dyDescent="0.2">
      <c r="A832" s="47"/>
    </row>
    <row r="833" spans="1:1" x14ac:dyDescent="0.2">
      <c r="A833" s="47"/>
    </row>
    <row r="834" spans="1:1" x14ac:dyDescent="0.2">
      <c r="A834" s="47"/>
    </row>
    <row r="835" spans="1:1" x14ac:dyDescent="0.2">
      <c r="A835" s="47"/>
    </row>
    <row r="836" spans="1:1" x14ac:dyDescent="0.2">
      <c r="A836" s="47"/>
    </row>
    <row r="837" spans="1:1" x14ac:dyDescent="0.2">
      <c r="A837" s="47"/>
    </row>
    <row r="838" spans="1:1" x14ac:dyDescent="0.2">
      <c r="A838" s="47"/>
    </row>
    <row r="839" spans="1:1" x14ac:dyDescent="0.2">
      <c r="A839" s="47"/>
    </row>
    <row r="840" spans="1:1" x14ac:dyDescent="0.2">
      <c r="A840" s="47"/>
    </row>
    <row r="841" spans="1:1" x14ac:dyDescent="0.2">
      <c r="A841" s="47"/>
    </row>
    <row r="842" spans="1:1" x14ac:dyDescent="0.2">
      <c r="A842" s="47"/>
    </row>
    <row r="843" spans="1:1" x14ac:dyDescent="0.2">
      <c r="A843" s="47"/>
    </row>
    <row r="844" spans="1:1" x14ac:dyDescent="0.2">
      <c r="A844" s="47"/>
    </row>
    <row r="845" spans="1:1" x14ac:dyDescent="0.2">
      <c r="A845" s="47"/>
    </row>
    <row r="846" spans="1:1" x14ac:dyDescent="0.2">
      <c r="A846" s="47"/>
    </row>
    <row r="847" spans="1:1" x14ac:dyDescent="0.2">
      <c r="A847" s="47"/>
    </row>
    <row r="848" spans="1:1" x14ac:dyDescent="0.2">
      <c r="A848" s="47"/>
    </row>
    <row r="849" spans="1:1" x14ac:dyDescent="0.2">
      <c r="A849" s="47"/>
    </row>
    <row r="850" spans="1:1" x14ac:dyDescent="0.2">
      <c r="A850" s="47"/>
    </row>
    <row r="851" spans="1:1" x14ac:dyDescent="0.2">
      <c r="A851" s="47"/>
    </row>
    <row r="852" spans="1:1" x14ac:dyDescent="0.2">
      <c r="A852" s="47"/>
    </row>
    <row r="853" spans="1:1" x14ac:dyDescent="0.2">
      <c r="A853" s="47"/>
    </row>
    <row r="854" spans="1:1" x14ac:dyDescent="0.2">
      <c r="A854" s="47"/>
    </row>
    <row r="855" spans="1:1" x14ac:dyDescent="0.2">
      <c r="A855" s="47"/>
    </row>
    <row r="856" spans="1:1" x14ac:dyDescent="0.2">
      <c r="A856" s="47"/>
    </row>
    <row r="857" spans="1:1" x14ac:dyDescent="0.2">
      <c r="A857" s="47"/>
    </row>
    <row r="858" spans="1:1" x14ac:dyDescent="0.2">
      <c r="A858" s="47"/>
    </row>
    <row r="859" spans="1:1" x14ac:dyDescent="0.2">
      <c r="A859" s="47"/>
    </row>
    <row r="860" spans="1:1" x14ac:dyDescent="0.2">
      <c r="A860" s="47"/>
    </row>
    <row r="861" spans="1:1" x14ac:dyDescent="0.2">
      <c r="A861" s="47"/>
    </row>
    <row r="862" spans="1:1" x14ac:dyDescent="0.2">
      <c r="A862" s="47"/>
    </row>
    <row r="863" spans="1:1" x14ac:dyDescent="0.2">
      <c r="A863" s="47"/>
    </row>
    <row r="864" spans="1:1" x14ac:dyDescent="0.2">
      <c r="A864" s="47"/>
    </row>
    <row r="865" spans="1:1" x14ac:dyDescent="0.2">
      <c r="A865" s="47"/>
    </row>
    <row r="866" spans="1:1" x14ac:dyDescent="0.2">
      <c r="A866" s="47"/>
    </row>
    <row r="867" spans="1:1" x14ac:dyDescent="0.2">
      <c r="A867" s="47"/>
    </row>
    <row r="868" spans="1:1" x14ac:dyDescent="0.2">
      <c r="A868" s="47"/>
    </row>
    <row r="869" spans="1:1" x14ac:dyDescent="0.2">
      <c r="A869" s="47"/>
    </row>
    <row r="870" spans="1:1" x14ac:dyDescent="0.2">
      <c r="A870" s="47"/>
    </row>
    <row r="871" spans="1:1" x14ac:dyDescent="0.2">
      <c r="A871" s="47"/>
    </row>
    <row r="872" spans="1:1" x14ac:dyDescent="0.2">
      <c r="A872" s="47"/>
    </row>
    <row r="873" spans="1:1" x14ac:dyDescent="0.2">
      <c r="A873" s="47"/>
    </row>
    <row r="874" spans="1:1" x14ac:dyDescent="0.2">
      <c r="A874" s="47"/>
    </row>
    <row r="875" spans="1:1" x14ac:dyDescent="0.2">
      <c r="A875" s="47"/>
    </row>
    <row r="876" spans="1:1" x14ac:dyDescent="0.2">
      <c r="A876" s="47"/>
    </row>
    <row r="877" spans="1:1" x14ac:dyDescent="0.2">
      <c r="A877" s="47"/>
    </row>
    <row r="878" spans="1:1" x14ac:dyDescent="0.2">
      <c r="A878" s="47"/>
    </row>
    <row r="879" spans="1:1" x14ac:dyDescent="0.2">
      <c r="A879" s="47"/>
    </row>
    <row r="880" spans="1:1" x14ac:dyDescent="0.2">
      <c r="A880" s="47"/>
    </row>
    <row r="881" spans="1:1" x14ac:dyDescent="0.2">
      <c r="A881" s="47"/>
    </row>
    <row r="882" spans="1:1" x14ac:dyDescent="0.2">
      <c r="A882" s="47"/>
    </row>
    <row r="883" spans="1:1" x14ac:dyDescent="0.2">
      <c r="A883" s="47"/>
    </row>
    <row r="884" spans="1:1" x14ac:dyDescent="0.2">
      <c r="A884" s="47"/>
    </row>
    <row r="885" spans="1:1" x14ac:dyDescent="0.2">
      <c r="A885" s="47"/>
    </row>
    <row r="886" spans="1:1" x14ac:dyDescent="0.2">
      <c r="A886" s="47"/>
    </row>
    <row r="887" spans="1:1" x14ac:dyDescent="0.2">
      <c r="A887" s="47"/>
    </row>
    <row r="888" spans="1:1" x14ac:dyDescent="0.2">
      <c r="A888" s="47"/>
    </row>
    <row r="889" spans="1:1" x14ac:dyDescent="0.2">
      <c r="A889" s="47"/>
    </row>
    <row r="890" spans="1:1" x14ac:dyDescent="0.2">
      <c r="A890" s="47"/>
    </row>
    <row r="891" spans="1:1" x14ac:dyDescent="0.2">
      <c r="A891" s="47"/>
    </row>
    <row r="892" spans="1:1" x14ac:dyDescent="0.2">
      <c r="A892" s="47"/>
    </row>
    <row r="893" spans="1:1" x14ac:dyDescent="0.2">
      <c r="A893" s="47"/>
    </row>
    <row r="894" spans="1:1" x14ac:dyDescent="0.2">
      <c r="A894" s="47"/>
    </row>
    <row r="895" spans="1:1" x14ac:dyDescent="0.2">
      <c r="A895" s="47"/>
    </row>
    <row r="896" spans="1:1" x14ac:dyDescent="0.2">
      <c r="A896" s="47"/>
    </row>
    <row r="897" spans="1:1" x14ac:dyDescent="0.2">
      <c r="A897" s="47"/>
    </row>
    <row r="898" spans="1:1" x14ac:dyDescent="0.2">
      <c r="A898" s="47"/>
    </row>
    <row r="899" spans="1:1" x14ac:dyDescent="0.2">
      <c r="A899" s="47"/>
    </row>
    <row r="900" spans="1:1" x14ac:dyDescent="0.2">
      <c r="A900" s="47"/>
    </row>
    <row r="901" spans="1:1" x14ac:dyDescent="0.2">
      <c r="A901" s="47"/>
    </row>
    <row r="902" spans="1:1" x14ac:dyDescent="0.2">
      <c r="A902" s="47"/>
    </row>
    <row r="903" spans="1:1" x14ac:dyDescent="0.2">
      <c r="A903" s="47"/>
    </row>
    <row r="904" spans="1:1" x14ac:dyDescent="0.2">
      <c r="A904" s="47"/>
    </row>
    <row r="905" spans="1:1" x14ac:dyDescent="0.2">
      <c r="A905" s="47"/>
    </row>
    <row r="906" spans="1:1" x14ac:dyDescent="0.2">
      <c r="A906" s="47"/>
    </row>
    <row r="907" spans="1:1" x14ac:dyDescent="0.2">
      <c r="A907" s="47"/>
    </row>
    <row r="908" spans="1:1" x14ac:dyDescent="0.2">
      <c r="A908" s="47"/>
    </row>
    <row r="909" spans="1:1" x14ac:dyDescent="0.2">
      <c r="A909" s="47"/>
    </row>
    <row r="910" spans="1:1" x14ac:dyDescent="0.2">
      <c r="A910" s="47"/>
    </row>
    <row r="911" spans="1:1" x14ac:dyDescent="0.2">
      <c r="A911" s="47"/>
    </row>
    <row r="912" spans="1:1" x14ac:dyDescent="0.2">
      <c r="A912" s="47"/>
    </row>
    <row r="913" spans="1:1" x14ac:dyDescent="0.2">
      <c r="A913" s="47"/>
    </row>
    <row r="914" spans="1:1" x14ac:dyDescent="0.2">
      <c r="A914" s="47"/>
    </row>
    <row r="915" spans="1:1" x14ac:dyDescent="0.2">
      <c r="A915" s="47"/>
    </row>
    <row r="916" spans="1:1" x14ac:dyDescent="0.2">
      <c r="A916" s="47"/>
    </row>
    <row r="917" spans="1:1" x14ac:dyDescent="0.2">
      <c r="A917" s="47"/>
    </row>
    <row r="918" spans="1:1" x14ac:dyDescent="0.2">
      <c r="A918" s="47"/>
    </row>
    <row r="919" spans="1:1" x14ac:dyDescent="0.2">
      <c r="A919" s="47"/>
    </row>
    <row r="920" spans="1:1" x14ac:dyDescent="0.2">
      <c r="A920" s="47"/>
    </row>
    <row r="921" spans="1:1" x14ac:dyDescent="0.2">
      <c r="A921" s="47"/>
    </row>
    <row r="922" spans="1:1" x14ac:dyDescent="0.2">
      <c r="A922" s="47"/>
    </row>
    <row r="923" spans="1:1" x14ac:dyDescent="0.2">
      <c r="A923" s="47"/>
    </row>
    <row r="924" spans="1:1" x14ac:dyDescent="0.2">
      <c r="A924" s="47"/>
    </row>
    <row r="925" spans="1:1" x14ac:dyDescent="0.2">
      <c r="A925" s="47"/>
    </row>
    <row r="926" spans="1:1" x14ac:dyDescent="0.2">
      <c r="A926" s="47"/>
    </row>
    <row r="927" spans="1:1" x14ac:dyDescent="0.2">
      <c r="A927" s="47"/>
    </row>
    <row r="928" spans="1:1" x14ac:dyDescent="0.2">
      <c r="A928" s="47"/>
    </row>
    <row r="929" spans="1:1" x14ac:dyDescent="0.2">
      <c r="A929" s="47"/>
    </row>
    <row r="930" spans="1:1" x14ac:dyDescent="0.2">
      <c r="A930" s="47"/>
    </row>
    <row r="931" spans="1:1" x14ac:dyDescent="0.2">
      <c r="A931" s="47"/>
    </row>
    <row r="932" spans="1:1" x14ac:dyDescent="0.2">
      <c r="A932" s="47"/>
    </row>
    <row r="933" spans="1:1" x14ac:dyDescent="0.2">
      <c r="A933" s="47"/>
    </row>
    <row r="934" spans="1:1" x14ac:dyDescent="0.2">
      <c r="A934" s="47"/>
    </row>
    <row r="935" spans="1:1" x14ac:dyDescent="0.2">
      <c r="A935" s="47"/>
    </row>
    <row r="936" spans="1:1" x14ac:dyDescent="0.2">
      <c r="A936" s="47"/>
    </row>
    <row r="937" spans="1:1" x14ac:dyDescent="0.2">
      <c r="A937" s="47"/>
    </row>
    <row r="938" spans="1:1" x14ac:dyDescent="0.2">
      <c r="A938" s="47"/>
    </row>
    <row r="939" spans="1:1" x14ac:dyDescent="0.2">
      <c r="A939" s="47"/>
    </row>
    <row r="940" spans="1:1" x14ac:dyDescent="0.2">
      <c r="A940" s="47"/>
    </row>
    <row r="941" spans="1:1" x14ac:dyDescent="0.2">
      <c r="A941" s="47"/>
    </row>
    <row r="942" spans="1:1" x14ac:dyDescent="0.2">
      <c r="A942" s="47"/>
    </row>
    <row r="943" spans="1:1" x14ac:dyDescent="0.2">
      <c r="A943" s="47"/>
    </row>
    <row r="944" spans="1:1" x14ac:dyDescent="0.2">
      <c r="A944" s="47"/>
    </row>
    <row r="945" spans="1:1" x14ac:dyDescent="0.2">
      <c r="A945" s="47"/>
    </row>
    <row r="946" spans="1:1" x14ac:dyDescent="0.2">
      <c r="A946" s="47"/>
    </row>
    <row r="947" spans="1:1" x14ac:dyDescent="0.2">
      <c r="A947" s="47"/>
    </row>
    <row r="948" spans="1:1" x14ac:dyDescent="0.2">
      <c r="A948" s="47"/>
    </row>
    <row r="949" spans="1:1" x14ac:dyDescent="0.2">
      <c r="A949" s="47"/>
    </row>
    <row r="950" spans="1:1" x14ac:dyDescent="0.2">
      <c r="A950" s="47"/>
    </row>
    <row r="951" spans="1:1" x14ac:dyDescent="0.2">
      <c r="A951" s="47"/>
    </row>
    <row r="952" spans="1:1" x14ac:dyDescent="0.2">
      <c r="A952" s="47"/>
    </row>
    <row r="953" spans="1:1" x14ac:dyDescent="0.2">
      <c r="A953" s="47"/>
    </row>
    <row r="954" spans="1:1" x14ac:dyDescent="0.2">
      <c r="A954" s="47"/>
    </row>
    <row r="955" spans="1:1" x14ac:dyDescent="0.2">
      <c r="A955" s="47"/>
    </row>
    <row r="956" spans="1:1" x14ac:dyDescent="0.2">
      <c r="A956" s="47"/>
    </row>
    <row r="957" spans="1:1" x14ac:dyDescent="0.2">
      <c r="A957" s="47"/>
    </row>
    <row r="958" spans="1:1" x14ac:dyDescent="0.2">
      <c r="A958" s="47"/>
    </row>
    <row r="959" spans="1:1" x14ac:dyDescent="0.2">
      <c r="A959" s="47"/>
    </row>
    <row r="960" spans="1:1" x14ac:dyDescent="0.2">
      <c r="A960" s="47"/>
    </row>
    <row r="961" spans="1:1" x14ac:dyDescent="0.2">
      <c r="A961" s="47"/>
    </row>
    <row r="962" spans="1:1" x14ac:dyDescent="0.2">
      <c r="A962" s="47"/>
    </row>
    <row r="963" spans="1:1" x14ac:dyDescent="0.2">
      <c r="A963" s="47"/>
    </row>
    <row r="964" spans="1:1" x14ac:dyDescent="0.2">
      <c r="A964" s="47"/>
    </row>
    <row r="965" spans="1:1" x14ac:dyDescent="0.2">
      <c r="A965" s="47"/>
    </row>
    <row r="966" spans="1:1" x14ac:dyDescent="0.2">
      <c r="A966" s="47"/>
    </row>
    <row r="967" spans="1:1" x14ac:dyDescent="0.2">
      <c r="A967" s="47"/>
    </row>
    <row r="968" spans="1:1" x14ac:dyDescent="0.2">
      <c r="A968" s="47"/>
    </row>
    <row r="969" spans="1:1" x14ac:dyDescent="0.2">
      <c r="A969" s="47"/>
    </row>
    <row r="970" spans="1:1" x14ac:dyDescent="0.2">
      <c r="A970" s="47"/>
    </row>
    <row r="971" spans="1:1" x14ac:dyDescent="0.2">
      <c r="A971" s="47"/>
    </row>
    <row r="972" spans="1:1" x14ac:dyDescent="0.2">
      <c r="A972" s="47"/>
    </row>
    <row r="973" spans="1:1" x14ac:dyDescent="0.2">
      <c r="A973" s="47"/>
    </row>
    <row r="974" spans="1:1" x14ac:dyDescent="0.2">
      <c r="A974" s="47"/>
    </row>
    <row r="975" spans="1:1" x14ac:dyDescent="0.2">
      <c r="A975" s="47"/>
    </row>
    <row r="976" spans="1:1" x14ac:dyDescent="0.2">
      <c r="A976" s="47"/>
    </row>
    <row r="977" spans="1:1" x14ac:dyDescent="0.2">
      <c r="A977" s="47"/>
    </row>
    <row r="978" spans="1:1" x14ac:dyDescent="0.2">
      <c r="A978" s="47"/>
    </row>
    <row r="979" spans="1:1" x14ac:dyDescent="0.2">
      <c r="A979" s="47"/>
    </row>
    <row r="980" spans="1:1" x14ac:dyDescent="0.2">
      <c r="A980" s="47"/>
    </row>
    <row r="981" spans="1:1" x14ac:dyDescent="0.2">
      <c r="A981" s="47"/>
    </row>
    <row r="982" spans="1:1" x14ac:dyDescent="0.2">
      <c r="A982" s="47"/>
    </row>
    <row r="983" spans="1:1" x14ac:dyDescent="0.2">
      <c r="A983" s="47"/>
    </row>
    <row r="984" spans="1:1" x14ac:dyDescent="0.2">
      <c r="A984" s="47"/>
    </row>
    <row r="985" spans="1:1" x14ac:dyDescent="0.2">
      <c r="A985" s="47"/>
    </row>
    <row r="986" spans="1:1" x14ac:dyDescent="0.2">
      <c r="A986" s="47"/>
    </row>
    <row r="987" spans="1:1" x14ac:dyDescent="0.2">
      <c r="A987" s="47"/>
    </row>
    <row r="988" spans="1:1" x14ac:dyDescent="0.2">
      <c r="A988" s="47"/>
    </row>
    <row r="989" spans="1:1" x14ac:dyDescent="0.2">
      <c r="A989" s="47"/>
    </row>
    <row r="990" spans="1:1" x14ac:dyDescent="0.2">
      <c r="A990" s="47"/>
    </row>
    <row r="991" spans="1:1" x14ac:dyDescent="0.2">
      <c r="A991" s="47"/>
    </row>
    <row r="992" spans="1:1" x14ac:dyDescent="0.2">
      <c r="A992" s="47"/>
    </row>
    <row r="993" spans="1:1" x14ac:dyDescent="0.2">
      <c r="A993" s="47"/>
    </row>
    <row r="994" spans="1:1" x14ac:dyDescent="0.2">
      <c r="A994" s="47"/>
    </row>
    <row r="995" spans="1:1" x14ac:dyDescent="0.2">
      <c r="A995" s="47"/>
    </row>
    <row r="996" spans="1:1" x14ac:dyDescent="0.2">
      <c r="A996" s="47"/>
    </row>
    <row r="997" spans="1:1" x14ac:dyDescent="0.2">
      <c r="A997" s="47"/>
    </row>
    <row r="998" spans="1:1" x14ac:dyDescent="0.2">
      <c r="A998" s="47"/>
    </row>
    <row r="999" spans="1:1" x14ac:dyDescent="0.2">
      <c r="A999" s="47"/>
    </row>
    <row r="1000" spans="1:1" x14ac:dyDescent="0.2">
      <c r="A1000" s="47"/>
    </row>
    <row r="1001" spans="1:1" x14ac:dyDescent="0.2">
      <c r="A1001" s="47"/>
    </row>
    <row r="1002" spans="1:1" x14ac:dyDescent="0.2">
      <c r="A1002" s="47"/>
    </row>
    <row r="1003" spans="1:1" x14ac:dyDescent="0.2">
      <c r="A1003" s="47"/>
    </row>
    <row r="1004" spans="1:1" x14ac:dyDescent="0.2">
      <c r="A1004" s="47"/>
    </row>
    <row r="1005" spans="1:1" x14ac:dyDescent="0.2">
      <c r="A1005" s="47"/>
    </row>
    <row r="1006" spans="1:1" x14ac:dyDescent="0.2">
      <c r="A1006" s="47"/>
    </row>
    <row r="1007" spans="1:1" x14ac:dyDescent="0.2">
      <c r="A1007" s="47"/>
    </row>
    <row r="1008" spans="1:1" x14ac:dyDescent="0.2">
      <c r="A1008" s="47"/>
    </row>
    <row r="1009" spans="1:1" x14ac:dyDescent="0.2">
      <c r="A1009" s="47"/>
    </row>
    <row r="1010" spans="1:1" x14ac:dyDescent="0.2">
      <c r="A1010" s="47"/>
    </row>
    <row r="1011" spans="1:1" x14ac:dyDescent="0.2">
      <c r="A1011" s="47"/>
    </row>
    <row r="1012" spans="1:1" x14ac:dyDescent="0.2">
      <c r="A1012" s="47"/>
    </row>
    <row r="1013" spans="1:1" x14ac:dyDescent="0.2">
      <c r="A1013" s="47"/>
    </row>
    <row r="1014" spans="1:1" x14ac:dyDescent="0.2">
      <c r="A1014" s="47"/>
    </row>
    <row r="1015" spans="1:1" x14ac:dyDescent="0.2">
      <c r="A1015" s="47"/>
    </row>
    <row r="1016" spans="1:1" x14ac:dyDescent="0.2">
      <c r="A1016" s="47"/>
    </row>
    <row r="1017" spans="1:1" x14ac:dyDescent="0.2">
      <c r="A1017" s="47"/>
    </row>
    <row r="1018" spans="1:1" x14ac:dyDescent="0.2">
      <c r="A1018" s="47"/>
    </row>
    <row r="1019" spans="1:1" x14ac:dyDescent="0.2">
      <c r="A1019" s="47"/>
    </row>
    <row r="1020" spans="1:1" x14ac:dyDescent="0.2">
      <c r="A1020" s="47"/>
    </row>
    <row r="1021" spans="1:1" x14ac:dyDescent="0.2">
      <c r="A1021" s="47"/>
    </row>
    <row r="1022" spans="1:1" x14ac:dyDescent="0.2">
      <c r="A1022" s="47"/>
    </row>
    <row r="1023" spans="1:1" x14ac:dyDescent="0.2">
      <c r="A1023" s="47"/>
    </row>
    <row r="1024" spans="1:1" x14ac:dyDescent="0.2">
      <c r="A1024" s="47"/>
    </row>
    <row r="1025" spans="1:1" x14ac:dyDescent="0.2">
      <c r="A1025" s="47"/>
    </row>
    <row r="1026" spans="1:1" x14ac:dyDescent="0.2">
      <c r="A1026" s="47"/>
    </row>
    <row r="1027" spans="1:1" x14ac:dyDescent="0.2">
      <c r="A1027" s="47"/>
    </row>
    <row r="1028" spans="1:1" x14ac:dyDescent="0.2">
      <c r="A1028" s="47"/>
    </row>
    <row r="1029" spans="1:1" x14ac:dyDescent="0.2">
      <c r="A1029" s="47"/>
    </row>
    <row r="1030" spans="1:1" x14ac:dyDescent="0.2">
      <c r="A1030" s="47"/>
    </row>
    <row r="1031" spans="1:1" x14ac:dyDescent="0.2">
      <c r="A1031" s="47"/>
    </row>
    <row r="1032" spans="1:1" x14ac:dyDescent="0.2">
      <c r="A1032" s="47"/>
    </row>
    <row r="1033" spans="1:1" x14ac:dyDescent="0.2">
      <c r="A1033" s="47"/>
    </row>
    <row r="1034" spans="1:1" x14ac:dyDescent="0.2">
      <c r="A1034" s="47"/>
    </row>
    <row r="1035" spans="1:1" x14ac:dyDescent="0.2">
      <c r="A1035" s="47"/>
    </row>
    <row r="1036" spans="1:1" x14ac:dyDescent="0.2">
      <c r="A1036" s="47"/>
    </row>
    <row r="1037" spans="1:1" x14ac:dyDescent="0.2">
      <c r="A1037" s="47"/>
    </row>
    <row r="1038" spans="1:1" x14ac:dyDescent="0.2">
      <c r="A1038" s="47"/>
    </row>
    <row r="1039" spans="1:1" x14ac:dyDescent="0.2">
      <c r="A1039" s="47"/>
    </row>
    <row r="1040" spans="1:1" x14ac:dyDescent="0.2">
      <c r="A1040" s="47"/>
    </row>
    <row r="1041" spans="1:1" x14ac:dyDescent="0.2">
      <c r="A1041" s="47"/>
    </row>
    <row r="1042" spans="1:1" x14ac:dyDescent="0.2">
      <c r="A1042" s="47"/>
    </row>
    <row r="1043" spans="1:1" x14ac:dyDescent="0.2">
      <c r="A1043" s="47"/>
    </row>
    <row r="1044" spans="1:1" x14ac:dyDescent="0.2">
      <c r="A1044" s="47"/>
    </row>
    <row r="1045" spans="1:1" x14ac:dyDescent="0.2">
      <c r="A1045" s="47"/>
    </row>
    <row r="1046" spans="1:1" x14ac:dyDescent="0.2">
      <c r="A1046" s="47"/>
    </row>
    <row r="1047" spans="1:1" x14ac:dyDescent="0.2">
      <c r="A1047" s="47"/>
    </row>
    <row r="1048" spans="1:1" x14ac:dyDescent="0.2">
      <c r="A1048" s="47"/>
    </row>
    <row r="1049" spans="1:1" x14ac:dyDescent="0.2">
      <c r="A1049" s="47"/>
    </row>
    <row r="1050" spans="1:1" x14ac:dyDescent="0.2">
      <c r="A1050" s="47"/>
    </row>
    <row r="1051" spans="1:1" x14ac:dyDescent="0.2">
      <c r="A1051" s="47"/>
    </row>
    <row r="1052" spans="1:1" x14ac:dyDescent="0.2">
      <c r="A1052" s="47"/>
    </row>
    <row r="1053" spans="1:1" x14ac:dyDescent="0.2">
      <c r="A1053" s="47"/>
    </row>
    <row r="1054" spans="1:1" x14ac:dyDescent="0.2">
      <c r="A1054" s="47"/>
    </row>
    <row r="1055" spans="1:1" x14ac:dyDescent="0.2">
      <c r="A1055" s="47"/>
    </row>
    <row r="1056" spans="1:1" x14ac:dyDescent="0.2">
      <c r="A1056" s="47"/>
    </row>
    <row r="1057" spans="1:1" x14ac:dyDescent="0.2">
      <c r="A1057" s="47"/>
    </row>
    <row r="1058" spans="1:1" x14ac:dyDescent="0.2">
      <c r="A1058" s="47"/>
    </row>
    <row r="1059" spans="1:1" x14ac:dyDescent="0.2">
      <c r="A1059" s="47"/>
    </row>
    <row r="1060" spans="1:1" x14ac:dyDescent="0.2">
      <c r="A1060" s="47"/>
    </row>
    <row r="1061" spans="1:1" x14ac:dyDescent="0.2">
      <c r="A1061" s="47"/>
    </row>
    <row r="1062" spans="1:1" x14ac:dyDescent="0.2">
      <c r="A1062" s="47"/>
    </row>
    <row r="1063" spans="1:1" x14ac:dyDescent="0.2">
      <c r="A1063" s="47"/>
    </row>
    <row r="1064" spans="1:1" x14ac:dyDescent="0.2">
      <c r="A1064" s="47"/>
    </row>
    <row r="1065" spans="1:1" x14ac:dyDescent="0.2">
      <c r="A1065" s="47"/>
    </row>
    <row r="1066" spans="1:1" x14ac:dyDescent="0.2">
      <c r="A1066" s="47"/>
    </row>
    <row r="1067" spans="1:1" x14ac:dyDescent="0.2">
      <c r="A1067" s="47"/>
    </row>
    <row r="1068" spans="1:1" x14ac:dyDescent="0.2">
      <c r="A1068" s="47"/>
    </row>
    <row r="1069" spans="1:1" x14ac:dyDescent="0.2">
      <c r="A1069" s="47"/>
    </row>
    <row r="1070" spans="1:1" x14ac:dyDescent="0.2">
      <c r="A1070" s="47"/>
    </row>
    <row r="1071" spans="1:1" x14ac:dyDescent="0.2">
      <c r="A1071" s="47"/>
    </row>
    <row r="1072" spans="1:1" x14ac:dyDescent="0.2">
      <c r="A1072" s="47"/>
    </row>
    <row r="1073" spans="1:1" x14ac:dyDescent="0.2">
      <c r="A1073" s="47"/>
    </row>
    <row r="1074" spans="1:1" x14ac:dyDescent="0.2">
      <c r="A1074" s="47"/>
    </row>
    <row r="1075" spans="1:1" x14ac:dyDescent="0.2">
      <c r="A1075" s="47"/>
    </row>
    <row r="1076" spans="1:1" x14ac:dyDescent="0.2">
      <c r="A1076" s="47"/>
    </row>
    <row r="1077" spans="1:1" x14ac:dyDescent="0.2">
      <c r="A1077" s="47"/>
    </row>
    <row r="1078" spans="1:1" x14ac:dyDescent="0.2">
      <c r="A1078" s="47"/>
    </row>
    <row r="1079" spans="1:1" x14ac:dyDescent="0.2">
      <c r="A1079" s="47"/>
    </row>
    <row r="1080" spans="1:1" x14ac:dyDescent="0.2">
      <c r="A1080" s="47"/>
    </row>
    <row r="1081" spans="1:1" x14ac:dyDescent="0.2">
      <c r="A1081" s="47"/>
    </row>
    <row r="1082" spans="1:1" x14ac:dyDescent="0.2">
      <c r="A1082" s="47"/>
    </row>
    <row r="1083" spans="1:1" x14ac:dyDescent="0.2">
      <c r="A1083" s="47"/>
    </row>
    <row r="1084" spans="1:1" x14ac:dyDescent="0.2">
      <c r="A1084" s="47"/>
    </row>
    <row r="1085" spans="1:1" x14ac:dyDescent="0.2">
      <c r="A1085" s="47"/>
    </row>
    <row r="1086" spans="1:1" x14ac:dyDescent="0.2">
      <c r="A1086" s="47"/>
    </row>
    <row r="1087" spans="1:1" x14ac:dyDescent="0.2">
      <c r="A1087" s="47"/>
    </row>
    <row r="1088" spans="1:1" x14ac:dyDescent="0.2">
      <c r="A1088" s="47"/>
    </row>
    <row r="1089" spans="1:1" x14ac:dyDescent="0.2">
      <c r="A1089" s="47"/>
    </row>
    <row r="1090" spans="1:1" x14ac:dyDescent="0.2">
      <c r="A1090" s="47"/>
    </row>
    <row r="1091" spans="1:1" x14ac:dyDescent="0.2">
      <c r="A1091" s="47"/>
    </row>
    <row r="1092" spans="1:1" x14ac:dyDescent="0.2">
      <c r="A1092" s="47"/>
    </row>
    <row r="1093" spans="1:1" x14ac:dyDescent="0.2">
      <c r="A1093" s="47"/>
    </row>
    <row r="1094" spans="1:1" x14ac:dyDescent="0.2">
      <c r="A1094" s="47"/>
    </row>
    <row r="1095" spans="1:1" x14ac:dyDescent="0.2">
      <c r="A1095" s="47"/>
    </row>
    <row r="1096" spans="1:1" x14ac:dyDescent="0.2">
      <c r="A1096" s="47"/>
    </row>
    <row r="1097" spans="1:1" x14ac:dyDescent="0.2">
      <c r="A1097" s="47"/>
    </row>
    <row r="1098" spans="1:1" x14ac:dyDescent="0.2">
      <c r="A1098" s="47"/>
    </row>
    <row r="1099" spans="1:1" x14ac:dyDescent="0.2">
      <c r="A1099" s="47"/>
    </row>
    <row r="1100" spans="1:1" x14ac:dyDescent="0.2">
      <c r="A1100" s="47"/>
    </row>
    <row r="1101" spans="1:1" x14ac:dyDescent="0.2">
      <c r="A1101" s="47"/>
    </row>
    <row r="1102" spans="1:1" x14ac:dyDescent="0.2">
      <c r="A1102" s="47"/>
    </row>
    <row r="1103" spans="1:1" x14ac:dyDescent="0.2">
      <c r="A1103" s="47"/>
    </row>
    <row r="1104" spans="1:1" x14ac:dyDescent="0.2">
      <c r="A1104" s="47"/>
    </row>
    <row r="1105" spans="1:1" x14ac:dyDescent="0.2">
      <c r="A1105" s="47"/>
    </row>
    <row r="1106" spans="1:1" x14ac:dyDescent="0.2">
      <c r="A1106" s="47"/>
    </row>
    <row r="1107" spans="1:1" x14ac:dyDescent="0.2">
      <c r="A1107" s="47"/>
    </row>
    <row r="1108" spans="1:1" x14ac:dyDescent="0.2">
      <c r="A1108" s="47"/>
    </row>
    <row r="1109" spans="1:1" x14ac:dyDescent="0.2">
      <c r="A1109" s="47"/>
    </row>
    <row r="1110" spans="1:1" x14ac:dyDescent="0.2">
      <c r="A1110" s="47"/>
    </row>
    <row r="1111" spans="1:1" x14ac:dyDescent="0.2">
      <c r="A1111" s="47"/>
    </row>
    <row r="1112" spans="1:1" x14ac:dyDescent="0.2">
      <c r="A1112" s="47"/>
    </row>
    <row r="1113" spans="1:1" x14ac:dyDescent="0.2">
      <c r="A1113" s="47"/>
    </row>
    <row r="1114" spans="1:1" x14ac:dyDescent="0.2">
      <c r="A1114" s="47"/>
    </row>
    <row r="1115" spans="1:1" x14ac:dyDescent="0.2">
      <c r="A1115" s="47"/>
    </row>
    <row r="1116" spans="1:1" x14ac:dyDescent="0.2">
      <c r="A1116" s="47"/>
    </row>
    <row r="1117" spans="1:1" x14ac:dyDescent="0.2">
      <c r="A1117" s="47"/>
    </row>
    <row r="1118" spans="1:1" x14ac:dyDescent="0.2">
      <c r="A1118" s="47"/>
    </row>
    <row r="1119" spans="1:1" x14ac:dyDescent="0.2">
      <c r="A1119" s="47"/>
    </row>
    <row r="1120" spans="1:1" x14ac:dyDescent="0.2">
      <c r="A1120" s="47"/>
    </row>
    <row r="1121" spans="1:1" x14ac:dyDescent="0.2">
      <c r="A1121" s="47"/>
    </row>
    <row r="1122" spans="1:1" x14ac:dyDescent="0.2">
      <c r="A1122" s="47"/>
    </row>
    <row r="1123" spans="1:1" x14ac:dyDescent="0.2">
      <c r="A1123" s="47"/>
    </row>
    <row r="1124" spans="1:1" x14ac:dyDescent="0.2">
      <c r="A1124" s="47"/>
    </row>
    <row r="1125" spans="1:1" x14ac:dyDescent="0.2">
      <c r="A1125" s="47"/>
    </row>
    <row r="1126" spans="1:1" x14ac:dyDescent="0.2">
      <c r="A1126" s="47"/>
    </row>
    <row r="1127" spans="1:1" x14ac:dyDescent="0.2">
      <c r="A1127" s="47"/>
    </row>
    <row r="1128" spans="1:1" x14ac:dyDescent="0.2">
      <c r="A1128" s="47"/>
    </row>
    <row r="1129" spans="1:1" x14ac:dyDescent="0.2">
      <c r="A1129" s="47"/>
    </row>
    <row r="1130" spans="1:1" x14ac:dyDescent="0.2">
      <c r="A1130" s="47"/>
    </row>
    <row r="1131" spans="1:1" x14ac:dyDescent="0.2">
      <c r="A1131" s="47"/>
    </row>
    <row r="1132" spans="1:1" x14ac:dyDescent="0.2">
      <c r="A1132" s="47"/>
    </row>
    <row r="1133" spans="1:1" x14ac:dyDescent="0.2">
      <c r="A1133" s="47"/>
    </row>
    <row r="1134" spans="1:1" x14ac:dyDescent="0.2">
      <c r="A1134" s="47"/>
    </row>
    <row r="1135" spans="1:1" x14ac:dyDescent="0.2">
      <c r="A1135" s="47"/>
    </row>
    <row r="1136" spans="1:1" x14ac:dyDescent="0.2">
      <c r="A1136" s="47"/>
    </row>
    <row r="1137" spans="1:1" x14ac:dyDescent="0.2">
      <c r="A1137" s="47"/>
    </row>
    <row r="1138" spans="1:1" x14ac:dyDescent="0.2">
      <c r="A1138" s="47"/>
    </row>
    <row r="1139" spans="1:1" x14ac:dyDescent="0.2">
      <c r="A1139" s="47"/>
    </row>
    <row r="1140" spans="1:1" x14ac:dyDescent="0.2">
      <c r="A1140" s="47"/>
    </row>
    <row r="1141" spans="1:1" x14ac:dyDescent="0.2">
      <c r="A1141" s="47"/>
    </row>
    <row r="1142" spans="1:1" x14ac:dyDescent="0.2">
      <c r="A1142" s="47"/>
    </row>
    <row r="1143" spans="1:1" x14ac:dyDescent="0.2">
      <c r="A1143" s="47"/>
    </row>
    <row r="1144" spans="1:1" x14ac:dyDescent="0.2">
      <c r="A1144" s="47"/>
    </row>
    <row r="1145" spans="1:1" x14ac:dyDescent="0.2">
      <c r="A1145" s="47"/>
    </row>
    <row r="1146" spans="1:1" x14ac:dyDescent="0.2">
      <c r="A1146" s="47"/>
    </row>
    <row r="1147" spans="1:1" x14ac:dyDescent="0.2">
      <c r="A1147" s="47"/>
    </row>
    <row r="1148" spans="1:1" x14ac:dyDescent="0.2">
      <c r="A1148" s="47"/>
    </row>
    <row r="1149" spans="1:1" x14ac:dyDescent="0.2">
      <c r="A1149" s="47"/>
    </row>
    <row r="1150" spans="1:1" x14ac:dyDescent="0.2">
      <c r="A1150" s="47"/>
    </row>
    <row r="1151" spans="1:1" x14ac:dyDescent="0.2">
      <c r="A1151" s="47"/>
    </row>
    <row r="1152" spans="1:1" x14ac:dyDescent="0.2">
      <c r="A1152" s="47"/>
    </row>
    <row r="1153" spans="1:1" x14ac:dyDescent="0.2">
      <c r="A1153" s="47"/>
    </row>
    <row r="1154" spans="1:1" x14ac:dyDescent="0.2">
      <c r="A1154" s="47"/>
    </row>
    <row r="1155" spans="1:1" x14ac:dyDescent="0.2">
      <c r="A1155" s="47"/>
    </row>
    <row r="1156" spans="1:1" x14ac:dyDescent="0.2">
      <c r="A1156" s="47"/>
    </row>
    <row r="1157" spans="1:1" x14ac:dyDescent="0.2">
      <c r="A1157" s="47"/>
    </row>
    <row r="1158" spans="1:1" x14ac:dyDescent="0.2">
      <c r="A1158" s="47"/>
    </row>
    <row r="1159" spans="1:1" x14ac:dyDescent="0.2">
      <c r="A1159" s="47"/>
    </row>
    <row r="1160" spans="1:1" x14ac:dyDescent="0.2">
      <c r="A1160" s="47"/>
    </row>
    <row r="1161" spans="1:1" x14ac:dyDescent="0.2">
      <c r="A1161" s="47"/>
    </row>
    <row r="1162" spans="1:1" x14ac:dyDescent="0.2">
      <c r="A1162" s="47"/>
    </row>
    <row r="1163" spans="1:1" x14ac:dyDescent="0.2">
      <c r="A1163" s="47"/>
    </row>
    <row r="1164" spans="1:1" x14ac:dyDescent="0.2">
      <c r="A1164" s="47"/>
    </row>
    <row r="1165" spans="1:1" x14ac:dyDescent="0.2">
      <c r="A1165" s="47"/>
    </row>
    <row r="1166" spans="1:1" x14ac:dyDescent="0.2">
      <c r="A1166" s="47"/>
    </row>
    <row r="1167" spans="1:1" x14ac:dyDescent="0.2">
      <c r="A1167" s="47"/>
    </row>
    <row r="1168" spans="1:1" x14ac:dyDescent="0.2">
      <c r="A1168" s="47"/>
    </row>
    <row r="1169" spans="1:1" x14ac:dyDescent="0.2">
      <c r="A1169" s="47"/>
    </row>
    <row r="1170" spans="1:1" x14ac:dyDescent="0.2">
      <c r="A1170" s="47"/>
    </row>
    <row r="1171" spans="1:1" x14ac:dyDescent="0.2">
      <c r="A1171" s="47"/>
    </row>
    <row r="1172" spans="1:1" x14ac:dyDescent="0.2">
      <c r="A1172" s="47"/>
    </row>
    <row r="1173" spans="1:1" x14ac:dyDescent="0.2">
      <c r="A1173" s="47"/>
    </row>
    <row r="1174" spans="1:1" x14ac:dyDescent="0.2">
      <c r="A1174" s="47"/>
    </row>
    <row r="1175" spans="1:1" x14ac:dyDescent="0.2">
      <c r="A1175" s="47"/>
    </row>
    <row r="1176" spans="1:1" x14ac:dyDescent="0.2">
      <c r="A1176" s="47"/>
    </row>
    <row r="1177" spans="1:1" x14ac:dyDescent="0.2">
      <c r="A1177" s="47"/>
    </row>
    <row r="1178" spans="1:1" x14ac:dyDescent="0.2">
      <c r="A1178" s="47"/>
    </row>
    <row r="1179" spans="1:1" x14ac:dyDescent="0.2">
      <c r="A1179" s="47"/>
    </row>
    <row r="1180" spans="1:1" x14ac:dyDescent="0.2">
      <c r="A1180" s="47"/>
    </row>
    <row r="1181" spans="1:1" x14ac:dyDescent="0.2">
      <c r="A1181" s="47"/>
    </row>
    <row r="1182" spans="1:1" x14ac:dyDescent="0.2">
      <c r="A1182" s="47"/>
    </row>
    <row r="1183" spans="1:1" x14ac:dyDescent="0.2">
      <c r="A1183" s="47"/>
    </row>
    <row r="1184" spans="1:1" x14ac:dyDescent="0.2">
      <c r="A1184" s="47"/>
    </row>
    <row r="1185" spans="1:1" x14ac:dyDescent="0.2">
      <c r="A1185" s="47"/>
    </row>
    <row r="1186" spans="1:1" x14ac:dyDescent="0.2">
      <c r="A1186" s="47"/>
    </row>
    <row r="1187" spans="1:1" x14ac:dyDescent="0.2">
      <c r="A1187" s="47"/>
    </row>
    <row r="1188" spans="1:1" x14ac:dyDescent="0.2">
      <c r="A1188" s="47"/>
    </row>
    <row r="1189" spans="1:1" x14ac:dyDescent="0.2">
      <c r="A1189" s="47"/>
    </row>
    <row r="1190" spans="1:1" x14ac:dyDescent="0.2">
      <c r="A1190" s="47"/>
    </row>
    <row r="1191" spans="1:1" x14ac:dyDescent="0.2">
      <c r="A1191" s="47"/>
    </row>
    <row r="1192" spans="1:1" x14ac:dyDescent="0.2">
      <c r="A1192" s="47"/>
    </row>
    <row r="1193" spans="1:1" x14ac:dyDescent="0.2">
      <c r="A1193" s="47"/>
    </row>
    <row r="1194" spans="1:1" x14ac:dyDescent="0.2">
      <c r="A1194" s="47"/>
    </row>
    <row r="1195" spans="1:1" x14ac:dyDescent="0.2">
      <c r="A1195" s="47"/>
    </row>
    <row r="1196" spans="1:1" x14ac:dyDescent="0.2">
      <c r="A1196" s="47"/>
    </row>
    <row r="1197" spans="1:1" x14ac:dyDescent="0.2">
      <c r="A1197" s="47"/>
    </row>
    <row r="1198" spans="1:1" x14ac:dyDescent="0.2">
      <c r="A1198" s="47"/>
    </row>
    <row r="1199" spans="1:1" x14ac:dyDescent="0.2">
      <c r="A1199" s="47"/>
    </row>
    <row r="1200" spans="1:1" x14ac:dyDescent="0.2">
      <c r="A1200" s="47"/>
    </row>
    <row r="1201" spans="1:1" x14ac:dyDescent="0.2">
      <c r="A1201" s="47"/>
    </row>
    <row r="1202" spans="1:1" x14ac:dyDescent="0.2">
      <c r="A1202" s="47"/>
    </row>
    <row r="1203" spans="1:1" x14ac:dyDescent="0.2">
      <c r="A1203" s="47"/>
    </row>
    <row r="1204" spans="1:1" x14ac:dyDescent="0.2">
      <c r="A1204" s="47"/>
    </row>
    <row r="1205" spans="1:1" x14ac:dyDescent="0.2">
      <c r="A1205" s="47"/>
    </row>
    <row r="1206" spans="1:1" x14ac:dyDescent="0.2">
      <c r="A1206" s="47"/>
    </row>
    <row r="1207" spans="1:1" x14ac:dyDescent="0.2">
      <c r="A1207" s="47"/>
    </row>
    <row r="1208" spans="1:1" x14ac:dyDescent="0.2">
      <c r="A1208" s="47"/>
    </row>
    <row r="1209" spans="1:1" x14ac:dyDescent="0.2">
      <c r="A1209" s="47"/>
    </row>
    <row r="1210" spans="1:1" x14ac:dyDescent="0.2">
      <c r="A1210" s="47"/>
    </row>
    <row r="1211" spans="1:1" x14ac:dyDescent="0.2">
      <c r="A1211" s="47"/>
    </row>
    <row r="1212" spans="1:1" x14ac:dyDescent="0.2">
      <c r="A1212" s="47"/>
    </row>
    <row r="1213" spans="1:1" x14ac:dyDescent="0.2">
      <c r="A1213" s="47"/>
    </row>
    <row r="1214" spans="1:1" x14ac:dyDescent="0.2">
      <c r="A1214" s="47"/>
    </row>
    <row r="1215" spans="1:1" x14ac:dyDescent="0.2">
      <c r="A1215" s="47"/>
    </row>
    <row r="1216" spans="1:1" x14ac:dyDescent="0.2">
      <c r="A1216" s="47"/>
    </row>
    <row r="1217" spans="1:1" x14ac:dyDescent="0.2">
      <c r="A1217" s="47"/>
    </row>
    <row r="1218" spans="1:1" x14ac:dyDescent="0.2">
      <c r="A1218" s="47"/>
    </row>
    <row r="1219" spans="1:1" x14ac:dyDescent="0.2">
      <c r="A1219" s="47"/>
    </row>
    <row r="1220" spans="1:1" x14ac:dyDescent="0.2">
      <c r="A1220" s="47"/>
    </row>
    <row r="1221" spans="1:1" x14ac:dyDescent="0.2">
      <c r="A1221" s="47"/>
    </row>
    <row r="1222" spans="1:1" x14ac:dyDescent="0.2">
      <c r="A1222" s="47"/>
    </row>
    <row r="1223" spans="1:1" x14ac:dyDescent="0.2">
      <c r="A1223" s="47"/>
    </row>
    <row r="1224" spans="1:1" x14ac:dyDescent="0.2">
      <c r="A1224" s="47"/>
    </row>
    <row r="1225" spans="1:1" x14ac:dyDescent="0.2">
      <c r="A1225" s="47"/>
    </row>
    <row r="1226" spans="1:1" x14ac:dyDescent="0.2">
      <c r="A1226" s="47"/>
    </row>
    <row r="1227" spans="1:1" x14ac:dyDescent="0.2">
      <c r="A1227" s="47"/>
    </row>
    <row r="1228" spans="1:1" x14ac:dyDescent="0.2">
      <c r="A1228" s="47"/>
    </row>
    <row r="1229" spans="1:1" x14ac:dyDescent="0.2">
      <c r="A1229" s="47"/>
    </row>
    <row r="1230" spans="1:1" x14ac:dyDescent="0.2">
      <c r="A1230" s="47"/>
    </row>
    <row r="1231" spans="1:1" x14ac:dyDescent="0.2">
      <c r="A1231" s="47"/>
    </row>
    <row r="1232" spans="1:1" x14ac:dyDescent="0.2">
      <c r="A1232" s="47"/>
    </row>
    <row r="1233" spans="1:1" x14ac:dyDescent="0.2">
      <c r="A1233" s="47"/>
    </row>
    <row r="1234" spans="1:1" x14ac:dyDescent="0.2">
      <c r="A1234" s="47"/>
    </row>
    <row r="1235" spans="1:1" x14ac:dyDescent="0.2">
      <c r="A1235" s="47"/>
    </row>
    <row r="1236" spans="1:1" x14ac:dyDescent="0.2">
      <c r="A1236" s="47"/>
    </row>
    <row r="1237" spans="1:1" x14ac:dyDescent="0.2">
      <c r="A1237" s="47"/>
    </row>
    <row r="1238" spans="1:1" x14ac:dyDescent="0.2">
      <c r="A1238" s="47"/>
    </row>
    <row r="1239" spans="1:1" x14ac:dyDescent="0.2">
      <c r="A1239" s="47"/>
    </row>
    <row r="1240" spans="1:1" x14ac:dyDescent="0.2">
      <c r="A1240" s="47"/>
    </row>
    <row r="1241" spans="1:1" x14ac:dyDescent="0.2">
      <c r="A1241" s="47"/>
    </row>
    <row r="1242" spans="1:1" x14ac:dyDescent="0.2">
      <c r="A1242" s="47"/>
    </row>
    <row r="1243" spans="1:1" x14ac:dyDescent="0.2">
      <c r="A1243" s="47"/>
    </row>
    <row r="1244" spans="1:1" x14ac:dyDescent="0.2">
      <c r="A1244" s="47"/>
    </row>
    <row r="1245" spans="1:1" x14ac:dyDescent="0.2">
      <c r="A1245" s="47"/>
    </row>
    <row r="1246" spans="1:1" x14ac:dyDescent="0.2">
      <c r="A1246" s="47"/>
    </row>
    <row r="1247" spans="1:1" x14ac:dyDescent="0.2">
      <c r="A1247" s="47"/>
    </row>
    <row r="1248" spans="1:1" x14ac:dyDescent="0.2">
      <c r="A1248" s="47"/>
    </row>
    <row r="1249" spans="1:1" x14ac:dyDescent="0.2">
      <c r="A1249" s="47"/>
    </row>
    <row r="1250" spans="1:1" x14ac:dyDescent="0.2">
      <c r="A1250" s="47"/>
    </row>
    <row r="1251" spans="1:1" x14ac:dyDescent="0.2">
      <c r="A1251" s="47"/>
    </row>
    <row r="1252" spans="1:1" x14ac:dyDescent="0.2">
      <c r="A1252" s="47"/>
    </row>
    <row r="1253" spans="1:1" x14ac:dyDescent="0.2">
      <c r="A1253" s="47"/>
    </row>
    <row r="1254" spans="1:1" x14ac:dyDescent="0.2">
      <c r="A1254" s="47"/>
    </row>
    <row r="1255" spans="1:1" x14ac:dyDescent="0.2">
      <c r="A1255" s="47"/>
    </row>
    <row r="1256" spans="1:1" x14ac:dyDescent="0.2">
      <c r="A1256" s="47"/>
    </row>
    <row r="1257" spans="1:1" x14ac:dyDescent="0.2">
      <c r="A1257" s="47"/>
    </row>
    <row r="1258" spans="1:1" x14ac:dyDescent="0.2">
      <c r="A1258" s="47"/>
    </row>
    <row r="1259" spans="1:1" x14ac:dyDescent="0.2">
      <c r="A1259" s="47"/>
    </row>
    <row r="1260" spans="1:1" x14ac:dyDescent="0.2">
      <c r="A1260" s="47"/>
    </row>
    <row r="1261" spans="1:1" x14ac:dyDescent="0.2">
      <c r="A1261" s="47"/>
    </row>
    <row r="1262" spans="1:1" x14ac:dyDescent="0.2">
      <c r="A1262" s="47"/>
    </row>
    <row r="1263" spans="1:1" x14ac:dyDescent="0.2">
      <c r="A1263" s="47"/>
    </row>
    <row r="1264" spans="1:1" x14ac:dyDescent="0.2">
      <c r="A1264" s="47"/>
    </row>
    <row r="1265" spans="1:1" x14ac:dyDescent="0.2">
      <c r="A1265" s="47"/>
    </row>
    <row r="1266" spans="1:1" x14ac:dyDescent="0.2">
      <c r="A1266" s="47"/>
    </row>
    <row r="1267" spans="1:1" x14ac:dyDescent="0.2">
      <c r="A1267" s="47"/>
    </row>
    <row r="1268" spans="1:1" x14ac:dyDescent="0.2">
      <c r="A1268" s="47"/>
    </row>
    <row r="1269" spans="1:1" x14ac:dyDescent="0.2">
      <c r="A1269" s="47"/>
    </row>
    <row r="1270" spans="1:1" x14ac:dyDescent="0.2">
      <c r="A1270" s="47"/>
    </row>
    <row r="1271" spans="1:1" x14ac:dyDescent="0.2">
      <c r="A1271" s="47"/>
    </row>
    <row r="1272" spans="1:1" x14ac:dyDescent="0.2">
      <c r="A1272" s="47"/>
    </row>
    <row r="1273" spans="1:1" x14ac:dyDescent="0.2">
      <c r="A1273" s="47"/>
    </row>
    <row r="1274" spans="1:1" x14ac:dyDescent="0.2">
      <c r="A1274" s="47"/>
    </row>
    <row r="1275" spans="1:1" x14ac:dyDescent="0.2">
      <c r="A1275" s="47"/>
    </row>
    <row r="1276" spans="1:1" x14ac:dyDescent="0.2">
      <c r="A1276" s="47"/>
    </row>
    <row r="1277" spans="1:1" x14ac:dyDescent="0.2">
      <c r="A1277" s="47"/>
    </row>
    <row r="1278" spans="1:1" x14ac:dyDescent="0.2">
      <c r="A1278" s="47"/>
    </row>
    <row r="1279" spans="1:1" x14ac:dyDescent="0.2">
      <c r="A1279" s="47"/>
    </row>
    <row r="1280" spans="1:1" x14ac:dyDescent="0.2">
      <c r="A1280" s="47"/>
    </row>
    <row r="1281" spans="1:1" x14ac:dyDescent="0.2">
      <c r="A1281" s="47"/>
    </row>
    <row r="1282" spans="1:1" x14ac:dyDescent="0.2">
      <c r="A1282" s="47"/>
    </row>
    <row r="1283" spans="1:1" x14ac:dyDescent="0.2">
      <c r="A1283" s="47"/>
    </row>
    <row r="1284" spans="1:1" x14ac:dyDescent="0.2">
      <c r="A1284" s="47"/>
    </row>
    <row r="1285" spans="1:1" x14ac:dyDescent="0.2">
      <c r="A1285" s="47"/>
    </row>
    <row r="1286" spans="1:1" x14ac:dyDescent="0.2">
      <c r="A1286" s="47"/>
    </row>
    <row r="1287" spans="1:1" x14ac:dyDescent="0.2">
      <c r="A1287" s="47"/>
    </row>
    <row r="1288" spans="1:1" x14ac:dyDescent="0.2">
      <c r="A1288" s="47"/>
    </row>
    <row r="1289" spans="1:1" x14ac:dyDescent="0.2">
      <c r="A1289" s="47"/>
    </row>
    <row r="1290" spans="1:1" x14ac:dyDescent="0.2">
      <c r="A1290" s="47"/>
    </row>
    <row r="1291" spans="1:1" x14ac:dyDescent="0.2">
      <c r="A1291" s="47"/>
    </row>
    <row r="1292" spans="1:1" x14ac:dyDescent="0.2">
      <c r="A1292" s="47"/>
    </row>
    <row r="1293" spans="1:1" x14ac:dyDescent="0.2">
      <c r="A1293" s="47"/>
    </row>
    <row r="1294" spans="1:1" x14ac:dyDescent="0.2">
      <c r="A1294" s="47"/>
    </row>
    <row r="1295" spans="1:1" x14ac:dyDescent="0.2">
      <c r="A1295" s="47"/>
    </row>
    <row r="1296" spans="1:1" x14ac:dyDescent="0.2">
      <c r="A1296" s="47"/>
    </row>
    <row r="1297" spans="1:1" x14ac:dyDescent="0.2">
      <c r="A1297" s="47"/>
    </row>
    <row r="1298" spans="1:1" x14ac:dyDescent="0.2">
      <c r="A1298" s="47"/>
    </row>
    <row r="1299" spans="1:1" x14ac:dyDescent="0.2">
      <c r="A1299" s="47"/>
    </row>
    <row r="1300" spans="1:1" x14ac:dyDescent="0.2">
      <c r="A1300" s="47"/>
    </row>
    <row r="1301" spans="1:1" x14ac:dyDescent="0.2">
      <c r="A1301" s="47"/>
    </row>
    <row r="1302" spans="1:1" x14ac:dyDescent="0.2">
      <c r="A1302" s="47"/>
    </row>
    <row r="1303" spans="1:1" x14ac:dyDescent="0.2">
      <c r="A1303" s="47"/>
    </row>
    <row r="1304" spans="1:1" x14ac:dyDescent="0.2">
      <c r="A1304" s="47"/>
    </row>
    <row r="1305" spans="1:1" x14ac:dyDescent="0.2">
      <c r="A1305" s="47"/>
    </row>
    <row r="1306" spans="1:1" x14ac:dyDescent="0.2">
      <c r="A1306" s="47"/>
    </row>
    <row r="1307" spans="1:1" x14ac:dyDescent="0.2">
      <c r="A1307" s="47"/>
    </row>
    <row r="1308" spans="1:1" x14ac:dyDescent="0.2">
      <c r="A1308" s="47"/>
    </row>
    <row r="1309" spans="1:1" x14ac:dyDescent="0.2">
      <c r="A1309" s="47"/>
    </row>
    <row r="1310" spans="1:1" x14ac:dyDescent="0.2">
      <c r="A1310" s="47"/>
    </row>
    <row r="1311" spans="1:1" x14ac:dyDescent="0.2">
      <c r="A1311" s="47"/>
    </row>
    <row r="1312" spans="1:1" x14ac:dyDescent="0.2">
      <c r="A1312" s="47"/>
    </row>
    <row r="1313" spans="1:1" x14ac:dyDescent="0.2">
      <c r="A1313" s="47"/>
    </row>
    <row r="1314" spans="1:1" x14ac:dyDescent="0.2">
      <c r="A1314" s="47"/>
    </row>
    <row r="1315" spans="1:1" x14ac:dyDescent="0.2">
      <c r="A1315" s="47"/>
    </row>
    <row r="1316" spans="1:1" x14ac:dyDescent="0.2">
      <c r="A1316" s="47"/>
    </row>
    <row r="1317" spans="1:1" x14ac:dyDescent="0.2">
      <c r="A1317" s="47"/>
    </row>
    <row r="1318" spans="1:1" x14ac:dyDescent="0.2">
      <c r="A1318" s="47"/>
    </row>
    <row r="1319" spans="1:1" x14ac:dyDescent="0.2">
      <c r="A1319" s="47"/>
    </row>
    <row r="1320" spans="1:1" x14ac:dyDescent="0.2">
      <c r="A1320" s="47"/>
    </row>
    <row r="1321" spans="1:1" x14ac:dyDescent="0.2">
      <c r="A1321" s="47"/>
    </row>
    <row r="1322" spans="1:1" x14ac:dyDescent="0.2">
      <c r="A1322" s="47"/>
    </row>
    <row r="1323" spans="1:1" x14ac:dyDescent="0.2">
      <c r="A1323" s="47"/>
    </row>
    <row r="1324" spans="1:1" x14ac:dyDescent="0.2">
      <c r="A1324" s="47"/>
    </row>
    <row r="1325" spans="1:1" x14ac:dyDescent="0.2">
      <c r="A1325" s="47"/>
    </row>
    <row r="1326" spans="1:1" x14ac:dyDescent="0.2">
      <c r="A1326" s="47"/>
    </row>
    <row r="1327" spans="1:1" x14ac:dyDescent="0.2">
      <c r="A1327" s="47"/>
    </row>
    <row r="1328" spans="1:1" x14ac:dyDescent="0.2">
      <c r="A1328" s="47"/>
    </row>
    <row r="1329" spans="1:1" x14ac:dyDescent="0.2">
      <c r="A1329" s="47"/>
    </row>
    <row r="1330" spans="1:1" x14ac:dyDescent="0.2">
      <c r="A1330" s="47"/>
    </row>
    <row r="1331" spans="1:1" x14ac:dyDescent="0.2">
      <c r="A1331" s="47"/>
    </row>
    <row r="1332" spans="1:1" x14ac:dyDescent="0.2">
      <c r="A1332" s="47"/>
    </row>
    <row r="1333" spans="1:1" x14ac:dyDescent="0.2">
      <c r="A1333" s="47"/>
    </row>
    <row r="1334" spans="1:1" x14ac:dyDescent="0.2">
      <c r="A1334" s="47"/>
    </row>
    <row r="1335" spans="1:1" x14ac:dyDescent="0.2">
      <c r="A1335" s="47"/>
    </row>
    <row r="1336" spans="1:1" x14ac:dyDescent="0.2">
      <c r="A1336" s="47"/>
    </row>
    <row r="1337" spans="1:1" x14ac:dyDescent="0.2">
      <c r="A1337" s="47"/>
    </row>
    <row r="1338" spans="1:1" x14ac:dyDescent="0.2">
      <c r="A1338" s="47"/>
    </row>
    <row r="1339" spans="1:1" x14ac:dyDescent="0.2">
      <c r="A1339" s="47"/>
    </row>
    <row r="1340" spans="1:1" x14ac:dyDescent="0.2">
      <c r="A1340" s="47"/>
    </row>
    <row r="1341" spans="1:1" x14ac:dyDescent="0.2">
      <c r="A1341" s="47"/>
    </row>
    <row r="1342" spans="1:1" x14ac:dyDescent="0.2">
      <c r="A1342" s="47"/>
    </row>
    <row r="1343" spans="1:1" x14ac:dyDescent="0.2">
      <c r="A1343" s="47"/>
    </row>
    <row r="1344" spans="1:1" x14ac:dyDescent="0.2">
      <c r="A1344" s="47"/>
    </row>
    <row r="1345" spans="1:1" x14ac:dyDescent="0.2">
      <c r="A1345" s="47"/>
    </row>
    <row r="1346" spans="1:1" x14ac:dyDescent="0.2">
      <c r="A1346" s="47"/>
    </row>
    <row r="1347" spans="1:1" x14ac:dyDescent="0.2">
      <c r="A1347" s="47"/>
    </row>
    <row r="1348" spans="1:1" x14ac:dyDescent="0.2">
      <c r="A1348" s="47"/>
    </row>
    <row r="1349" spans="1:1" x14ac:dyDescent="0.2">
      <c r="A1349" s="47"/>
    </row>
    <row r="1350" spans="1:1" x14ac:dyDescent="0.2">
      <c r="A1350" s="47"/>
    </row>
    <row r="1351" spans="1:1" x14ac:dyDescent="0.2">
      <c r="A1351" s="47"/>
    </row>
    <row r="1352" spans="1:1" x14ac:dyDescent="0.2">
      <c r="A1352" s="47"/>
    </row>
    <row r="1353" spans="1:1" x14ac:dyDescent="0.2">
      <c r="A1353" s="47"/>
    </row>
    <row r="1354" spans="1:1" x14ac:dyDescent="0.2">
      <c r="A1354" s="47"/>
    </row>
    <row r="1355" spans="1:1" x14ac:dyDescent="0.2">
      <c r="A1355" s="47"/>
    </row>
    <row r="1356" spans="1:1" x14ac:dyDescent="0.2">
      <c r="A1356" s="47"/>
    </row>
    <row r="1357" spans="1:1" x14ac:dyDescent="0.2">
      <c r="A1357" s="47"/>
    </row>
    <row r="1358" spans="1:1" x14ac:dyDescent="0.2">
      <c r="A1358" s="47"/>
    </row>
    <row r="1359" spans="1:1" x14ac:dyDescent="0.2">
      <c r="A1359" s="47"/>
    </row>
    <row r="1360" spans="1:1" x14ac:dyDescent="0.2">
      <c r="A1360" s="47"/>
    </row>
    <row r="1361" spans="1:1" x14ac:dyDescent="0.2">
      <c r="A1361" s="47"/>
    </row>
    <row r="1362" spans="1:1" x14ac:dyDescent="0.2">
      <c r="A1362" s="47"/>
    </row>
    <row r="1363" spans="1:1" x14ac:dyDescent="0.2">
      <c r="A1363" s="47"/>
    </row>
    <row r="1364" spans="1:1" x14ac:dyDescent="0.2">
      <c r="A1364" s="47"/>
    </row>
    <row r="1365" spans="1:1" x14ac:dyDescent="0.2">
      <c r="A1365" s="47"/>
    </row>
    <row r="1366" spans="1:1" x14ac:dyDescent="0.2">
      <c r="A1366" s="47"/>
    </row>
    <row r="1367" spans="1:1" x14ac:dyDescent="0.2">
      <c r="A1367" s="47"/>
    </row>
    <row r="1368" spans="1:1" x14ac:dyDescent="0.2">
      <c r="A1368" s="47"/>
    </row>
    <row r="1369" spans="1:1" x14ac:dyDescent="0.2">
      <c r="A1369" s="47"/>
    </row>
    <row r="1370" spans="1:1" x14ac:dyDescent="0.2">
      <c r="A1370" s="47"/>
    </row>
    <row r="1371" spans="1:1" x14ac:dyDescent="0.2">
      <c r="A1371" s="47"/>
    </row>
    <row r="1372" spans="1:1" x14ac:dyDescent="0.2">
      <c r="A1372" s="47"/>
    </row>
    <row r="1373" spans="1:1" x14ac:dyDescent="0.2">
      <c r="A1373" s="47"/>
    </row>
    <row r="1374" spans="1:1" x14ac:dyDescent="0.2">
      <c r="A1374" s="47"/>
    </row>
    <row r="1375" spans="1:1" x14ac:dyDescent="0.2">
      <c r="A1375" s="47"/>
    </row>
    <row r="1376" spans="1:1" x14ac:dyDescent="0.2">
      <c r="A1376" s="47"/>
    </row>
    <row r="1377" spans="1:1" x14ac:dyDescent="0.2">
      <c r="A1377" s="47"/>
    </row>
    <row r="1378" spans="1:1" x14ac:dyDescent="0.2">
      <c r="A1378" s="47"/>
    </row>
    <row r="1379" spans="1:1" x14ac:dyDescent="0.2">
      <c r="A1379" s="47"/>
    </row>
    <row r="1380" spans="1:1" x14ac:dyDescent="0.2">
      <c r="A1380" s="47"/>
    </row>
    <row r="1381" spans="1:1" x14ac:dyDescent="0.2">
      <c r="A1381" s="47"/>
    </row>
    <row r="1382" spans="1:1" x14ac:dyDescent="0.2">
      <c r="A1382" s="47"/>
    </row>
    <row r="1383" spans="1:1" x14ac:dyDescent="0.2">
      <c r="A1383" s="47"/>
    </row>
    <row r="1384" spans="1:1" x14ac:dyDescent="0.2">
      <c r="A1384" s="47"/>
    </row>
    <row r="1385" spans="1:1" x14ac:dyDescent="0.2">
      <c r="A1385" s="47"/>
    </row>
    <row r="1386" spans="1:1" x14ac:dyDescent="0.2">
      <c r="A1386" s="47"/>
    </row>
    <row r="1387" spans="1:1" x14ac:dyDescent="0.2">
      <c r="A1387" s="47"/>
    </row>
    <row r="1388" spans="1:1" x14ac:dyDescent="0.2">
      <c r="A1388" s="47"/>
    </row>
    <row r="1389" spans="1:1" x14ac:dyDescent="0.2">
      <c r="A1389" s="47"/>
    </row>
    <row r="1390" spans="1:1" x14ac:dyDescent="0.2">
      <c r="A1390" s="47"/>
    </row>
    <row r="1391" spans="1:1" x14ac:dyDescent="0.2">
      <c r="A1391" s="47"/>
    </row>
    <row r="1392" spans="1:1" x14ac:dyDescent="0.2">
      <c r="A1392" s="47"/>
    </row>
    <row r="1393" spans="1:1" x14ac:dyDescent="0.2">
      <c r="A1393" s="47"/>
    </row>
    <row r="1394" spans="1:1" x14ac:dyDescent="0.2">
      <c r="A1394" s="47"/>
    </row>
    <row r="1395" spans="1:1" x14ac:dyDescent="0.2">
      <c r="A1395" s="47"/>
    </row>
    <row r="1396" spans="1:1" x14ac:dyDescent="0.2">
      <c r="A1396" s="47"/>
    </row>
    <row r="1397" spans="1:1" x14ac:dyDescent="0.2">
      <c r="A1397" s="47"/>
    </row>
    <row r="1398" spans="1:1" x14ac:dyDescent="0.2">
      <c r="A1398" s="47"/>
    </row>
    <row r="1399" spans="1:1" x14ac:dyDescent="0.2">
      <c r="A1399" s="47"/>
    </row>
    <row r="1400" spans="1:1" x14ac:dyDescent="0.2">
      <c r="A1400" s="47"/>
    </row>
    <row r="1401" spans="1:1" x14ac:dyDescent="0.2">
      <c r="A1401" s="47"/>
    </row>
    <row r="1402" spans="1:1" x14ac:dyDescent="0.2">
      <c r="A1402" s="47"/>
    </row>
    <row r="1403" spans="1:1" x14ac:dyDescent="0.2">
      <c r="A1403" s="47"/>
    </row>
    <row r="1404" spans="1:1" x14ac:dyDescent="0.2">
      <c r="A1404" s="47"/>
    </row>
    <row r="1405" spans="1:1" x14ac:dyDescent="0.2">
      <c r="A1405" s="47"/>
    </row>
    <row r="1406" spans="1:1" x14ac:dyDescent="0.2">
      <c r="A1406" s="47"/>
    </row>
    <row r="1407" spans="1:1" x14ac:dyDescent="0.2">
      <c r="A1407" s="47"/>
    </row>
    <row r="1408" spans="1:1" x14ac:dyDescent="0.2">
      <c r="A1408" s="47"/>
    </row>
    <row r="1409" spans="1:1" x14ac:dyDescent="0.2">
      <c r="A1409" s="47"/>
    </row>
    <row r="1410" spans="1:1" x14ac:dyDescent="0.2">
      <c r="A1410" s="47"/>
    </row>
    <row r="1411" spans="1:1" x14ac:dyDescent="0.2">
      <c r="A1411" s="47"/>
    </row>
    <row r="1412" spans="1:1" x14ac:dyDescent="0.2">
      <c r="A1412" s="47"/>
    </row>
    <row r="1413" spans="1:1" x14ac:dyDescent="0.2">
      <c r="A1413" s="47"/>
    </row>
    <row r="1414" spans="1:1" x14ac:dyDescent="0.2">
      <c r="A1414" s="47"/>
    </row>
    <row r="1415" spans="1:1" x14ac:dyDescent="0.2">
      <c r="A1415" s="47"/>
    </row>
    <row r="1416" spans="1:1" x14ac:dyDescent="0.2">
      <c r="A1416" s="47"/>
    </row>
    <row r="1417" spans="1:1" x14ac:dyDescent="0.2">
      <c r="A1417" s="47"/>
    </row>
    <row r="1418" spans="1:1" x14ac:dyDescent="0.2">
      <c r="A1418" s="47"/>
    </row>
    <row r="1419" spans="1:1" x14ac:dyDescent="0.2">
      <c r="A1419" s="47"/>
    </row>
    <row r="1420" spans="1:1" x14ac:dyDescent="0.2">
      <c r="A1420" s="47"/>
    </row>
    <row r="1421" spans="1:1" x14ac:dyDescent="0.2">
      <c r="A1421" s="47"/>
    </row>
    <row r="1422" spans="1:1" x14ac:dyDescent="0.2">
      <c r="A1422" s="47"/>
    </row>
    <row r="1423" spans="1:1" x14ac:dyDescent="0.2">
      <c r="A1423" s="47"/>
    </row>
    <row r="1424" spans="1:1" x14ac:dyDescent="0.2">
      <c r="A1424" s="47"/>
    </row>
    <row r="1425" spans="1:1" x14ac:dyDescent="0.2">
      <c r="A1425" s="47"/>
    </row>
    <row r="1426" spans="1:1" x14ac:dyDescent="0.2">
      <c r="A1426" s="47"/>
    </row>
    <row r="1427" spans="1:1" x14ac:dyDescent="0.2">
      <c r="A1427" s="47"/>
    </row>
    <row r="1428" spans="1:1" x14ac:dyDescent="0.2">
      <c r="A1428" s="47"/>
    </row>
    <row r="1429" spans="1:1" x14ac:dyDescent="0.2">
      <c r="A1429" s="47"/>
    </row>
    <row r="1430" spans="1:1" x14ac:dyDescent="0.2">
      <c r="A1430" s="47"/>
    </row>
    <row r="1431" spans="1:1" x14ac:dyDescent="0.2">
      <c r="A1431" s="47"/>
    </row>
    <row r="1432" spans="1:1" x14ac:dyDescent="0.2">
      <c r="A1432" s="47"/>
    </row>
    <row r="1433" spans="1:1" x14ac:dyDescent="0.2">
      <c r="A1433" s="47"/>
    </row>
    <row r="1434" spans="1:1" x14ac:dyDescent="0.2">
      <c r="A1434" s="47"/>
    </row>
    <row r="1435" spans="1:1" x14ac:dyDescent="0.2">
      <c r="A1435" s="47"/>
    </row>
    <row r="1436" spans="1:1" x14ac:dyDescent="0.2">
      <c r="A1436" s="47"/>
    </row>
    <row r="1437" spans="1:1" x14ac:dyDescent="0.2">
      <c r="A1437" s="47"/>
    </row>
    <row r="1438" spans="1:1" x14ac:dyDescent="0.2">
      <c r="A1438" s="47"/>
    </row>
    <row r="1439" spans="1:1" x14ac:dyDescent="0.2">
      <c r="A1439" s="47"/>
    </row>
    <row r="1440" spans="1:1" x14ac:dyDescent="0.2">
      <c r="A1440" s="47"/>
    </row>
    <row r="1441" spans="1:1" x14ac:dyDescent="0.2">
      <c r="A1441" s="47"/>
    </row>
    <row r="1442" spans="1:1" x14ac:dyDescent="0.2">
      <c r="A1442" s="47"/>
    </row>
    <row r="1443" spans="1:1" x14ac:dyDescent="0.2">
      <c r="A1443" s="47"/>
    </row>
    <row r="1444" spans="1:1" x14ac:dyDescent="0.2">
      <c r="A1444" s="47"/>
    </row>
    <row r="1445" spans="1:1" x14ac:dyDescent="0.2">
      <c r="A1445" s="47"/>
    </row>
    <row r="1446" spans="1:1" x14ac:dyDescent="0.2">
      <c r="A1446" s="47"/>
    </row>
    <row r="1447" spans="1:1" x14ac:dyDescent="0.2">
      <c r="A1447" s="47"/>
    </row>
    <row r="1448" spans="1:1" x14ac:dyDescent="0.2">
      <c r="A1448" s="47"/>
    </row>
    <row r="1449" spans="1:1" x14ac:dyDescent="0.2">
      <c r="A1449" s="47"/>
    </row>
    <row r="1450" spans="1:1" x14ac:dyDescent="0.2">
      <c r="A1450" s="47"/>
    </row>
    <row r="1451" spans="1:1" x14ac:dyDescent="0.2">
      <c r="A1451" s="47"/>
    </row>
    <row r="1452" spans="1:1" x14ac:dyDescent="0.2">
      <c r="A1452" s="47"/>
    </row>
    <row r="1453" spans="1:1" x14ac:dyDescent="0.2">
      <c r="A1453" s="47"/>
    </row>
    <row r="1454" spans="1:1" x14ac:dyDescent="0.2">
      <c r="A1454" s="47"/>
    </row>
    <row r="1455" spans="1:1" x14ac:dyDescent="0.2">
      <c r="A1455" s="47"/>
    </row>
    <row r="1456" spans="1:1" x14ac:dyDescent="0.2">
      <c r="A1456" s="47"/>
    </row>
    <row r="1457" spans="1:1" x14ac:dyDescent="0.2">
      <c r="A1457" s="47"/>
    </row>
    <row r="1458" spans="1:1" x14ac:dyDescent="0.2">
      <c r="A1458" s="47"/>
    </row>
    <row r="1459" spans="1:1" x14ac:dyDescent="0.2">
      <c r="A1459" s="47"/>
    </row>
    <row r="1460" spans="1:1" x14ac:dyDescent="0.2">
      <c r="A1460" s="47"/>
    </row>
    <row r="1461" spans="1:1" x14ac:dyDescent="0.2">
      <c r="A1461" s="47"/>
    </row>
    <row r="1462" spans="1:1" x14ac:dyDescent="0.2">
      <c r="A1462" s="47"/>
    </row>
    <row r="1463" spans="1:1" x14ac:dyDescent="0.2">
      <c r="A1463" s="47"/>
    </row>
    <row r="1464" spans="1:1" x14ac:dyDescent="0.2">
      <c r="A1464" s="47"/>
    </row>
    <row r="1465" spans="1:1" x14ac:dyDescent="0.2">
      <c r="A1465" s="47"/>
    </row>
    <row r="1466" spans="1:1" x14ac:dyDescent="0.2">
      <c r="A1466" s="47"/>
    </row>
    <row r="1467" spans="1:1" x14ac:dyDescent="0.2">
      <c r="A1467" s="47"/>
    </row>
    <row r="1468" spans="1:1" x14ac:dyDescent="0.2">
      <c r="A1468" s="47"/>
    </row>
    <row r="1469" spans="1:1" x14ac:dyDescent="0.2">
      <c r="A1469" s="47"/>
    </row>
    <row r="1470" spans="1:1" x14ac:dyDescent="0.2">
      <c r="A1470" s="47"/>
    </row>
    <row r="1471" spans="1:1" x14ac:dyDescent="0.2">
      <c r="A1471" s="47"/>
    </row>
    <row r="1472" spans="1:1" x14ac:dyDescent="0.2">
      <c r="A1472" s="47"/>
    </row>
    <row r="1473" spans="1:1" x14ac:dyDescent="0.2">
      <c r="A1473" s="47"/>
    </row>
    <row r="1474" spans="1:1" x14ac:dyDescent="0.2">
      <c r="A1474" s="47"/>
    </row>
    <row r="1475" spans="1:1" x14ac:dyDescent="0.2">
      <c r="A1475" s="47"/>
    </row>
    <row r="1476" spans="1:1" x14ac:dyDescent="0.2">
      <c r="A1476" s="47"/>
    </row>
    <row r="1477" spans="1:1" x14ac:dyDescent="0.2">
      <c r="A1477" s="47"/>
    </row>
    <row r="1478" spans="1:1" x14ac:dyDescent="0.2">
      <c r="A1478" s="47"/>
    </row>
    <row r="1479" spans="1:1" x14ac:dyDescent="0.2">
      <c r="A1479" s="47"/>
    </row>
    <row r="1480" spans="1:1" x14ac:dyDescent="0.2">
      <c r="A1480" s="47"/>
    </row>
    <row r="1481" spans="1:1" x14ac:dyDescent="0.2">
      <c r="A1481" s="47"/>
    </row>
    <row r="1482" spans="1:1" x14ac:dyDescent="0.2">
      <c r="A1482" s="47"/>
    </row>
    <row r="1483" spans="1:1" x14ac:dyDescent="0.2">
      <c r="A1483" s="47"/>
    </row>
    <row r="1484" spans="1:1" x14ac:dyDescent="0.2">
      <c r="A1484" s="47"/>
    </row>
    <row r="1485" spans="1:1" x14ac:dyDescent="0.2">
      <c r="A1485" s="47"/>
    </row>
    <row r="1486" spans="1:1" x14ac:dyDescent="0.2">
      <c r="A1486" s="47"/>
    </row>
    <row r="1487" spans="1:1" x14ac:dyDescent="0.2">
      <c r="A1487" s="47"/>
    </row>
    <row r="1488" spans="1:1" x14ac:dyDescent="0.2">
      <c r="A1488" s="47"/>
    </row>
    <row r="1489" spans="1:1" x14ac:dyDescent="0.2">
      <c r="A1489" s="47"/>
    </row>
    <row r="1490" spans="1:1" x14ac:dyDescent="0.2">
      <c r="A1490" s="47"/>
    </row>
    <row r="1491" spans="1:1" x14ac:dyDescent="0.2">
      <c r="A1491" s="47"/>
    </row>
    <row r="1492" spans="1:1" x14ac:dyDescent="0.2">
      <c r="A1492" s="47"/>
    </row>
    <row r="1493" spans="1:1" x14ac:dyDescent="0.2">
      <c r="A1493" s="47"/>
    </row>
    <row r="1494" spans="1:1" x14ac:dyDescent="0.2">
      <c r="A1494" s="47"/>
    </row>
    <row r="1495" spans="1:1" x14ac:dyDescent="0.2">
      <c r="A1495" s="47"/>
    </row>
    <row r="1496" spans="1:1" x14ac:dyDescent="0.2">
      <c r="A1496" s="47"/>
    </row>
    <row r="1497" spans="1:1" x14ac:dyDescent="0.2">
      <c r="A1497" s="47"/>
    </row>
    <row r="1498" spans="1:1" x14ac:dyDescent="0.2">
      <c r="A1498" s="47"/>
    </row>
    <row r="1499" spans="1:1" x14ac:dyDescent="0.2">
      <c r="A1499" s="47"/>
    </row>
    <row r="1500" spans="1:1" x14ac:dyDescent="0.2">
      <c r="A1500" s="47"/>
    </row>
    <row r="1501" spans="1:1" x14ac:dyDescent="0.2">
      <c r="A1501" s="47"/>
    </row>
    <row r="1502" spans="1:1" x14ac:dyDescent="0.2">
      <c r="A1502" s="47"/>
    </row>
    <row r="1503" spans="1:1" x14ac:dyDescent="0.2">
      <c r="A1503" s="47"/>
    </row>
    <row r="1504" spans="1:1" x14ac:dyDescent="0.2">
      <c r="A1504" s="47"/>
    </row>
    <row r="1505" spans="1:1" x14ac:dyDescent="0.2">
      <c r="A1505" s="47"/>
    </row>
    <row r="1506" spans="1:1" x14ac:dyDescent="0.2">
      <c r="A1506" s="47"/>
    </row>
    <row r="1507" spans="1:1" x14ac:dyDescent="0.2">
      <c r="A1507" s="47"/>
    </row>
    <row r="1508" spans="1:1" x14ac:dyDescent="0.2">
      <c r="A1508" s="47"/>
    </row>
    <row r="1509" spans="1:1" x14ac:dyDescent="0.2">
      <c r="A1509" s="47"/>
    </row>
    <row r="1510" spans="1:1" x14ac:dyDescent="0.2">
      <c r="A1510" s="47"/>
    </row>
    <row r="1511" spans="1:1" x14ac:dyDescent="0.2">
      <c r="A1511" s="47"/>
    </row>
    <row r="1512" spans="1:1" x14ac:dyDescent="0.2">
      <c r="A1512" s="47"/>
    </row>
    <row r="1513" spans="1:1" x14ac:dyDescent="0.2">
      <c r="A1513" s="47"/>
    </row>
    <row r="1514" spans="1:1" x14ac:dyDescent="0.2">
      <c r="A1514" s="47"/>
    </row>
    <row r="1515" spans="1:1" x14ac:dyDescent="0.2">
      <c r="A1515" s="47"/>
    </row>
    <row r="1516" spans="1:1" x14ac:dyDescent="0.2">
      <c r="A1516" s="47"/>
    </row>
    <row r="1517" spans="1:1" x14ac:dyDescent="0.2">
      <c r="A1517" s="47"/>
    </row>
    <row r="1518" spans="1:1" x14ac:dyDescent="0.2">
      <c r="A1518" s="47"/>
    </row>
    <row r="1519" spans="1:1" x14ac:dyDescent="0.2">
      <c r="A1519" s="47"/>
    </row>
    <row r="1520" spans="1:1" x14ac:dyDescent="0.2">
      <c r="A1520" s="47"/>
    </row>
    <row r="1521" spans="1:1" x14ac:dyDescent="0.2">
      <c r="A1521" s="47"/>
    </row>
    <row r="1522" spans="1:1" x14ac:dyDescent="0.2">
      <c r="A1522" s="47"/>
    </row>
    <row r="1523" spans="1:1" x14ac:dyDescent="0.2">
      <c r="A1523" s="47"/>
    </row>
    <row r="1524" spans="1:1" x14ac:dyDescent="0.2">
      <c r="A1524" s="47"/>
    </row>
    <row r="1525" spans="1:1" x14ac:dyDescent="0.2">
      <c r="A1525" s="47"/>
    </row>
    <row r="1526" spans="1:1" x14ac:dyDescent="0.2">
      <c r="A1526" s="47"/>
    </row>
    <row r="1527" spans="1:1" x14ac:dyDescent="0.2">
      <c r="A1527" s="47"/>
    </row>
    <row r="1528" spans="1:1" x14ac:dyDescent="0.2">
      <c r="A1528" s="47"/>
    </row>
    <row r="1529" spans="1:1" x14ac:dyDescent="0.2">
      <c r="A1529" s="47"/>
    </row>
    <row r="1530" spans="1:1" x14ac:dyDescent="0.2">
      <c r="A1530" s="47"/>
    </row>
    <row r="1531" spans="1:1" x14ac:dyDescent="0.2">
      <c r="A1531" s="47"/>
    </row>
    <row r="1532" spans="1:1" x14ac:dyDescent="0.2">
      <c r="A1532" s="47"/>
    </row>
    <row r="1533" spans="1:1" x14ac:dyDescent="0.2">
      <c r="A1533" s="47"/>
    </row>
    <row r="1534" spans="1:1" x14ac:dyDescent="0.2">
      <c r="A1534" s="47"/>
    </row>
    <row r="1535" spans="1:1" x14ac:dyDescent="0.2">
      <c r="A1535" s="47"/>
    </row>
    <row r="1536" spans="1:1" x14ac:dyDescent="0.2">
      <c r="A1536" s="47"/>
    </row>
    <row r="1537" spans="1:1" x14ac:dyDescent="0.2">
      <c r="A1537" s="47"/>
    </row>
    <row r="1538" spans="1:1" x14ac:dyDescent="0.2">
      <c r="A1538" s="47"/>
    </row>
    <row r="1539" spans="1:1" x14ac:dyDescent="0.2">
      <c r="A1539" s="47"/>
    </row>
    <row r="1540" spans="1:1" x14ac:dyDescent="0.2">
      <c r="A1540" s="47"/>
    </row>
    <row r="1541" spans="1:1" x14ac:dyDescent="0.2">
      <c r="A1541" s="47"/>
    </row>
    <row r="1542" spans="1:1" x14ac:dyDescent="0.2">
      <c r="A1542" s="47"/>
    </row>
    <row r="1543" spans="1:1" x14ac:dyDescent="0.2">
      <c r="A1543" s="47"/>
    </row>
    <row r="1544" spans="1:1" x14ac:dyDescent="0.2">
      <c r="A1544" s="47"/>
    </row>
    <row r="1545" spans="1:1" x14ac:dyDescent="0.2">
      <c r="A1545" s="47"/>
    </row>
    <row r="1546" spans="1:1" x14ac:dyDescent="0.2">
      <c r="A1546" s="47"/>
    </row>
    <row r="1547" spans="1:1" x14ac:dyDescent="0.2">
      <c r="A1547" s="47"/>
    </row>
    <row r="1548" spans="1:1" x14ac:dyDescent="0.2">
      <c r="A1548" s="47"/>
    </row>
    <row r="1549" spans="1:1" x14ac:dyDescent="0.2">
      <c r="A1549" s="47"/>
    </row>
    <row r="1550" spans="1:1" x14ac:dyDescent="0.2">
      <c r="A1550" s="47"/>
    </row>
    <row r="1551" spans="1:1" x14ac:dyDescent="0.2">
      <c r="A1551" s="47"/>
    </row>
    <row r="1552" spans="1:1" x14ac:dyDescent="0.2">
      <c r="A1552" s="47"/>
    </row>
    <row r="1553" spans="1:1" x14ac:dyDescent="0.2">
      <c r="A1553" s="47"/>
    </row>
    <row r="1554" spans="1:1" x14ac:dyDescent="0.2">
      <c r="A1554" s="47"/>
    </row>
    <row r="1555" spans="1:1" x14ac:dyDescent="0.2">
      <c r="A1555" s="47"/>
    </row>
    <row r="1556" spans="1:1" x14ac:dyDescent="0.2">
      <c r="A1556" s="47"/>
    </row>
    <row r="1557" spans="1:1" x14ac:dyDescent="0.2">
      <c r="A1557" s="47"/>
    </row>
    <row r="1558" spans="1:1" x14ac:dyDescent="0.2">
      <c r="A1558" s="47"/>
    </row>
    <row r="1559" spans="1:1" x14ac:dyDescent="0.2">
      <c r="A1559" s="47"/>
    </row>
    <row r="1560" spans="1:1" x14ac:dyDescent="0.2">
      <c r="A1560" s="47"/>
    </row>
    <row r="1561" spans="1:1" x14ac:dyDescent="0.2">
      <c r="A1561" s="47"/>
    </row>
    <row r="1562" spans="1:1" x14ac:dyDescent="0.2">
      <c r="A1562" s="47"/>
    </row>
    <row r="1563" spans="1:1" x14ac:dyDescent="0.2">
      <c r="A1563" s="47"/>
    </row>
    <row r="1564" spans="1:1" x14ac:dyDescent="0.2">
      <c r="A1564" s="47"/>
    </row>
    <row r="1565" spans="1:1" x14ac:dyDescent="0.2">
      <c r="A1565" s="47"/>
    </row>
    <row r="1566" spans="1:1" x14ac:dyDescent="0.2">
      <c r="A1566" s="47"/>
    </row>
    <row r="1567" spans="1:1" x14ac:dyDescent="0.2">
      <c r="A1567" s="47"/>
    </row>
    <row r="1568" spans="1:1" x14ac:dyDescent="0.2">
      <c r="A1568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9EC5-6326-FB43-8FB4-2E8014C4DFE0}">
  <dimension ref="A1:S95"/>
  <sheetViews>
    <sheetView tabSelected="1" topLeftCell="B1" workbookViewId="0">
      <selection activeCell="J6" sqref="J6"/>
    </sheetView>
  </sheetViews>
  <sheetFormatPr baseColWidth="10" defaultRowHeight="16" x14ac:dyDescent="0.2"/>
  <cols>
    <col min="1" max="1" width="14.83203125" style="48" customWidth="1"/>
    <col min="17" max="17" width="12.1640625" bestFit="1" customWidth="1"/>
  </cols>
  <sheetData>
    <row r="1" spans="1:19" x14ac:dyDescent="0.2">
      <c r="A1" s="48" t="s">
        <v>38</v>
      </c>
      <c r="B1" t="s">
        <v>39</v>
      </c>
      <c r="C1" t="s">
        <v>40</v>
      </c>
      <c r="D1" s="34" t="s">
        <v>26</v>
      </c>
      <c r="E1" s="34" t="s">
        <v>27</v>
      </c>
      <c r="F1" s="16" t="s">
        <v>41</v>
      </c>
      <c r="G1" s="16" t="s">
        <v>42</v>
      </c>
      <c r="H1" t="s">
        <v>30</v>
      </c>
      <c r="I1" t="s">
        <v>31</v>
      </c>
      <c r="J1" s="16" t="s">
        <v>47</v>
      </c>
      <c r="K1" s="16" t="s">
        <v>14</v>
      </c>
      <c r="L1" t="s">
        <v>33</v>
      </c>
      <c r="M1" t="s">
        <v>5</v>
      </c>
      <c r="N1" t="s">
        <v>12</v>
      </c>
      <c r="O1" t="s">
        <v>2</v>
      </c>
      <c r="P1" t="s">
        <v>9</v>
      </c>
      <c r="Q1" t="s">
        <v>43</v>
      </c>
      <c r="R1" t="s">
        <v>45</v>
      </c>
      <c r="S1" t="s">
        <v>46</v>
      </c>
    </row>
    <row r="2" spans="1:19" x14ac:dyDescent="0.2">
      <c r="A2" s="49">
        <v>45540.750763888886</v>
      </c>
      <c r="B2" s="36">
        <v>45540.750763888886</v>
      </c>
      <c r="C2" s="37">
        <v>45540.079236111109</v>
      </c>
      <c r="D2" s="38">
        <v>205.5</v>
      </c>
      <c r="E2" s="38">
        <v>0</v>
      </c>
      <c r="F2" s="40">
        <v>8.2233333333333345</v>
      </c>
      <c r="G2" s="40">
        <v>0</v>
      </c>
      <c r="H2" s="39"/>
      <c r="I2" s="39"/>
      <c r="J2" s="39"/>
      <c r="K2" s="39"/>
      <c r="L2" s="39" t="s">
        <v>44</v>
      </c>
      <c r="M2" s="38">
        <v>205.625</v>
      </c>
      <c r="N2" s="40">
        <v>8.216333333333333</v>
      </c>
      <c r="O2" s="39">
        <v>47462400.000000007</v>
      </c>
      <c r="P2" s="39">
        <v>1261</v>
      </c>
      <c r="Q2" s="39">
        <f>P2/O2</f>
        <v>2.6568399406688238E-5</v>
      </c>
      <c r="R2" s="39">
        <v>900</v>
      </c>
      <c r="S2" s="39">
        <v>17.5</v>
      </c>
    </row>
    <row r="3" spans="1:19" x14ac:dyDescent="0.2">
      <c r="A3" s="48">
        <v>45540.751458333332</v>
      </c>
      <c r="B3" s="32">
        <v>45540.751458333332</v>
      </c>
      <c r="C3" s="33">
        <v>45540.079930555556</v>
      </c>
      <c r="D3" s="34">
        <v>205.7</v>
      </c>
      <c r="E3" s="34">
        <v>7.4999999999988631E-2</v>
      </c>
      <c r="F3" s="16">
        <v>8.2466666666666679</v>
      </c>
      <c r="G3" s="16">
        <v>3.0333333333334878E-2</v>
      </c>
    </row>
    <row r="4" spans="1:19" x14ac:dyDescent="0.2">
      <c r="A4" s="48">
        <v>45540.752152777779</v>
      </c>
      <c r="B4" s="32">
        <v>45540.752152777779</v>
      </c>
      <c r="C4" s="33">
        <v>45540.080625000002</v>
      </c>
      <c r="D4" s="34">
        <v>205.7</v>
      </c>
      <c r="E4" s="34">
        <v>7.4999999999988631E-2</v>
      </c>
      <c r="F4" s="16">
        <v>8.2433333333333323</v>
      </c>
      <c r="G4" s="16">
        <v>2.6999999999999247E-2</v>
      </c>
    </row>
    <row r="5" spans="1:19" x14ac:dyDescent="0.2">
      <c r="A5" s="48">
        <v>45540.752847222226</v>
      </c>
      <c r="B5" s="32">
        <v>45540.752847222226</v>
      </c>
      <c r="C5" s="33">
        <v>45540.081319444449</v>
      </c>
      <c r="D5" s="34">
        <v>205.8</v>
      </c>
      <c r="E5" s="34">
        <v>0.17500000000001137</v>
      </c>
      <c r="F5" s="16">
        <v>8.3000000000000007</v>
      </c>
      <c r="G5" s="16">
        <v>8.3666666666667666E-2</v>
      </c>
    </row>
    <row r="6" spans="1:19" x14ac:dyDescent="0.2">
      <c r="A6" s="48">
        <v>45540.753541666665</v>
      </c>
      <c r="B6" s="32">
        <v>45540.753541666665</v>
      </c>
      <c r="C6" s="33">
        <v>45540.082013888888</v>
      </c>
      <c r="D6" s="34">
        <v>206</v>
      </c>
      <c r="E6" s="34">
        <v>0.375</v>
      </c>
      <c r="F6" s="16">
        <v>8.3400000000000016</v>
      </c>
      <c r="G6" s="16">
        <v>0.12366666666666859</v>
      </c>
    </row>
    <row r="7" spans="1:19" x14ac:dyDescent="0.2">
      <c r="A7" s="48">
        <v>45540.754236111112</v>
      </c>
      <c r="B7" s="32">
        <v>45540.754236111112</v>
      </c>
      <c r="C7" s="33">
        <v>45540.082708333335</v>
      </c>
      <c r="D7" s="34">
        <v>206.1</v>
      </c>
      <c r="E7" s="34">
        <v>0.47499999999999432</v>
      </c>
      <c r="F7" s="16">
        <v>8.3466666666666658</v>
      </c>
      <c r="G7" s="16">
        <v>0.13033333333333275</v>
      </c>
    </row>
    <row r="8" spans="1:19" x14ac:dyDescent="0.2">
      <c r="A8" s="48">
        <v>45540.754930555559</v>
      </c>
      <c r="B8" s="32">
        <v>45540.754930555559</v>
      </c>
      <c r="C8" s="33">
        <v>45540.083402777782</v>
      </c>
      <c r="D8" s="34">
        <v>206.7</v>
      </c>
      <c r="E8" s="34">
        <v>1.0749999999999886</v>
      </c>
      <c r="F8" s="16">
        <v>8.4566666666666652</v>
      </c>
      <c r="G8" s="16">
        <v>0.24033333333333218</v>
      </c>
    </row>
    <row r="9" spans="1:19" x14ac:dyDescent="0.2">
      <c r="A9" s="48">
        <v>45540.755624999998</v>
      </c>
      <c r="B9" s="32">
        <v>45540.755624999998</v>
      </c>
      <c r="C9" s="33">
        <v>45540.084097222221</v>
      </c>
      <c r="D9" s="34">
        <v>207</v>
      </c>
      <c r="E9" s="34">
        <v>1.375</v>
      </c>
      <c r="F9" s="16">
        <v>8.51</v>
      </c>
      <c r="G9" s="16">
        <v>0.29366666666666674</v>
      </c>
      <c r="L9" s="34"/>
    </row>
    <row r="10" spans="1:19" x14ac:dyDescent="0.2">
      <c r="A10" s="48">
        <v>45540.756319444445</v>
      </c>
      <c r="B10" s="32">
        <v>45540.756319444445</v>
      </c>
      <c r="C10" s="33">
        <v>45540.084791666668</v>
      </c>
      <c r="D10" s="34">
        <v>207.2</v>
      </c>
      <c r="E10" s="34">
        <v>1.5749999999999886</v>
      </c>
      <c r="F10" s="16">
        <v>8.5866666666666678</v>
      </c>
      <c r="G10" s="16">
        <v>0.37033333333333474</v>
      </c>
      <c r="L10" s="16"/>
    </row>
    <row r="11" spans="1:19" x14ac:dyDescent="0.2">
      <c r="A11" s="48">
        <v>45540.757013888891</v>
      </c>
      <c r="B11" s="32">
        <v>45540.757013888891</v>
      </c>
      <c r="C11" s="33">
        <v>45540.085486111115</v>
      </c>
      <c r="D11" s="34">
        <v>208.1</v>
      </c>
      <c r="E11" s="34">
        <v>2.4749999999999943</v>
      </c>
      <c r="F11" s="16">
        <v>8.8699999999999992</v>
      </c>
      <c r="G11" s="16">
        <v>0.65366666666666617</v>
      </c>
    </row>
    <row r="12" spans="1:19" x14ac:dyDescent="0.2">
      <c r="A12" s="48">
        <v>45540.757708333331</v>
      </c>
      <c r="B12" s="32">
        <v>45540.757708333331</v>
      </c>
      <c r="C12" s="33">
        <v>45540.086180555554</v>
      </c>
      <c r="D12" s="34">
        <v>208.4</v>
      </c>
      <c r="E12" s="34">
        <v>2.7750000000000057</v>
      </c>
      <c r="F12" s="16">
        <v>8.7966666666666669</v>
      </c>
      <c r="G12" s="16">
        <v>0.58033333333333381</v>
      </c>
    </row>
    <row r="13" spans="1:19" x14ac:dyDescent="0.2">
      <c r="A13" s="48">
        <v>45540.758402777778</v>
      </c>
      <c r="B13" s="32">
        <v>45540.758402777778</v>
      </c>
      <c r="C13" s="33">
        <v>45540.086875000001</v>
      </c>
      <c r="D13" s="34">
        <v>209.8</v>
      </c>
      <c r="E13" s="34">
        <v>4.1750000000000114</v>
      </c>
      <c r="F13" s="16">
        <v>9.1033333333333335</v>
      </c>
      <c r="G13" s="16">
        <v>0.88700000000000045</v>
      </c>
    </row>
    <row r="14" spans="1:19" x14ac:dyDescent="0.2">
      <c r="A14" s="48">
        <v>45540.759097222224</v>
      </c>
      <c r="B14" s="32">
        <v>45540.759097222224</v>
      </c>
      <c r="C14" s="33">
        <v>45540.087569444448</v>
      </c>
      <c r="D14" s="34">
        <v>208.8</v>
      </c>
      <c r="E14" s="34">
        <v>3.1750000000000114</v>
      </c>
      <c r="F14" s="16">
        <v>9.06</v>
      </c>
      <c r="G14" s="16">
        <v>0.84366666666666745</v>
      </c>
    </row>
    <row r="15" spans="1:19" x14ac:dyDescent="0.2">
      <c r="A15" s="48">
        <v>45540.759791666664</v>
      </c>
      <c r="B15" s="32">
        <v>45540.759791666664</v>
      </c>
      <c r="C15" s="33">
        <v>45540.088263888887</v>
      </c>
      <c r="D15" s="34">
        <v>211.2</v>
      </c>
      <c r="E15" s="34">
        <v>5.5749999999999886</v>
      </c>
      <c r="F15" s="16">
        <v>9.7233333333333345</v>
      </c>
      <c r="G15" s="16">
        <v>1.5070000000000014</v>
      </c>
    </row>
    <row r="16" spans="1:19" x14ac:dyDescent="0.2">
      <c r="A16" s="48">
        <v>45540.76048611111</v>
      </c>
      <c r="B16" s="32">
        <v>45540.76048611111</v>
      </c>
      <c r="C16" s="33">
        <v>45540.088958333334</v>
      </c>
      <c r="D16" s="34">
        <v>211.7</v>
      </c>
      <c r="E16" s="34">
        <v>6.0749999999999886</v>
      </c>
      <c r="F16" s="16">
        <v>9.8666666666666671</v>
      </c>
      <c r="G16" s="16">
        <v>1.6503333333333341</v>
      </c>
    </row>
    <row r="17" spans="1:7" x14ac:dyDescent="0.2">
      <c r="A17" s="48">
        <v>45540.761180555557</v>
      </c>
      <c r="B17" s="32">
        <v>45540.761180555557</v>
      </c>
      <c r="C17" s="33">
        <v>45540.08965277778</v>
      </c>
      <c r="D17" s="34">
        <v>211.5</v>
      </c>
      <c r="E17" s="34">
        <v>5.875</v>
      </c>
      <c r="F17" s="16">
        <v>9.86</v>
      </c>
      <c r="G17" s="16">
        <v>1.6436666666666664</v>
      </c>
    </row>
    <row r="18" spans="1:7" x14ac:dyDescent="0.2">
      <c r="A18" s="48">
        <v>45540.761874999997</v>
      </c>
      <c r="B18" s="32">
        <v>45540.761874999997</v>
      </c>
      <c r="C18" s="33">
        <v>45540.09034722222</v>
      </c>
      <c r="D18" s="34">
        <v>212.4</v>
      </c>
      <c r="E18" s="34">
        <v>6.7750000000000057</v>
      </c>
      <c r="F18" s="16">
        <v>9.9700000000000006</v>
      </c>
      <c r="G18" s="16">
        <v>1.7536666666666676</v>
      </c>
    </row>
    <row r="19" spans="1:7" x14ac:dyDescent="0.2">
      <c r="A19" s="48">
        <v>45540.762569444443</v>
      </c>
      <c r="B19" s="32">
        <v>45540.762569444443</v>
      </c>
      <c r="C19" s="33">
        <v>45540.091041666667</v>
      </c>
      <c r="D19" s="34">
        <v>214.5</v>
      </c>
      <c r="E19" s="34">
        <v>8.875</v>
      </c>
      <c r="F19" s="16">
        <v>10.219999999999999</v>
      </c>
      <c r="G19" s="16">
        <v>2.0036666666666658</v>
      </c>
    </row>
    <row r="20" spans="1:7" x14ac:dyDescent="0.2">
      <c r="A20" s="48">
        <v>45540.76326388889</v>
      </c>
      <c r="B20" s="32">
        <v>45540.76326388889</v>
      </c>
      <c r="C20" s="33">
        <v>45540.091736111113</v>
      </c>
      <c r="D20" s="34">
        <v>213.8</v>
      </c>
      <c r="E20" s="34">
        <v>8.1750000000000114</v>
      </c>
      <c r="F20" s="16">
        <v>10.456666666666667</v>
      </c>
      <c r="G20" s="16">
        <v>2.240333333333334</v>
      </c>
    </row>
    <row r="21" spans="1:7" x14ac:dyDescent="0.2">
      <c r="A21" s="48">
        <v>45540.763958333337</v>
      </c>
      <c r="B21" s="32">
        <v>45540.763958333337</v>
      </c>
      <c r="C21" s="33">
        <v>45540.09243055556</v>
      </c>
      <c r="D21" s="34">
        <v>216.8</v>
      </c>
      <c r="E21" s="34">
        <v>11.175000000000011</v>
      </c>
      <c r="F21" s="16">
        <v>10.71</v>
      </c>
      <c r="G21" s="16">
        <v>2.4936666666666678</v>
      </c>
    </row>
    <row r="22" spans="1:7" x14ac:dyDescent="0.2">
      <c r="A22" s="48">
        <v>45540.764652777776</v>
      </c>
      <c r="B22" s="32">
        <v>45540.764652777776</v>
      </c>
      <c r="C22" s="33">
        <v>45540.093124999999</v>
      </c>
      <c r="D22" s="34">
        <v>216.6</v>
      </c>
      <c r="E22" s="34">
        <v>10.974999999999994</v>
      </c>
      <c r="F22" s="16">
        <v>10.836666666666666</v>
      </c>
      <c r="G22" s="16">
        <v>2.620333333333333</v>
      </c>
    </row>
    <row r="23" spans="1:7" x14ac:dyDescent="0.2">
      <c r="A23" s="48">
        <v>45540.765347222223</v>
      </c>
      <c r="B23" s="32">
        <v>45540.765347222223</v>
      </c>
      <c r="C23" s="33">
        <v>45540.093819444446</v>
      </c>
      <c r="D23" s="34">
        <v>215.8</v>
      </c>
      <c r="E23" s="34">
        <v>10.175000000000011</v>
      </c>
      <c r="F23" s="16">
        <v>10.973333333333334</v>
      </c>
      <c r="G23" s="16">
        <v>2.7570000000000014</v>
      </c>
    </row>
    <row r="24" spans="1:7" x14ac:dyDescent="0.2">
      <c r="A24" s="48">
        <v>45540.766041666669</v>
      </c>
      <c r="B24" s="32">
        <v>45540.766041666669</v>
      </c>
      <c r="C24" s="33">
        <v>45540.094513888893</v>
      </c>
      <c r="D24" s="34">
        <v>215.2</v>
      </c>
      <c r="E24" s="34">
        <v>9.5749999999999886</v>
      </c>
      <c r="F24" s="16">
        <v>10.92</v>
      </c>
      <c r="G24" s="16">
        <v>2.7036666666666669</v>
      </c>
    </row>
    <row r="25" spans="1:7" x14ac:dyDescent="0.2">
      <c r="A25" s="48">
        <v>45540.766736111109</v>
      </c>
      <c r="B25" s="32">
        <v>45540.766736111109</v>
      </c>
      <c r="C25" s="33">
        <v>45540.095208333332</v>
      </c>
      <c r="D25" s="34">
        <v>216.8</v>
      </c>
      <c r="E25" s="34">
        <v>11.175000000000011</v>
      </c>
      <c r="F25" s="16">
        <v>11.203333333333333</v>
      </c>
      <c r="G25" s="16">
        <v>2.9870000000000001</v>
      </c>
    </row>
    <row r="26" spans="1:7" x14ac:dyDescent="0.2">
      <c r="A26" s="48">
        <v>45540.767430555556</v>
      </c>
      <c r="B26" s="32">
        <v>45540.767430555556</v>
      </c>
      <c r="C26" s="33">
        <v>45540.095902777779</v>
      </c>
      <c r="D26" s="34">
        <v>217</v>
      </c>
      <c r="E26" s="34">
        <v>11.375</v>
      </c>
      <c r="F26" s="16">
        <v>11.339999999999998</v>
      </c>
      <c r="G26" s="16">
        <v>3.123666666666665</v>
      </c>
    </row>
    <row r="27" spans="1:7" x14ac:dyDescent="0.2">
      <c r="A27" s="48">
        <v>45540.768125000002</v>
      </c>
      <c r="B27" s="32">
        <v>45540.768125000002</v>
      </c>
      <c r="C27" s="33">
        <v>45540.096597222226</v>
      </c>
      <c r="D27" s="34">
        <v>216.8</v>
      </c>
      <c r="E27" s="34">
        <v>11.175000000000011</v>
      </c>
      <c r="F27" s="16">
        <v>11.229999999999999</v>
      </c>
      <c r="G27" s="16">
        <v>3.0136666666666656</v>
      </c>
    </row>
    <row r="28" spans="1:7" x14ac:dyDescent="0.2">
      <c r="A28" s="48">
        <v>45540.768819444442</v>
      </c>
      <c r="B28" s="32">
        <v>45540.768819444442</v>
      </c>
      <c r="C28" s="33">
        <v>45540.097291666665</v>
      </c>
      <c r="D28" s="34">
        <v>217.8</v>
      </c>
      <c r="E28" s="34">
        <v>12.175000000000011</v>
      </c>
      <c r="F28" s="16">
        <v>11.280000000000001</v>
      </c>
      <c r="G28" s="16">
        <v>3.0636666666666681</v>
      </c>
    </row>
    <row r="29" spans="1:7" x14ac:dyDescent="0.2">
      <c r="A29" s="48">
        <v>45540.769513888888</v>
      </c>
      <c r="B29" s="32">
        <v>45540.769513888888</v>
      </c>
      <c r="C29" s="33">
        <v>45540.097986111112</v>
      </c>
      <c r="D29" s="34">
        <v>217</v>
      </c>
      <c r="E29" s="34">
        <v>11.375</v>
      </c>
      <c r="F29" s="16">
        <v>11.326666666666668</v>
      </c>
      <c r="G29" s="16">
        <v>3.1103333333333349</v>
      </c>
    </row>
    <row r="30" spans="1:7" x14ac:dyDescent="0.2">
      <c r="A30" s="48">
        <v>45540.770208333335</v>
      </c>
      <c r="B30" s="32">
        <v>45540.770208333335</v>
      </c>
      <c r="C30" s="33">
        <v>45540.098680555559</v>
      </c>
      <c r="D30" s="34">
        <v>215.3</v>
      </c>
      <c r="E30" s="34">
        <v>9.6750000000000114</v>
      </c>
      <c r="F30" s="16">
        <v>11.213333333333333</v>
      </c>
      <c r="G30" s="16">
        <v>2.9969999999999999</v>
      </c>
    </row>
    <row r="31" spans="1:7" x14ac:dyDescent="0.2">
      <c r="A31" s="48">
        <v>45540.770902777775</v>
      </c>
      <c r="B31" s="32">
        <v>45540.770902777775</v>
      </c>
      <c r="C31" s="33">
        <v>45540.099374999998</v>
      </c>
      <c r="D31" s="34">
        <v>217.5</v>
      </c>
      <c r="E31" s="34">
        <v>11.875</v>
      </c>
      <c r="F31" s="16">
        <v>11.363333333333335</v>
      </c>
      <c r="G31" s="16">
        <v>3.147000000000002</v>
      </c>
    </row>
    <row r="32" spans="1:7" x14ac:dyDescent="0.2">
      <c r="A32" s="48">
        <v>45540.771597222221</v>
      </c>
      <c r="B32" s="32">
        <v>45540.771597222221</v>
      </c>
      <c r="C32" s="33">
        <v>45540.100069444445</v>
      </c>
      <c r="D32" s="34">
        <v>218.2</v>
      </c>
      <c r="E32" s="34">
        <v>12.574999999999989</v>
      </c>
      <c r="F32" s="16">
        <v>11.383333333333333</v>
      </c>
      <c r="G32" s="16">
        <v>3.1669999999999998</v>
      </c>
    </row>
    <row r="33" spans="1:7" x14ac:dyDescent="0.2">
      <c r="A33" s="48">
        <v>45540.772291666668</v>
      </c>
      <c r="B33" s="32">
        <v>45540.772291666668</v>
      </c>
      <c r="C33" s="33">
        <v>45540.100763888891</v>
      </c>
      <c r="D33" s="34">
        <v>215.6</v>
      </c>
      <c r="E33" s="34">
        <v>9.9749999999999943</v>
      </c>
      <c r="F33" s="16">
        <v>11.263333333333334</v>
      </c>
      <c r="G33" s="16">
        <v>3.0470000000000006</v>
      </c>
    </row>
    <row r="34" spans="1:7" x14ac:dyDescent="0.2">
      <c r="A34" s="48">
        <v>45540.772986111115</v>
      </c>
      <c r="B34" s="32">
        <v>45540.772986111115</v>
      </c>
      <c r="C34" s="33">
        <v>45540.101458333338</v>
      </c>
      <c r="D34" s="34">
        <v>217</v>
      </c>
      <c r="E34" s="34">
        <v>11.375</v>
      </c>
      <c r="F34" s="16">
        <v>11.343333333333334</v>
      </c>
      <c r="G34" s="16">
        <v>3.1270000000000007</v>
      </c>
    </row>
    <row r="35" spans="1:7" x14ac:dyDescent="0.2">
      <c r="A35" s="48">
        <v>45540.773680555554</v>
      </c>
      <c r="B35" s="32">
        <v>45540.773680555554</v>
      </c>
      <c r="C35" s="33">
        <v>45540.102152777778</v>
      </c>
      <c r="D35" s="34">
        <v>217.8</v>
      </c>
      <c r="E35" s="34">
        <v>12.175000000000011</v>
      </c>
      <c r="F35" s="16">
        <v>11.496666666666664</v>
      </c>
      <c r="G35" s="16">
        <v>3.2803333333333313</v>
      </c>
    </row>
    <row r="36" spans="1:7" x14ac:dyDescent="0.2">
      <c r="A36" s="48">
        <v>45540.774375000001</v>
      </c>
      <c r="B36" s="32">
        <v>45540.774375000001</v>
      </c>
      <c r="C36" s="33">
        <v>45540.102847222224</v>
      </c>
      <c r="D36" s="34">
        <v>217.4</v>
      </c>
      <c r="E36" s="34">
        <v>11.775000000000006</v>
      </c>
      <c r="F36" s="16">
        <v>11.463333333333333</v>
      </c>
      <c r="G36" s="16">
        <v>3.2469999999999999</v>
      </c>
    </row>
    <row r="37" spans="1:7" x14ac:dyDescent="0.2">
      <c r="A37" s="48">
        <v>45540.775069444448</v>
      </c>
      <c r="B37" s="32">
        <v>45540.775069444448</v>
      </c>
      <c r="C37" s="33">
        <v>45540.103541666671</v>
      </c>
      <c r="D37" s="34">
        <v>218.1</v>
      </c>
      <c r="E37" s="34">
        <v>12.474999999999994</v>
      </c>
      <c r="F37" s="16">
        <v>11.546666666666667</v>
      </c>
      <c r="G37" s="16">
        <v>3.3303333333333338</v>
      </c>
    </row>
    <row r="38" spans="1:7" x14ac:dyDescent="0.2">
      <c r="A38" s="48">
        <v>45540.775763888887</v>
      </c>
      <c r="B38" s="32">
        <v>45540.775763888887</v>
      </c>
      <c r="C38" s="33">
        <v>45540.10423611111</v>
      </c>
      <c r="D38" s="34">
        <v>217.5</v>
      </c>
      <c r="E38" s="34">
        <v>11.875</v>
      </c>
      <c r="F38" s="16">
        <v>11.56</v>
      </c>
      <c r="G38" s="16">
        <v>3.3436666666666675</v>
      </c>
    </row>
    <row r="39" spans="1:7" x14ac:dyDescent="0.2">
      <c r="A39" s="48">
        <v>45540.776458333334</v>
      </c>
      <c r="B39" s="32">
        <v>45540.776458333334</v>
      </c>
      <c r="C39" s="33">
        <v>45540.104930555557</v>
      </c>
      <c r="D39" s="34">
        <v>217.5</v>
      </c>
      <c r="E39" s="34">
        <v>11.875</v>
      </c>
      <c r="F39" s="16">
        <v>11.43</v>
      </c>
      <c r="G39" s="16">
        <v>3.2136666666666667</v>
      </c>
    </row>
    <row r="40" spans="1:7" x14ac:dyDescent="0.2">
      <c r="A40" s="48">
        <v>45540.77715277778</v>
      </c>
      <c r="B40" s="32">
        <v>45540.77715277778</v>
      </c>
      <c r="C40" s="33">
        <v>45540.105625000004</v>
      </c>
      <c r="D40" s="34">
        <v>217.6</v>
      </c>
      <c r="E40" s="34">
        <v>11.974999999999994</v>
      </c>
      <c r="F40" s="16">
        <v>11.473333333333334</v>
      </c>
      <c r="G40" s="16">
        <v>3.2570000000000014</v>
      </c>
    </row>
    <row r="41" spans="1:7" x14ac:dyDescent="0.2">
      <c r="A41" s="48">
        <v>45540.77784722222</v>
      </c>
      <c r="B41" s="32">
        <v>45540.77784722222</v>
      </c>
      <c r="C41" s="33">
        <v>45540.106319444443</v>
      </c>
      <c r="D41" s="34">
        <v>217.9</v>
      </c>
      <c r="E41" s="34">
        <v>12.275000000000006</v>
      </c>
      <c r="F41" s="16">
        <v>11.553333333333333</v>
      </c>
      <c r="G41" s="16">
        <v>3.3369999999999997</v>
      </c>
    </row>
    <row r="42" spans="1:7" x14ac:dyDescent="0.2">
      <c r="A42" s="48">
        <v>45540.778541666667</v>
      </c>
      <c r="B42" s="32">
        <v>45540.778541666667</v>
      </c>
      <c r="C42" s="33">
        <v>45540.10701388889</v>
      </c>
      <c r="D42" s="34">
        <v>217.6</v>
      </c>
      <c r="E42" s="34">
        <v>11.974999999999994</v>
      </c>
      <c r="F42" s="16">
        <v>11.503333333333332</v>
      </c>
      <c r="G42" s="16">
        <v>3.286999999999999</v>
      </c>
    </row>
    <row r="43" spans="1:7" x14ac:dyDescent="0.2">
      <c r="A43" s="48">
        <v>45540.779236111113</v>
      </c>
      <c r="B43" s="32">
        <v>45540.779236111113</v>
      </c>
      <c r="C43" s="33">
        <v>45540.107708333337</v>
      </c>
      <c r="D43" s="34">
        <v>217.9</v>
      </c>
      <c r="E43" s="34">
        <v>12.275000000000006</v>
      </c>
      <c r="F43" s="16">
        <v>11.536666666666667</v>
      </c>
      <c r="G43" s="16">
        <v>3.320333333333334</v>
      </c>
    </row>
    <row r="44" spans="1:7" x14ac:dyDescent="0.2">
      <c r="A44" s="48">
        <v>45540.779930555553</v>
      </c>
      <c r="B44" s="32">
        <v>45540.779930555553</v>
      </c>
      <c r="C44" s="33">
        <v>45540.108402777776</v>
      </c>
      <c r="D44" s="34">
        <v>218.1</v>
      </c>
      <c r="E44" s="34">
        <v>12.474999999999994</v>
      </c>
      <c r="F44" s="16">
        <v>11.61</v>
      </c>
      <c r="G44" s="16">
        <v>3.3936666666666664</v>
      </c>
    </row>
    <row r="45" spans="1:7" x14ac:dyDescent="0.2">
      <c r="A45" s="48">
        <v>45540.780624999999</v>
      </c>
      <c r="B45" s="32">
        <v>45540.780624999999</v>
      </c>
      <c r="C45" s="33">
        <v>45540.109097222223</v>
      </c>
      <c r="D45" s="34">
        <v>217.9</v>
      </c>
      <c r="E45" s="34">
        <v>12.275000000000006</v>
      </c>
      <c r="F45" s="16">
        <v>11.546666666666667</v>
      </c>
      <c r="G45" s="16">
        <v>3.3303333333333338</v>
      </c>
    </row>
    <row r="46" spans="1:7" x14ac:dyDescent="0.2">
      <c r="A46" s="48">
        <v>45540.781319444446</v>
      </c>
      <c r="B46" s="32">
        <v>45540.781319444446</v>
      </c>
      <c r="C46" s="33">
        <v>45540.109791666669</v>
      </c>
      <c r="D46" s="34">
        <v>218.5</v>
      </c>
      <c r="E46" s="34">
        <v>12.875</v>
      </c>
      <c r="F46" s="16">
        <v>11.516666666666666</v>
      </c>
      <c r="G46" s="16">
        <v>3.3003333333333327</v>
      </c>
    </row>
    <row r="47" spans="1:7" x14ac:dyDescent="0.2">
      <c r="A47" s="48">
        <v>45540.782013888886</v>
      </c>
      <c r="B47" s="32">
        <v>45540.782013888886</v>
      </c>
      <c r="C47" s="33">
        <v>45540.110486111109</v>
      </c>
      <c r="D47" s="34">
        <v>217.9</v>
      </c>
      <c r="E47" s="34">
        <v>12.275000000000006</v>
      </c>
      <c r="F47" s="16">
        <v>11.653333333333334</v>
      </c>
      <c r="G47" s="16">
        <v>3.4370000000000012</v>
      </c>
    </row>
    <row r="48" spans="1:7" x14ac:dyDescent="0.2">
      <c r="A48" s="48">
        <v>45540.782708333332</v>
      </c>
      <c r="B48" s="32">
        <v>45540.782708333332</v>
      </c>
      <c r="C48" s="33">
        <v>45540.111180555556</v>
      </c>
      <c r="D48" s="34">
        <v>217.7</v>
      </c>
      <c r="E48" s="34">
        <v>12.074999999999989</v>
      </c>
      <c r="F48" s="16">
        <v>11.549999999999999</v>
      </c>
      <c r="G48" s="16">
        <v>3.3336666666666659</v>
      </c>
    </row>
    <row r="49" spans="1:7" x14ac:dyDescent="0.2">
      <c r="A49" s="48">
        <v>45540.783402777779</v>
      </c>
      <c r="B49" s="32">
        <v>45540.783402777779</v>
      </c>
      <c r="C49" s="33">
        <v>45540.111875000002</v>
      </c>
      <c r="D49" s="34">
        <v>217.9</v>
      </c>
      <c r="E49" s="34">
        <v>12.275000000000006</v>
      </c>
      <c r="F49" s="16">
        <v>11.533333333333331</v>
      </c>
      <c r="G49" s="16">
        <v>3.3169999999999984</v>
      </c>
    </row>
    <row r="50" spans="1:7" x14ac:dyDescent="0.2">
      <c r="A50" s="48">
        <v>45540.784097222226</v>
      </c>
      <c r="B50" s="32">
        <v>45540.784097222226</v>
      </c>
      <c r="C50" s="33">
        <v>45540.112569444449</v>
      </c>
      <c r="D50" s="34">
        <v>217.9</v>
      </c>
      <c r="E50" s="34">
        <v>12.275000000000006</v>
      </c>
      <c r="F50" s="16">
        <v>11.586666666666666</v>
      </c>
      <c r="G50" s="16">
        <v>3.370333333333333</v>
      </c>
    </row>
    <row r="51" spans="1:7" x14ac:dyDescent="0.2">
      <c r="A51" s="48">
        <v>45540.784791666665</v>
      </c>
      <c r="B51" s="32">
        <v>45540.784791666665</v>
      </c>
      <c r="C51" s="33">
        <v>45540.113263888888</v>
      </c>
      <c r="D51" s="34">
        <v>218</v>
      </c>
      <c r="E51" s="34">
        <v>12.375</v>
      </c>
      <c r="F51" s="16">
        <v>11.589999999999998</v>
      </c>
      <c r="G51" s="16">
        <v>3.373666666666665</v>
      </c>
    </row>
    <row r="52" spans="1:7" x14ac:dyDescent="0.2">
      <c r="A52" s="48">
        <v>45540.785486111112</v>
      </c>
      <c r="B52" s="32">
        <v>45540.785486111112</v>
      </c>
      <c r="C52" s="33">
        <v>45540.113958333335</v>
      </c>
      <c r="D52" s="34">
        <v>217.7</v>
      </c>
      <c r="E52" s="34">
        <v>12.074999999999989</v>
      </c>
      <c r="F52" s="16">
        <v>11.536666666666667</v>
      </c>
      <c r="G52" s="16">
        <v>3.320333333333334</v>
      </c>
    </row>
    <row r="53" spans="1:7" x14ac:dyDescent="0.2">
      <c r="A53" s="48">
        <v>45540.786180555559</v>
      </c>
      <c r="B53" s="32">
        <v>45540.786180555559</v>
      </c>
      <c r="C53" s="33">
        <v>45540.114652777782</v>
      </c>
      <c r="D53" s="34">
        <v>217.7</v>
      </c>
      <c r="E53" s="34">
        <v>12.074999999999989</v>
      </c>
      <c r="F53" s="16">
        <v>11.576666666666668</v>
      </c>
      <c r="G53" s="16">
        <v>3.3603333333333349</v>
      </c>
    </row>
    <row r="54" spans="1:7" x14ac:dyDescent="0.2">
      <c r="A54" s="48">
        <v>45540.786874999998</v>
      </c>
      <c r="B54" s="32">
        <v>45540.786874999998</v>
      </c>
      <c r="C54" s="33">
        <v>45540.115347222221</v>
      </c>
      <c r="D54" s="34">
        <v>217.7</v>
      </c>
      <c r="E54" s="34">
        <v>12.074999999999989</v>
      </c>
      <c r="F54" s="16">
        <v>11.589999999999998</v>
      </c>
      <c r="G54" s="16">
        <v>3.373666666666665</v>
      </c>
    </row>
    <row r="55" spans="1:7" x14ac:dyDescent="0.2">
      <c r="A55" s="48">
        <v>45540.787569444445</v>
      </c>
      <c r="B55" s="32">
        <v>45540.787569444445</v>
      </c>
      <c r="C55" s="33">
        <v>45540.116041666668</v>
      </c>
      <c r="D55" s="34">
        <v>217.7</v>
      </c>
      <c r="E55" s="34">
        <v>12.074999999999989</v>
      </c>
      <c r="F55" s="16">
        <v>11.573333333333332</v>
      </c>
      <c r="G55" s="16">
        <v>3.3569999999999993</v>
      </c>
    </row>
    <row r="56" spans="1:7" x14ac:dyDescent="0.2">
      <c r="A56" s="48">
        <v>45540.788263888891</v>
      </c>
      <c r="B56" s="32">
        <v>45540.788263888891</v>
      </c>
      <c r="C56" s="33">
        <v>45540.116736111115</v>
      </c>
      <c r="D56" s="34">
        <v>217.7</v>
      </c>
      <c r="E56" s="34">
        <v>12.074999999999989</v>
      </c>
      <c r="F56" s="16">
        <v>11.556666666666667</v>
      </c>
      <c r="G56" s="16">
        <v>3.3403333333333336</v>
      </c>
    </row>
    <row r="57" spans="1:7" x14ac:dyDescent="0.2">
      <c r="A57" s="48">
        <v>45540.788958333331</v>
      </c>
      <c r="B57" s="32">
        <v>45540.788958333331</v>
      </c>
      <c r="C57" s="33">
        <v>45540.117430555554</v>
      </c>
      <c r="D57" s="34">
        <v>217.5</v>
      </c>
      <c r="E57" s="34">
        <v>11.875</v>
      </c>
      <c r="F57" s="16">
        <v>11.5</v>
      </c>
      <c r="G57" s="16">
        <v>3.283666666666667</v>
      </c>
    </row>
    <row r="58" spans="1:7" x14ac:dyDescent="0.2">
      <c r="A58" s="48">
        <v>45540.789652777778</v>
      </c>
      <c r="B58" s="32">
        <v>45540.789652777778</v>
      </c>
      <c r="C58" s="33">
        <v>45540.118125000001</v>
      </c>
      <c r="D58" s="34">
        <v>217.2</v>
      </c>
      <c r="E58" s="34">
        <v>11.574999999999989</v>
      </c>
      <c r="F58" s="16">
        <v>11.443333333333333</v>
      </c>
      <c r="G58" s="16">
        <v>3.2270000000000003</v>
      </c>
    </row>
    <row r="59" spans="1:7" x14ac:dyDescent="0.2">
      <c r="A59" s="48">
        <v>45540.790347222224</v>
      </c>
      <c r="B59" s="32">
        <v>45540.790347222224</v>
      </c>
      <c r="C59" s="33">
        <v>45540.118819444448</v>
      </c>
      <c r="D59" s="34">
        <v>216.9</v>
      </c>
      <c r="E59" s="34">
        <v>11.275000000000006</v>
      </c>
      <c r="F59" s="16">
        <v>11.363333333333332</v>
      </c>
      <c r="G59" s="16">
        <v>3.1469999999999985</v>
      </c>
    </row>
    <row r="60" spans="1:7" x14ac:dyDescent="0.2">
      <c r="A60" s="48">
        <v>45540.791041666664</v>
      </c>
      <c r="B60" s="32">
        <v>45540.791041666664</v>
      </c>
      <c r="C60" s="33">
        <v>45540.119513888887</v>
      </c>
      <c r="D60" s="34">
        <v>216.3</v>
      </c>
      <c r="E60" s="34">
        <v>10.675000000000011</v>
      </c>
      <c r="F60" s="16">
        <v>11.363333333333335</v>
      </c>
      <c r="G60" s="16">
        <v>3.147000000000002</v>
      </c>
    </row>
    <row r="61" spans="1:7" x14ac:dyDescent="0.2">
      <c r="A61" s="48">
        <v>45540.79173611111</v>
      </c>
      <c r="B61" s="32">
        <v>45540.79173611111</v>
      </c>
      <c r="C61" s="33">
        <v>45540.120208333334</v>
      </c>
      <c r="D61" s="34">
        <v>217.2</v>
      </c>
      <c r="E61" s="34">
        <v>11.574999999999989</v>
      </c>
      <c r="F61" s="16">
        <v>11.339999999999998</v>
      </c>
      <c r="G61" s="16">
        <v>3.123666666666665</v>
      </c>
    </row>
    <row r="62" spans="1:7" x14ac:dyDescent="0.2">
      <c r="A62" s="48">
        <v>45540.792430555557</v>
      </c>
      <c r="B62" s="32">
        <v>45540.792430555557</v>
      </c>
      <c r="C62" s="33">
        <v>45540.12090277778</v>
      </c>
      <c r="D62" s="34">
        <v>217.2</v>
      </c>
      <c r="E62" s="34">
        <v>11.574999999999989</v>
      </c>
      <c r="F62" s="16">
        <v>11.36</v>
      </c>
      <c r="G62" s="16">
        <v>3.1436666666666664</v>
      </c>
    </row>
    <row r="63" spans="1:7" x14ac:dyDescent="0.2">
      <c r="A63" s="48">
        <v>45540.793124999997</v>
      </c>
      <c r="B63" s="32">
        <v>45540.793124999997</v>
      </c>
      <c r="C63" s="33">
        <v>45540.12159722222</v>
      </c>
      <c r="D63" s="34">
        <v>217.1</v>
      </c>
      <c r="E63" s="34">
        <v>11.474999999999994</v>
      </c>
      <c r="F63" s="16">
        <v>11.373333333333333</v>
      </c>
      <c r="G63" s="16">
        <v>3.157</v>
      </c>
    </row>
    <row r="64" spans="1:7" x14ac:dyDescent="0.2">
      <c r="A64" s="48">
        <v>45540.793819444443</v>
      </c>
      <c r="B64" s="32">
        <v>45540.793819444443</v>
      </c>
      <c r="C64" s="33">
        <v>45540.122291666667</v>
      </c>
      <c r="D64" s="34">
        <v>216.9</v>
      </c>
      <c r="E64" s="34">
        <v>11.275000000000006</v>
      </c>
      <c r="F64" s="16">
        <v>11.266666666666666</v>
      </c>
      <c r="G64" s="16">
        <v>3.0503333333333327</v>
      </c>
    </row>
    <row r="65" spans="1:7" x14ac:dyDescent="0.2">
      <c r="A65" s="48">
        <v>45540.79451388889</v>
      </c>
      <c r="B65" s="32">
        <v>45540.79451388889</v>
      </c>
      <c r="C65" s="33">
        <v>45540.122986111113</v>
      </c>
      <c r="D65" s="34">
        <v>216.7</v>
      </c>
      <c r="E65" s="34">
        <v>11.074999999999989</v>
      </c>
      <c r="F65" s="16">
        <v>11.286666666666667</v>
      </c>
      <c r="G65" s="16">
        <v>3.070333333333334</v>
      </c>
    </row>
    <row r="66" spans="1:7" x14ac:dyDescent="0.2">
      <c r="A66" s="48">
        <v>45540.795208333337</v>
      </c>
      <c r="B66" s="32">
        <v>45540.795208333337</v>
      </c>
      <c r="C66" s="33">
        <v>45540.12368055556</v>
      </c>
      <c r="D66" s="34">
        <v>216.5</v>
      </c>
      <c r="E66" s="34">
        <v>10.875</v>
      </c>
      <c r="F66" s="16">
        <v>11.25</v>
      </c>
      <c r="G66" s="16">
        <v>3.033666666666667</v>
      </c>
    </row>
    <row r="67" spans="1:7" x14ac:dyDescent="0.2">
      <c r="A67" s="48">
        <v>45540.795902777776</v>
      </c>
      <c r="B67" s="32">
        <v>45540.795902777776</v>
      </c>
      <c r="C67" s="33">
        <v>45540.124374999999</v>
      </c>
      <c r="D67" s="34">
        <v>216.4</v>
      </c>
      <c r="E67" s="34">
        <v>10.775000000000006</v>
      </c>
      <c r="F67" s="16">
        <v>11.193333333333333</v>
      </c>
      <c r="G67" s="16">
        <v>2.9770000000000003</v>
      </c>
    </row>
    <row r="68" spans="1:7" x14ac:dyDescent="0.2">
      <c r="A68" s="48">
        <v>45540.796597222223</v>
      </c>
      <c r="B68" s="32">
        <v>45540.796597222223</v>
      </c>
      <c r="C68" s="33">
        <v>45540.125069444446</v>
      </c>
      <c r="D68" s="34">
        <v>216.4</v>
      </c>
      <c r="E68" s="34">
        <v>10.775000000000006</v>
      </c>
      <c r="F68" s="16">
        <v>11.213333333333333</v>
      </c>
      <c r="G68" s="16">
        <v>2.9969999999999999</v>
      </c>
    </row>
    <row r="69" spans="1:7" x14ac:dyDescent="0.2">
      <c r="A69" s="48">
        <v>45540.797291666669</v>
      </c>
      <c r="B69" s="32">
        <v>45540.797291666669</v>
      </c>
      <c r="C69" s="33">
        <v>45540.125763888893</v>
      </c>
      <c r="D69" s="34">
        <v>216.3</v>
      </c>
      <c r="E69" s="34">
        <v>10.675000000000011</v>
      </c>
      <c r="F69" s="16">
        <v>11.18</v>
      </c>
      <c r="G69" s="16">
        <v>2.9636666666666667</v>
      </c>
    </row>
    <row r="70" spans="1:7" x14ac:dyDescent="0.2">
      <c r="A70" s="48">
        <v>45540.797986111109</v>
      </c>
      <c r="B70" s="32">
        <v>45540.797986111109</v>
      </c>
      <c r="C70" s="33">
        <v>45540.126458333332</v>
      </c>
      <c r="D70" s="34">
        <v>216.3</v>
      </c>
      <c r="E70" s="34">
        <v>10.675000000000011</v>
      </c>
      <c r="F70" s="16">
        <v>11.143333333333333</v>
      </c>
      <c r="G70" s="16">
        <v>2.9269999999999996</v>
      </c>
    </row>
    <row r="71" spans="1:7" x14ac:dyDescent="0.2">
      <c r="A71" s="48">
        <v>45540.798680555556</v>
      </c>
      <c r="B71" s="32">
        <v>45540.798680555556</v>
      </c>
      <c r="C71" s="33">
        <v>45540.127152777779</v>
      </c>
      <c r="D71" s="34">
        <v>216.1</v>
      </c>
      <c r="E71" s="34">
        <v>10.474999999999994</v>
      </c>
      <c r="F71" s="16">
        <v>11.136666666666665</v>
      </c>
      <c r="G71" s="16">
        <v>2.9203333333333319</v>
      </c>
    </row>
    <row r="72" spans="1:7" x14ac:dyDescent="0.2">
      <c r="A72" s="48">
        <v>45540.799375000002</v>
      </c>
      <c r="B72" s="32">
        <v>45540.799375000002</v>
      </c>
      <c r="C72" s="33">
        <v>45540.127847222226</v>
      </c>
      <c r="D72" s="34">
        <v>216.1</v>
      </c>
      <c r="E72" s="34">
        <v>10.474999999999994</v>
      </c>
      <c r="F72" s="16">
        <v>11.103333333333333</v>
      </c>
      <c r="G72" s="16">
        <v>2.8870000000000005</v>
      </c>
    </row>
    <row r="73" spans="1:7" x14ac:dyDescent="0.2">
      <c r="A73" s="48">
        <v>45540.800069444442</v>
      </c>
      <c r="B73" s="32">
        <v>45540.800069444442</v>
      </c>
      <c r="C73" s="33">
        <v>45540.128541666665</v>
      </c>
      <c r="D73" s="34">
        <v>216</v>
      </c>
      <c r="E73" s="34">
        <v>10.375</v>
      </c>
      <c r="F73" s="16">
        <v>11.063333333333333</v>
      </c>
      <c r="G73" s="16">
        <v>2.8469999999999995</v>
      </c>
    </row>
    <row r="74" spans="1:7" x14ac:dyDescent="0.2">
      <c r="A74" s="48">
        <v>45540.800763888888</v>
      </c>
      <c r="B74" s="32">
        <v>45540.800763888888</v>
      </c>
      <c r="C74" s="33">
        <v>45540.129236111112</v>
      </c>
      <c r="D74" s="34">
        <v>216</v>
      </c>
      <c r="E74" s="34">
        <v>10.375</v>
      </c>
      <c r="F74" s="16">
        <v>11.06</v>
      </c>
      <c r="G74" s="16">
        <v>2.8436666666666675</v>
      </c>
    </row>
    <row r="75" spans="1:7" x14ac:dyDescent="0.2">
      <c r="A75" s="48">
        <v>45540.801458333335</v>
      </c>
      <c r="B75" s="32">
        <v>45540.801458333335</v>
      </c>
      <c r="C75" s="33">
        <v>45540.129930555559</v>
      </c>
      <c r="D75" s="34">
        <v>215.8</v>
      </c>
      <c r="E75" s="34">
        <v>10.175000000000011</v>
      </c>
      <c r="F75" s="16">
        <v>11.023333333333333</v>
      </c>
      <c r="G75" s="16">
        <v>2.8070000000000004</v>
      </c>
    </row>
    <row r="76" spans="1:7" x14ac:dyDescent="0.2">
      <c r="A76" s="48">
        <v>45540.802152777775</v>
      </c>
      <c r="B76" s="32">
        <v>45540.802152777775</v>
      </c>
      <c r="C76" s="33">
        <v>45540.130624999998</v>
      </c>
      <c r="D76" s="34">
        <v>215.4</v>
      </c>
      <c r="E76" s="34">
        <v>9.7750000000000057</v>
      </c>
      <c r="F76" s="16">
        <v>10.983333333333334</v>
      </c>
      <c r="G76" s="16">
        <v>2.7670000000000012</v>
      </c>
    </row>
    <row r="77" spans="1:7" x14ac:dyDescent="0.2">
      <c r="A77" s="48">
        <v>45540.802847222221</v>
      </c>
      <c r="B77" s="32">
        <v>45540.802847222221</v>
      </c>
      <c r="C77" s="33">
        <v>45540.131319444445</v>
      </c>
      <c r="D77" s="34">
        <v>215.7</v>
      </c>
      <c r="E77" s="34">
        <v>10.074999999999989</v>
      </c>
      <c r="F77" s="16">
        <v>10.966666666666669</v>
      </c>
      <c r="G77" s="16">
        <v>2.7503333333333355</v>
      </c>
    </row>
    <row r="78" spans="1:7" x14ac:dyDescent="0.2">
      <c r="A78" s="48">
        <v>45540.803541666668</v>
      </c>
      <c r="B78" s="32">
        <v>45540.803541666668</v>
      </c>
      <c r="C78" s="33">
        <v>45540.132013888891</v>
      </c>
      <c r="D78" s="34">
        <v>215.6</v>
      </c>
      <c r="E78" s="34">
        <v>9.9749999999999943</v>
      </c>
      <c r="F78" s="16">
        <v>10.936666666666666</v>
      </c>
      <c r="G78" s="16">
        <v>2.7203333333333326</v>
      </c>
    </row>
    <row r="79" spans="1:7" x14ac:dyDescent="0.2">
      <c r="A79" s="48">
        <v>45540.804236111115</v>
      </c>
      <c r="B79" s="32">
        <v>45540.804236111115</v>
      </c>
      <c r="C79" s="33">
        <v>45540.132708333338</v>
      </c>
      <c r="D79" s="34">
        <v>215.4</v>
      </c>
      <c r="E79" s="34">
        <v>9.7750000000000057</v>
      </c>
      <c r="F79" s="16">
        <v>10.92</v>
      </c>
      <c r="G79" s="16">
        <v>2.7036666666666669</v>
      </c>
    </row>
    <row r="80" spans="1:7" x14ac:dyDescent="0.2">
      <c r="A80" s="48">
        <v>45540.804930555554</v>
      </c>
      <c r="B80" s="32">
        <v>45540.804930555554</v>
      </c>
      <c r="C80" s="33">
        <v>45540.133402777778</v>
      </c>
      <c r="D80" s="34">
        <v>215.4</v>
      </c>
      <c r="E80" s="34">
        <v>9.7750000000000057</v>
      </c>
      <c r="F80" s="16">
        <v>10.893333333333333</v>
      </c>
      <c r="G80" s="16">
        <v>2.6769999999999996</v>
      </c>
    </row>
    <row r="81" spans="1:7" x14ac:dyDescent="0.2">
      <c r="A81" s="48">
        <v>45540.805625000001</v>
      </c>
      <c r="B81" s="32">
        <v>45540.805625000001</v>
      </c>
      <c r="C81" s="33">
        <v>45540.134097222224</v>
      </c>
      <c r="D81" s="34">
        <v>215.2</v>
      </c>
      <c r="E81" s="34">
        <v>9.5749999999999886</v>
      </c>
      <c r="F81" s="16">
        <v>10.886666666666665</v>
      </c>
      <c r="G81" s="16">
        <v>2.6703333333333319</v>
      </c>
    </row>
    <row r="82" spans="1:7" x14ac:dyDescent="0.2">
      <c r="A82" s="48">
        <v>45540.806319444448</v>
      </c>
      <c r="B82" s="32">
        <v>45540.806319444448</v>
      </c>
      <c r="C82" s="33">
        <v>45540.134791666671</v>
      </c>
      <c r="D82" s="34">
        <v>215.3</v>
      </c>
      <c r="E82" s="34">
        <v>9.6750000000000114</v>
      </c>
      <c r="F82" s="16">
        <v>10.88</v>
      </c>
      <c r="G82" s="16">
        <v>2.6636666666666677</v>
      </c>
    </row>
    <row r="83" spans="1:7" x14ac:dyDescent="0.2">
      <c r="A83" s="48">
        <v>45540.807013888887</v>
      </c>
      <c r="B83" s="32">
        <v>45540.807013888887</v>
      </c>
      <c r="C83" s="33">
        <v>45540.13548611111</v>
      </c>
      <c r="D83" s="34">
        <v>215.4</v>
      </c>
      <c r="E83" s="34">
        <v>9.7750000000000057</v>
      </c>
      <c r="F83" s="16">
        <v>10.89</v>
      </c>
      <c r="G83" s="16">
        <v>2.6736666666666675</v>
      </c>
    </row>
    <row r="84" spans="1:7" x14ac:dyDescent="0.2">
      <c r="A84" s="48">
        <v>45540.807708333334</v>
      </c>
      <c r="B84" s="32">
        <v>45540.807708333334</v>
      </c>
      <c r="C84" s="33">
        <v>45540.136180555557</v>
      </c>
      <c r="D84" s="34">
        <v>215.2</v>
      </c>
      <c r="E84" s="34">
        <v>9.5749999999999886</v>
      </c>
      <c r="F84" s="16">
        <v>10.856666666666667</v>
      </c>
      <c r="G84" s="16">
        <v>2.6403333333333343</v>
      </c>
    </row>
    <row r="85" spans="1:7" x14ac:dyDescent="0.2">
      <c r="A85" s="48">
        <v>45540.80840277778</v>
      </c>
      <c r="B85" s="32">
        <v>45540.80840277778</v>
      </c>
      <c r="C85" s="33">
        <v>45540.136875000004</v>
      </c>
      <c r="D85" s="34">
        <v>215.1</v>
      </c>
      <c r="E85" s="34">
        <v>9.4749999999999943</v>
      </c>
      <c r="F85" s="16">
        <v>10.823333333333332</v>
      </c>
      <c r="G85" s="16">
        <v>2.6069999999999993</v>
      </c>
    </row>
    <row r="86" spans="1:7" x14ac:dyDescent="0.2">
      <c r="A86" s="48">
        <v>45540.80909722222</v>
      </c>
      <c r="B86" s="32">
        <v>45540.80909722222</v>
      </c>
      <c r="C86" s="33">
        <v>45540.137569444443</v>
      </c>
      <c r="D86" s="34">
        <v>214.9</v>
      </c>
      <c r="E86" s="34">
        <v>9.2750000000000057</v>
      </c>
      <c r="F86" s="16">
        <v>10.776666666666666</v>
      </c>
      <c r="G86" s="16">
        <v>2.5603333333333325</v>
      </c>
    </row>
    <row r="87" spans="1:7" x14ac:dyDescent="0.2">
      <c r="A87" s="48">
        <v>45540.809791666667</v>
      </c>
      <c r="B87" s="32">
        <v>45540.809791666667</v>
      </c>
      <c r="C87" s="33">
        <v>45540.13826388889</v>
      </c>
      <c r="D87" s="34">
        <v>214.8</v>
      </c>
      <c r="E87" s="34">
        <v>9.1750000000000114</v>
      </c>
      <c r="F87" s="16">
        <v>10.726666666666667</v>
      </c>
      <c r="G87" s="16">
        <v>2.5103333333333335</v>
      </c>
    </row>
    <row r="88" spans="1:7" x14ac:dyDescent="0.2">
      <c r="A88" s="48">
        <v>45540.810486111113</v>
      </c>
      <c r="B88" s="32">
        <v>45540.810486111113</v>
      </c>
      <c r="C88" s="33">
        <v>45540.138958333337</v>
      </c>
      <c r="D88" s="34">
        <v>215</v>
      </c>
      <c r="E88" s="34">
        <v>9.375</v>
      </c>
      <c r="F88" s="16">
        <v>10.79</v>
      </c>
      <c r="G88" s="16">
        <v>2.5736666666666661</v>
      </c>
    </row>
    <row r="89" spans="1:7" x14ac:dyDescent="0.2">
      <c r="A89" s="48">
        <v>45540.811180555553</v>
      </c>
      <c r="B89" s="32">
        <v>45540.811180555553</v>
      </c>
      <c r="C89" s="33">
        <v>45540.139652777776</v>
      </c>
      <c r="D89" s="34">
        <v>214.7</v>
      </c>
      <c r="E89" s="34">
        <v>9.0749999999999886</v>
      </c>
      <c r="F89" s="16">
        <v>10.723333333333334</v>
      </c>
      <c r="G89" s="16">
        <v>2.5070000000000014</v>
      </c>
    </row>
    <row r="90" spans="1:7" x14ac:dyDescent="0.2">
      <c r="A90" s="48">
        <v>45540.811874999999</v>
      </c>
      <c r="B90" s="32">
        <v>45540.811874999999</v>
      </c>
      <c r="C90" s="33">
        <v>45540.140347222223</v>
      </c>
      <c r="D90" s="34">
        <v>214.8</v>
      </c>
      <c r="E90" s="34">
        <v>9.1750000000000114</v>
      </c>
      <c r="F90" s="16">
        <v>10.71</v>
      </c>
      <c r="G90" s="16">
        <v>2.4936666666666678</v>
      </c>
    </row>
    <row r="91" spans="1:7" x14ac:dyDescent="0.2">
      <c r="A91" s="48">
        <v>45540.812569444446</v>
      </c>
      <c r="B91" s="32">
        <v>45540.812569444446</v>
      </c>
      <c r="C91" s="33">
        <v>45540.141041666669</v>
      </c>
      <c r="D91" s="34">
        <v>214.7</v>
      </c>
      <c r="E91" s="34">
        <v>9.0749999999999886</v>
      </c>
      <c r="F91" s="16">
        <v>10.71</v>
      </c>
      <c r="G91" s="16">
        <v>2.4936666666666678</v>
      </c>
    </row>
    <row r="92" spans="1:7" x14ac:dyDescent="0.2">
      <c r="A92" s="48">
        <v>45540.813263888886</v>
      </c>
      <c r="B92" s="32">
        <v>45540.813263888886</v>
      </c>
      <c r="C92" s="33">
        <v>45540.141736111109</v>
      </c>
      <c r="D92" s="34">
        <v>214.6</v>
      </c>
      <c r="E92" s="34">
        <v>8.9749999999999943</v>
      </c>
      <c r="F92" s="16">
        <v>10.666666666666666</v>
      </c>
      <c r="G92" s="16">
        <v>2.450333333333333</v>
      </c>
    </row>
    <row r="93" spans="1:7" x14ac:dyDescent="0.2">
      <c r="A93" s="48">
        <v>45540.813958333332</v>
      </c>
      <c r="B93" s="32">
        <v>45540.813958333332</v>
      </c>
      <c r="C93" s="33">
        <v>45540.142430555556</v>
      </c>
      <c r="D93" s="34">
        <v>214.3</v>
      </c>
      <c r="E93" s="34">
        <v>8.6750000000000114</v>
      </c>
      <c r="F93" s="16">
        <v>10.616666666666667</v>
      </c>
      <c r="G93" s="16">
        <v>2.4003333333333341</v>
      </c>
    </row>
    <row r="94" spans="1:7" x14ac:dyDescent="0.2">
      <c r="A94" s="48">
        <v>45540.814652777779</v>
      </c>
      <c r="B94" s="32">
        <v>45540.814652777779</v>
      </c>
      <c r="C94" s="33">
        <v>45540.143125000002</v>
      </c>
      <c r="D94" s="34">
        <v>214.4</v>
      </c>
      <c r="E94" s="34">
        <v>8.7750000000000057</v>
      </c>
      <c r="F94" s="16">
        <v>10.590000000000002</v>
      </c>
      <c r="G94" s="16">
        <v>2.3736666666666686</v>
      </c>
    </row>
    <row r="95" spans="1:7" x14ac:dyDescent="0.2">
      <c r="A95" s="48">
        <v>45540.815347222226</v>
      </c>
      <c r="B95" s="32">
        <v>45540.815347222226</v>
      </c>
      <c r="C95" s="33">
        <v>45540.143819444449</v>
      </c>
      <c r="D95" s="34">
        <v>214.3</v>
      </c>
      <c r="E95" s="34">
        <v>8.6750000000000114</v>
      </c>
      <c r="F95" s="16">
        <v>10.546666666666667</v>
      </c>
      <c r="G95" s="16">
        <v>2.3303333333333338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20240905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2024-10-18T16:19:44Z</dcterms:created>
  <dcterms:modified xsi:type="dcterms:W3CDTF">2024-10-18T17:20:55Z</dcterms:modified>
</cp:coreProperties>
</file>