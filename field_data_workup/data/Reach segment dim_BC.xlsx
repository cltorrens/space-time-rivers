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data/"/>
    </mc:Choice>
  </mc:AlternateContent>
  <xr:revisionPtr revIDLastSave="0" documentId="13_ncr:1_{91D75378-B874-724C-A480-224E138936AB}" xr6:coauthVersionLast="47" xr6:coauthVersionMax="47" xr10:uidLastSave="{00000000-0000-0000-0000-000000000000}"/>
  <bookViews>
    <workbookView xWindow="560" yWindow="500" windowWidth="25040" windowHeight="13940" activeTab="2" xr2:uid="{B3A2B265-74E9-F044-AA66-FFB85EAA0966}"/>
  </bookViews>
  <sheets>
    <sheet name="lengths by segment" sheetId="1" r:id="rId1"/>
    <sheet name="widths by segment" sheetId="3" r:id="rId2"/>
    <sheet name="Cora's widths" sheetId="4" r:id="rId3"/>
    <sheet name="total w to main for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P5" i="4"/>
  <c r="O13" i="3"/>
  <c r="D8" i="4"/>
  <c r="D7" i="4"/>
  <c r="D12" i="4"/>
  <c r="D16" i="4"/>
  <c r="D20" i="4"/>
  <c r="C7" i="4"/>
  <c r="C8" i="4"/>
  <c r="C9" i="4"/>
  <c r="D9" i="4" s="1"/>
  <c r="C10" i="4"/>
  <c r="D10" i="4" s="1"/>
  <c r="C11" i="4"/>
  <c r="D11" i="4" s="1"/>
  <c r="C12" i="4"/>
  <c r="C13" i="4"/>
  <c r="D13" i="4" s="1"/>
  <c r="C14" i="4"/>
  <c r="D14" i="4" s="1"/>
  <c r="C15" i="4"/>
  <c r="D15" i="4" s="1"/>
  <c r="C16" i="4"/>
  <c r="C17" i="4"/>
  <c r="D17" i="4" s="1"/>
  <c r="C18" i="4"/>
  <c r="D18" i="4" s="1"/>
  <c r="C19" i="4"/>
  <c r="D19" i="4" s="1"/>
  <c r="C20" i="4"/>
  <c r="C6" i="4"/>
  <c r="D6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8" i="4"/>
  <c r="E28" i="4" s="1"/>
  <c r="D27" i="4"/>
  <c r="E27" i="4" s="1"/>
  <c r="G13" i="4"/>
  <c r="H13" i="4" s="1"/>
  <c r="H11" i="4"/>
  <c r="H10" i="4"/>
  <c r="H9" i="4"/>
  <c r="H8" i="4"/>
  <c r="H7" i="4"/>
  <c r="H6" i="4"/>
  <c r="B53" i="3"/>
  <c r="D40" i="3"/>
  <c r="B40" i="3"/>
  <c r="B49" i="3" s="1"/>
  <c r="C39" i="3"/>
  <c r="B39" i="3"/>
  <c r="B48" i="3" s="1"/>
  <c r="B38" i="3"/>
  <c r="B47" i="3" s="1"/>
  <c r="E36" i="3"/>
  <c r="C32" i="3"/>
  <c r="C31" i="3"/>
  <c r="F32" i="3" s="1"/>
  <c r="C30" i="3"/>
  <c r="F31" i="3" s="1"/>
  <c r="C29" i="3"/>
  <c r="F30" i="3" s="1"/>
  <c r="C28" i="3"/>
  <c r="F29" i="3" s="1"/>
  <c r="C27" i="3"/>
  <c r="F28" i="3" s="1"/>
  <c r="C26" i="3"/>
  <c r="F27" i="3" s="1"/>
  <c r="C25" i="3"/>
  <c r="F26" i="3" s="1"/>
  <c r="C24" i="3"/>
  <c r="F25" i="3" s="1"/>
  <c r="C23" i="3"/>
  <c r="F24" i="3" s="1"/>
  <c r="C22" i="3"/>
  <c r="F23" i="3" s="1"/>
  <c r="C21" i="3"/>
  <c r="F22" i="3" s="1"/>
  <c r="C20" i="3"/>
  <c r="F21" i="3" s="1"/>
  <c r="C19" i="3"/>
  <c r="F20" i="3" s="1"/>
  <c r="C18" i="3"/>
  <c r="F19" i="3" s="1"/>
  <c r="C17" i="3"/>
  <c r="F18" i="3" s="1"/>
  <c r="C16" i="3"/>
  <c r="F17" i="3" s="1"/>
  <c r="C15" i="3"/>
  <c r="F16" i="3" s="1"/>
  <c r="C14" i="3"/>
  <c r="F15" i="3" s="1"/>
  <c r="C13" i="3"/>
  <c r="F14" i="3" s="1"/>
  <c r="C12" i="3"/>
  <c r="F13" i="3" s="1"/>
  <c r="C11" i="3"/>
  <c r="F12" i="3" s="1"/>
  <c r="C10" i="3"/>
  <c r="F11" i="3" s="1"/>
  <c r="C9" i="3"/>
  <c r="F10" i="3" s="1"/>
  <c r="C8" i="3"/>
  <c r="F9" i="3" s="1"/>
  <c r="C7" i="3"/>
  <c r="F8" i="3" s="1"/>
  <c r="C6" i="3"/>
  <c r="F7" i="3" s="1"/>
  <c r="C5" i="3"/>
  <c r="F6" i="3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C4" i="3"/>
  <c r="C53" i="3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4" i="1"/>
  <c r="C22" i="4" l="1"/>
  <c r="D22" i="4" s="1"/>
  <c r="E22" i="4"/>
  <c r="F22" i="4" s="1"/>
  <c r="E43" i="4"/>
  <c r="D43" i="4"/>
  <c r="F33" i="3"/>
  <c r="D6" i="3"/>
  <c r="D10" i="3"/>
  <c r="D14" i="3"/>
  <c r="D17" i="3"/>
  <c r="D18" i="3"/>
  <c r="D21" i="3"/>
  <c r="D22" i="3"/>
  <c r="D25" i="3"/>
  <c r="D26" i="3"/>
  <c r="D29" i="3"/>
  <c r="D30" i="3"/>
  <c r="C38" i="3"/>
  <c r="D4" i="3" s="1"/>
  <c r="F5" i="3"/>
  <c r="F36" i="3" s="1"/>
  <c r="C40" i="3"/>
  <c r="D28" i="3" l="1"/>
  <c r="D24" i="3"/>
  <c r="D20" i="3"/>
  <c r="D16" i="3"/>
  <c r="D12" i="3"/>
  <c r="D8" i="3"/>
  <c r="D13" i="3"/>
  <c r="D9" i="3"/>
  <c r="D5" i="3"/>
  <c r="D38" i="3" s="1"/>
  <c r="D31" i="3"/>
  <c r="D27" i="3"/>
  <c r="D23" i="3"/>
  <c r="D19" i="3"/>
  <c r="D15" i="3"/>
  <c r="D11" i="3"/>
  <c r="D7" i="3"/>
  <c r="D32" i="3"/>
</calcChain>
</file>

<file path=xl/sharedStrings.xml><?xml version="1.0" encoding="utf-8"?>
<sst xmlns="http://schemas.openxmlformats.org/spreadsheetml/2006/main" count="110" uniqueCount="68">
  <si>
    <t>reach length - beaver creek</t>
  </si>
  <si>
    <t>waypoint A</t>
  </si>
  <si>
    <t>waypoint B</t>
  </si>
  <si>
    <t>distance (m)</t>
  </si>
  <si>
    <t>cumulative distance (m)</t>
  </si>
  <si>
    <t>DO sensor near here? (upstream ford)</t>
  </si>
  <si>
    <t>Short-side DO sensor</t>
  </si>
  <si>
    <t>Widths - upper beaver creek site to springs</t>
  </si>
  <si>
    <t>point #</t>
  </si>
  <si>
    <t>width (y)</t>
  </si>
  <si>
    <t>width (m)</t>
  </si>
  <si>
    <t>variance</t>
  </si>
  <si>
    <t>distance US (m)</t>
  </si>
  <si>
    <t>area (m2)</t>
  </si>
  <si>
    <t>cum_distance US</t>
  </si>
  <si>
    <t>deg N</t>
  </si>
  <si>
    <t>deg W</t>
  </si>
  <si>
    <t>notes</t>
  </si>
  <si>
    <t>at the sensors; apparently the waypoint didn't take, recaptured at home / at start of track</t>
  </si>
  <si>
    <t xml:space="preserve">4:53p </t>
  </si>
  <si>
    <t>W4 far from stream - recaptured from an additional point taken.</t>
  </si>
  <si>
    <t>soggy 'bar' in wetted width = 18 y / 16.5 m</t>
  </si>
  <si>
    <t>photo</t>
  </si>
  <si>
    <t>5:56:17pm on track; can't seem to add waypoint; got sl. Shorter coords by tapping 'arrow' when moved to that point in the track</t>
  </si>
  <si>
    <t>photo - fence</t>
  </si>
  <si>
    <t>photo - spring pool, where I took width</t>
  </si>
  <si>
    <t>6:17:42pm on track; can't seem to add waypoint; got sl. Shorter coords by tapping 'arrow' when moved to that point in the track</t>
  </si>
  <si>
    <t>NA</t>
  </si>
  <si>
    <t>photo - spring head pool</t>
  </si>
  <si>
    <t>photo - uppermost spring head</t>
  </si>
  <si>
    <t>TOTAL LENGTH &amp; AREA</t>
  </si>
  <si>
    <t>variance (Excel)</t>
  </si>
  <si>
    <t>sd (Excel)</t>
  </si>
  <si>
    <t>addtl points</t>
  </si>
  <si>
    <t>other branch?</t>
  </si>
  <si>
    <t>a tributary that enters around ???</t>
  </si>
  <si>
    <t>Average along reach (1-17)</t>
  </si>
  <si>
    <t xml:space="preserve">Cora's measurements  </t>
  </si>
  <si>
    <t>y to m converstion</t>
  </si>
  <si>
    <t>all between active ford + sensor, I believe…  measured in yards then converted to meters</t>
  </si>
  <si>
    <t>measured from bank</t>
  </si>
  <si>
    <t>measured at water level</t>
  </si>
  <si>
    <t>width_hypotenuse</t>
  </si>
  <si>
    <t>degrees_height</t>
  </si>
  <si>
    <t>CS height_y?</t>
  </si>
  <si>
    <t>width/ actual</t>
  </si>
  <si>
    <t>width_m</t>
  </si>
  <si>
    <t>width_y</t>
  </si>
  <si>
    <t xml:space="preserve"> I don't trust that this one didn't include the island</t>
  </si>
  <si>
    <t>AVG</t>
  </si>
  <si>
    <t>gross approximation below!!!</t>
  </si>
  <si>
    <t>b=cos*hypotenuse</t>
  </si>
  <si>
    <t>y</t>
  </si>
  <si>
    <t>m</t>
  </si>
  <si>
    <t>Upper (unused) ford between 17 and 18 - closer to 18</t>
  </si>
  <si>
    <t>main ford in between 9 and 10- (closer to 10)</t>
  </si>
  <si>
    <t xml:space="preserve">avg to 10 = </t>
  </si>
  <si>
    <t>may include island…</t>
  </si>
  <si>
    <t>total measurements to main ford</t>
  </si>
  <si>
    <t xml:space="preserve">average = </t>
  </si>
  <si>
    <t>g</t>
  </si>
  <si>
    <t>total trusted measurements to main ford</t>
  </si>
  <si>
    <t>date</t>
  </si>
  <si>
    <t>measured by</t>
  </si>
  <si>
    <t>CS</t>
  </si>
  <si>
    <t>CT</t>
  </si>
  <si>
    <t>average width</t>
  </si>
  <si>
    <t>https://www.youtube.com/watch?v=rbokZWrwCJE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</si>
</sst>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1" fillId="4" borderId="0" xfId="0" applyFont="1" applyFill="1"/>
    <xf numFmtId="1" fontId="1" fillId="4" borderId="0" xfId="0" applyNumberFormat="1" applyFont="1" applyFill="1"/>
    <xf numFmtId="14" fontId="1" fillId="0" borderId="0" xfId="0" applyNumberFormat="1" applyFont="1"/>
    <xf numFmtId="14" fontId="0" fillId="0" borderId="0" xfId="0" applyNumberFormat="1"/>
    <xf numFmtId="0" fontId="2" fillId="3" borderId="0" xfId="0" applyFont="1" applyFill="1"/>
    <xf numFmtId="2" fontId="0" fillId="0" borderId="0" xfId="0" applyNumberFormat="1"/>
    <xf numFmtId="2" fontId="3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2872-D0F4-074E-BB9A-2AB16B74DDEB}">
  <dimension ref="A1:E32"/>
  <sheetViews>
    <sheetView topLeftCell="A43" workbookViewId="0">
      <selection activeCell="H23" sqref="H23"/>
    </sheetView>
  </sheetViews>
  <sheetFormatPr baseColWidth="10" defaultRowHeight="16" x14ac:dyDescent="0.2"/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>
        <v>1</v>
      </c>
      <c r="B4">
        <v>2</v>
      </c>
      <c r="C4">
        <v>101</v>
      </c>
      <c r="D4">
        <f>C4</f>
        <v>101</v>
      </c>
    </row>
    <row r="5" spans="1:4" x14ac:dyDescent="0.2">
      <c r="A5">
        <v>2</v>
      </c>
      <c r="B5">
        <v>3</v>
      </c>
      <c r="C5">
        <v>82.7</v>
      </c>
      <c r="D5">
        <f>D4+C5</f>
        <v>183.7</v>
      </c>
    </row>
    <row r="6" spans="1:4" x14ac:dyDescent="0.2">
      <c r="A6">
        <v>3</v>
      </c>
      <c r="B6">
        <v>4</v>
      </c>
      <c r="C6">
        <v>59.2</v>
      </c>
      <c r="D6">
        <f t="shared" ref="D6:D32" si="0">D5+C6</f>
        <v>242.89999999999998</v>
      </c>
    </row>
    <row r="7" spans="1:4" x14ac:dyDescent="0.2">
      <c r="A7">
        <v>4</v>
      </c>
      <c r="B7">
        <v>5</v>
      </c>
      <c r="C7">
        <v>62.9</v>
      </c>
      <c r="D7">
        <f t="shared" si="0"/>
        <v>305.79999999999995</v>
      </c>
    </row>
    <row r="8" spans="1:4" x14ac:dyDescent="0.2">
      <c r="A8">
        <v>5</v>
      </c>
      <c r="B8">
        <v>6</v>
      </c>
      <c r="C8">
        <v>75</v>
      </c>
      <c r="D8">
        <f t="shared" si="0"/>
        <v>380.79999999999995</v>
      </c>
    </row>
    <row r="9" spans="1:4" x14ac:dyDescent="0.2">
      <c r="A9">
        <v>6</v>
      </c>
      <c r="B9">
        <v>7</v>
      </c>
      <c r="C9">
        <v>51.6</v>
      </c>
      <c r="D9">
        <f t="shared" si="0"/>
        <v>432.4</v>
      </c>
    </row>
    <row r="10" spans="1:4" x14ac:dyDescent="0.2">
      <c r="A10">
        <v>7</v>
      </c>
      <c r="B10">
        <v>8</v>
      </c>
      <c r="C10">
        <v>37</v>
      </c>
      <c r="D10">
        <f t="shared" si="0"/>
        <v>469.4</v>
      </c>
    </row>
    <row r="11" spans="1:4" x14ac:dyDescent="0.2">
      <c r="A11">
        <v>8</v>
      </c>
      <c r="B11">
        <v>9</v>
      </c>
      <c r="C11">
        <v>54.5</v>
      </c>
      <c r="D11">
        <f t="shared" si="0"/>
        <v>523.9</v>
      </c>
    </row>
    <row r="12" spans="1:4" x14ac:dyDescent="0.2">
      <c r="A12">
        <v>9</v>
      </c>
      <c r="B12">
        <v>10</v>
      </c>
      <c r="C12">
        <v>71.2</v>
      </c>
      <c r="D12">
        <f t="shared" si="0"/>
        <v>595.1</v>
      </c>
    </row>
    <row r="13" spans="1:4" x14ac:dyDescent="0.2">
      <c r="A13">
        <v>10</v>
      </c>
      <c r="B13">
        <v>11</v>
      </c>
      <c r="C13">
        <v>51</v>
      </c>
      <c r="D13">
        <f t="shared" si="0"/>
        <v>646.1</v>
      </c>
    </row>
    <row r="14" spans="1:4" x14ac:dyDescent="0.2">
      <c r="A14">
        <v>11</v>
      </c>
      <c r="B14">
        <v>12</v>
      </c>
      <c r="C14">
        <v>53.8</v>
      </c>
      <c r="D14">
        <f t="shared" si="0"/>
        <v>699.9</v>
      </c>
    </row>
    <row r="15" spans="1:4" x14ac:dyDescent="0.2">
      <c r="A15">
        <v>12</v>
      </c>
      <c r="B15">
        <v>13</v>
      </c>
      <c r="C15">
        <v>52.3</v>
      </c>
      <c r="D15">
        <f t="shared" si="0"/>
        <v>752.19999999999993</v>
      </c>
    </row>
    <row r="16" spans="1:4" x14ac:dyDescent="0.2">
      <c r="A16">
        <v>13</v>
      </c>
      <c r="B16">
        <v>14</v>
      </c>
      <c r="C16">
        <v>49.3</v>
      </c>
      <c r="D16">
        <f t="shared" si="0"/>
        <v>801.49999999999989</v>
      </c>
    </row>
    <row r="17" spans="1:5" x14ac:dyDescent="0.2">
      <c r="A17" s="1">
        <v>14</v>
      </c>
      <c r="B17" s="1">
        <v>15</v>
      </c>
      <c r="C17" s="1">
        <v>49.8</v>
      </c>
      <c r="D17" s="1">
        <f t="shared" si="0"/>
        <v>851.29999999999984</v>
      </c>
      <c r="E17" s="1" t="s">
        <v>6</v>
      </c>
    </row>
    <row r="18" spans="1:5" x14ac:dyDescent="0.2">
      <c r="A18">
        <v>15</v>
      </c>
      <c r="B18">
        <v>16</v>
      </c>
      <c r="C18">
        <v>60.7</v>
      </c>
      <c r="D18">
        <f t="shared" si="0"/>
        <v>911.99999999999989</v>
      </c>
    </row>
    <row r="19" spans="1:5" x14ac:dyDescent="0.2">
      <c r="A19">
        <v>16</v>
      </c>
      <c r="B19">
        <v>17</v>
      </c>
      <c r="C19">
        <v>48.2</v>
      </c>
      <c r="D19">
        <f t="shared" si="0"/>
        <v>960.19999999999993</v>
      </c>
    </row>
    <row r="20" spans="1:5" x14ac:dyDescent="0.2">
      <c r="A20" s="1">
        <v>17</v>
      </c>
      <c r="B20" s="1">
        <v>18</v>
      </c>
      <c r="C20" s="1">
        <v>68.3</v>
      </c>
      <c r="D20" s="1">
        <f t="shared" si="0"/>
        <v>1028.5</v>
      </c>
      <c r="E20" s="1" t="s">
        <v>5</v>
      </c>
    </row>
    <row r="21" spans="1:5" x14ac:dyDescent="0.2">
      <c r="A21">
        <v>18</v>
      </c>
      <c r="B21">
        <v>19</v>
      </c>
      <c r="C21">
        <v>35.9</v>
      </c>
      <c r="D21">
        <f t="shared" si="0"/>
        <v>1064.4000000000001</v>
      </c>
    </row>
    <row r="22" spans="1:5" x14ac:dyDescent="0.2">
      <c r="A22">
        <v>19</v>
      </c>
      <c r="B22">
        <v>20</v>
      </c>
      <c r="C22">
        <v>76.900000000000006</v>
      </c>
      <c r="D22">
        <f t="shared" si="0"/>
        <v>1141.3000000000002</v>
      </c>
    </row>
    <row r="23" spans="1:5" x14ac:dyDescent="0.2">
      <c r="A23">
        <v>20</v>
      </c>
      <c r="B23">
        <v>21</v>
      </c>
      <c r="C23">
        <v>59.1</v>
      </c>
      <c r="D23">
        <f t="shared" si="0"/>
        <v>1200.4000000000001</v>
      </c>
    </row>
    <row r="24" spans="1:5" x14ac:dyDescent="0.2">
      <c r="A24">
        <v>21</v>
      </c>
      <c r="B24">
        <v>22</v>
      </c>
      <c r="C24">
        <v>101</v>
      </c>
      <c r="D24">
        <f t="shared" si="0"/>
        <v>1301.4000000000001</v>
      </c>
    </row>
    <row r="25" spans="1:5" x14ac:dyDescent="0.2">
      <c r="A25">
        <v>22</v>
      </c>
      <c r="B25">
        <v>23</v>
      </c>
      <c r="C25">
        <v>55.8</v>
      </c>
      <c r="D25">
        <f t="shared" si="0"/>
        <v>1357.2</v>
      </c>
    </row>
    <row r="26" spans="1:5" x14ac:dyDescent="0.2">
      <c r="A26">
        <v>23</v>
      </c>
      <c r="B26">
        <v>24</v>
      </c>
      <c r="C26">
        <v>49.4</v>
      </c>
      <c r="D26">
        <f t="shared" si="0"/>
        <v>1406.6000000000001</v>
      </c>
    </row>
    <row r="27" spans="1:5" x14ac:dyDescent="0.2">
      <c r="A27">
        <v>24</v>
      </c>
      <c r="B27">
        <v>25</v>
      </c>
      <c r="C27">
        <v>52.2</v>
      </c>
      <c r="D27">
        <f t="shared" si="0"/>
        <v>1458.8000000000002</v>
      </c>
    </row>
    <row r="28" spans="1:5" x14ac:dyDescent="0.2">
      <c r="A28">
        <v>25</v>
      </c>
      <c r="B28">
        <v>26</v>
      </c>
      <c r="C28">
        <v>41.4</v>
      </c>
      <c r="D28">
        <f t="shared" si="0"/>
        <v>1500.2000000000003</v>
      </c>
    </row>
    <row r="29" spans="1:5" x14ac:dyDescent="0.2">
      <c r="A29">
        <v>26</v>
      </c>
      <c r="B29">
        <v>27</v>
      </c>
      <c r="C29">
        <v>68.8</v>
      </c>
      <c r="D29">
        <f t="shared" si="0"/>
        <v>1569.0000000000002</v>
      </c>
    </row>
    <row r="30" spans="1:5" x14ac:dyDescent="0.2">
      <c r="A30">
        <v>27</v>
      </c>
      <c r="B30">
        <v>28</v>
      </c>
      <c r="C30">
        <v>36.200000000000003</v>
      </c>
      <c r="D30">
        <f t="shared" si="0"/>
        <v>1605.2000000000003</v>
      </c>
    </row>
    <row r="31" spans="1:5" x14ac:dyDescent="0.2">
      <c r="A31">
        <v>28</v>
      </c>
      <c r="B31">
        <v>29</v>
      </c>
      <c r="C31">
        <v>110</v>
      </c>
      <c r="D31">
        <f t="shared" si="0"/>
        <v>1715.2000000000003</v>
      </c>
    </row>
    <row r="32" spans="1:5" x14ac:dyDescent="0.2">
      <c r="A32">
        <v>29</v>
      </c>
      <c r="B32">
        <v>30</v>
      </c>
      <c r="C32">
        <v>51</v>
      </c>
      <c r="D32">
        <f t="shared" si="0"/>
        <v>1766.2000000000003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B27B-06DA-834F-B3BB-0D1C257B3C4F}">
  <dimension ref="A1:O54"/>
  <sheetViews>
    <sheetView topLeftCell="A41" workbookViewId="0">
      <selection activeCell="D39" sqref="D39"/>
    </sheetView>
  </sheetViews>
  <sheetFormatPr baseColWidth="10" defaultRowHeight="16" x14ac:dyDescent="0.2"/>
  <cols>
    <col min="10" max="10" width="11" customWidth="1"/>
  </cols>
  <sheetData>
    <row r="1" spans="1:15" x14ac:dyDescent="0.2">
      <c r="A1" s="2" t="s">
        <v>7</v>
      </c>
    </row>
    <row r="3" spans="1:1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5" x14ac:dyDescent="0.2">
      <c r="A4">
        <v>1</v>
      </c>
      <c r="B4">
        <v>19</v>
      </c>
      <c r="C4" s="3">
        <f>B4*0.9144</f>
        <v>17.3736</v>
      </c>
      <c r="D4" s="3">
        <f t="shared" ref="D4:D32" si="0">(C4-$C$38)^2</f>
        <v>5.0117931293222107</v>
      </c>
      <c r="E4" s="3">
        <v>0</v>
      </c>
      <c r="F4" s="3"/>
      <c r="G4" s="3">
        <f>E4</f>
        <v>0</v>
      </c>
      <c r="H4">
        <v>48.461950000000002</v>
      </c>
      <c r="I4">
        <v>113.81963</v>
      </c>
      <c r="J4" t="s">
        <v>18</v>
      </c>
    </row>
    <row r="5" spans="1:15" x14ac:dyDescent="0.2">
      <c r="A5">
        <v>2</v>
      </c>
      <c r="B5">
        <v>18</v>
      </c>
      <c r="C5" s="3">
        <f t="shared" ref="C5:C32" si="1">B5*0.9144</f>
        <v>16.459199999999999</v>
      </c>
      <c r="D5" s="3">
        <f t="shared" si="0"/>
        <v>1.7537796231153229</v>
      </c>
      <c r="E5" s="3">
        <v>101</v>
      </c>
      <c r="F5" s="3">
        <f>E5* (C4+C5)/2</f>
        <v>1708.5563999999999</v>
      </c>
      <c r="G5" s="3">
        <f>E5+G4</f>
        <v>101</v>
      </c>
      <c r="H5">
        <v>48.461351999999998</v>
      </c>
      <c r="I5">
        <v>113.819689</v>
      </c>
    </row>
    <row r="6" spans="1:15" x14ac:dyDescent="0.2">
      <c r="A6">
        <v>3</v>
      </c>
      <c r="B6">
        <v>18</v>
      </c>
      <c r="C6" s="3">
        <f t="shared" si="1"/>
        <v>16.459199999999999</v>
      </c>
      <c r="D6" s="3">
        <f t="shared" si="0"/>
        <v>1.7537796231153229</v>
      </c>
      <c r="E6" s="3">
        <v>83</v>
      </c>
      <c r="F6" s="3">
        <f t="shared" ref="F6:F33" si="2">E6* (C5+C6)/2</f>
        <v>1366.1135999999999</v>
      </c>
      <c r="G6" s="3">
        <f t="shared" ref="G6:G33" si="3">E6+G5</f>
        <v>184</v>
      </c>
      <c r="H6">
        <v>48.460737999999999</v>
      </c>
      <c r="I6">
        <v>113.819596</v>
      </c>
    </row>
    <row r="7" spans="1:15" x14ac:dyDescent="0.2">
      <c r="A7">
        <v>4</v>
      </c>
      <c r="B7">
        <v>15</v>
      </c>
      <c r="C7" s="3">
        <f t="shared" si="1"/>
        <v>13.715999999999999</v>
      </c>
      <c r="D7" s="3">
        <f t="shared" si="0"/>
        <v>2.013267424494666</v>
      </c>
      <c r="E7" s="3">
        <v>59</v>
      </c>
      <c r="F7" s="3">
        <f t="shared" si="2"/>
        <v>890.16839999999991</v>
      </c>
      <c r="G7" s="3">
        <f t="shared" si="3"/>
        <v>243</v>
      </c>
      <c r="H7">
        <v>48.460462</v>
      </c>
      <c r="I7">
        <v>113.81917199999999</v>
      </c>
      <c r="J7" t="s">
        <v>19</v>
      </c>
      <c r="K7" t="s">
        <v>20</v>
      </c>
    </row>
    <row r="8" spans="1:15" x14ac:dyDescent="0.2">
      <c r="A8">
        <v>5</v>
      </c>
      <c r="B8">
        <v>22</v>
      </c>
      <c r="C8" s="3">
        <f t="shared" si="1"/>
        <v>20.116800000000001</v>
      </c>
      <c r="D8" s="3">
        <f t="shared" si="0"/>
        <v>24.819361967942886</v>
      </c>
      <c r="E8" s="3">
        <v>63</v>
      </c>
      <c r="F8" s="3">
        <f t="shared" si="2"/>
        <v>1065.7331999999999</v>
      </c>
      <c r="G8" s="3">
        <f t="shared" si="3"/>
        <v>306</v>
      </c>
      <c r="H8">
        <v>48.460200999999998</v>
      </c>
      <c r="I8">
        <v>113.818411</v>
      </c>
    </row>
    <row r="9" spans="1:15" x14ac:dyDescent="0.2">
      <c r="A9">
        <v>6</v>
      </c>
      <c r="B9">
        <v>22</v>
      </c>
      <c r="C9" s="3">
        <f t="shared" si="1"/>
        <v>20.116800000000001</v>
      </c>
      <c r="D9" s="3">
        <f t="shared" si="0"/>
        <v>24.819361967942886</v>
      </c>
      <c r="E9" s="3">
        <v>75</v>
      </c>
      <c r="F9" s="3">
        <f t="shared" si="2"/>
        <v>1508.76</v>
      </c>
      <c r="G9" s="3">
        <f t="shared" si="3"/>
        <v>381</v>
      </c>
      <c r="H9">
        <v>48.460045000000001</v>
      </c>
      <c r="I9">
        <v>113.817504</v>
      </c>
    </row>
    <row r="10" spans="1:15" x14ac:dyDescent="0.2">
      <c r="A10">
        <v>7</v>
      </c>
      <c r="B10">
        <v>14</v>
      </c>
      <c r="C10" s="3">
        <f t="shared" si="1"/>
        <v>12.801600000000001</v>
      </c>
      <c r="D10" s="3">
        <f t="shared" si="0"/>
        <v>5.4442727982877743</v>
      </c>
      <c r="E10" s="3">
        <v>52</v>
      </c>
      <c r="F10" s="3">
        <f t="shared" si="2"/>
        <v>855.87840000000017</v>
      </c>
      <c r="G10" s="3">
        <f t="shared" si="3"/>
        <v>433</v>
      </c>
      <c r="H10">
        <v>48.459896000000001</v>
      </c>
      <c r="I10">
        <v>113.816799</v>
      </c>
    </row>
    <row r="11" spans="1:15" x14ac:dyDescent="0.2">
      <c r="A11">
        <v>8</v>
      </c>
      <c r="B11">
        <v>18</v>
      </c>
      <c r="C11" s="3">
        <f t="shared" si="1"/>
        <v>16.459199999999999</v>
      </c>
      <c r="D11" s="3">
        <f t="shared" si="0"/>
        <v>1.7537796231153229</v>
      </c>
      <c r="E11" s="3">
        <v>37</v>
      </c>
      <c r="F11" s="3">
        <f t="shared" si="2"/>
        <v>541.32479999999998</v>
      </c>
      <c r="G11" s="3">
        <f t="shared" si="3"/>
        <v>470</v>
      </c>
      <c r="H11">
        <v>48.459727000000001</v>
      </c>
      <c r="I11">
        <v>113.816377</v>
      </c>
    </row>
    <row r="12" spans="1:15" x14ac:dyDescent="0.2">
      <c r="A12">
        <v>9</v>
      </c>
      <c r="B12">
        <v>21</v>
      </c>
      <c r="C12" s="3">
        <f t="shared" si="1"/>
        <v>19.202400000000001</v>
      </c>
      <c r="D12" s="3">
        <f t="shared" si="0"/>
        <v>16.544584301735991</v>
      </c>
      <c r="E12" s="3">
        <v>55</v>
      </c>
      <c r="F12" s="3">
        <f t="shared" si="2"/>
        <v>980.69399999999996</v>
      </c>
      <c r="G12" s="3">
        <f t="shared" si="3"/>
        <v>525</v>
      </c>
      <c r="H12">
        <v>48.459487000000003</v>
      </c>
      <c r="I12">
        <v>113.815721</v>
      </c>
    </row>
    <row r="13" spans="1:15" x14ac:dyDescent="0.2">
      <c r="A13">
        <v>10</v>
      </c>
      <c r="B13">
        <v>26</v>
      </c>
      <c r="C13" s="3">
        <f t="shared" si="1"/>
        <v>23.7744</v>
      </c>
      <c r="D13" s="3">
        <f t="shared" si="0"/>
        <v>74.641019832770425</v>
      </c>
      <c r="E13" s="3">
        <v>71</v>
      </c>
      <c r="F13" s="3">
        <f t="shared" si="2"/>
        <v>1525.6763999999998</v>
      </c>
      <c r="G13" s="3">
        <f t="shared" si="3"/>
        <v>596</v>
      </c>
      <c r="H13">
        <v>48.459032999999998</v>
      </c>
      <c r="I13">
        <v>113.815072</v>
      </c>
      <c r="J13" s="1" t="s">
        <v>55</v>
      </c>
      <c r="K13" s="1"/>
      <c r="L13" s="1"/>
      <c r="M13" s="1"/>
      <c r="N13" t="s">
        <v>56</v>
      </c>
      <c r="O13" s="3">
        <f>AVERAGE(C4:C13)</f>
        <v>17.647919999999999</v>
      </c>
    </row>
    <row r="14" spans="1:15" x14ac:dyDescent="0.2">
      <c r="A14">
        <v>11</v>
      </c>
      <c r="B14">
        <v>22</v>
      </c>
      <c r="C14" s="3">
        <f t="shared" si="1"/>
        <v>20.116800000000001</v>
      </c>
      <c r="D14" s="3">
        <f t="shared" si="0"/>
        <v>24.819361967942886</v>
      </c>
      <c r="E14" s="3">
        <v>51</v>
      </c>
      <c r="F14" s="3">
        <f t="shared" si="2"/>
        <v>1119.2256</v>
      </c>
      <c r="G14" s="3">
        <f t="shared" si="3"/>
        <v>647</v>
      </c>
      <c r="H14">
        <v>48.458826000000002</v>
      </c>
      <c r="I14">
        <v>113.814538</v>
      </c>
    </row>
    <row r="15" spans="1:15" x14ac:dyDescent="0.2">
      <c r="A15">
        <v>12</v>
      </c>
      <c r="B15">
        <v>20</v>
      </c>
      <c r="C15" s="3">
        <f t="shared" si="1"/>
        <v>18.288</v>
      </c>
      <c r="D15" s="3">
        <f t="shared" si="0"/>
        <v>9.9420613555291002</v>
      </c>
      <c r="E15" s="3">
        <v>54</v>
      </c>
      <c r="F15" s="3">
        <f t="shared" si="2"/>
        <v>1036.9295999999999</v>
      </c>
      <c r="G15" s="3">
        <f t="shared" si="3"/>
        <v>701</v>
      </c>
      <c r="H15">
        <v>48.458638999999998</v>
      </c>
      <c r="I15">
        <v>113.81383700000001</v>
      </c>
    </row>
    <row r="16" spans="1:15" x14ac:dyDescent="0.2">
      <c r="A16">
        <v>13</v>
      </c>
      <c r="B16">
        <v>18</v>
      </c>
      <c r="C16" s="3">
        <f t="shared" si="1"/>
        <v>16.459199999999999</v>
      </c>
      <c r="D16" s="3">
        <f t="shared" si="0"/>
        <v>1.7537796231153229</v>
      </c>
      <c r="E16" s="3">
        <v>52</v>
      </c>
      <c r="F16" s="3">
        <f t="shared" si="2"/>
        <v>903.42719999999997</v>
      </c>
      <c r="G16" s="3">
        <f t="shared" si="3"/>
        <v>753</v>
      </c>
      <c r="H16">
        <v>48.458432000000002</v>
      </c>
      <c r="I16">
        <v>113.81321699999999</v>
      </c>
    </row>
    <row r="17" spans="1:13" x14ac:dyDescent="0.2">
      <c r="A17">
        <v>14</v>
      </c>
      <c r="B17">
        <v>14</v>
      </c>
      <c r="C17" s="3">
        <f t="shared" si="1"/>
        <v>12.801600000000001</v>
      </c>
      <c r="D17" s="3">
        <f t="shared" si="0"/>
        <v>5.4442727982877743</v>
      </c>
      <c r="E17" s="3">
        <v>49</v>
      </c>
      <c r="F17" s="3">
        <f t="shared" si="2"/>
        <v>716.88959999999997</v>
      </c>
      <c r="G17" s="3">
        <f t="shared" si="3"/>
        <v>802</v>
      </c>
      <c r="H17">
        <v>48.458139000000003</v>
      </c>
      <c r="I17">
        <v>113.812676</v>
      </c>
    </row>
    <row r="18" spans="1:13" x14ac:dyDescent="0.2">
      <c r="A18">
        <v>15</v>
      </c>
      <c r="B18">
        <v>22</v>
      </c>
      <c r="C18" s="3">
        <f t="shared" si="1"/>
        <v>20.116800000000001</v>
      </c>
      <c r="D18" s="3">
        <f t="shared" si="0"/>
        <v>24.819361967942886</v>
      </c>
      <c r="E18" s="3">
        <v>50</v>
      </c>
      <c r="F18" s="3">
        <f t="shared" si="2"/>
        <v>822.96000000000015</v>
      </c>
      <c r="G18" s="3">
        <f t="shared" si="3"/>
        <v>852</v>
      </c>
      <c r="H18">
        <v>48.457717000000002</v>
      </c>
      <c r="I18">
        <v>113.812355</v>
      </c>
    </row>
    <row r="19" spans="1:13" x14ac:dyDescent="0.2">
      <c r="A19">
        <v>16</v>
      </c>
      <c r="B19">
        <v>18</v>
      </c>
      <c r="C19" s="3">
        <f t="shared" si="1"/>
        <v>16.459199999999999</v>
      </c>
      <c r="D19" s="3">
        <f t="shared" si="0"/>
        <v>1.7537796231153229</v>
      </c>
      <c r="E19" s="3">
        <v>61</v>
      </c>
      <c r="F19" s="3">
        <f t="shared" si="2"/>
        <v>1115.568</v>
      </c>
      <c r="G19" s="3">
        <f t="shared" si="3"/>
        <v>913</v>
      </c>
      <c r="H19">
        <v>48.457189999999997</v>
      </c>
      <c r="I19">
        <v>113.81226100000001</v>
      </c>
    </row>
    <row r="20" spans="1:13" x14ac:dyDescent="0.2">
      <c r="A20">
        <v>17</v>
      </c>
      <c r="B20">
        <v>20</v>
      </c>
      <c r="C20" s="3">
        <f t="shared" si="1"/>
        <v>18.288</v>
      </c>
      <c r="D20" s="3">
        <f t="shared" si="0"/>
        <v>9.9420613555291002</v>
      </c>
      <c r="E20" s="3">
        <v>48</v>
      </c>
      <c r="F20" s="3">
        <f t="shared" si="2"/>
        <v>833.93280000000004</v>
      </c>
      <c r="G20" s="3">
        <f t="shared" si="3"/>
        <v>961</v>
      </c>
      <c r="H20">
        <v>48.456812999999997</v>
      </c>
      <c r="I20">
        <v>113.811964</v>
      </c>
      <c r="J20" s="1" t="s">
        <v>54</v>
      </c>
      <c r="K20" s="1"/>
      <c r="L20" s="1"/>
      <c r="M20" s="1"/>
    </row>
    <row r="21" spans="1:13" x14ac:dyDescent="0.2">
      <c r="A21">
        <v>18</v>
      </c>
      <c r="B21" s="4">
        <v>11</v>
      </c>
      <c r="C21" s="5">
        <f t="shared" si="1"/>
        <v>10.058400000000001</v>
      </c>
      <c r="D21" s="3">
        <f t="shared" si="0"/>
        <v>25.77081723966711</v>
      </c>
      <c r="E21" s="3">
        <v>68</v>
      </c>
      <c r="F21" s="3">
        <f t="shared" si="2"/>
        <v>963.77760000000012</v>
      </c>
      <c r="G21" s="3">
        <f t="shared" si="3"/>
        <v>1029</v>
      </c>
      <c r="H21">
        <v>48.456276000000003</v>
      </c>
      <c r="I21">
        <v>113.811532</v>
      </c>
      <c r="J21" s="4" t="s">
        <v>21</v>
      </c>
      <c r="K21" s="4"/>
      <c r="L21" s="4"/>
      <c r="M21" s="4"/>
    </row>
    <row r="22" spans="1:13" x14ac:dyDescent="0.2">
      <c r="A22">
        <v>19</v>
      </c>
      <c r="B22">
        <v>18</v>
      </c>
      <c r="C22" s="3">
        <f t="shared" si="1"/>
        <v>16.459199999999999</v>
      </c>
      <c r="D22" s="3">
        <f t="shared" si="0"/>
        <v>1.7537796231153229</v>
      </c>
      <c r="E22" s="3">
        <v>36</v>
      </c>
      <c r="F22" s="3">
        <f t="shared" si="2"/>
        <v>477.31680000000006</v>
      </c>
      <c r="G22" s="3">
        <f t="shared" si="3"/>
        <v>1065</v>
      </c>
      <c r="H22">
        <v>48.455942999999998</v>
      </c>
      <c r="I22">
        <v>113.811404</v>
      </c>
    </row>
    <row r="23" spans="1:13" x14ac:dyDescent="0.2">
      <c r="A23">
        <v>20</v>
      </c>
      <c r="B23">
        <v>13</v>
      </c>
      <c r="C23" s="3">
        <f t="shared" si="1"/>
        <v>11.8872</v>
      </c>
      <c r="D23" s="3">
        <f t="shared" si="0"/>
        <v>10.54753289208089</v>
      </c>
      <c r="E23" s="3">
        <v>77</v>
      </c>
      <c r="F23" s="3">
        <f t="shared" si="2"/>
        <v>1091.3363999999999</v>
      </c>
      <c r="G23" s="3">
        <f t="shared" si="3"/>
        <v>1142</v>
      </c>
      <c r="H23">
        <v>48.455278999999997</v>
      </c>
      <c r="I23">
        <v>113.811443</v>
      </c>
    </row>
    <row r="24" spans="1:13" x14ac:dyDescent="0.2">
      <c r="A24">
        <v>21</v>
      </c>
      <c r="B24">
        <v>11</v>
      </c>
      <c r="C24" s="3">
        <f t="shared" si="1"/>
        <v>10.058400000000001</v>
      </c>
      <c r="D24" s="3">
        <f t="shared" si="0"/>
        <v>25.77081723966711</v>
      </c>
      <c r="E24" s="3">
        <v>59</v>
      </c>
      <c r="F24" s="3">
        <f t="shared" si="2"/>
        <v>647.39519999999993</v>
      </c>
      <c r="G24" s="3">
        <f t="shared" si="3"/>
        <v>1201</v>
      </c>
      <c r="H24">
        <v>48.454751999999999</v>
      </c>
      <c r="I24">
        <v>113.811612</v>
      </c>
    </row>
    <row r="25" spans="1:13" x14ac:dyDescent="0.2">
      <c r="A25">
        <v>22</v>
      </c>
      <c r="B25">
        <v>13</v>
      </c>
      <c r="C25" s="3">
        <f t="shared" si="1"/>
        <v>11.8872</v>
      </c>
      <c r="D25" s="3">
        <f t="shared" si="0"/>
        <v>10.54753289208089</v>
      </c>
      <c r="E25" s="3">
        <v>101</v>
      </c>
      <c r="F25" s="3">
        <f t="shared" si="2"/>
        <v>1108.2528</v>
      </c>
      <c r="G25" s="3">
        <f t="shared" si="3"/>
        <v>1302</v>
      </c>
      <c r="H25">
        <v>48.453907999999998</v>
      </c>
      <c r="I25">
        <v>113.811571</v>
      </c>
    </row>
    <row r="26" spans="1:13" x14ac:dyDescent="0.2">
      <c r="A26">
        <v>23</v>
      </c>
      <c r="B26">
        <v>12</v>
      </c>
      <c r="C26" s="3">
        <f t="shared" si="1"/>
        <v>10.972799999999999</v>
      </c>
      <c r="D26" s="3">
        <f t="shared" si="0"/>
        <v>17.323047705874007</v>
      </c>
      <c r="E26" s="3">
        <v>56</v>
      </c>
      <c r="F26" s="3">
        <f t="shared" si="2"/>
        <v>640.07999999999993</v>
      </c>
      <c r="G26" s="3">
        <f t="shared" si="3"/>
        <v>1358</v>
      </c>
      <c r="H26">
        <v>48.453603999999999</v>
      </c>
      <c r="I26">
        <v>113.810951</v>
      </c>
    </row>
    <row r="27" spans="1:13" x14ac:dyDescent="0.2">
      <c r="A27">
        <v>24</v>
      </c>
      <c r="B27">
        <v>12</v>
      </c>
      <c r="C27" s="3">
        <f t="shared" si="1"/>
        <v>10.972799999999999</v>
      </c>
      <c r="D27" s="3">
        <f t="shared" si="0"/>
        <v>17.323047705874007</v>
      </c>
      <c r="E27" s="3">
        <v>49</v>
      </c>
      <c r="F27" s="3">
        <f t="shared" si="2"/>
        <v>537.66719999999998</v>
      </c>
      <c r="G27" s="3">
        <f t="shared" si="3"/>
        <v>1407</v>
      </c>
      <c r="H27">
        <v>48.453774000000003</v>
      </c>
      <c r="I27">
        <v>113.810318</v>
      </c>
    </row>
    <row r="28" spans="1:13" x14ac:dyDescent="0.2">
      <c r="A28">
        <v>25</v>
      </c>
      <c r="B28">
        <v>8</v>
      </c>
      <c r="C28" s="3">
        <f t="shared" si="1"/>
        <v>7.3151999999999999</v>
      </c>
      <c r="D28" s="3">
        <f t="shared" si="0"/>
        <v>61.147654161046454</v>
      </c>
      <c r="E28" s="3">
        <v>52</v>
      </c>
      <c r="F28" s="3">
        <f t="shared" si="2"/>
        <v>475.488</v>
      </c>
      <c r="G28" s="3">
        <f t="shared" si="3"/>
        <v>1459</v>
      </c>
      <c r="H28">
        <v>48.45411</v>
      </c>
      <c r="I28">
        <v>113.80986</v>
      </c>
      <c r="J28" t="s">
        <v>22</v>
      </c>
      <c r="K28" t="s">
        <v>23</v>
      </c>
    </row>
    <row r="29" spans="1:13" x14ac:dyDescent="0.2">
      <c r="A29">
        <v>26</v>
      </c>
      <c r="B29">
        <v>13</v>
      </c>
      <c r="C29" s="3">
        <f t="shared" si="1"/>
        <v>11.8872</v>
      </c>
      <c r="D29" s="3">
        <f t="shared" si="0"/>
        <v>10.54753289208089</v>
      </c>
      <c r="E29" s="3">
        <v>41</v>
      </c>
      <c r="F29" s="3">
        <f t="shared" si="2"/>
        <v>393.64920000000001</v>
      </c>
      <c r="G29" s="3">
        <f t="shared" si="3"/>
        <v>1500</v>
      </c>
      <c r="H29">
        <v>48.454301000000001</v>
      </c>
      <c r="I29">
        <v>113.809455</v>
      </c>
    </row>
    <row r="30" spans="1:13" x14ac:dyDescent="0.2">
      <c r="A30">
        <v>27</v>
      </c>
      <c r="B30">
        <v>17</v>
      </c>
      <c r="C30" s="3">
        <f t="shared" si="1"/>
        <v>15.5448</v>
      </c>
      <c r="D30" s="3">
        <f t="shared" si="0"/>
        <v>0.16802083690843836</v>
      </c>
      <c r="E30" s="3">
        <v>69</v>
      </c>
      <c r="F30" s="3">
        <f t="shared" si="2"/>
        <v>946.40400000000011</v>
      </c>
      <c r="G30" s="3">
        <f t="shared" si="3"/>
        <v>1569</v>
      </c>
      <c r="H30">
        <v>48.453704000000002</v>
      </c>
      <c r="I30">
        <v>113.809394</v>
      </c>
    </row>
    <row r="31" spans="1:13" x14ac:dyDescent="0.2">
      <c r="A31">
        <v>28</v>
      </c>
      <c r="B31">
        <v>11</v>
      </c>
      <c r="C31" s="3">
        <f t="shared" si="1"/>
        <v>10.058400000000001</v>
      </c>
      <c r="D31" s="3">
        <f t="shared" si="0"/>
        <v>25.77081723966711</v>
      </c>
      <c r="E31" s="3">
        <v>36</v>
      </c>
      <c r="F31" s="3">
        <f t="shared" si="2"/>
        <v>460.85760000000005</v>
      </c>
      <c r="G31" s="3">
        <f t="shared" si="3"/>
        <v>1605</v>
      </c>
      <c r="H31">
        <v>48.453507999999999</v>
      </c>
      <c r="I31">
        <v>113.808998</v>
      </c>
      <c r="J31" t="s">
        <v>24</v>
      </c>
    </row>
    <row r="32" spans="1:13" x14ac:dyDescent="0.2">
      <c r="A32">
        <v>29</v>
      </c>
      <c r="B32">
        <v>14</v>
      </c>
      <c r="C32" s="3">
        <f t="shared" si="1"/>
        <v>12.801600000000001</v>
      </c>
      <c r="D32" s="3">
        <f t="shared" si="0"/>
        <v>5.4442727982877743</v>
      </c>
      <c r="E32" s="3">
        <v>110</v>
      </c>
      <c r="F32" s="3">
        <f t="shared" si="2"/>
        <v>1257.3</v>
      </c>
      <c r="G32" s="3">
        <f t="shared" si="3"/>
        <v>1715</v>
      </c>
      <c r="H32">
        <v>48.452649999999998</v>
      </c>
      <c r="I32">
        <v>113.80894000000001</v>
      </c>
      <c r="J32" t="s">
        <v>25</v>
      </c>
      <c r="K32" t="s">
        <v>26</v>
      </c>
    </row>
    <row r="33" spans="1:10" x14ac:dyDescent="0.2">
      <c r="A33">
        <v>30</v>
      </c>
      <c r="B33" t="s">
        <v>27</v>
      </c>
      <c r="C33">
        <v>4</v>
      </c>
      <c r="E33" s="3">
        <v>51</v>
      </c>
      <c r="F33" s="3">
        <f t="shared" si="2"/>
        <v>428.44080000000002</v>
      </c>
      <c r="G33" s="3">
        <f t="shared" si="3"/>
        <v>1766</v>
      </c>
      <c r="J33" t="s">
        <v>28</v>
      </c>
    </row>
    <row r="34" spans="1:10" x14ac:dyDescent="0.2">
      <c r="A34">
        <v>31</v>
      </c>
      <c r="B34" t="s">
        <v>27</v>
      </c>
      <c r="J34" t="s">
        <v>29</v>
      </c>
    </row>
    <row r="35" spans="1:10" x14ac:dyDescent="0.2">
      <c r="F35" s="3"/>
      <c r="G35" s="3"/>
    </row>
    <row r="36" spans="1:10" x14ac:dyDescent="0.2">
      <c r="A36" s="6" t="s">
        <v>30</v>
      </c>
      <c r="B36" s="6"/>
      <c r="C36" s="6"/>
      <c r="D36" s="6"/>
      <c r="E36" s="7">
        <f>SUM(E5:E33)</f>
        <v>1766</v>
      </c>
      <c r="F36" s="7">
        <f>SUM(F5:F33)</f>
        <v>26419.803599999999</v>
      </c>
      <c r="G36" s="7"/>
    </row>
    <row r="37" spans="1:10" x14ac:dyDescent="0.2">
      <c r="B37" t="s">
        <v>52</v>
      </c>
      <c r="C37" t="s">
        <v>53</v>
      </c>
    </row>
    <row r="38" spans="1:10" x14ac:dyDescent="0.2">
      <c r="A38" t="s">
        <v>66</v>
      </c>
      <c r="B38" s="3">
        <f>AVERAGE(B4:B32)</f>
        <v>16.551724137931036</v>
      </c>
      <c r="C38" s="3">
        <f>AVERAGE(C4:C32)</f>
        <v>15.134896551724143</v>
      </c>
      <c r="D38" s="3">
        <f>AVERAGE(D4:D32)</f>
        <v>15.487743179643282</v>
      </c>
      <c r="E38" s="3"/>
      <c r="F38" s="3"/>
      <c r="G38" s="3"/>
    </row>
    <row r="39" spans="1:10" x14ac:dyDescent="0.2">
      <c r="A39" t="s">
        <v>31</v>
      </c>
      <c r="B39" s="3">
        <f>VAR(B4:B32)</f>
        <v>19.184729064039402</v>
      </c>
      <c r="C39" s="3">
        <f>VAR(C4:C32)</f>
        <v>16.040876864630427</v>
      </c>
      <c r="D39" s="3">
        <v>15.487743179643282</v>
      </c>
      <c r="E39" s="3"/>
      <c r="F39" s="3"/>
      <c r="G39" s="3"/>
    </row>
    <row r="40" spans="1:10" x14ac:dyDescent="0.2">
      <c r="A40" t="s">
        <v>32</v>
      </c>
      <c r="B40" s="3">
        <f>STDEV(B4:B32)</f>
        <v>4.3800375642269787</v>
      </c>
      <c r="C40" s="3">
        <f>STDEV(C4:C32)</f>
        <v>4.005106348729135</v>
      </c>
      <c r="D40" s="3">
        <f>SQRT(D39)</f>
        <v>3.935447011413479</v>
      </c>
      <c r="E40" s="3"/>
      <c r="F40" s="3"/>
      <c r="G40" s="3"/>
    </row>
    <row r="41" spans="1:10" x14ac:dyDescent="0.2">
      <c r="C41" s="3"/>
      <c r="D41" s="3"/>
      <c r="E41" s="3"/>
      <c r="F41" s="3"/>
      <c r="G41" s="3"/>
    </row>
    <row r="42" spans="1:10" x14ac:dyDescent="0.2">
      <c r="A42" s="2" t="s">
        <v>33</v>
      </c>
    </row>
    <row r="43" spans="1:10" x14ac:dyDescent="0.2">
      <c r="A43" t="s">
        <v>34</v>
      </c>
      <c r="B43" t="s">
        <v>27</v>
      </c>
      <c r="C43" t="s">
        <v>27</v>
      </c>
      <c r="H43">
        <v>48.453533999999998</v>
      </c>
      <c r="I43">
        <v>113.807541</v>
      </c>
      <c r="J43" t="s">
        <v>35</v>
      </c>
    </row>
    <row r="47" spans="1:10" x14ac:dyDescent="0.2">
      <c r="B47" s="3">
        <f>B38*0.9144</f>
        <v>15.13489655172414</v>
      </c>
    </row>
    <row r="48" spans="1:10" x14ac:dyDescent="0.2">
      <c r="B48" s="3">
        <f t="shared" ref="B48:B49" si="4">B39*0.9144</f>
        <v>17.542516256157629</v>
      </c>
    </row>
    <row r="49" spans="1:3" x14ac:dyDescent="0.2">
      <c r="B49" s="3">
        <f t="shared" si="4"/>
        <v>4.0051063487291492</v>
      </c>
    </row>
    <row r="51" spans="1:3" x14ac:dyDescent="0.2">
      <c r="A51" s="2" t="s">
        <v>36</v>
      </c>
    </row>
    <row r="52" spans="1:3" x14ac:dyDescent="0.2">
      <c r="B52" t="s">
        <v>9</v>
      </c>
      <c r="C52" t="s">
        <v>10</v>
      </c>
    </row>
    <row r="53" spans="1:3" x14ac:dyDescent="0.2">
      <c r="B53" s="3">
        <f>AVERAGE(B4:B20)</f>
        <v>19.235294117647058</v>
      </c>
      <c r="C53" s="3">
        <f>AVERAGE(C4:C20)</f>
        <v>17.588752941176473</v>
      </c>
    </row>
    <row r="54" spans="1:3" x14ac:dyDescent="0.2">
      <c r="C5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B3FD-549C-954A-BF40-F433C3CB7D87}">
  <dimension ref="A1:R43"/>
  <sheetViews>
    <sheetView tabSelected="1" workbookViewId="0">
      <selection activeCell="K23" sqref="K23"/>
    </sheetView>
  </sheetViews>
  <sheetFormatPr baseColWidth="10" defaultRowHeight="16" x14ac:dyDescent="0.2"/>
  <cols>
    <col min="3" max="3" width="13" customWidth="1"/>
    <col min="4" max="5" width="10.83203125" style="3"/>
    <col min="13" max="13" width="10.83203125" style="11"/>
  </cols>
  <sheetData>
    <row r="1" spans="1:18" x14ac:dyDescent="0.2">
      <c r="A1" s="2" t="s">
        <v>37</v>
      </c>
      <c r="B1" s="2"/>
      <c r="H1">
        <v>0.91439999999999999</v>
      </c>
      <c r="I1" t="s">
        <v>38</v>
      </c>
    </row>
    <row r="2" spans="1:18" x14ac:dyDescent="0.2">
      <c r="A2" t="s">
        <v>39</v>
      </c>
    </row>
    <row r="4" spans="1:18" x14ac:dyDescent="0.2">
      <c r="A4" s="8">
        <v>45495</v>
      </c>
      <c r="B4" s="9" t="s">
        <v>40</v>
      </c>
      <c r="D4" s="3" t="s">
        <v>67</v>
      </c>
      <c r="H4" s="8">
        <v>45519</v>
      </c>
      <c r="I4" t="s">
        <v>41</v>
      </c>
      <c r="M4" s="11" t="s">
        <v>58</v>
      </c>
    </row>
    <row r="5" spans="1:18" x14ac:dyDescent="0.2">
      <c r="A5" t="s">
        <v>42</v>
      </c>
      <c r="B5" t="s">
        <v>43</v>
      </c>
      <c r="C5" t="s">
        <v>51</v>
      </c>
      <c r="D5" s="3" t="s">
        <v>46</v>
      </c>
      <c r="E5"/>
      <c r="G5" t="s">
        <v>47</v>
      </c>
      <c r="H5" t="s">
        <v>46</v>
      </c>
      <c r="M5" s="11">
        <v>16.396567774831659</v>
      </c>
      <c r="O5" t="s">
        <v>59</v>
      </c>
      <c r="P5" s="11">
        <f>AVERAGE(M5:M34)</f>
        <v>17.532955327282789</v>
      </c>
    </row>
    <row r="6" spans="1:18" x14ac:dyDescent="0.2">
      <c r="A6">
        <v>18</v>
      </c>
      <c r="B6">
        <v>5</v>
      </c>
      <c r="C6">
        <f>COS(RADIANS(B6))*A6</f>
        <v>17.931504565651419</v>
      </c>
      <c r="D6" s="3">
        <f>C6*$H$1</f>
        <v>16.396567774831659</v>
      </c>
      <c r="E6"/>
      <c r="G6" s="4">
        <v>23</v>
      </c>
      <c r="H6" s="4">
        <f>G6*$H$1</f>
        <v>21.031199999999998</v>
      </c>
      <c r="I6" s="10" t="s">
        <v>57</v>
      </c>
      <c r="J6" s="4"/>
      <c r="M6" s="11">
        <v>19.097207243619732</v>
      </c>
    </row>
    <row r="7" spans="1:18" x14ac:dyDescent="0.2">
      <c r="A7">
        <v>21</v>
      </c>
      <c r="B7">
        <v>6</v>
      </c>
      <c r="C7">
        <f t="shared" ref="C7:C20" si="0">COS(RADIANS(B7))*A7</f>
        <v>20.884959802733739</v>
      </c>
      <c r="D7" s="3">
        <f t="shared" ref="D7:D20" si="1">C7*$H$1</f>
        <v>19.097207243619732</v>
      </c>
      <c r="E7"/>
      <c r="G7">
        <v>19</v>
      </c>
      <c r="H7">
        <f t="shared" ref="H7:H13" si="2">G7*$H$1</f>
        <v>17.3736</v>
      </c>
      <c r="M7" s="11">
        <v>30.101694729400247</v>
      </c>
    </row>
    <row r="8" spans="1:18" x14ac:dyDescent="0.2">
      <c r="A8">
        <v>33</v>
      </c>
      <c r="B8">
        <v>4</v>
      </c>
      <c r="C8">
        <f t="shared" si="0"/>
        <v>32.9196136585742</v>
      </c>
      <c r="D8" s="3">
        <f t="shared" si="1"/>
        <v>30.101694729400247</v>
      </c>
      <c r="E8" s="10" t="s">
        <v>48</v>
      </c>
      <c r="G8">
        <v>13</v>
      </c>
      <c r="H8">
        <f t="shared" si="2"/>
        <v>11.8872</v>
      </c>
      <c r="M8" s="11">
        <v>11.822080674621738</v>
      </c>
    </row>
    <row r="9" spans="1:18" x14ac:dyDescent="0.2">
      <c r="A9">
        <v>13</v>
      </c>
      <c r="B9">
        <v>6</v>
      </c>
      <c r="C9">
        <f t="shared" si="0"/>
        <v>12.928784639787553</v>
      </c>
      <c r="D9" s="3">
        <f t="shared" si="1"/>
        <v>11.822080674621738</v>
      </c>
      <c r="E9"/>
      <c r="G9">
        <v>16</v>
      </c>
      <c r="H9">
        <f t="shared" si="2"/>
        <v>14.6304</v>
      </c>
      <c r="M9" s="11">
        <v>18.218408638701842</v>
      </c>
      <c r="R9" t="s">
        <v>60</v>
      </c>
    </row>
    <row r="10" spans="1:18" x14ac:dyDescent="0.2">
      <c r="A10">
        <v>20</v>
      </c>
      <c r="B10">
        <v>5</v>
      </c>
      <c r="C10">
        <f t="shared" si="0"/>
        <v>19.92389396183491</v>
      </c>
      <c r="D10" s="3">
        <f t="shared" si="1"/>
        <v>18.218408638701842</v>
      </c>
      <c r="E10"/>
      <c r="G10">
        <v>18</v>
      </c>
      <c r="H10">
        <f t="shared" si="2"/>
        <v>16.459199999999999</v>
      </c>
      <c r="M10" s="11">
        <v>16.369034780245482</v>
      </c>
    </row>
    <row r="11" spans="1:18" x14ac:dyDescent="0.2">
      <c r="A11">
        <v>18</v>
      </c>
      <c r="B11">
        <v>6</v>
      </c>
      <c r="C11">
        <f t="shared" si="0"/>
        <v>17.901394116628918</v>
      </c>
      <c r="D11" s="3">
        <f t="shared" si="1"/>
        <v>16.369034780245482</v>
      </c>
      <c r="E11"/>
      <c r="G11">
        <v>18</v>
      </c>
      <c r="H11">
        <f t="shared" si="2"/>
        <v>16.459199999999999</v>
      </c>
      <c r="M11" s="11">
        <v>17.3736</v>
      </c>
    </row>
    <row r="12" spans="1:18" x14ac:dyDescent="0.2">
      <c r="A12">
        <v>19</v>
      </c>
      <c r="B12">
        <v>0</v>
      </c>
      <c r="C12">
        <f t="shared" si="0"/>
        <v>19</v>
      </c>
      <c r="D12" s="3">
        <f t="shared" si="1"/>
        <v>17.3736</v>
      </c>
      <c r="E12"/>
      <c r="M12" s="11">
        <v>18.288</v>
      </c>
    </row>
    <row r="13" spans="1:18" x14ac:dyDescent="0.2">
      <c r="A13">
        <v>20</v>
      </c>
      <c r="B13">
        <v>0</v>
      </c>
      <c r="C13">
        <f t="shared" si="0"/>
        <v>20</v>
      </c>
      <c r="D13" s="3">
        <f t="shared" si="1"/>
        <v>18.288</v>
      </c>
      <c r="E13"/>
      <c r="F13" t="s">
        <v>49</v>
      </c>
      <c r="G13">
        <f>AVERAGE(G6:G11)</f>
        <v>17.833333333333332</v>
      </c>
      <c r="H13">
        <f t="shared" si="2"/>
        <v>16.306799999999999</v>
      </c>
      <c r="M13" s="11">
        <v>19.129329070636935</v>
      </c>
    </row>
    <row r="14" spans="1:18" x14ac:dyDescent="0.2">
      <c r="A14">
        <v>21</v>
      </c>
      <c r="B14">
        <v>5</v>
      </c>
      <c r="C14">
        <f t="shared" si="0"/>
        <v>20.920088659926655</v>
      </c>
      <c r="D14" s="3">
        <f t="shared" si="1"/>
        <v>19.129329070636935</v>
      </c>
      <c r="E14"/>
      <c r="M14" s="11">
        <v>14.6304</v>
      </c>
    </row>
    <row r="15" spans="1:18" x14ac:dyDescent="0.2">
      <c r="A15">
        <v>16</v>
      </c>
      <c r="B15">
        <v>0</v>
      </c>
      <c r="C15">
        <f t="shared" si="0"/>
        <v>16</v>
      </c>
      <c r="D15" s="3">
        <f t="shared" si="1"/>
        <v>14.6304</v>
      </c>
      <c r="E15"/>
      <c r="M15" s="11">
        <v>12.793801611167655</v>
      </c>
    </row>
    <row r="16" spans="1:18" x14ac:dyDescent="0.2">
      <c r="A16">
        <v>14</v>
      </c>
      <c r="B16">
        <v>2</v>
      </c>
      <c r="C16">
        <f t="shared" si="0"/>
        <v>13.99147157826734</v>
      </c>
      <c r="D16" s="3">
        <f t="shared" si="1"/>
        <v>12.793801611167655</v>
      </c>
      <c r="E16"/>
      <c r="M16" s="11">
        <v>18.276859444525222</v>
      </c>
    </row>
    <row r="17" spans="1:13" x14ac:dyDescent="0.2">
      <c r="A17">
        <v>20</v>
      </c>
      <c r="B17">
        <v>2</v>
      </c>
      <c r="C17">
        <f t="shared" si="0"/>
        <v>19.987816540381914</v>
      </c>
      <c r="D17" s="3">
        <f t="shared" si="1"/>
        <v>18.276859444525222</v>
      </c>
      <c r="E17"/>
      <c r="M17" s="11">
        <v>15.459643959120735</v>
      </c>
    </row>
    <row r="18" spans="1:13" x14ac:dyDescent="0.2">
      <c r="A18">
        <v>17</v>
      </c>
      <c r="B18">
        <v>6</v>
      </c>
      <c r="C18">
        <f t="shared" si="0"/>
        <v>16.906872221260645</v>
      </c>
      <c r="D18" s="3">
        <f t="shared" si="1"/>
        <v>15.459643959120735</v>
      </c>
      <c r="E18"/>
      <c r="M18" s="11">
        <v>25.540831891612331</v>
      </c>
    </row>
    <row r="19" spans="1:13" x14ac:dyDescent="0.2">
      <c r="A19">
        <v>28</v>
      </c>
      <c r="B19">
        <v>4</v>
      </c>
      <c r="C19">
        <f t="shared" si="0"/>
        <v>27.931793407275077</v>
      </c>
      <c r="D19" s="3">
        <f t="shared" si="1"/>
        <v>25.540831891612331</v>
      </c>
      <c r="E19"/>
      <c r="M19" s="11">
        <v>19.202400000000001</v>
      </c>
    </row>
    <row r="20" spans="1:13" x14ac:dyDescent="0.2">
      <c r="A20">
        <v>21</v>
      </c>
      <c r="B20">
        <v>0</v>
      </c>
      <c r="C20">
        <f t="shared" si="0"/>
        <v>21</v>
      </c>
      <c r="D20" s="3">
        <f t="shared" si="1"/>
        <v>19.202400000000001</v>
      </c>
      <c r="E20"/>
      <c r="M20" s="11">
        <v>17.3736</v>
      </c>
    </row>
    <row r="21" spans="1:13" x14ac:dyDescent="0.2">
      <c r="E21" t="s">
        <v>52</v>
      </c>
      <c r="F21" t="s">
        <v>53</v>
      </c>
      <c r="M21" s="11">
        <v>11.8872</v>
      </c>
    </row>
    <row r="22" spans="1:13" x14ac:dyDescent="0.2">
      <c r="B22" t="s">
        <v>49</v>
      </c>
      <c r="C22">
        <f>AVERAGE(C6:C20)</f>
        <v>19.881879543488154</v>
      </c>
      <c r="D22" s="3">
        <f>C22*H1</f>
        <v>18.179990654565568</v>
      </c>
      <c r="E22">
        <f>(C6+C7+C9+C10+C11+C12+C13+C14+C15+C16+C17+C18+C19+C20)/14</f>
        <v>18.950612820982013</v>
      </c>
      <c r="F22">
        <f>E22*H1</f>
        <v>17.328440363505951</v>
      </c>
      <c r="M22" s="11">
        <v>14.6304</v>
      </c>
    </row>
    <row r="23" spans="1:13" x14ac:dyDescent="0.2">
      <c r="M23" s="11">
        <v>16.459199999999999</v>
      </c>
    </row>
    <row r="24" spans="1:13" x14ac:dyDescent="0.2">
      <c r="A24" t="s">
        <v>50</v>
      </c>
      <c r="M24" s="11">
        <v>16.459199999999999</v>
      </c>
    </row>
    <row r="25" spans="1:13" x14ac:dyDescent="0.2">
      <c r="M25" s="11">
        <v>17.3736</v>
      </c>
    </row>
    <row r="26" spans="1:13" x14ac:dyDescent="0.2">
      <c r="A26" t="s">
        <v>42</v>
      </c>
      <c r="B26" t="s">
        <v>43</v>
      </c>
      <c r="C26" t="s">
        <v>44</v>
      </c>
      <c r="D26" s="3" t="s">
        <v>45</v>
      </c>
      <c r="E26" s="3" t="s">
        <v>46</v>
      </c>
      <c r="M26" s="11">
        <v>16.459199999999999</v>
      </c>
    </row>
    <row r="27" spans="1:13" x14ac:dyDescent="0.2">
      <c r="A27">
        <v>18</v>
      </c>
      <c r="B27">
        <v>5</v>
      </c>
      <c r="C27">
        <v>0.92</v>
      </c>
      <c r="D27" s="3">
        <f>SQRT(A27^2- C27^2)</f>
        <v>17.976473514012696</v>
      </c>
      <c r="E27" s="3">
        <f>D27*$H$1</f>
        <v>16.437687381213209</v>
      </c>
      <c r="M27" s="11">
        <v>16.459199999999999</v>
      </c>
    </row>
    <row r="28" spans="1:13" x14ac:dyDescent="0.2">
      <c r="A28">
        <v>21</v>
      </c>
      <c r="B28">
        <v>6</v>
      </c>
      <c r="C28">
        <v>0.92</v>
      </c>
      <c r="D28" s="3">
        <f>SQRT(A28^2- C28^2)</f>
        <v>20.979837940270176</v>
      </c>
      <c r="E28" s="3">
        <f t="shared" ref="E28" si="3">D28*$H$1</f>
        <v>19.183963812583048</v>
      </c>
      <c r="M28" s="11">
        <v>13.715999999999999</v>
      </c>
    </row>
    <row r="29" spans="1:13" x14ac:dyDescent="0.2">
      <c r="A29">
        <v>33</v>
      </c>
      <c r="B29">
        <v>4</v>
      </c>
      <c r="C29">
        <v>0.92</v>
      </c>
      <c r="M29" s="11">
        <v>20.116800000000001</v>
      </c>
    </row>
    <row r="30" spans="1:13" x14ac:dyDescent="0.2">
      <c r="A30">
        <v>13</v>
      </c>
      <c r="B30">
        <v>6</v>
      </c>
      <c r="C30">
        <v>0.92</v>
      </c>
      <c r="D30" s="3">
        <f t="shared" ref="D30:D41" si="4">SQRT(A30^2- C30^2)</f>
        <v>12.967405291730493</v>
      </c>
      <c r="E30" s="3">
        <f t="shared" ref="E30:E41" si="5">D30*$H$1</f>
        <v>11.857395398758364</v>
      </c>
      <c r="M30" s="11">
        <v>20.116800000000001</v>
      </c>
    </row>
    <row r="31" spans="1:13" x14ac:dyDescent="0.2">
      <c r="A31">
        <v>20</v>
      </c>
      <c r="B31">
        <v>5</v>
      </c>
      <c r="C31">
        <v>0.92</v>
      </c>
      <c r="D31" s="3">
        <f t="shared" si="4"/>
        <v>19.978828794501442</v>
      </c>
      <c r="E31" s="3">
        <f t="shared" si="5"/>
        <v>18.268641049692118</v>
      </c>
      <c r="M31" s="11">
        <v>12.801600000000001</v>
      </c>
    </row>
    <row r="32" spans="1:13" x14ac:dyDescent="0.2">
      <c r="A32">
        <v>18</v>
      </c>
      <c r="B32">
        <v>6</v>
      </c>
      <c r="C32">
        <v>0.92</v>
      </c>
      <c r="D32" s="3">
        <f t="shared" si="4"/>
        <v>17.976473514012696</v>
      </c>
      <c r="E32" s="3">
        <f t="shared" si="5"/>
        <v>16.437687381213209</v>
      </c>
      <c r="M32" s="11">
        <v>16.459199999999999</v>
      </c>
    </row>
    <row r="33" spans="1:13" x14ac:dyDescent="0.2">
      <c r="A33">
        <v>19</v>
      </c>
      <c r="B33">
        <v>0</v>
      </c>
      <c r="C33">
        <v>0</v>
      </c>
      <c r="D33" s="3">
        <f t="shared" si="4"/>
        <v>19</v>
      </c>
      <c r="E33" s="3">
        <f t="shared" si="5"/>
        <v>17.3736</v>
      </c>
      <c r="M33" s="11">
        <v>19.202400000000001</v>
      </c>
    </row>
    <row r="34" spans="1:13" x14ac:dyDescent="0.2">
      <c r="A34">
        <v>20</v>
      </c>
      <c r="B34">
        <v>0</v>
      </c>
      <c r="C34">
        <v>0</v>
      </c>
      <c r="D34" s="3">
        <f t="shared" si="4"/>
        <v>20</v>
      </c>
      <c r="E34" s="3">
        <f t="shared" si="5"/>
        <v>18.288</v>
      </c>
      <c r="M34" s="11">
        <v>23.7744</v>
      </c>
    </row>
    <row r="35" spans="1:13" x14ac:dyDescent="0.2">
      <c r="A35">
        <v>21</v>
      </c>
      <c r="B35">
        <v>5</v>
      </c>
      <c r="C35">
        <v>0.92</v>
      </c>
      <c r="D35" s="3">
        <f t="shared" si="4"/>
        <v>20.979837940270176</v>
      </c>
      <c r="E35" s="3">
        <f t="shared" si="5"/>
        <v>19.183963812583048</v>
      </c>
    </row>
    <row r="36" spans="1:13" x14ac:dyDescent="0.2">
      <c r="A36">
        <v>16</v>
      </c>
      <c r="B36">
        <v>0</v>
      </c>
      <c r="C36">
        <v>0</v>
      </c>
      <c r="D36" s="3">
        <f t="shared" si="4"/>
        <v>16</v>
      </c>
      <c r="E36" s="3">
        <f t="shared" si="5"/>
        <v>14.6304</v>
      </c>
    </row>
    <row r="37" spans="1:13" x14ac:dyDescent="0.2">
      <c r="A37">
        <v>14</v>
      </c>
      <c r="B37">
        <v>2</v>
      </c>
      <c r="C37">
        <v>0.46</v>
      </c>
      <c r="D37" s="3">
        <f t="shared" si="4"/>
        <v>13.992440816383681</v>
      </c>
      <c r="E37" s="3">
        <f t="shared" si="5"/>
        <v>12.794687882501238</v>
      </c>
    </row>
    <row r="38" spans="1:13" x14ac:dyDescent="0.2">
      <c r="A38">
        <v>20</v>
      </c>
      <c r="B38">
        <v>2</v>
      </c>
      <c r="C38">
        <v>0.46</v>
      </c>
      <c r="D38" s="3">
        <f t="shared" si="4"/>
        <v>19.994709300212396</v>
      </c>
      <c r="E38" s="3">
        <f t="shared" si="5"/>
        <v>18.283162184114214</v>
      </c>
    </row>
    <row r="39" spans="1:13" x14ac:dyDescent="0.2">
      <c r="A39">
        <v>17</v>
      </c>
      <c r="B39">
        <v>6</v>
      </c>
      <c r="C39">
        <v>0.92</v>
      </c>
      <c r="D39" s="3">
        <f t="shared" si="4"/>
        <v>16.975087628639798</v>
      </c>
      <c r="E39" s="3">
        <f t="shared" si="5"/>
        <v>15.522020127628231</v>
      </c>
    </row>
    <row r="40" spans="1:13" x14ac:dyDescent="0.2">
      <c r="A40">
        <v>28</v>
      </c>
      <c r="B40">
        <v>4</v>
      </c>
      <c r="C40">
        <v>0.92</v>
      </c>
      <c r="D40" s="3">
        <f t="shared" si="4"/>
        <v>27.984881632767362</v>
      </c>
      <c r="E40" s="3">
        <f t="shared" si="5"/>
        <v>25.589375765002476</v>
      </c>
    </row>
    <row r="41" spans="1:13" x14ac:dyDescent="0.2">
      <c r="A41">
        <v>21</v>
      </c>
      <c r="B41">
        <v>0</v>
      </c>
      <c r="C41">
        <v>0</v>
      </c>
      <c r="D41" s="3">
        <f t="shared" si="4"/>
        <v>21</v>
      </c>
      <c r="E41" s="3">
        <f t="shared" si="5"/>
        <v>19.202400000000001</v>
      </c>
    </row>
    <row r="43" spans="1:13" x14ac:dyDescent="0.2">
      <c r="C43" t="s">
        <v>49</v>
      </c>
      <c r="D43" s="3">
        <f>AVERAGE(D27:D41)</f>
        <v>18.986141169485784</v>
      </c>
      <c r="E43" s="3">
        <f>AVERAGE(E27:E41)</f>
        <v>17.360927485377797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898B-9961-F742-AB4C-DF7E3E2D43D1}">
  <dimension ref="A1:F32"/>
  <sheetViews>
    <sheetView workbookViewId="0">
      <selection activeCell="E3" sqref="E3"/>
    </sheetView>
  </sheetViews>
  <sheetFormatPr baseColWidth="10" defaultRowHeight="16" x14ac:dyDescent="0.2"/>
  <sheetData>
    <row r="1" spans="1:6" x14ac:dyDescent="0.2">
      <c r="A1" s="12" t="s">
        <v>61</v>
      </c>
      <c r="B1" s="12"/>
      <c r="C1" s="12"/>
      <c r="D1" s="13"/>
    </row>
    <row r="2" spans="1:6" x14ac:dyDescent="0.2">
      <c r="A2" s="12" t="s">
        <v>53</v>
      </c>
      <c r="B2" s="12" t="s">
        <v>62</v>
      </c>
      <c r="C2" t="s">
        <v>63</v>
      </c>
      <c r="E2" s="14" t="s">
        <v>59</v>
      </c>
      <c r="F2" s="15">
        <f>AVERAGE(A3:A31)</f>
        <v>17.099613793103451</v>
      </c>
    </row>
    <row r="3" spans="1:6" x14ac:dyDescent="0.2">
      <c r="A3" s="12">
        <v>16.399999999999999</v>
      </c>
      <c r="B3" s="16">
        <v>45495</v>
      </c>
      <c r="C3" s="13" t="s">
        <v>64</v>
      </c>
    </row>
    <row r="4" spans="1:6" x14ac:dyDescent="0.2">
      <c r="A4" s="12">
        <v>19.100000000000001</v>
      </c>
      <c r="B4" s="16">
        <v>45495</v>
      </c>
      <c r="C4" s="13" t="s">
        <v>64</v>
      </c>
      <c r="D4" s="13"/>
    </row>
    <row r="5" spans="1:6" x14ac:dyDescent="0.2">
      <c r="A5" s="12">
        <v>11.82</v>
      </c>
      <c r="B5" s="16">
        <v>45495</v>
      </c>
      <c r="C5" s="13" t="s">
        <v>64</v>
      </c>
      <c r="D5" s="13"/>
    </row>
    <row r="6" spans="1:6" x14ac:dyDescent="0.2">
      <c r="A6" s="12">
        <v>18.22</v>
      </c>
      <c r="B6" s="16">
        <v>45495</v>
      </c>
      <c r="C6" s="13" t="s">
        <v>64</v>
      </c>
      <c r="D6" s="13"/>
    </row>
    <row r="7" spans="1:6" x14ac:dyDescent="0.2">
      <c r="A7" s="12">
        <v>16.37</v>
      </c>
      <c r="B7" s="16">
        <v>45495</v>
      </c>
      <c r="C7" s="13" t="s">
        <v>64</v>
      </c>
      <c r="D7" s="13"/>
    </row>
    <row r="8" spans="1:6" x14ac:dyDescent="0.2">
      <c r="A8" s="12">
        <v>17.37</v>
      </c>
      <c r="B8" s="16">
        <v>45495</v>
      </c>
      <c r="C8" s="13" t="s">
        <v>64</v>
      </c>
      <c r="D8" s="13"/>
    </row>
    <row r="9" spans="1:6" x14ac:dyDescent="0.2">
      <c r="A9" s="12">
        <v>18.29</v>
      </c>
      <c r="B9" s="16">
        <v>45495</v>
      </c>
      <c r="C9" s="13" t="s">
        <v>64</v>
      </c>
      <c r="D9" s="13"/>
    </row>
    <row r="10" spans="1:6" x14ac:dyDescent="0.2">
      <c r="A10" s="12">
        <v>19.13</v>
      </c>
      <c r="B10" s="16">
        <v>45495</v>
      </c>
      <c r="C10" s="13" t="s">
        <v>64</v>
      </c>
      <c r="D10" s="13"/>
    </row>
    <row r="11" spans="1:6" x14ac:dyDescent="0.2">
      <c r="A11" s="12">
        <v>14.63</v>
      </c>
      <c r="B11" s="16">
        <v>45495</v>
      </c>
      <c r="C11" s="13" t="s">
        <v>64</v>
      </c>
      <c r="D11" s="13"/>
    </row>
    <row r="12" spans="1:6" x14ac:dyDescent="0.2">
      <c r="A12" s="12">
        <v>12.79</v>
      </c>
      <c r="B12" s="16">
        <v>45495</v>
      </c>
      <c r="C12" s="13" t="s">
        <v>64</v>
      </c>
      <c r="D12" s="13"/>
    </row>
    <row r="13" spans="1:6" x14ac:dyDescent="0.2">
      <c r="A13" s="12">
        <v>18.28</v>
      </c>
      <c r="B13" s="16">
        <v>45495</v>
      </c>
      <c r="C13" s="13" t="s">
        <v>64</v>
      </c>
      <c r="D13" s="13"/>
    </row>
    <row r="14" spans="1:6" x14ac:dyDescent="0.2">
      <c r="A14" s="12">
        <v>15.46</v>
      </c>
      <c r="B14" s="16">
        <v>45495</v>
      </c>
      <c r="C14" s="13" t="s">
        <v>64</v>
      </c>
      <c r="D14" s="13"/>
    </row>
    <row r="15" spans="1:6" x14ac:dyDescent="0.2">
      <c r="A15" s="12">
        <v>25.54</v>
      </c>
      <c r="B15" s="16">
        <v>45495</v>
      </c>
      <c r="C15" s="13" t="s">
        <v>64</v>
      </c>
      <c r="D15" s="13"/>
    </row>
    <row r="16" spans="1:6" x14ac:dyDescent="0.2">
      <c r="A16" s="12">
        <v>19.2</v>
      </c>
      <c r="B16" s="16">
        <v>45495</v>
      </c>
      <c r="C16" s="13" t="s">
        <v>64</v>
      </c>
      <c r="D16" s="13"/>
    </row>
    <row r="17" spans="1:4" x14ac:dyDescent="0.2">
      <c r="A17" s="17">
        <v>17.3736</v>
      </c>
      <c r="B17" s="18">
        <v>45139</v>
      </c>
      <c r="C17" s="13" t="s">
        <v>65</v>
      </c>
      <c r="D17" s="13"/>
    </row>
    <row r="18" spans="1:4" x14ac:dyDescent="0.2">
      <c r="A18" s="17">
        <v>16.459199999999999</v>
      </c>
      <c r="B18" s="18">
        <v>45139</v>
      </c>
      <c r="C18" s="13" t="s">
        <v>65</v>
      </c>
      <c r="D18" s="13"/>
    </row>
    <row r="19" spans="1:4" x14ac:dyDescent="0.2">
      <c r="A19" s="17">
        <v>16.459199999999999</v>
      </c>
      <c r="B19" s="18">
        <v>45139</v>
      </c>
      <c r="C19" s="13" t="s">
        <v>65</v>
      </c>
      <c r="D19" s="13"/>
    </row>
    <row r="20" spans="1:4" x14ac:dyDescent="0.2">
      <c r="A20" s="17">
        <v>13.715999999999999</v>
      </c>
      <c r="B20" s="18">
        <v>45139</v>
      </c>
      <c r="C20" s="13" t="s">
        <v>65</v>
      </c>
      <c r="D20" s="13"/>
    </row>
    <row r="21" spans="1:4" x14ac:dyDescent="0.2">
      <c r="A21" s="17">
        <v>20.116800000000001</v>
      </c>
      <c r="B21" s="18">
        <v>45139</v>
      </c>
      <c r="C21" s="13" t="s">
        <v>65</v>
      </c>
      <c r="D21" s="13"/>
    </row>
    <row r="22" spans="1:4" x14ac:dyDescent="0.2">
      <c r="A22" s="17">
        <v>20.116800000000001</v>
      </c>
      <c r="B22" s="18">
        <v>45139</v>
      </c>
      <c r="C22" s="13" t="s">
        <v>65</v>
      </c>
      <c r="D22" s="13"/>
    </row>
    <row r="23" spans="1:4" x14ac:dyDescent="0.2">
      <c r="A23" s="17">
        <v>12.801600000000001</v>
      </c>
      <c r="B23" s="18">
        <v>45139</v>
      </c>
      <c r="C23" s="13" t="s">
        <v>65</v>
      </c>
      <c r="D23" s="13"/>
    </row>
    <row r="24" spans="1:4" x14ac:dyDescent="0.2">
      <c r="A24" s="17">
        <v>16.459199999999999</v>
      </c>
      <c r="B24" s="18">
        <v>45139</v>
      </c>
      <c r="C24" s="13" t="s">
        <v>65</v>
      </c>
      <c r="D24" s="13"/>
    </row>
    <row r="25" spans="1:4" x14ac:dyDescent="0.2">
      <c r="A25" s="17">
        <v>19.202400000000001</v>
      </c>
      <c r="B25" s="18">
        <v>45139</v>
      </c>
      <c r="C25" s="13" t="s">
        <v>65</v>
      </c>
      <c r="D25" s="13"/>
    </row>
    <row r="26" spans="1:4" x14ac:dyDescent="0.2">
      <c r="A26" s="17">
        <v>23.7744</v>
      </c>
      <c r="B26" s="18">
        <v>45139</v>
      </c>
      <c r="C26" s="13" t="s">
        <v>65</v>
      </c>
      <c r="D26" s="13"/>
    </row>
    <row r="27" spans="1:4" x14ac:dyDescent="0.2">
      <c r="A27" s="13">
        <v>17.3736</v>
      </c>
      <c r="B27" s="16">
        <v>45519</v>
      </c>
      <c r="C27" s="13" t="s">
        <v>64</v>
      </c>
      <c r="D27" s="13"/>
    </row>
    <row r="28" spans="1:4" x14ac:dyDescent="0.2">
      <c r="A28" s="13">
        <v>11.8872</v>
      </c>
      <c r="B28" s="16">
        <v>45519</v>
      </c>
      <c r="C28" s="13" t="s">
        <v>64</v>
      </c>
      <c r="D28" s="13"/>
    </row>
    <row r="29" spans="1:4" x14ac:dyDescent="0.2">
      <c r="A29" s="13">
        <v>14.6304</v>
      </c>
      <c r="B29" s="16">
        <v>45519</v>
      </c>
      <c r="C29" s="13" t="s">
        <v>64</v>
      </c>
      <c r="D29" s="13"/>
    </row>
    <row r="30" spans="1:4" x14ac:dyDescent="0.2">
      <c r="A30" s="13">
        <v>16.459199999999999</v>
      </c>
      <c r="B30" s="16">
        <v>45519</v>
      </c>
      <c r="C30" s="13" t="s">
        <v>64</v>
      </c>
      <c r="D30" s="13"/>
    </row>
    <row r="31" spans="1:4" x14ac:dyDescent="0.2">
      <c r="A31" s="13">
        <v>16.459199999999999</v>
      </c>
      <c r="B31" s="16">
        <v>45519</v>
      </c>
      <c r="C31" s="13" t="s">
        <v>64</v>
      </c>
      <c r="D31" s="13"/>
    </row>
    <row r="32" spans="1:4" x14ac:dyDescent="0.2">
      <c r="B32" s="13"/>
      <c r="C32" s="13"/>
      <c r="D3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lengths by segment</vt:lpstr>
      <vt:lpstr>widths by segment</vt:lpstr>
      <vt:lpstr>Cora's widths</vt:lpstr>
      <vt:lpstr>total w to main 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Torrens</dc:creator>
  <cp:lastModifiedBy>Christa Torrens</cp:lastModifiedBy>
  <dcterms:created xsi:type="dcterms:W3CDTF">2024-06-22T07:50:14Z</dcterms:created>
  <dcterms:modified xsi:type="dcterms:W3CDTF">2024-09-04T00:41:54Z</dcterms:modified>
</cp:coreProperties>
</file>