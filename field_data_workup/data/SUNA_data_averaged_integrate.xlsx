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data/"/>
    </mc:Choice>
  </mc:AlternateContent>
  <xr:revisionPtr revIDLastSave="0" documentId="13_ncr:1_{0219474E-63EC-4A41-9D36-AF3B10C1E3EB}" xr6:coauthVersionLast="47" xr6:coauthVersionMax="47" xr10:uidLastSave="{00000000-0000-0000-0000-000000000000}"/>
  <bookViews>
    <workbookView xWindow="-31260" yWindow="3640" windowWidth="25440" windowHeight="14380" activeTab="5" xr2:uid="{00000000-000D-0000-FFFF-FFFF00000000}"/>
  </bookViews>
  <sheets>
    <sheet name="SUNA_data_averaged" sheetId="1" r:id="rId1"/>
    <sheet name="BC_Aug" sheetId="2" r:id="rId2"/>
    <sheet name="BC_Oct" sheetId="3" r:id="rId3"/>
    <sheet name="MF_Sept" sheetId="4" r:id="rId4"/>
    <sheet name="BC depth and Q" sheetId="5" r:id="rId5"/>
    <sheet name="conversion for GPP-N dema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M112" i="3"/>
  <c r="N112" i="3"/>
  <c r="M107" i="2"/>
  <c r="R107" i="2"/>
  <c r="U30" i="2"/>
  <c r="F5" i="6"/>
  <c r="F3" i="6"/>
  <c r="H5" i="6"/>
  <c r="I5" i="6" s="1"/>
  <c r="H3" i="6"/>
  <c r="I3" i="6" s="1"/>
  <c r="P1" i="3"/>
  <c r="M400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309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308" i="3"/>
  <c r="M302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217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216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M209" i="3" s="1"/>
  <c r="L118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117" i="3"/>
  <c r="M111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20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9" i="3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11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113" i="2"/>
  <c r="M106" i="2"/>
  <c r="J8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2" i="3"/>
  <c r="M1" i="3"/>
  <c r="C42" i="5"/>
  <c r="B29" i="5"/>
  <c r="O41" i="2"/>
  <c r="K1" i="2"/>
  <c r="I3" i="2"/>
  <c r="I4" i="2"/>
  <c r="I5" i="2"/>
  <c r="I6" i="2"/>
  <c r="I7" i="2"/>
  <c r="I8" i="2"/>
  <c r="I9" i="2"/>
  <c r="J9" i="2" s="1"/>
  <c r="I10" i="2"/>
  <c r="J10" i="2" s="1"/>
  <c r="K11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I17" i="2"/>
  <c r="J17" i="2" s="1"/>
  <c r="I18" i="2"/>
  <c r="J18" i="2" s="1"/>
  <c r="K19" i="2" s="1"/>
  <c r="I19" i="2"/>
  <c r="J19" i="2" s="1"/>
  <c r="I20" i="2"/>
  <c r="J20" i="2" s="1"/>
  <c r="I21" i="2"/>
  <c r="I22" i="2"/>
  <c r="J22" i="2" s="1"/>
  <c r="I23" i="2"/>
  <c r="J23" i="2" s="1"/>
  <c r="I24" i="2"/>
  <c r="J24" i="2" s="1"/>
  <c r="I25" i="2"/>
  <c r="J25" i="2" s="1"/>
  <c r="I26" i="2"/>
  <c r="J26" i="2" s="1"/>
  <c r="K27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I33" i="2"/>
  <c r="J33" i="2" s="1"/>
  <c r="I34" i="2"/>
  <c r="J34" i="2" s="1"/>
  <c r="K35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K43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I107" i="2"/>
  <c r="I108" i="2"/>
  <c r="I109" i="2"/>
  <c r="I110" i="2"/>
  <c r="I111" i="2"/>
  <c r="I112" i="2"/>
  <c r="K113" i="2" s="1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K209" i="2" s="1"/>
  <c r="I208" i="2"/>
  <c r="I209" i="2"/>
  <c r="I210" i="2"/>
  <c r="I211" i="2"/>
  <c r="I212" i="2"/>
  <c r="K214" i="2" s="1"/>
  <c r="I213" i="2"/>
  <c r="I214" i="2"/>
  <c r="I215" i="2"/>
  <c r="I216" i="2"/>
  <c r="K218" i="2" s="1"/>
  <c r="I217" i="2"/>
  <c r="I218" i="2"/>
  <c r="I219" i="2"/>
  <c r="I220" i="2"/>
  <c r="K222" i="2" s="1"/>
  <c r="I221" i="2"/>
  <c r="I222" i="2"/>
  <c r="I223" i="2"/>
  <c r="I224" i="2"/>
  <c r="K226" i="2" s="1"/>
  <c r="I225" i="2"/>
  <c r="I226" i="2"/>
  <c r="I227" i="2"/>
  <c r="I228" i="2"/>
  <c r="K230" i="2" s="1"/>
  <c r="I229" i="2"/>
  <c r="I230" i="2"/>
  <c r="I231" i="2"/>
  <c r="I232" i="2"/>
  <c r="K234" i="2" s="1"/>
  <c r="I233" i="2"/>
  <c r="I234" i="2"/>
  <c r="I235" i="2"/>
  <c r="I236" i="2"/>
  <c r="K238" i="2" s="1"/>
  <c r="I237" i="2"/>
  <c r="I238" i="2"/>
  <c r="I239" i="2"/>
  <c r="I240" i="2"/>
  <c r="K242" i="2" s="1"/>
  <c r="I241" i="2"/>
  <c r="I242" i="2"/>
  <c r="I243" i="2"/>
  <c r="I244" i="2"/>
  <c r="K246" i="2" s="1"/>
  <c r="I245" i="2"/>
  <c r="I246" i="2"/>
  <c r="I247" i="2"/>
  <c r="I248" i="2"/>
  <c r="K250" i="2" s="1"/>
  <c r="I249" i="2"/>
  <c r="I250" i="2"/>
  <c r="I251" i="2"/>
  <c r="I252" i="2"/>
  <c r="K254" i="2" s="1"/>
  <c r="I253" i="2"/>
  <c r="I254" i="2"/>
  <c r="I255" i="2"/>
  <c r="I256" i="2"/>
  <c r="K258" i="2" s="1"/>
  <c r="I257" i="2"/>
  <c r="I258" i="2"/>
  <c r="I259" i="2"/>
  <c r="I260" i="2"/>
  <c r="K262" i="2" s="1"/>
  <c r="I261" i="2"/>
  <c r="I262" i="2"/>
  <c r="I263" i="2"/>
  <c r="I264" i="2"/>
  <c r="K266" i="2" s="1"/>
  <c r="I265" i="2"/>
  <c r="I266" i="2"/>
  <c r="I267" i="2"/>
  <c r="I268" i="2"/>
  <c r="K270" i="2" s="1"/>
  <c r="I269" i="2"/>
  <c r="I270" i="2"/>
  <c r="I271" i="2"/>
  <c r="I272" i="2"/>
  <c r="K274" i="2" s="1"/>
  <c r="I273" i="2"/>
  <c r="I274" i="2"/>
  <c r="I275" i="2"/>
  <c r="I276" i="2"/>
  <c r="K278" i="2" s="1"/>
  <c r="I277" i="2"/>
  <c r="I278" i="2"/>
  <c r="I279" i="2"/>
  <c r="I280" i="2"/>
  <c r="K282" i="2" s="1"/>
  <c r="I281" i="2"/>
  <c r="I282" i="2"/>
  <c r="I283" i="2"/>
  <c r="I284" i="2"/>
  <c r="K286" i="2" s="1"/>
  <c r="I285" i="2"/>
  <c r="I286" i="2"/>
  <c r="I287" i="2"/>
  <c r="I288" i="2"/>
  <c r="K290" i="2" s="1"/>
  <c r="I289" i="2"/>
  <c r="I290" i="2"/>
  <c r="I291" i="2"/>
  <c r="I292" i="2"/>
  <c r="K294" i="2" s="1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2" i="2"/>
  <c r="I2204" i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H2204" i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 s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K272" i="2" l="1"/>
  <c r="K248" i="2"/>
  <c r="K206" i="2"/>
  <c r="K202" i="2"/>
  <c r="K194" i="2"/>
  <c r="K182" i="2"/>
  <c r="K10" i="2"/>
  <c r="K82" i="2"/>
  <c r="K50" i="2"/>
  <c r="K34" i="2"/>
  <c r="K18" i="2"/>
  <c r="J80" i="2"/>
  <c r="J48" i="2"/>
  <c r="J32" i="2"/>
  <c r="K33" i="2" s="1"/>
  <c r="J16" i="2"/>
  <c r="K23" i="2"/>
  <c r="J21" i="2"/>
  <c r="K21" i="2" s="1"/>
  <c r="K105" i="2"/>
  <c r="K89" i="2"/>
  <c r="K73" i="2"/>
  <c r="K41" i="2"/>
  <c r="K25" i="2"/>
  <c r="K104" i="2"/>
  <c r="K96" i="2"/>
  <c r="K88" i="2"/>
  <c r="K80" i="2"/>
  <c r="K72" i="2"/>
  <c r="K64" i="2"/>
  <c r="K56" i="2"/>
  <c r="K48" i="2"/>
  <c r="K40" i="2"/>
  <c r="K15" i="2"/>
  <c r="K98" i="2"/>
  <c r="K66" i="2"/>
  <c r="K293" i="2"/>
  <c r="K289" i="2"/>
  <c r="K281" i="2"/>
  <c r="K277" i="2"/>
  <c r="K269" i="2"/>
  <c r="K265" i="2"/>
  <c r="K261" i="2"/>
  <c r="K257" i="2"/>
  <c r="K253" i="2"/>
  <c r="K249" i="2"/>
  <c r="K245" i="2"/>
  <c r="K241" i="2"/>
  <c r="K237" i="2"/>
  <c r="K233" i="2"/>
  <c r="K229" i="2"/>
  <c r="K225" i="2"/>
  <c r="K221" i="2"/>
  <c r="K217" i="2"/>
  <c r="K213" i="2"/>
  <c r="K57" i="2"/>
  <c r="K9" i="2"/>
  <c r="K103" i="2"/>
  <c r="K95" i="2"/>
  <c r="K87" i="2"/>
  <c r="K79" i="2"/>
  <c r="K71" i="2"/>
  <c r="K63" i="2"/>
  <c r="K55" i="2"/>
  <c r="K47" i="2"/>
  <c r="K39" i="2"/>
  <c r="K31" i="2"/>
  <c r="K102" i="2"/>
  <c r="K94" i="2"/>
  <c r="K86" i="2"/>
  <c r="K78" i="2"/>
  <c r="K70" i="2"/>
  <c r="K62" i="2"/>
  <c r="K54" i="2"/>
  <c r="K46" i="2"/>
  <c r="K38" i="2"/>
  <c r="K30" i="2"/>
  <c r="K22" i="2"/>
  <c r="K14" i="2"/>
  <c r="K271" i="2"/>
  <c r="K247" i="2"/>
  <c r="K150" i="2"/>
  <c r="K285" i="2"/>
  <c r="K273" i="2"/>
  <c r="K197" i="2"/>
  <c r="K177" i="2"/>
  <c r="K173" i="2"/>
  <c r="K169" i="2"/>
  <c r="K165" i="2"/>
  <c r="K157" i="2"/>
  <c r="K153" i="2"/>
  <c r="K149" i="2"/>
  <c r="K141" i="2"/>
  <c r="K133" i="2"/>
  <c r="K129" i="2"/>
  <c r="K125" i="2"/>
  <c r="K121" i="2"/>
  <c r="K117" i="2"/>
  <c r="K101" i="2"/>
  <c r="K97" i="2"/>
  <c r="K93" i="2"/>
  <c r="K85" i="2"/>
  <c r="K81" i="2"/>
  <c r="K77" i="2"/>
  <c r="K69" i="2"/>
  <c r="K65" i="2"/>
  <c r="K61" i="2"/>
  <c r="K53" i="2"/>
  <c r="K49" i="2"/>
  <c r="K45" i="2"/>
  <c r="K37" i="2"/>
  <c r="K29" i="2"/>
  <c r="K17" i="2"/>
  <c r="K13" i="2"/>
  <c r="K90" i="2"/>
  <c r="K74" i="2"/>
  <c r="K58" i="2"/>
  <c r="K42" i="2"/>
  <c r="K26" i="2"/>
  <c r="K260" i="2"/>
  <c r="K190" i="2"/>
  <c r="K178" i="2"/>
  <c r="K100" i="2"/>
  <c r="K92" i="2"/>
  <c r="K84" i="2"/>
  <c r="K76" i="2"/>
  <c r="K68" i="2"/>
  <c r="K60" i="2"/>
  <c r="K52" i="2"/>
  <c r="K44" i="2"/>
  <c r="K36" i="2"/>
  <c r="K28" i="2"/>
  <c r="K20" i="2"/>
  <c r="K12" i="2"/>
  <c r="K137" i="2"/>
  <c r="K296" i="2"/>
  <c r="K292" i="2"/>
  <c r="K288" i="2"/>
  <c r="K284" i="2"/>
  <c r="K280" i="2"/>
  <c r="K276" i="2"/>
  <c r="K268" i="2"/>
  <c r="K264" i="2"/>
  <c r="K256" i="2"/>
  <c r="K252" i="2"/>
  <c r="K244" i="2"/>
  <c r="K240" i="2"/>
  <c r="K236" i="2"/>
  <c r="K232" i="2"/>
  <c r="K228" i="2"/>
  <c r="K224" i="2"/>
  <c r="K220" i="2"/>
  <c r="K216" i="2"/>
  <c r="K211" i="2"/>
  <c r="K203" i="2"/>
  <c r="K199" i="2"/>
  <c r="K196" i="2"/>
  <c r="K187" i="2"/>
  <c r="K184" i="2"/>
  <c r="K180" i="2"/>
  <c r="K159" i="2"/>
  <c r="K155" i="2"/>
  <c r="K135" i="2"/>
  <c r="K127" i="2"/>
  <c r="K124" i="2"/>
  <c r="K24" i="2"/>
  <c r="K16" i="2"/>
  <c r="K201" i="2"/>
  <c r="K193" i="2"/>
  <c r="K189" i="2"/>
  <c r="K185" i="2"/>
  <c r="K205" i="2"/>
  <c r="K181" i="2"/>
  <c r="K188" i="2"/>
  <c r="K175" i="2"/>
  <c r="K174" i="2"/>
  <c r="K158" i="2"/>
  <c r="K143" i="2"/>
  <c r="K130" i="2"/>
  <c r="K126" i="2"/>
  <c r="K192" i="2"/>
  <c r="K191" i="2"/>
  <c r="K186" i="2"/>
  <c r="K170" i="2"/>
  <c r="K154" i="2"/>
  <c r="K142" i="2"/>
  <c r="K138" i="2"/>
  <c r="K136" i="2"/>
  <c r="K122" i="2"/>
  <c r="K198" i="2"/>
  <c r="K195" i="2"/>
  <c r="K166" i="2"/>
  <c r="K134" i="2"/>
  <c r="K118" i="2"/>
  <c r="K208" i="2"/>
  <c r="K207" i="2"/>
  <c r="K176" i="2"/>
  <c r="K162" i="2"/>
  <c r="K146" i="2"/>
  <c r="K114" i="2"/>
  <c r="K140" i="2" l="1"/>
  <c r="K32" i="2"/>
  <c r="K183" i="2"/>
  <c r="K172" i="2"/>
  <c r="K204" i="2"/>
  <c r="K144" i="2"/>
  <c r="K160" i="2"/>
  <c r="K215" i="2"/>
  <c r="K179" i="2"/>
  <c r="K212" i="2"/>
  <c r="K139" i="2"/>
  <c r="K231" i="2"/>
  <c r="K67" i="2"/>
  <c r="K128" i="2"/>
  <c r="K156" i="2"/>
  <c r="K263" i="2"/>
  <c r="K200" i="2"/>
  <c r="K145" i="2"/>
  <c r="K161" i="2"/>
  <c r="K219" i="2"/>
  <c r="K235" i="2"/>
  <c r="K251" i="2"/>
  <c r="K267" i="2"/>
  <c r="K283" i="2"/>
  <c r="K75" i="2"/>
  <c r="K99" i="2"/>
  <c r="K91" i="2"/>
  <c r="K279" i="2"/>
  <c r="K123" i="2"/>
  <c r="K171" i="2"/>
  <c r="K131" i="2"/>
  <c r="K147" i="2"/>
  <c r="K164" i="2"/>
  <c r="K163" i="2"/>
  <c r="K223" i="2"/>
  <c r="K239" i="2"/>
  <c r="K255" i="2"/>
  <c r="K287" i="2"/>
  <c r="K51" i="2"/>
  <c r="K295" i="2"/>
  <c r="K59" i="2"/>
  <c r="K119" i="2"/>
  <c r="K151" i="2"/>
  <c r="K167" i="2"/>
  <c r="K115" i="2"/>
  <c r="K227" i="2"/>
  <c r="K243" i="2"/>
  <c r="K259" i="2"/>
  <c r="K275" i="2"/>
  <c r="K291" i="2"/>
  <c r="K83" i="2"/>
  <c r="M296" i="2" l="1"/>
  <c r="K132" i="2"/>
  <c r="M105" i="2"/>
  <c r="K148" i="2"/>
  <c r="K116" i="2"/>
  <c r="K152" i="2"/>
  <c r="K168" i="2"/>
  <c r="K120" i="2"/>
  <c r="M209" i="2" l="1"/>
  <c r="O1" i="2" s="1"/>
</calcChain>
</file>

<file path=xl/sharedStrings.xml><?xml version="1.0" encoding="utf-8"?>
<sst xmlns="http://schemas.openxmlformats.org/spreadsheetml/2006/main" count="15986" uniqueCount="6456">
  <si>
    <t>DateTimeUTC</t>
  </si>
  <si>
    <t>NITRATE_uM</t>
  </si>
  <si>
    <t>N_mgL</t>
  </si>
  <si>
    <t>jdayUTC</t>
  </si>
  <si>
    <t>local_datetime</t>
  </si>
  <si>
    <t>jday_local</t>
  </si>
  <si>
    <t>date_local</t>
  </si>
  <si>
    <t>2023-08-17T22:15:00Z</t>
  </si>
  <si>
    <t>2023-08-17T22:30:00Z</t>
  </si>
  <si>
    <t>2023-08-17T22:45:00Z</t>
  </si>
  <si>
    <t>2023-08-17T23:00:00Z</t>
  </si>
  <si>
    <t>2023-08-17T23:15:00Z</t>
  </si>
  <si>
    <t>2023-08-17T23:30:00Z</t>
  </si>
  <si>
    <t>2023-08-17T23:45:00Z</t>
  </si>
  <si>
    <t>2023-08-18T00:00:00Z</t>
  </si>
  <si>
    <t>2023-08-18T00:15:00Z</t>
  </si>
  <si>
    <t>2023-08-18T00:30:00Z</t>
  </si>
  <si>
    <t>2023-08-18T00:45:00Z</t>
  </si>
  <si>
    <t>2023-08-18T01:00:00Z</t>
  </si>
  <si>
    <t>2023-08-18T01:15:00Z</t>
  </si>
  <si>
    <t>2023-08-18T01:30:00Z</t>
  </si>
  <si>
    <t>2023-08-18T01:45:00Z</t>
  </si>
  <si>
    <t>3.1935000000000002</t>
  </si>
  <si>
    <t>2023-08-18T02:00:00Z</t>
  </si>
  <si>
    <t>2023-08-18T02:15:00Z</t>
  </si>
  <si>
    <t>2023-08-18T02:30:00Z</t>
  </si>
  <si>
    <t>2023-08-18T02:45:00Z</t>
  </si>
  <si>
    <t>2023-08-18T03:00:00Z</t>
  </si>
  <si>
    <t>2023-08-18T03:15:00Z</t>
  </si>
  <si>
    <t>2023-08-18T03:30:00Z</t>
  </si>
  <si>
    <t>2023-08-18T03:45:00Z</t>
  </si>
  <si>
    <t>2023-08-18T04:00:00Z</t>
  </si>
  <si>
    <t>2023-08-18T04:15:00Z</t>
  </si>
  <si>
    <t>2023-08-18T04:30:00Z</t>
  </si>
  <si>
    <t>2023-08-18T04:45:00Z</t>
  </si>
  <si>
    <t>2023-08-18T05:00:00Z</t>
  </si>
  <si>
    <t>2023-08-18T05:15:00Z</t>
  </si>
  <si>
    <t>2023-08-18T05:30:00Z</t>
  </si>
  <si>
    <t>2023-08-18T05:45:00Z</t>
  </si>
  <si>
    <t>2023-08-18T06:00:00Z</t>
  </si>
  <si>
    <t>2023-08-18T06:15:00Z</t>
  </si>
  <si>
    <t>2023-08-18T06:30:00Z</t>
  </si>
  <si>
    <t>2023-08-18T06:45:00Z</t>
  </si>
  <si>
    <t>2023-08-18T07:00:00Z</t>
  </si>
  <si>
    <t>2023-08-18T07:15:00Z</t>
  </si>
  <si>
    <t>2023-08-18T07:30:00Z</t>
  </si>
  <si>
    <t>2023-08-18T07:45:00Z</t>
  </si>
  <si>
    <t>2023-08-18T08:00:00Z</t>
  </si>
  <si>
    <t>2023-08-18T08:15:00Z</t>
  </si>
  <si>
    <t>2023-08-18T08:30:00Z</t>
  </si>
  <si>
    <t>2023-08-18T08:45:00Z</t>
  </si>
  <si>
    <t>2023-08-18T09:00:00Z</t>
  </si>
  <si>
    <t>2023-08-18T09:15:00Z</t>
  </si>
  <si>
    <t>2023-08-18T09:30:00Z</t>
  </si>
  <si>
    <t>2023-08-18T09:45:00Z</t>
  </si>
  <si>
    <t>2023-08-18T10:00:00Z</t>
  </si>
  <si>
    <t>2023-08-18T10:15:00Z</t>
  </si>
  <si>
    <t>2023-08-18T10:30:00Z</t>
  </si>
  <si>
    <t>2023-08-18T10:45:00Z</t>
  </si>
  <si>
    <t>0.056209999999999996</t>
  </si>
  <si>
    <t>2023-08-18T11:00:00Z</t>
  </si>
  <si>
    <t>2023-08-18T11:15:00Z</t>
  </si>
  <si>
    <t>2023-08-18T11:30:00Z</t>
  </si>
  <si>
    <t>2023-08-18T11:45:00Z</t>
  </si>
  <si>
    <t>2023-08-18T12:00:00Z</t>
  </si>
  <si>
    <t>2023-08-18T12:15:00Z</t>
  </si>
  <si>
    <t>2023-08-18T12:30:00Z</t>
  </si>
  <si>
    <t>2023-08-18T12:45:00Z</t>
  </si>
  <si>
    <t>2023-08-18T13:00:00Z</t>
  </si>
  <si>
    <t>2023-08-18T13:15:00Z</t>
  </si>
  <si>
    <t>2023-08-18T13:30:00Z</t>
  </si>
  <si>
    <t>2023-08-18T13:45:00Z</t>
  </si>
  <si>
    <t>2023-08-18T14:00:00Z</t>
  </si>
  <si>
    <t>2023-08-18T14:15:00Z</t>
  </si>
  <si>
    <t>2023-08-18T14:30:00Z</t>
  </si>
  <si>
    <t>2023-08-18T14:45:00Z</t>
  </si>
  <si>
    <t>2023-08-18T15:00:00Z</t>
  </si>
  <si>
    <t>2023-08-18T15:15:00Z</t>
  </si>
  <si>
    <t>2023-08-18T15:30:00Z</t>
  </si>
  <si>
    <t>2023-08-18T15:45:00Z</t>
  </si>
  <si>
    <t>2023-08-18T16:00:00Z</t>
  </si>
  <si>
    <t>2023-08-18T16:15:00Z</t>
  </si>
  <si>
    <t>3.8609999999999998</t>
  </si>
  <si>
    <t>2023-08-18T16:30:00Z</t>
  </si>
  <si>
    <t>2023-08-18T16:45:00Z</t>
  </si>
  <si>
    <t>2023-08-18T17:00:00Z</t>
  </si>
  <si>
    <t>2023-08-18T17:15:00Z</t>
  </si>
  <si>
    <t>2023-08-18T17:30:00Z</t>
  </si>
  <si>
    <t>2023-08-18T17:45:00Z</t>
  </si>
  <si>
    <t>2023-08-18T18:00:00Z</t>
  </si>
  <si>
    <t>2023-08-18T18:15:00Z</t>
  </si>
  <si>
    <t>2023-08-18T18:30:00Z</t>
  </si>
  <si>
    <t>2023-08-18T18:45:00Z</t>
  </si>
  <si>
    <t>2023-08-18T19:00:00Z</t>
  </si>
  <si>
    <t>2023-08-18T19:15:00Z</t>
  </si>
  <si>
    <t>2023-08-18T19:30:00Z</t>
  </si>
  <si>
    <t>2023-08-18T19:45:00Z</t>
  </si>
  <si>
    <t>0.047134999999999996</t>
  </si>
  <si>
    <t>2023-08-18T20:00:00Z</t>
  </si>
  <si>
    <t>2023-08-18T20:15:00Z</t>
  </si>
  <si>
    <t>3.3369999999999997</t>
  </si>
  <si>
    <t>2023-08-18T20:30:00Z</t>
  </si>
  <si>
    <t>2023-08-18T20:45:00Z</t>
  </si>
  <si>
    <t>2023-08-18T21:00:00Z</t>
  </si>
  <si>
    <t>2023-08-18T21:15:00Z</t>
  </si>
  <si>
    <t>2023-08-18T21:30:00Z</t>
  </si>
  <si>
    <t>2023-08-18T21:45:00Z</t>
  </si>
  <si>
    <t>2023-08-18T22:00:00Z</t>
  </si>
  <si>
    <t>2023-08-18T22:15:00Z</t>
  </si>
  <si>
    <t>2023-08-18T22:30:00Z</t>
  </si>
  <si>
    <t>2023-08-18T22:45:00Z</t>
  </si>
  <si>
    <t>2023-08-18T23:00:00Z</t>
  </si>
  <si>
    <t>3.2824999999999998</t>
  </si>
  <si>
    <t>2023-08-18T23:15:00Z</t>
  </si>
  <si>
    <t>2023-08-18T23:30:00Z</t>
  </si>
  <si>
    <t>2023-08-18T23:45:00Z</t>
  </si>
  <si>
    <t>2023-08-19T00:00:00Z</t>
  </si>
  <si>
    <t>2023-08-19T00:15:00Z</t>
  </si>
  <si>
    <t>2023-08-19T00:30:00Z</t>
  </si>
  <si>
    <t>2023-08-19T00:45:00Z</t>
  </si>
  <si>
    <t>3.3665000000000003</t>
  </si>
  <si>
    <t>2023-08-19T01:00:00Z</t>
  </si>
  <si>
    <t>2023-08-19T01:15:00Z</t>
  </si>
  <si>
    <t>2023-08-19T01:30:00Z</t>
  </si>
  <si>
    <t>2023-08-19T01:45:00Z</t>
  </si>
  <si>
    <t>2023-08-19T02:00:00Z</t>
  </si>
  <si>
    <t>2023-08-19T02:15:00Z</t>
  </si>
  <si>
    <t>3.4595000000000002</t>
  </si>
  <si>
    <t>2023-08-19T02:30:00Z</t>
  </si>
  <si>
    <t>2023-08-19T02:45:00Z</t>
  </si>
  <si>
    <t>2023-08-19T03:00:00Z</t>
  </si>
  <si>
    <t>2023-08-19T03:15:00Z</t>
  </si>
  <si>
    <t>2023-08-19T03:30:00Z</t>
  </si>
  <si>
    <t>2023-08-19T03:45:00Z</t>
  </si>
  <si>
    <t>2023-08-19T04:00:00Z</t>
  </si>
  <si>
    <t>2023-08-19T04:15:00Z</t>
  </si>
  <si>
    <t>2023-08-19T04:30:00Z</t>
  </si>
  <si>
    <t>2023-08-19T04:45:00Z</t>
  </si>
  <si>
    <t>2023-08-19T05:00:00Z</t>
  </si>
  <si>
    <t>0.052629999999999996</t>
  </si>
  <si>
    <t>2023-08-19T05:15:00Z</t>
  </si>
  <si>
    <t>0.053540000000000004</t>
  </si>
  <si>
    <t>2023-08-19T05:30:00Z</t>
  </si>
  <si>
    <t>3.8689999999999998</t>
  </si>
  <si>
    <t>2023-08-19T05:45:00Z</t>
  </si>
  <si>
    <t>2023-08-19T06:00:00Z</t>
  </si>
  <si>
    <t>2023-08-19T06:15:00Z</t>
  </si>
  <si>
    <t>2023-08-19T06:30:00Z</t>
  </si>
  <si>
    <t>2023-08-19T06:45:00Z</t>
  </si>
  <si>
    <t>2023-08-19T07:00:00Z</t>
  </si>
  <si>
    <t>2023-08-19T07:15:00Z</t>
  </si>
  <si>
    <t>2023-08-19T07:30:00Z</t>
  </si>
  <si>
    <t>2023-08-19T07:45:00Z</t>
  </si>
  <si>
    <t>2023-08-19T08:00:00Z</t>
  </si>
  <si>
    <t>2023-08-19T08:15:00Z</t>
  </si>
  <si>
    <t>2023-08-19T08:30:00Z</t>
  </si>
  <si>
    <t>2023-08-19T08:45:00Z</t>
  </si>
  <si>
    <t>2023-08-19T09:00:00Z</t>
  </si>
  <si>
    <t>2023-08-19T09:15:00Z</t>
  </si>
  <si>
    <t>2023-08-19T09:30:00Z</t>
  </si>
  <si>
    <t>2023-08-19T09:45:00Z</t>
  </si>
  <si>
    <t>0.058284999999999997</t>
  </si>
  <si>
    <t>2023-08-19T10:00:00Z</t>
  </si>
  <si>
    <t>2023-08-19T10:15:00Z</t>
  </si>
  <si>
    <t>2023-08-19T10:30:00Z</t>
  </si>
  <si>
    <t>2023-08-19T10:45:00Z</t>
  </si>
  <si>
    <t>2023-08-19T11:00:00Z</t>
  </si>
  <si>
    <t>2023-08-19T11:15:00Z</t>
  </si>
  <si>
    <t>2023-08-19T11:30:00Z</t>
  </si>
  <si>
    <t>2023-08-19T11:45:00Z</t>
  </si>
  <si>
    <t>2023-08-19T12:00:00Z</t>
  </si>
  <si>
    <t>2023-08-19T12:15:00Z</t>
  </si>
  <si>
    <t>2023-08-19T12:30:00Z</t>
  </si>
  <si>
    <t>2023-08-19T12:45:00Z</t>
  </si>
  <si>
    <t>2023-08-19T13:00:00Z</t>
  </si>
  <si>
    <t>2023-08-19T13:15:00Z</t>
  </si>
  <si>
    <t>2023-08-19T13:30:00Z</t>
  </si>
  <si>
    <t>4.0825000000000005</t>
  </si>
  <si>
    <t>2023-08-19T13:45:00Z</t>
  </si>
  <si>
    <t>2023-08-19T14:00:00Z</t>
  </si>
  <si>
    <t>2023-08-19T14:15:00Z</t>
  </si>
  <si>
    <t>2023-08-19T14:30:00Z</t>
  </si>
  <si>
    <t>2023-08-19T14:45:00Z</t>
  </si>
  <si>
    <t>2023-08-19T15:00:00Z</t>
  </si>
  <si>
    <t>2023-08-19T15:15:00Z</t>
  </si>
  <si>
    <t>2023-08-19T15:30:00Z</t>
  </si>
  <si>
    <t>2023-08-19T15:45:00Z</t>
  </si>
  <si>
    <t>2023-08-19T16:00:00Z</t>
  </si>
  <si>
    <t>2023-08-19T16:15:00Z</t>
  </si>
  <si>
    <t>2023-08-19T16:30:00Z</t>
  </si>
  <si>
    <t>2023-08-19T16:45:00Z</t>
  </si>
  <si>
    <t>2023-08-19T17:00:00Z</t>
  </si>
  <si>
    <t>2023-08-19T17:15:00Z</t>
  </si>
  <si>
    <t>0.049460000000000004</t>
  </si>
  <si>
    <t>2023-08-19T17:30:00Z</t>
  </si>
  <si>
    <t>2023-08-19T17:45:00Z</t>
  </si>
  <si>
    <t>2023-08-19T18:00:00Z</t>
  </si>
  <si>
    <t>2023-08-19T18:15:00Z</t>
  </si>
  <si>
    <t>2023-08-19T18:30:00Z</t>
  </si>
  <si>
    <t>2023-08-19T18:45:00Z</t>
  </si>
  <si>
    <t>2023-08-19T19:00:00Z</t>
  </si>
  <si>
    <t>2023-08-19T19:15:00Z</t>
  </si>
  <si>
    <t>2023-08-19T19:30:00Z</t>
  </si>
  <si>
    <t>2023-08-19T19:45:00Z</t>
  </si>
  <si>
    <t>2023-08-19T20:00:00Z</t>
  </si>
  <si>
    <t>3.3064999999999998</t>
  </si>
  <si>
    <t>2023-08-19T20:15:00Z</t>
  </si>
  <si>
    <t>2023-08-19T20:30:00Z</t>
  </si>
  <si>
    <t>0.045935000000000004</t>
  </si>
  <si>
    <t>2023-08-19T20:45:00Z</t>
  </si>
  <si>
    <t>2023-08-19T21:00:00Z</t>
  </si>
  <si>
    <t>2023-08-19T21:15:00Z</t>
  </si>
  <si>
    <t>2023-08-19T21:30:00Z</t>
  </si>
  <si>
    <t>2023-08-19T21:45:00Z</t>
  </si>
  <si>
    <t>2023-08-19T22:00:00Z</t>
  </si>
  <si>
    <t>2023-08-19T22:15:00Z</t>
  </si>
  <si>
    <t>2023-08-19T22:30:00Z</t>
  </si>
  <si>
    <t>2023-08-19T22:45:00Z</t>
  </si>
  <si>
    <t>2023-08-19T23:00:00Z</t>
  </si>
  <si>
    <t>2023-08-19T23:15:00Z</t>
  </si>
  <si>
    <t>2023-08-19T23:30:00Z</t>
  </si>
  <si>
    <t>2023-08-19T23:45:00Z</t>
  </si>
  <si>
    <t>2023-08-20T00:00:00Z</t>
  </si>
  <si>
    <t>2023-08-20T00:15:00Z</t>
  </si>
  <si>
    <t>2023-08-20T00:30:00Z</t>
  </si>
  <si>
    <t>2023-08-20T00:45:00Z</t>
  </si>
  <si>
    <t>2023-08-20T01:00:00Z</t>
  </si>
  <si>
    <t>2023-08-20T01:15:00Z</t>
  </si>
  <si>
    <t>2023-08-20T01:30:00Z</t>
  </si>
  <si>
    <t>2023-08-20T01:45:00Z</t>
  </si>
  <si>
    <t>2023-08-20T02:00:00Z</t>
  </si>
  <si>
    <t>2023-08-20T02:15:00Z</t>
  </si>
  <si>
    <t>2023-08-20T02:30:00Z</t>
  </si>
  <si>
    <t>2023-08-20T02:45:00Z</t>
  </si>
  <si>
    <t>2023-08-20T03:00:00Z</t>
  </si>
  <si>
    <t>2023-08-20T03:15:00Z</t>
  </si>
  <si>
    <t>0.047170000000000004</t>
  </si>
  <si>
    <t>2023-08-20T03:30:00Z</t>
  </si>
  <si>
    <t>2023-08-20T03:45:00Z</t>
  </si>
  <si>
    <t>2023-08-20T04:00:00Z</t>
  </si>
  <si>
    <t>2023-08-20T04:15:00Z</t>
  </si>
  <si>
    <t>2023-08-20T04:30:00Z</t>
  </si>
  <si>
    <t>2023-08-20T04:45:00Z</t>
  </si>
  <si>
    <t>2023-08-20T05:00:00Z</t>
  </si>
  <si>
    <t>3.6310000000000002</t>
  </si>
  <si>
    <t>2023-08-20T05:15:00Z</t>
  </si>
  <si>
    <t>3.6895000000000002</t>
  </si>
  <si>
    <t>2023-08-20T05:30:00Z</t>
  </si>
  <si>
    <t>2023-08-20T05:45:00Z</t>
  </si>
  <si>
    <t>2023-08-20T06:00:00Z</t>
  </si>
  <si>
    <t>2023-08-20T06:15:00Z</t>
  </si>
  <si>
    <t>0.054294999999999996</t>
  </si>
  <si>
    <t>2023-08-20T06:30:00Z</t>
  </si>
  <si>
    <t>2023-08-20T06:45:00Z</t>
  </si>
  <si>
    <t>2023-08-20T07:00:00Z</t>
  </si>
  <si>
    <t>2023-08-20T07:15:00Z</t>
  </si>
  <si>
    <t>2023-08-20T07:30:00Z</t>
  </si>
  <si>
    <t>2023-08-20T07:45:00Z</t>
  </si>
  <si>
    <t>2023-08-20T08:00:00Z</t>
  </si>
  <si>
    <t>4.0009999999999994</t>
  </si>
  <si>
    <t>2023-08-20T08:15:00Z</t>
  </si>
  <si>
    <t>2023-08-20T08:30:00Z</t>
  </si>
  <si>
    <t>2023-08-20T08:45:00Z</t>
  </si>
  <si>
    <t>2023-08-20T09:00:00Z</t>
  </si>
  <si>
    <t>2023-08-20T09:15:00Z</t>
  </si>
  <si>
    <t>2023-08-20T09:30:00Z</t>
  </si>
  <si>
    <t>0.056190000000000004</t>
  </si>
  <si>
    <t>2023-08-20T09:45:00Z</t>
  </si>
  <si>
    <t>3.9979999999999998</t>
  </si>
  <si>
    <t>2023-08-20T10:00:00Z</t>
  </si>
  <si>
    <t>2023-08-20T10:15:00Z</t>
  </si>
  <si>
    <t>2023-08-20T10:30:00Z</t>
  </si>
  <si>
    <t>2023-08-20T10:45:00Z</t>
  </si>
  <si>
    <t>2023-08-20T11:00:00Z</t>
  </si>
  <si>
    <t>2023-08-20T11:15:00Z</t>
  </si>
  <si>
    <t>2023-08-20T11:30:00Z</t>
  </si>
  <si>
    <t>2023-08-20T11:45:00Z</t>
  </si>
  <si>
    <t>2023-08-20T12:00:00Z</t>
  </si>
  <si>
    <t>2023-08-20T12:15:00Z</t>
  </si>
  <si>
    <t>2023-08-20T12:30:00Z</t>
  </si>
  <si>
    <t>2023-08-20T12:45:00Z</t>
  </si>
  <si>
    <t>2023-08-20T13:00:00Z</t>
  </si>
  <si>
    <t>2023-08-20T13:15:00Z</t>
  </si>
  <si>
    <t>2023-08-20T13:30:00Z</t>
  </si>
  <si>
    <t>2023-08-20T13:45:00Z</t>
  </si>
  <si>
    <t>2023-08-20T14:00:00Z</t>
  </si>
  <si>
    <t>3.8970000000000002</t>
  </si>
  <si>
    <t>2023-08-20T14:15:00Z</t>
  </si>
  <si>
    <t>2023-08-20T14:30:00Z</t>
  </si>
  <si>
    <t>2023-08-20T14:45:00Z</t>
  </si>
  <si>
    <t>2023-08-20T15:00:00Z</t>
  </si>
  <si>
    <t>2023-08-20T15:15:00Z</t>
  </si>
  <si>
    <t>2023-08-20T15:30:00Z</t>
  </si>
  <si>
    <t>2023-08-20T15:45:00Z</t>
  </si>
  <si>
    <t>2023-08-20T16:00:00Z</t>
  </si>
  <si>
    <t>2023-08-20T16:15:00Z</t>
  </si>
  <si>
    <t>3.5765000000000002</t>
  </si>
  <si>
    <t>2023-08-20T16:30:00Z</t>
  </si>
  <si>
    <t>2023-08-20T16:45:00Z</t>
  </si>
  <si>
    <t>2023-08-20T17:00:00Z</t>
  </si>
  <si>
    <t>2023-08-20T17:15:00Z</t>
  </si>
  <si>
    <t>3.4210000000000003</t>
  </si>
  <si>
    <t>2023-08-20T17:30:00Z</t>
  </si>
  <si>
    <t>0.047599999999999996</t>
  </si>
  <si>
    <t>2023-08-20T17:45:00Z</t>
  </si>
  <si>
    <t>2023-08-20T18:00:00Z</t>
  </si>
  <si>
    <t>2023-08-20T18:15:00Z</t>
  </si>
  <si>
    <t>2023-08-20T18:30:00Z</t>
  </si>
  <si>
    <t>2023-08-20T18:45:00Z</t>
  </si>
  <si>
    <t>2023-08-20T19:00:00Z</t>
  </si>
  <si>
    <t>2023-08-20T19:15:00Z</t>
  </si>
  <si>
    <t>2023-08-20T19:30:00Z</t>
  </si>
  <si>
    <t>2023-08-20T19:45:00Z</t>
  </si>
  <si>
    <t>2023-08-20T20:00:00Z</t>
  </si>
  <si>
    <t>2023-08-20T20:15:00Z</t>
  </si>
  <si>
    <t>2023-08-20T20:30:00Z</t>
  </si>
  <si>
    <t>2023-08-20T20:45:00Z</t>
  </si>
  <si>
    <t>2023-08-20T21:00:00Z</t>
  </si>
  <si>
    <t>2023-08-20T21:15:00Z</t>
  </si>
  <si>
    <t>2023-08-20T21:30:00Z</t>
  </si>
  <si>
    <t>2023-08-20T21:45:00Z</t>
  </si>
  <si>
    <t>3.2199999999999998</t>
  </si>
  <si>
    <t>2023-08-20T22:00:00Z</t>
  </si>
  <si>
    <t>2023-08-20T22:15:00Z</t>
  </si>
  <si>
    <t>2023-08-20T22:30:00Z</t>
  </si>
  <si>
    <t>2023-08-20T22:45:00Z</t>
  </si>
  <si>
    <t>2023-08-20T23:00:00Z</t>
  </si>
  <si>
    <t>2023-08-20T23:15:00Z</t>
  </si>
  <si>
    <t>2023-08-20T23:30:00Z</t>
  </si>
  <si>
    <t>2023-08-20T23:45:00Z</t>
  </si>
  <si>
    <t>2023-08-21T00:00:00Z</t>
  </si>
  <si>
    <t>2023-08-21T00:15:00Z</t>
  </si>
  <si>
    <t>0.045649999999999996</t>
  </si>
  <si>
    <t>2023-08-21T00:30:00Z</t>
  </si>
  <si>
    <t>2023-08-21T00:45:00Z</t>
  </si>
  <si>
    <t>2023-08-21T01:00:00Z</t>
  </si>
  <si>
    <t>2023-08-21T01:15:00Z</t>
  </si>
  <si>
    <t>2023-08-21T01:30:00Z</t>
  </si>
  <si>
    <t>2023-08-21T01:45:00Z</t>
  </si>
  <si>
    <t>2023-08-21T02:00:00Z</t>
  </si>
  <si>
    <t>2023-08-21T02:15:00Z</t>
  </si>
  <si>
    <t>2023-08-21T02:30:00Z</t>
  </si>
  <si>
    <t>2023-08-21T02:45:00Z</t>
  </si>
  <si>
    <t>2023-08-21T03:00:00Z</t>
  </si>
  <si>
    <t>2023-08-21T03:15:00Z</t>
  </si>
  <si>
    <t>2023-08-21T03:30:00Z</t>
  </si>
  <si>
    <t>2023-08-21T03:45:00Z</t>
  </si>
  <si>
    <t>2023-08-21T04:00:00Z</t>
  </si>
  <si>
    <t>2023-08-21T04:15:00Z</t>
  </si>
  <si>
    <t>2023-08-21T04:30:00Z</t>
  </si>
  <si>
    <t>2023-08-21T04:45:00Z</t>
  </si>
  <si>
    <t>2023-08-21T05:00:00Z</t>
  </si>
  <si>
    <t>2023-08-21T05:15:00Z</t>
  </si>
  <si>
    <t>2023-08-21T05:30:00Z</t>
  </si>
  <si>
    <t>2023-08-21T05:45:00Z</t>
  </si>
  <si>
    <t>2023-08-21T06:00:00Z</t>
  </si>
  <si>
    <t>2023-08-21T06:15:00Z</t>
  </si>
  <si>
    <t>2023-08-21T06:30:00Z</t>
  </si>
  <si>
    <t>2023-08-21T06:45:00Z</t>
  </si>
  <si>
    <t>3.9314999999999998</t>
  </si>
  <si>
    <t>2023-08-21T07:00:00Z</t>
  </si>
  <si>
    <t>2023-08-21T07:15:00Z</t>
  </si>
  <si>
    <t>2023-08-21T07:30:00Z</t>
  </si>
  <si>
    <t>0.055475000000000003</t>
  </si>
  <si>
    <t>2023-08-21T07:45:00Z</t>
  </si>
  <si>
    <t>2023-08-21T08:00:00Z</t>
  </si>
  <si>
    <t>2023-08-21T08:15:00Z</t>
  </si>
  <si>
    <t>2023-08-21T08:30:00Z</t>
  </si>
  <si>
    <t>2023-08-21T08:45:00Z</t>
  </si>
  <si>
    <t>2023-08-21T09:00:00Z</t>
  </si>
  <si>
    <t>3.9859999999999998</t>
  </si>
  <si>
    <t>2023-08-21T09:15:00Z</t>
  </si>
  <si>
    <t>2023-08-21T09:30:00Z</t>
  </si>
  <si>
    <t>2023-08-21T09:45:00Z</t>
  </si>
  <si>
    <t>2023-08-21T10:00:00Z</t>
  </si>
  <si>
    <t>3.9989999999999997</t>
  </si>
  <si>
    <t>2023-08-21T10:15:00Z</t>
  </si>
  <si>
    <t>2023-08-21T10:30:00Z</t>
  </si>
  <si>
    <t>2023-08-21T10:45:00Z</t>
  </si>
  <si>
    <t>2023-08-21T11:00:00Z</t>
  </si>
  <si>
    <t>2023-08-21T11:15:00Z</t>
  </si>
  <si>
    <t>2023-08-21T11:30:00Z</t>
  </si>
  <si>
    <t>2023-08-21T11:45:00Z</t>
  </si>
  <si>
    <t>2023-08-21T12:00:00Z</t>
  </si>
  <si>
    <t>0.056100000000000004</t>
  </si>
  <si>
    <t>2023-08-21T12:15:00Z</t>
  </si>
  <si>
    <t>2023-08-21T12:30:00Z</t>
  </si>
  <si>
    <t>2023-08-21T12:45:00Z</t>
  </si>
  <si>
    <t>2023-08-21T13:00:00Z</t>
  </si>
  <si>
    <t>0.055904999999999996</t>
  </si>
  <si>
    <t>2023-08-21T13:15:00Z</t>
  </si>
  <si>
    <t>2023-08-21T13:30:00Z</t>
  </si>
  <si>
    <t>0.055689999999999996</t>
  </si>
  <si>
    <t>2023-08-21T13:45:00Z</t>
  </si>
  <si>
    <t>0.055635000000000004</t>
  </si>
  <si>
    <t>2023-08-21T14:00:00Z</t>
  </si>
  <si>
    <t>2023-08-21T14:15:00Z</t>
  </si>
  <si>
    <t>2023-08-21T14:30:00Z</t>
  </si>
  <si>
    <t>2023-08-21T14:45:00Z</t>
  </si>
  <si>
    <t>2023-08-21T15:00:00Z</t>
  </si>
  <si>
    <t>2023-08-21T15:15:00Z</t>
  </si>
  <si>
    <t>2023-08-21T15:30:00Z</t>
  </si>
  <si>
    <t>0.053559999999999997</t>
  </si>
  <si>
    <t>2023-08-21T15:45:00Z</t>
  </si>
  <si>
    <t>0.052930000000000005</t>
  </si>
  <si>
    <t>2023-08-21T16:00:00Z</t>
  </si>
  <si>
    <t>2023-08-21T16:15:00Z</t>
  </si>
  <si>
    <t>2023-08-21T16:30:00Z</t>
  </si>
  <si>
    <t>2023-08-21T16:45:00Z</t>
  </si>
  <si>
    <t>2023-08-21T17:00:00Z</t>
  </si>
  <si>
    <t>0.050015000000000004</t>
  </si>
  <si>
    <t>2023-08-21T17:15:00Z</t>
  </si>
  <si>
    <t>2023-08-21T17:30:00Z</t>
  </si>
  <si>
    <t>2023-08-21T17:45:00Z</t>
  </si>
  <si>
    <t>2023-08-21T18:00:00Z</t>
  </si>
  <si>
    <t>2023-08-21T18:15:00Z</t>
  </si>
  <si>
    <t>2023-08-21T18:30:00Z</t>
  </si>
  <si>
    <t>2023-08-21T18:45:00Z</t>
  </si>
  <si>
    <t>2023-08-21T19:00:00Z</t>
  </si>
  <si>
    <t>2023-08-21T19:15:00Z</t>
  </si>
  <si>
    <t>3.4010000000000002</t>
  </si>
  <si>
    <t>2023-08-21T19:30:00Z</t>
  </si>
  <si>
    <t>2023-08-21T19:45:00Z</t>
  </si>
  <si>
    <t>2023-08-21T20:00:00Z</t>
  </si>
  <si>
    <t>2023-08-21T20:15:00Z</t>
  </si>
  <si>
    <t>2023-08-21T20:30:00Z</t>
  </si>
  <si>
    <t>2023-08-21T20:45:00Z</t>
  </si>
  <si>
    <t>2023-08-21T21:00:00Z</t>
  </si>
  <si>
    <t>2023-08-21T21:15:00Z</t>
  </si>
  <si>
    <t>2023-08-21T21:30:00Z</t>
  </si>
  <si>
    <t>2023-08-21T21:45:00Z</t>
  </si>
  <si>
    <t>2023-08-21T22:00:00Z</t>
  </si>
  <si>
    <t>2023-08-21T22:15:00Z</t>
  </si>
  <si>
    <t>2023-08-21T22:30:00Z</t>
  </si>
  <si>
    <t>2023-08-21T22:45:00Z</t>
  </si>
  <si>
    <t>2023-08-21T23:00:00Z</t>
  </si>
  <si>
    <t>2023-08-21T23:15:00Z</t>
  </si>
  <si>
    <t>2023-08-21T23:30:00Z</t>
  </si>
  <si>
    <t>2023-08-21T23:45:00Z</t>
  </si>
  <si>
    <t>2023-08-22T00:00:00Z</t>
  </si>
  <si>
    <t>0.048780000000000004</t>
  </si>
  <si>
    <t>2023-08-22T00:15:00Z</t>
  </si>
  <si>
    <t>2023-08-22T00:30:00Z</t>
  </si>
  <si>
    <t>2023-08-22T00:45:00Z</t>
  </si>
  <si>
    <t>2023-08-22T01:00:00Z</t>
  </si>
  <si>
    <t>2023-08-22T01:15:00Z</t>
  </si>
  <si>
    <t>2023-08-22T01:30:00Z</t>
  </si>
  <si>
    <t>2023-08-22T01:45:00Z</t>
  </si>
  <si>
    <t>2023-08-22T02:00:00Z</t>
  </si>
  <si>
    <t>2023-08-22T02:15:00Z</t>
  </si>
  <si>
    <t>2023-08-22T02:30:00Z</t>
  </si>
  <si>
    <t>2023-08-22T02:45:00Z</t>
  </si>
  <si>
    <t>0.053900000000000003</t>
  </si>
  <si>
    <t>2023-08-22T03:00:00Z</t>
  </si>
  <si>
    <t>2023-08-22T03:15:00Z</t>
  </si>
  <si>
    <t>2023-08-22T03:30:00Z</t>
  </si>
  <si>
    <t>2023-08-22T03:45:00Z</t>
  </si>
  <si>
    <t>2023-08-22T04:00:00Z</t>
  </si>
  <si>
    <t>2023-08-22T04:15:00Z</t>
  </si>
  <si>
    <t>2023-08-22T04:30:00Z</t>
  </si>
  <si>
    <t>2023-08-22T04:45:00Z</t>
  </si>
  <si>
    <t>2023-08-22T05:00:00Z</t>
  </si>
  <si>
    <t>2023-08-22T05:15:00Z</t>
  </si>
  <si>
    <t>2023-08-22T05:30:00Z</t>
  </si>
  <si>
    <t>2023-08-22T05:45:00Z</t>
  </si>
  <si>
    <t>2023-08-22T06:00:00Z</t>
  </si>
  <si>
    <t>2023-08-22T06:15:00Z</t>
  </si>
  <si>
    <t>2023-08-22T06:30:00Z</t>
  </si>
  <si>
    <t>2023-08-22T06:45:00Z</t>
  </si>
  <si>
    <t>2023-08-22T07:00:00Z</t>
  </si>
  <si>
    <t>2023-08-22T07:15:00Z</t>
  </si>
  <si>
    <t>2023-08-22T07:30:00Z</t>
  </si>
  <si>
    <t>2023-08-22T07:45:00Z</t>
  </si>
  <si>
    <t>2023-08-22T08:00:00Z</t>
  </si>
  <si>
    <t>2023-08-22T08:15:00Z</t>
  </si>
  <si>
    <t>2023-08-22T08:30:00Z</t>
  </si>
  <si>
    <t>2023-08-22T08:45:00Z</t>
  </si>
  <si>
    <t>2023-08-22T09:00:00Z</t>
  </si>
  <si>
    <t>2023-08-22T09:15:00Z</t>
  </si>
  <si>
    <t>2023-08-22T09:30:00Z</t>
  </si>
  <si>
    <t>2023-08-22T09:45:00Z</t>
  </si>
  <si>
    <t>2023-08-22T10:00:00Z</t>
  </si>
  <si>
    <t>2023-08-22T10:15:00Z</t>
  </si>
  <si>
    <t>2023-08-22T10:30:00Z</t>
  </si>
  <si>
    <t>0.060270000000000004</t>
  </si>
  <si>
    <t>2023-08-22T10:45:00Z</t>
  </si>
  <si>
    <t>2023-08-22T11:00:00Z</t>
  </si>
  <si>
    <t>2023-08-22T11:15:00Z</t>
  </si>
  <si>
    <t>2023-08-22T11:30:00Z</t>
  </si>
  <si>
    <t>2023-08-22T11:45:00Z</t>
  </si>
  <si>
    <t>2023-08-22T12:00:00Z</t>
  </si>
  <si>
    <t>0.059609999999999996</t>
  </si>
  <si>
    <t>2023-08-22T12:15:00Z</t>
  </si>
  <si>
    <t>2023-08-22T12:30:00Z</t>
  </si>
  <si>
    <t>2023-08-22T12:45:00Z</t>
  </si>
  <si>
    <t>2023-08-22T13:00:00Z</t>
  </si>
  <si>
    <t>2023-08-22T13:15:00Z</t>
  </si>
  <si>
    <t>2023-08-22T13:30:00Z</t>
  </si>
  <si>
    <t>2023-08-22T13:45:00Z</t>
  </si>
  <si>
    <t>2023-08-22T14:00:00Z</t>
  </si>
  <si>
    <t>2023-08-22T14:15:00Z</t>
  </si>
  <si>
    <t>2023-08-22T14:30:00Z</t>
  </si>
  <si>
    <t>2023-08-22T14:45:00Z</t>
  </si>
  <si>
    <t>2023-08-22T15:00:00Z</t>
  </si>
  <si>
    <t>2023-08-22T15:15:00Z</t>
  </si>
  <si>
    <t>2023-08-22T15:30:00Z</t>
  </si>
  <si>
    <t>2023-08-22T15:45:00Z</t>
  </si>
  <si>
    <t>2023-08-22T16:00:00Z</t>
  </si>
  <si>
    <t>2023-08-22T16:15:00Z</t>
  </si>
  <si>
    <t>2023-08-22T16:30:00Z</t>
  </si>
  <si>
    <t>0.054955000000000004</t>
  </si>
  <si>
    <t>2023-08-22T16:45:00Z</t>
  </si>
  <si>
    <t>3.8850000000000002</t>
  </si>
  <si>
    <t>2023-08-22T17:00:00Z</t>
  </si>
  <si>
    <t>2023-08-22T17:15:00Z</t>
  </si>
  <si>
    <t>2023-08-22T17:30:00Z</t>
  </si>
  <si>
    <t>3.8064999999999998</t>
  </si>
  <si>
    <t>2023-08-22T17:45:00Z</t>
  </si>
  <si>
    <t>2023-08-22T18:00:00Z</t>
  </si>
  <si>
    <t>2023-08-22T18:15:00Z</t>
  </si>
  <si>
    <t>2023-08-22T18:30:00Z</t>
  </si>
  <si>
    <t>3.6814999999999998</t>
  </si>
  <si>
    <t>2023-08-22T18:45:00Z</t>
  </si>
  <si>
    <t>2023-08-22T19:00:00Z</t>
  </si>
  <si>
    <t>2023-08-22T19:15:00Z</t>
  </si>
  <si>
    <t>2023-08-22T19:30:00Z</t>
  </si>
  <si>
    <t>2023-08-22T19:45:00Z</t>
  </si>
  <si>
    <t>2023-08-22T20:00:00Z</t>
  </si>
  <si>
    <t>0.049264999999999996</t>
  </si>
  <si>
    <t>2023-08-22T20:15:00Z</t>
  </si>
  <si>
    <t>2023-08-22T20:30:00Z</t>
  </si>
  <si>
    <t>2023-08-22T20:45:00Z</t>
  </si>
  <si>
    <t>2023-08-22T21:00:00Z</t>
  </si>
  <si>
    <t>2023-08-22T21:15:00Z</t>
  </si>
  <si>
    <t>2023-08-22T21:30:00Z</t>
  </si>
  <si>
    <t>2023-08-22T21:45:00Z</t>
  </si>
  <si>
    <t>2023-08-22T22:00:00Z</t>
  </si>
  <si>
    <t>2023-08-22T22:15:00Z</t>
  </si>
  <si>
    <t>2023-08-22T22:30:00Z</t>
  </si>
  <si>
    <t>2023-08-22T22:45:00Z</t>
  </si>
  <si>
    <t>2023-08-22T23:00:00Z</t>
  </si>
  <si>
    <t>2023-08-22T23:15:00Z</t>
  </si>
  <si>
    <t>3.4314999999999998</t>
  </si>
  <si>
    <t>2023-08-22T23:30:00Z</t>
  </si>
  <si>
    <t>2023-08-22T23:45:00Z</t>
  </si>
  <si>
    <t>2023-08-23T00:00:00Z</t>
  </si>
  <si>
    <t>2023-08-23T00:15:00Z</t>
  </si>
  <si>
    <t>0.048405000000000004</t>
  </si>
  <si>
    <t>2023-08-23T00:30:00Z</t>
  </si>
  <si>
    <t>2023-08-23T00:45:00Z</t>
  </si>
  <si>
    <t>2023-08-23T01:00:00Z</t>
  </si>
  <si>
    <t>3.5524999999999998</t>
  </si>
  <si>
    <t>2023-08-23T01:15:00Z</t>
  </si>
  <si>
    <t>2023-08-23T01:30:00Z</t>
  </si>
  <si>
    <t>2023-08-23T01:45:00Z</t>
  </si>
  <si>
    <t>2023-08-23T02:00:00Z</t>
  </si>
  <si>
    <t>3.7439999999999998</t>
  </si>
  <si>
    <t>2023-08-23T02:15:00Z</t>
  </si>
  <si>
    <t>0.053255000000000004</t>
  </si>
  <si>
    <t>2023-08-23T02:30:00Z</t>
  </si>
  <si>
    <t>2023-08-23T02:45:00Z</t>
  </si>
  <si>
    <t>2023-08-23T03:00:00Z</t>
  </si>
  <si>
    <t>2023-08-23T03:15:00Z</t>
  </si>
  <si>
    <t>2023-08-23T03:30:00Z</t>
  </si>
  <si>
    <t>2023-08-23T03:45:00Z</t>
  </si>
  <si>
    <t>4.0440000000000005</t>
  </si>
  <si>
    <t>2023-08-23T04:00:00Z</t>
  </si>
  <si>
    <t>2023-08-23T04:15:00Z</t>
  </si>
  <si>
    <t>2023-08-23T04:30:00Z</t>
  </si>
  <si>
    <t>2023-08-23T04:45:00Z</t>
  </si>
  <si>
    <t>2023-08-23T05:00:00Z</t>
  </si>
  <si>
    <t>2023-08-23T05:15:00Z</t>
  </si>
  <si>
    <t>2023-08-23T05:30:00Z</t>
  </si>
  <si>
    <t>2023-08-23T05:45:00Z</t>
  </si>
  <si>
    <t>2023-08-23T06:00:00Z</t>
  </si>
  <si>
    <t>2023-08-23T06:15:00Z</t>
  </si>
  <si>
    <t>2023-08-23T06:30:00Z</t>
  </si>
  <si>
    <t>0.060414999999999996</t>
  </si>
  <si>
    <t>2023-08-23T06:45:00Z</t>
  </si>
  <si>
    <t>2023-08-23T07:00:00Z</t>
  </si>
  <si>
    <t>2023-08-23T07:15:00Z</t>
  </si>
  <si>
    <t>2023-08-23T07:30:00Z</t>
  </si>
  <si>
    <t>2023-08-23T07:45:00Z</t>
  </si>
  <si>
    <t>2023-08-23T08:00:00Z</t>
  </si>
  <si>
    <t>2023-08-23T08:15:00Z</t>
  </si>
  <si>
    <t>2023-08-23T08:30:00Z</t>
  </si>
  <si>
    <t>2023-08-23T08:45:00Z</t>
  </si>
  <si>
    <t>2023-08-23T09:00:00Z</t>
  </si>
  <si>
    <t>2023-08-23T09:15:00Z</t>
  </si>
  <si>
    <t>2023-08-23T09:30:00Z</t>
  </si>
  <si>
    <t>4.3245000000000005</t>
  </si>
  <si>
    <t>2023-08-23T09:45:00Z</t>
  </si>
  <si>
    <t>2023-08-23T10:00:00Z</t>
  </si>
  <si>
    <t>2023-08-23T10:15:00Z</t>
  </si>
  <si>
    <t>2023-08-23T10:30:00Z</t>
  </si>
  <si>
    <t>2023-08-23T10:45:00Z</t>
  </si>
  <si>
    <t>2023-08-23T11:00:00Z</t>
  </si>
  <si>
    <t>2023-08-23T11:15:00Z</t>
  </si>
  <si>
    <t>2023-08-23T11:30:00Z</t>
  </si>
  <si>
    <t>2023-08-23T11:45:00Z</t>
  </si>
  <si>
    <t>2023-08-23T12:00:00Z</t>
  </si>
  <si>
    <t>2023-08-23T12:15:00Z</t>
  </si>
  <si>
    <t>2023-08-23T12:30:00Z</t>
  </si>
  <si>
    <t>2023-08-23T12:45:00Z</t>
  </si>
  <si>
    <t>2023-08-23T13:00:00Z</t>
  </si>
  <si>
    <t>2023-08-23T13:15:00Z</t>
  </si>
  <si>
    <t>2023-08-23T13:30:00Z</t>
  </si>
  <si>
    <t>2023-08-23T13:45:00Z</t>
  </si>
  <si>
    <t>2023-08-23T14:00:00Z</t>
  </si>
  <si>
    <t>2023-08-23T14:15:00Z</t>
  </si>
  <si>
    <t>2023-08-23T14:30:00Z</t>
  </si>
  <si>
    <t>2023-08-23T14:45:00Z</t>
  </si>
  <si>
    <t>2023-08-23T15:00:00Z</t>
  </si>
  <si>
    <t>4.1145000000000005</t>
  </si>
  <si>
    <t>2023-08-23T15:15:00Z</t>
  </si>
  <si>
    <t>0.056889999999999996</t>
  </si>
  <si>
    <t>2023-08-23T15:30:00Z</t>
  </si>
  <si>
    <t>2023-08-23T15:45:00Z</t>
  </si>
  <si>
    <t>2023-08-23T16:00:00Z</t>
  </si>
  <si>
    <t>3.8680000000000003</t>
  </si>
  <si>
    <t>0.054185000000000004</t>
  </si>
  <si>
    <t>2023-08-23T16:15:00Z</t>
  </si>
  <si>
    <t>2023-08-23T16:30:00Z</t>
  </si>
  <si>
    <t>2023-08-23T16:45:00Z</t>
  </si>
  <si>
    <t>3.7664999999999997</t>
  </si>
  <si>
    <t>2023-08-23T17:00:00Z</t>
  </si>
  <si>
    <t>2023-08-23T17:15:00Z</t>
  </si>
  <si>
    <t>2023-08-23T17:30:00Z</t>
  </si>
  <si>
    <t>2023-08-23T17:45:00Z</t>
  </si>
  <si>
    <t>2023-08-23T18:00:00Z</t>
  </si>
  <si>
    <t>2023-08-23T18:15:00Z</t>
  </si>
  <si>
    <t>2023-08-23T18:30:00Z</t>
  </si>
  <si>
    <t>2023-08-23T18:45:00Z</t>
  </si>
  <si>
    <t>2023-08-23T19:00:00Z</t>
  </si>
  <si>
    <t>3.4939999999999998</t>
  </si>
  <si>
    <t>2023-08-23T19:15:00Z</t>
  </si>
  <si>
    <t>2023-08-23T19:30:00Z</t>
  </si>
  <si>
    <t>2023-08-23T19:45:00Z</t>
  </si>
  <si>
    <t>2023-08-23T20:00:00Z</t>
  </si>
  <si>
    <t>2023-08-23T20:15:00Z</t>
  </si>
  <si>
    <t>2023-08-23T20:30:00Z</t>
  </si>
  <si>
    <t>2023-08-23T20:45:00Z</t>
  </si>
  <si>
    <t>2023-08-23T21:00:00Z</t>
  </si>
  <si>
    <t>2023-08-23T21:15:00Z</t>
  </si>
  <si>
    <t>2023-08-23T21:30:00Z</t>
  </si>
  <si>
    <t>2023-08-23T21:45:00Z</t>
  </si>
  <si>
    <t>2023-08-23T22:00:00Z</t>
  </si>
  <si>
    <t>2023-08-23T22:15:00Z</t>
  </si>
  <si>
    <t>2023-08-23T22:30:00Z</t>
  </si>
  <si>
    <t>2023-08-23T22:45:00Z</t>
  </si>
  <si>
    <t>2023-08-23T23:00:00Z</t>
  </si>
  <si>
    <t>2023-08-23T23:15:00Z</t>
  </si>
  <si>
    <t>2023-08-23T23:30:00Z</t>
  </si>
  <si>
    <t>2023-08-23T23:45:00Z</t>
  </si>
  <si>
    <t>2023-08-24T00:00:00Z</t>
  </si>
  <si>
    <t>2023-08-24T00:15:00Z</t>
  </si>
  <si>
    <t>2023-08-24T00:30:00Z</t>
  </si>
  <si>
    <t>2023-08-24T00:45:00Z</t>
  </si>
  <si>
    <t>2023-08-24T01:00:00Z</t>
  </si>
  <si>
    <t>2023-08-24T01:15:00Z</t>
  </si>
  <si>
    <t>2023-08-24T01:30:00Z</t>
  </si>
  <si>
    <t>2023-08-24T01:45:00Z</t>
  </si>
  <si>
    <t>2023-08-24T02:00:00Z</t>
  </si>
  <si>
    <t>2023-08-24T02:15:00Z</t>
  </si>
  <si>
    <t>2023-08-24T02:30:00Z</t>
  </si>
  <si>
    <t>0.048280000000000003</t>
  </si>
  <si>
    <t>2023-08-24T02:45:00Z</t>
  </si>
  <si>
    <t>2023-08-24T03:00:00Z</t>
  </si>
  <si>
    <t>2023-08-24T03:15:00Z</t>
  </si>
  <si>
    <t>2023-08-24T03:30:00Z</t>
  </si>
  <si>
    <t>2023-08-24T03:45:00Z</t>
  </si>
  <si>
    <t>2023-08-24T04:00:00Z</t>
  </si>
  <si>
    <t>0.050695000000000004</t>
  </si>
  <si>
    <t>2023-08-24T04:15:00Z</t>
  </si>
  <si>
    <t>2023-08-24T04:30:00Z</t>
  </si>
  <si>
    <t>2023-08-24T04:45:00Z</t>
  </si>
  <si>
    <t>2023-08-24T05:00:00Z</t>
  </si>
  <si>
    <t>2023-08-24T05:15:00Z</t>
  </si>
  <si>
    <t>2023-08-24T05:30:00Z</t>
  </si>
  <si>
    <t>2023-08-24T05:45:00Z</t>
  </si>
  <si>
    <t>3.9595000000000002</t>
  </si>
  <si>
    <t>2023-08-24T06:00:00Z</t>
  </si>
  <si>
    <t>2023-08-24T06:15:00Z</t>
  </si>
  <si>
    <t>2023-08-24T06:30:00Z</t>
  </si>
  <si>
    <t>2023-08-24T06:45:00Z</t>
  </si>
  <si>
    <t>2023-08-24T07:00:00Z</t>
  </si>
  <si>
    <t>2023-08-24T07:15:00Z</t>
  </si>
  <si>
    <t>2023-08-24T07:30:00Z</t>
  </si>
  <si>
    <t>2023-08-24T07:45:00Z</t>
  </si>
  <si>
    <t>2023-08-24T08:00:00Z</t>
  </si>
  <si>
    <t>2023-08-24T08:15:00Z</t>
  </si>
  <si>
    <t>2023-08-24T08:30:00Z</t>
  </si>
  <si>
    <t>0.057604999999999996</t>
  </si>
  <si>
    <t>2023-08-24T08:45:00Z</t>
  </si>
  <si>
    <t>2023-08-24T09:00:00Z</t>
  </si>
  <si>
    <t>2023-08-24T09:15:00Z</t>
  </si>
  <si>
    <t>2023-08-24T09:30:00Z</t>
  </si>
  <si>
    <t>2023-08-24T09:45:00Z</t>
  </si>
  <si>
    <t>2023-08-24T10:00:00Z</t>
  </si>
  <si>
    <t>2023-08-24T10:15:00Z</t>
  </si>
  <si>
    <t>2023-08-24T10:30:00Z</t>
  </si>
  <si>
    <t>2023-08-24T10:45:00Z</t>
  </si>
  <si>
    <t>2023-08-24T11:00:00Z</t>
  </si>
  <si>
    <t>4.1129999999999995</t>
  </si>
  <si>
    <t>2023-08-24T11:15:00Z</t>
  </si>
  <si>
    <t>2023-08-24T11:30:00Z</t>
  </si>
  <si>
    <t>2023-08-24T11:45:00Z</t>
  </si>
  <si>
    <t>2023-08-24T12:00:00Z</t>
  </si>
  <si>
    <t>2023-08-24T12:15:00Z</t>
  </si>
  <si>
    <t>2023-08-24T12:30:00Z</t>
  </si>
  <si>
    <t>2023-08-24T12:45:00Z</t>
  </si>
  <si>
    <t>2023-08-24T13:00:00Z</t>
  </si>
  <si>
    <t>2023-08-24T13:15:00Z</t>
  </si>
  <si>
    <t>2023-08-24T13:30:00Z</t>
  </si>
  <si>
    <t>2023-08-24T13:45:00Z</t>
  </si>
  <si>
    <t>2023-08-24T14:00:00Z</t>
  </si>
  <si>
    <t>2023-08-24T14:15:00Z</t>
  </si>
  <si>
    <t>2023-08-24T14:30:00Z</t>
  </si>
  <si>
    <t>3.9234999999999998</t>
  </si>
  <si>
    <t>2023-08-24T14:45:00Z</t>
  </si>
  <si>
    <t>2023-08-24T15:00:00Z</t>
  </si>
  <si>
    <t>2023-08-24T15:15:00Z</t>
  </si>
  <si>
    <t>2023-08-24T15:30:00Z</t>
  </si>
  <si>
    <t>2023-08-24T15:45:00Z</t>
  </si>
  <si>
    <t>2023-08-24T16:00:00Z</t>
  </si>
  <si>
    <t>2023-08-24T16:15:00Z</t>
  </si>
  <si>
    <t>2023-08-24T16:30:00Z</t>
  </si>
  <si>
    <t>2023-08-24T16:45:00Z</t>
  </si>
  <si>
    <t>2023-08-24T17:00:00Z</t>
  </si>
  <si>
    <t>2023-08-24T17:15:00Z</t>
  </si>
  <si>
    <t>2023-08-24T17:30:00Z</t>
  </si>
  <si>
    <t>2023-08-24T17:45:00Z</t>
  </si>
  <si>
    <t>2023-08-24T18:00:00Z</t>
  </si>
  <si>
    <t>2023-08-24T18:15:00Z</t>
  </si>
  <si>
    <t>2023-08-24T18:30:00Z</t>
  </si>
  <si>
    <t>0.049229999999999996</t>
  </si>
  <si>
    <t>2023-08-24T18:45:00Z</t>
  </si>
  <si>
    <t>2023-08-24T19:00:00Z</t>
  </si>
  <si>
    <t>3.4675000000000002</t>
  </si>
  <si>
    <t>2023-08-24T19:15:00Z</t>
  </si>
  <si>
    <t>2023-08-24T19:30:00Z</t>
  </si>
  <si>
    <t>2023-08-24T19:45:00Z</t>
  </si>
  <si>
    <t>2023-08-24T20:00:00Z</t>
  </si>
  <si>
    <t>2023-08-24T20:15:00Z</t>
  </si>
  <si>
    <t>2023-08-24T20:30:00Z</t>
  </si>
  <si>
    <t>2023-08-24T20:45:00Z</t>
  </si>
  <si>
    <t>2023-08-24T21:00:00Z</t>
  </si>
  <si>
    <t>2023-08-24T21:15:00Z</t>
  </si>
  <si>
    <t>2023-08-24T21:30:00Z</t>
  </si>
  <si>
    <t>2023-08-24T21:45:00Z</t>
  </si>
  <si>
    <t>2023-08-24T22:00:00Z</t>
  </si>
  <si>
    <t>2023-08-24T22:15:00Z</t>
  </si>
  <si>
    <t>2023-08-24T22:30:00Z</t>
  </si>
  <si>
    <t>2023-08-24T22:45:00Z</t>
  </si>
  <si>
    <t>2023-08-24T23:00:00Z</t>
  </si>
  <si>
    <t>2023-08-24T23:15:00Z</t>
  </si>
  <si>
    <t>2023-08-24T23:30:00Z</t>
  </si>
  <si>
    <t>3.3145000000000002</t>
  </si>
  <si>
    <t>2023-08-24T23:45:00Z</t>
  </si>
  <si>
    <t>2023-08-25T00:00:00Z</t>
  </si>
  <si>
    <t>2023-08-25T00:15:00Z</t>
  </si>
  <si>
    <t>2023-08-25T00:30:00Z</t>
  </si>
  <si>
    <t>2023-08-25T00:45:00Z</t>
  </si>
  <si>
    <t>2023-08-25T01:00:00Z</t>
  </si>
  <si>
    <t>2023-08-25T01:15:00Z</t>
  </si>
  <si>
    <t>2023-08-25T01:30:00Z</t>
  </si>
  <si>
    <t>2023-08-25T01:45:00Z</t>
  </si>
  <si>
    <t>2023-08-25T02:00:00Z</t>
  </si>
  <si>
    <t>2023-08-25T02:15:00Z</t>
  </si>
  <si>
    <t>2023-08-25T02:30:00Z</t>
  </si>
  <si>
    <t>3.3754999999999997</t>
  </si>
  <si>
    <t>2023-08-25T02:45:00Z</t>
  </si>
  <si>
    <t>2023-08-25T03:00:00Z</t>
  </si>
  <si>
    <t>2023-08-25T03:15:00Z</t>
  </si>
  <si>
    <t>2023-08-25T03:30:00Z</t>
  </si>
  <si>
    <t>2023-08-25T03:45:00Z</t>
  </si>
  <si>
    <t>2023-08-25T04:00:00Z</t>
  </si>
  <si>
    <t>0.049534999999999996</t>
  </si>
  <si>
    <t>2023-08-25T04:15:00Z</t>
  </si>
  <si>
    <t>2023-08-25T04:30:00Z</t>
  </si>
  <si>
    <t>2023-08-25T04:45:00Z</t>
  </si>
  <si>
    <t>2023-08-25T05:00:00Z</t>
  </si>
  <si>
    <t>2023-08-25T05:15:00Z</t>
  </si>
  <si>
    <t>2023-08-25T05:30:00Z</t>
  </si>
  <si>
    <t>2023-08-25T05:45:00Z</t>
  </si>
  <si>
    <t>2023-08-25T06:00:00Z</t>
  </si>
  <si>
    <t>2023-08-25T06:15:00Z</t>
  </si>
  <si>
    <t>2023-08-25T06:30:00Z</t>
  </si>
  <si>
    <t>2023-08-25T06:45:00Z</t>
  </si>
  <si>
    <t>2023-08-25T07:00:00Z</t>
  </si>
  <si>
    <t>2023-08-25T07:15:00Z</t>
  </si>
  <si>
    <t>2023-08-25T07:30:00Z</t>
  </si>
  <si>
    <t>2023-08-25T07:45:00Z</t>
  </si>
  <si>
    <t>2023-08-25T08:00:00Z</t>
  </si>
  <si>
    <t>2023-08-25T08:15:00Z</t>
  </si>
  <si>
    <t>2023-08-25T08:30:00Z</t>
  </si>
  <si>
    <t>0.056565000000000004</t>
  </si>
  <si>
    <t>2023-08-25T08:45:00Z</t>
  </si>
  <si>
    <t>2023-08-25T09:00:00Z</t>
  </si>
  <si>
    <t>2023-08-25T09:15:00Z</t>
  </si>
  <si>
    <t>2023-08-25T09:30:00Z</t>
  </si>
  <si>
    <t>2023-08-25T09:45:00Z</t>
  </si>
  <si>
    <t>2023-08-25T10:00:00Z</t>
  </si>
  <si>
    <t>0.056655000000000004</t>
  </si>
  <si>
    <t>2023-08-25T10:15:00Z</t>
  </si>
  <si>
    <t>2023-08-25T10:30:00Z</t>
  </si>
  <si>
    <t>2023-08-25T10:45:00Z</t>
  </si>
  <si>
    <t>2023-08-25T11:00:00Z</t>
  </si>
  <si>
    <t>4.0184999999999995</t>
  </si>
  <si>
    <t>2023-08-25T11:15:00Z</t>
  </si>
  <si>
    <t>2023-08-25T11:30:00Z</t>
  </si>
  <si>
    <t>2023-08-25T11:45:00Z</t>
  </si>
  <si>
    <t>2023-08-25T12:00:00Z</t>
  </si>
  <si>
    <t>2023-08-25T12:15:00Z</t>
  </si>
  <si>
    <t>2023-08-25T12:30:00Z</t>
  </si>
  <si>
    <t>4.0200000000000005</t>
  </si>
  <si>
    <t>2023-08-25T12:45:00Z</t>
  </si>
  <si>
    <t>0.055779999999999996</t>
  </si>
  <si>
    <t>2023-08-25T13:00:00Z</t>
  </si>
  <si>
    <t>2023-08-25T13:15:00Z</t>
  </si>
  <si>
    <t>2023-08-25T13:30:00Z</t>
  </si>
  <si>
    <t>2023-08-25T13:45:00Z</t>
  </si>
  <si>
    <t>2023-08-25T14:00:00Z</t>
  </si>
  <si>
    <t>2023-08-25T14:15:00Z</t>
  </si>
  <si>
    <t>2023-08-25T14:30:00Z</t>
  </si>
  <si>
    <t>3.8890000000000002</t>
  </si>
  <si>
    <t>2023-08-25T14:45:00Z</t>
  </si>
  <si>
    <t>2023-08-25T15:00:00Z</t>
  </si>
  <si>
    <t>2023-08-25T15:15:00Z</t>
  </si>
  <si>
    <t>2023-08-25T15:30:00Z</t>
  </si>
  <si>
    <t>2023-08-25T15:45:00Z</t>
  </si>
  <si>
    <t>2023-08-25T16:00:00Z</t>
  </si>
  <si>
    <t>2023-08-25T16:15:00Z</t>
  </si>
  <si>
    <t>0.050769999999999996</t>
  </si>
  <si>
    <t>2023-08-25T16:30:00Z</t>
  </si>
  <si>
    <t>2023-08-25T16:45:00Z</t>
  </si>
  <si>
    <t>2023-08-25T17:00:00Z</t>
  </si>
  <si>
    <t>2023-08-25T17:15:00Z</t>
  </si>
  <si>
    <t>2023-08-25T17:30:00Z</t>
  </si>
  <si>
    <t>3.5140000000000002</t>
  </si>
  <si>
    <t>2023-08-25T17:45:00Z</t>
  </si>
  <si>
    <t>2023-08-25T18:00:00Z</t>
  </si>
  <si>
    <t>2023-08-25T18:15:00Z</t>
  </si>
  <si>
    <t>2023-08-25T18:30:00Z</t>
  </si>
  <si>
    <t>2023-08-25T18:45:00Z</t>
  </si>
  <si>
    <t>2023-08-25T19:00:00Z</t>
  </si>
  <si>
    <t>2023-08-25T19:15:00Z</t>
  </si>
  <si>
    <t>2023-08-25T19:30:00Z</t>
  </si>
  <si>
    <t>2023-08-25T19:45:00Z</t>
  </si>
  <si>
    <t>2023-08-25T20:00:00Z</t>
  </si>
  <si>
    <t>2023-08-25T20:15:00Z</t>
  </si>
  <si>
    <t>2023-08-25T20:30:00Z</t>
  </si>
  <si>
    <t>3.3385000000000002</t>
  </si>
  <si>
    <t>2023-08-25T20:45:00Z</t>
  </si>
  <si>
    <t>2023-08-25T21:00:00Z</t>
  </si>
  <si>
    <t>2023-08-25T21:15:00Z</t>
  </si>
  <si>
    <t>0.046865000000000004</t>
  </si>
  <si>
    <t>2023-08-25T21:30:00Z</t>
  </si>
  <si>
    <t>0.046255000000000004</t>
  </si>
  <si>
    <t>2023-08-25T21:45:00Z</t>
  </si>
  <si>
    <t>2023-08-25T22:00:00Z</t>
  </si>
  <si>
    <t>2023-08-25T22:15:00Z</t>
  </si>
  <si>
    <t>2023-08-25T22:30:00Z</t>
  </si>
  <si>
    <t>2023-08-25T22:45:00Z</t>
  </si>
  <si>
    <t>2023-08-25T23:00:00Z</t>
  </si>
  <si>
    <t>2023-08-25T23:15:00Z</t>
  </si>
  <si>
    <t>2023-08-25T23:30:00Z</t>
  </si>
  <si>
    <t>2023-08-25T23:45:00Z</t>
  </si>
  <si>
    <t>2023-08-26T00:00:00Z</t>
  </si>
  <si>
    <t>2023-08-26T00:15:00Z</t>
  </si>
  <si>
    <t>2023-08-26T00:30:00Z</t>
  </si>
  <si>
    <t>2023-08-26T00:45:00Z</t>
  </si>
  <si>
    <t>0.046490000000000004</t>
  </si>
  <si>
    <t>2023-08-26T01:00:00Z</t>
  </si>
  <si>
    <t>2023-08-26T01:15:00Z</t>
  </si>
  <si>
    <t>2023-08-26T01:30:00Z</t>
  </si>
  <si>
    <t>2023-08-26T01:45:00Z</t>
  </si>
  <si>
    <t>2023-08-26T02:00:00Z</t>
  </si>
  <si>
    <t>2023-08-26T02:15:00Z</t>
  </si>
  <si>
    <t>2023-08-26T02:30:00Z</t>
  </si>
  <si>
    <t>2023-08-26T02:45:00Z</t>
  </si>
  <si>
    <t>3.4515000000000002</t>
  </si>
  <si>
    <t>2023-08-26T03:00:00Z</t>
  </si>
  <si>
    <t>2023-08-26T03:15:00Z</t>
  </si>
  <si>
    <t>2023-08-26T03:30:00Z</t>
  </si>
  <si>
    <t>2023-08-26T03:45:00Z</t>
  </si>
  <si>
    <t>0.050214999999999996</t>
  </si>
  <si>
    <t>2023-08-26T04:00:00Z</t>
  </si>
  <si>
    <t>3.6029999999999998</t>
  </si>
  <si>
    <t>2023-08-26T04:15:00Z</t>
  </si>
  <si>
    <t>2023-08-26T04:30:00Z</t>
  </si>
  <si>
    <t>2023-08-26T04:45:00Z</t>
  </si>
  <si>
    <t>2023-08-26T05:00:00Z</t>
  </si>
  <si>
    <t>2023-08-26T05:15:00Z</t>
  </si>
  <si>
    <t>2023-08-26T05:30:00Z</t>
  </si>
  <si>
    <t>0.054275000000000004</t>
  </si>
  <si>
    <t>2023-08-26T05:45:00Z</t>
  </si>
  <si>
    <t>2023-08-26T06:00:00Z</t>
  </si>
  <si>
    <t>2023-08-26T06:15:00Z</t>
  </si>
  <si>
    <t>2023-08-26T06:30:00Z</t>
  </si>
  <si>
    <t>2023-08-26T06:45:00Z</t>
  </si>
  <si>
    <t>2023-08-26T07:00:00Z</t>
  </si>
  <si>
    <t>2023-08-26T07:15:00Z</t>
  </si>
  <si>
    <t>2023-08-26T07:30:00Z</t>
  </si>
  <si>
    <t>2023-08-26T07:45:00Z</t>
  </si>
  <si>
    <t>2023-08-26T08:00:00Z</t>
  </si>
  <si>
    <t>2023-08-26T08:15:00Z</t>
  </si>
  <si>
    <t>2023-08-26T08:30:00Z</t>
  </si>
  <si>
    <t>2023-08-26T08:45:00Z</t>
  </si>
  <si>
    <t>2023-08-26T09:00:00Z</t>
  </si>
  <si>
    <t>2023-08-26T09:15:00Z</t>
  </si>
  <si>
    <t>2023-08-26T09:30:00Z</t>
  </si>
  <si>
    <t>2023-08-26T09:45:00Z</t>
  </si>
  <si>
    <t>2023-08-26T10:00:00Z</t>
  </si>
  <si>
    <t>2023-08-26T10:15:00Z</t>
  </si>
  <si>
    <t>2023-08-26T10:30:00Z</t>
  </si>
  <si>
    <t>2023-08-26T10:45:00Z</t>
  </si>
  <si>
    <t>2023-08-26T11:00:00Z</t>
  </si>
  <si>
    <t>2023-08-26T11:15:00Z</t>
  </si>
  <si>
    <t>2023-08-26T11:30:00Z</t>
  </si>
  <si>
    <t>2023-08-26T11:45:00Z</t>
  </si>
  <si>
    <t>2023-08-26T12:00:00Z</t>
  </si>
  <si>
    <t>2023-08-26T12:15:00Z</t>
  </si>
  <si>
    <t>2023-08-26T12:30:00Z</t>
  </si>
  <si>
    <t>2023-08-26T12:45:00Z</t>
  </si>
  <si>
    <t>2023-08-26T13:00:00Z</t>
  </si>
  <si>
    <t>2023-08-26T13:15:00Z</t>
  </si>
  <si>
    <t>2023-08-26T13:30:00Z</t>
  </si>
  <si>
    <t>2023-08-26T13:45:00Z</t>
  </si>
  <si>
    <t>2023-08-26T14:00:00Z</t>
  </si>
  <si>
    <t>2023-08-26T14:15:00Z</t>
  </si>
  <si>
    <t>2023-08-26T14:30:00Z</t>
  </si>
  <si>
    <t>2023-08-26T14:45:00Z</t>
  </si>
  <si>
    <t>2023-08-26T15:00:00Z</t>
  </si>
  <si>
    <t>2023-08-26T15:15:00Z</t>
  </si>
  <si>
    <t>2023-08-26T15:30:00Z</t>
  </si>
  <si>
    <t>2023-08-26T15:45:00Z</t>
  </si>
  <si>
    <t>2023-08-26T16:00:00Z</t>
  </si>
  <si>
    <t>2023-08-26T16:15:00Z</t>
  </si>
  <si>
    <t>2023-08-26T16:30:00Z</t>
  </si>
  <si>
    <t>2023-08-26T16:45:00Z</t>
  </si>
  <si>
    <t>2023-08-26T17:00:00Z</t>
  </si>
  <si>
    <t>2023-08-26T17:15:00Z</t>
  </si>
  <si>
    <t>2023-08-26T17:30:00Z</t>
  </si>
  <si>
    <t>2023-08-26T17:45:00Z</t>
  </si>
  <si>
    <t>2023-08-26T18:00:00Z</t>
  </si>
  <si>
    <t>2023-08-26T18:15:00Z</t>
  </si>
  <si>
    <t>0.049049999999999996</t>
  </si>
  <si>
    <t>2023-08-26T18:30:00Z</t>
  </si>
  <si>
    <t>2023-08-26T18:45:00Z</t>
  </si>
  <si>
    <t>2023-08-26T19:00:00Z</t>
  </si>
  <si>
    <t>2023-08-26T19:15:00Z</t>
  </si>
  <si>
    <t>2023-08-26T19:30:00Z</t>
  </si>
  <si>
    <t>2023-08-26T19:45:00Z</t>
  </si>
  <si>
    <t>2023-08-26T20:00:00Z</t>
  </si>
  <si>
    <t>2023-08-26T20:15:00Z</t>
  </si>
  <si>
    <t>2023-08-26T20:30:00Z</t>
  </si>
  <si>
    <t>2023-08-26T20:45:00Z</t>
  </si>
  <si>
    <t>2023-08-26T21:00:00Z</t>
  </si>
  <si>
    <t>2023-08-26T21:15:00Z</t>
  </si>
  <si>
    <t>2023-08-26T21:30:00Z</t>
  </si>
  <si>
    <t>3.573529411764706</t>
  </si>
  <si>
    <t>2023-08-26T21:45:00Z</t>
  </si>
  <si>
    <t>2023-08-26T22:00:00Z</t>
  </si>
  <si>
    <t>2023-08-26T22:15:00Z</t>
  </si>
  <si>
    <t>2023-08-26T22:30:00Z</t>
  </si>
  <si>
    <t>2023-08-26T22:45:00Z</t>
  </si>
  <si>
    <t>2023-08-26T23:00:00Z</t>
  </si>
  <si>
    <t>2023-08-26T23:15:00Z</t>
  </si>
  <si>
    <t>2023-08-26T23:30:00Z</t>
  </si>
  <si>
    <t>2023-08-26T23:45:00Z</t>
  </si>
  <si>
    <t>2023-08-27T00:00:00Z</t>
  </si>
  <si>
    <t>0.046740000000000004</t>
  </si>
  <si>
    <t>2023-08-27T00:15:00Z</t>
  </si>
  <si>
    <t>2023-08-27T00:30:00Z</t>
  </si>
  <si>
    <t>2023-08-27T00:45:00Z</t>
  </si>
  <si>
    <t>2023-08-27T01:00:00Z</t>
  </si>
  <si>
    <t>2023-08-27T01:15:00Z</t>
  </si>
  <si>
    <t>2023-08-27T01:30:00Z</t>
  </si>
  <si>
    <t>2023-08-27T01:45:00Z</t>
  </si>
  <si>
    <t>2023-08-27T02:00:00Z</t>
  </si>
  <si>
    <t>0.048119999999999996</t>
  </si>
  <si>
    <t>2023-08-27T02:15:00Z</t>
  </si>
  <si>
    <t>2023-08-27T02:30:00Z</t>
  </si>
  <si>
    <t>2023-08-27T02:45:00Z</t>
  </si>
  <si>
    <t>2023-08-27T03:00:00Z</t>
  </si>
  <si>
    <t>3.5084999999999997</t>
  </si>
  <si>
    <t>2023-08-27T03:15:00Z</t>
  </si>
  <si>
    <t>2023-08-27T03:30:00Z</t>
  </si>
  <si>
    <t>2023-08-27T03:45:00Z</t>
  </si>
  <si>
    <t>2023-08-27T04:00:00Z</t>
  </si>
  <si>
    <t>2023-08-27T04:15:00Z</t>
  </si>
  <si>
    <t>2023-08-27T04:30:00Z</t>
  </si>
  <si>
    <t>2023-08-27T04:45:00Z</t>
  </si>
  <si>
    <t>2023-08-27T05:00:00Z</t>
  </si>
  <si>
    <t>2023-08-27T05:15:00Z</t>
  </si>
  <si>
    <t>2023-08-27T05:30:00Z</t>
  </si>
  <si>
    <t>2023-08-27T05:45:00Z</t>
  </si>
  <si>
    <t>2023-08-27T06:00:00Z</t>
  </si>
  <si>
    <t>2023-08-27T06:15:00Z</t>
  </si>
  <si>
    <t>2023-08-27T06:30:00Z</t>
  </si>
  <si>
    <t>2023-08-27T06:45:00Z</t>
  </si>
  <si>
    <t>2023-08-27T07:00:00Z</t>
  </si>
  <si>
    <t>4.1290000000000004</t>
  </si>
  <si>
    <t>2023-08-27T07:15:00Z</t>
  </si>
  <si>
    <t>2023-08-27T07:30:00Z</t>
  </si>
  <si>
    <t>4.1739999999999995</t>
  </si>
  <si>
    <t>2023-08-27T07:45:00Z</t>
  </si>
  <si>
    <t>2023-08-27T08:00:00Z</t>
  </si>
  <si>
    <t>2023-08-27T08:15:00Z</t>
  </si>
  <si>
    <t>2023-08-27T08:30:00Z</t>
  </si>
  <si>
    <t>2023-08-27T08:45:00Z</t>
  </si>
  <si>
    <t>2023-08-27T09:00:00Z</t>
  </si>
  <si>
    <t>2023-08-27T09:15:00Z</t>
  </si>
  <si>
    <t>2023-08-27T09:30:00Z</t>
  </si>
  <si>
    <t>2023-08-27T09:45:00Z</t>
  </si>
  <si>
    <t>2023-08-27T10:00:00Z</t>
  </si>
  <si>
    <t>2023-08-27T10:15:00Z</t>
  </si>
  <si>
    <t>2023-08-27T10:30:00Z</t>
  </si>
  <si>
    <t>2023-08-27T10:45:00Z</t>
  </si>
  <si>
    <t>2023-08-27T11:00:00Z</t>
  </si>
  <si>
    <t>2023-08-27T11:15:00Z</t>
  </si>
  <si>
    <t>2023-08-27T11:30:00Z</t>
  </si>
  <si>
    <t>2023-08-27T11:45:00Z</t>
  </si>
  <si>
    <t>2023-08-27T12:00:00Z</t>
  </si>
  <si>
    <t>2023-08-27T12:15:00Z</t>
  </si>
  <si>
    <t>2023-08-27T12:30:00Z</t>
  </si>
  <si>
    <t>2023-08-27T12:45:00Z</t>
  </si>
  <si>
    <t>2023-08-27T13:00:00Z</t>
  </si>
  <si>
    <t>2023-08-27T13:15:00Z</t>
  </si>
  <si>
    <t>2023-08-27T13:30:00Z</t>
  </si>
  <si>
    <t>2023-08-27T13:45:00Z</t>
  </si>
  <si>
    <t>2023-08-27T14:00:00Z</t>
  </si>
  <si>
    <t>2023-08-27T14:15:00Z</t>
  </si>
  <si>
    <t>2023-08-27T14:30:00Z</t>
  </si>
  <si>
    <t>2023-08-27T14:45:00Z</t>
  </si>
  <si>
    <t>2023-08-27T15:00:00Z</t>
  </si>
  <si>
    <t>2023-08-27T15:15:00Z</t>
  </si>
  <si>
    <t>2023-08-27T15:30:00Z</t>
  </si>
  <si>
    <t>3.8465000000000003</t>
  </si>
  <si>
    <t>2023-08-27T15:45:00Z</t>
  </si>
  <si>
    <t>2023-08-27T16:00:00Z</t>
  </si>
  <si>
    <t>2023-08-27T16:15:00Z</t>
  </si>
  <si>
    <t>2023-08-27T16:30:00Z</t>
  </si>
  <si>
    <t>2023-08-27T16:45:00Z</t>
  </si>
  <si>
    <t>2023-08-27T17:00:00Z</t>
  </si>
  <si>
    <t>2023-08-27T17:15:00Z</t>
  </si>
  <si>
    <t>3.5564999999999998</t>
  </si>
  <si>
    <t>2023-08-27T17:30:00Z</t>
  </si>
  <si>
    <t>2023-08-27T17:45:00Z</t>
  </si>
  <si>
    <t>2023-08-27T18:00:00Z</t>
  </si>
  <si>
    <t>2023-08-27T18:15:00Z</t>
  </si>
  <si>
    <t>2023-08-27T18:30:00Z</t>
  </si>
  <si>
    <t>2023-08-27T18:45:00Z</t>
  </si>
  <si>
    <t>2023-08-27T19:00:00Z</t>
  </si>
  <si>
    <t>2023-08-27T19:15:00Z</t>
  </si>
  <si>
    <t>2023-08-27T19:30:00Z</t>
  </si>
  <si>
    <t>2023-08-27T19:45:00Z</t>
  </si>
  <si>
    <t>2023-08-27T20:00:00Z</t>
  </si>
  <si>
    <t>2023-08-27T20:15:00Z</t>
  </si>
  <si>
    <t>2023-08-27T20:30:00Z</t>
  </si>
  <si>
    <t>2023-08-27T20:45:00Z</t>
  </si>
  <si>
    <t>2023-08-27T21:00:00Z</t>
  </si>
  <si>
    <t>2023-08-27T21:15:00Z</t>
  </si>
  <si>
    <t>2023-08-27T21:30:00Z</t>
  </si>
  <si>
    <t>2023-08-27T21:45:00Z</t>
  </si>
  <si>
    <t>2023-08-27T22:00:00Z</t>
  </si>
  <si>
    <t>2023-08-27T22:15:00Z</t>
  </si>
  <si>
    <t>2023-08-27T22:30:00Z</t>
  </si>
  <si>
    <t>2023-08-27T22:45:00Z</t>
  </si>
  <si>
    <t>2023-08-27T23:00:00Z</t>
  </si>
  <si>
    <t>3.2904999999999998</t>
  </si>
  <si>
    <t>2023-08-27T23:15:00Z</t>
  </si>
  <si>
    <t>3.2864999999999998</t>
  </si>
  <si>
    <t>2023-08-27T23:30:00Z</t>
  </si>
  <si>
    <t>2023-08-27T23:45:00Z</t>
  </si>
  <si>
    <t>2023-08-28T00:00:00Z</t>
  </si>
  <si>
    <t>2023-08-28T00:15:00Z</t>
  </si>
  <si>
    <t>2023-08-28T00:30:00Z</t>
  </si>
  <si>
    <t>2023-08-28T00:45:00Z</t>
  </si>
  <si>
    <t>2023-08-28T01:00:00Z</t>
  </si>
  <si>
    <t>2023-08-28T01:15:00Z</t>
  </si>
  <si>
    <t>2023-08-28T01:30:00Z</t>
  </si>
  <si>
    <t>2023-08-28T01:45:00Z</t>
  </si>
  <si>
    <t>2023-08-28T02:00:00Z</t>
  </si>
  <si>
    <t>2023-08-28T02:15:00Z</t>
  </si>
  <si>
    <t>2023-08-28T02:30:00Z</t>
  </si>
  <si>
    <t>2023-08-28T02:45:00Z</t>
  </si>
  <si>
    <t>2023-08-28T03:00:00Z</t>
  </si>
  <si>
    <t>2023-08-28T03:15:00Z</t>
  </si>
  <si>
    <t>2023-08-28T03:30:00Z</t>
  </si>
  <si>
    <t>0.048960000000000004</t>
  </si>
  <si>
    <t>2023-08-28T03:45:00Z</t>
  </si>
  <si>
    <t>2023-08-28T04:00:00Z</t>
  </si>
  <si>
    <t>2023-08-28T04:15:00Z</t>
  </si>
  <si>
    <t>0.049640000000000004</t>
  </si>
  <si>
    <t>2023-08-28T04:30:00Z</t>
  </si>
  <si>
    <t>2023-08-28T04:45:00Z</t>
  </si>
  <si>
    <t>2023-08-28T05:00:00Z</t>
  </si>
  <si>
    <t>2023-08-28T05:15:00Z</t>
  </si>
  <si>
    <t>2023-08-28T05:30:00Z</t>
  </si>
  <si>
    <t>2023-08-28T05:45:00Z</t>
  </si>
  <si>
    <t>2023-08-28T06:00:00Z</t>
  </si>
  <si>
    <t>2023-08-28T06:15:00Z</t>
  </si>
  <si>
    <t>4.0649999999999995</t>
  </si>
  <si>
    <t>2023-08-28T06:30:00Z</t>
  </si>
  <si>
    <t>2023-08-28T06:45:00Z</t>
  </si>
  <si>
    <t>2023-08-28T07:00:00Z</t>
  </si>
  <si>
    <t>2023-08-28T07:15:00Z</t>
  </si>
  <si>
    <t>4.0969999999999995</t>
  </si>
  <si>
    <t>2023-08-28T07:30:00Z</t>
  </si>
  <si>
    <t>2023-08-28T07:45:00Z</t>
  </si>
  <si>
    <t>0.057855000000000004</t>
  </si>
  <si>
    <t>2023-08-28T08:00:00Z</t>
  </si>
  <si>
    <t>2023-08-28T08:15:00Z</t>
  </si>
  <si>
    <t>2023-08-28T08:30:00Z</t>
  </si>
  <si>
    <t>2023-08-28T08:45:00Z</t>
  </si>
  <si>
    <t>4.1465000000000005</t>
  </si>
  <si>
    <t>2023-08-28T09:00:00Z</t>
  </si>
  <si>
    <t>2023-08-28T09:15:00Z</t>
  </si>
  <si>
    <t>2023-08-28T09:30:00Z</t>
  </si>
  <si>
    <t>0.058105000000000004</t>
  </si>
  <si>
    <t>2023-08-28T09:45:00Z</t>
  </si>
  <si>
    <t>4.1354999999999995</t>
  </si>
  <si>
    <t>2023-08-28T10:00:00Z</t>
  </si>
  <si>
    <t>2023-08-28T10:15:00Z</t>
  </si>
  <si>
    <t>2023-08-28T10:30:00Z</t>
  </si>
  <si>
    <t>2023-08-28T10:45:00Z</t>
  </si>
  <si>
    <t>2023-08-28T11:00:00Z</t>
  </si>
  <si>
    <t>2023-08-28T11:15:00Z</t>
  </si>
  <si>
    <t>0.057944999999999997</t>
  </si>
  <si>
    <t>2023-08-28T11:30:00Z</t>
  </si>
  <si>
    <t>4.1385000000000005</t>
  </si>
  <si>
    <t>2023-08-28T11:45:00Z</t>
  </si>
  <si>
    <t>2023-08-28T12:00:00Z</t>
  </si>
  <si>
    <t>2023-08-28T12:15:00Z</t>
  </si>
  <si>
    <t>2023-08-28T12:30:00Z</t>
  </si>
  <si>
    <t>2023-08-28T12:45:00Z</t>
  </si>
  <si>
    <t>2023-08-28T13:00:00Z</t>
  </si>
  <si>
    <t>2023-08-28T13:15:00Z</t>
  </si>
  <si>
    <t>2023-08-28T13:30:00Z</t>
  </si>
  <si>
    <t>2023-08-28T13:45:00Z</t>
  </si>
  <si>
    <t>2023-08-28T14:00:00Z</t>
  </si>
  <si>
    <t>2023-08-28T14:15:00Z</t>
  </si>
  <si>
    <t>2023-08-28T14:30:00Z</t>
  </si>
  <si>
    <t>2023-08-28T14:45:00Z</t>
  </si>
  <si>
    <t>2023-08-28T15:00:00Z</t>
  </si>
  <si>
    <t>2023-08-28T15:15:00Z</t>
  </si>
  <si>
    <t>2023-08-28T15:30:00Z</t>
  </si>
  <si>
    <t>2023-08-28T15:45:00Z</t>
  </si>
  <si>
    <t>2023-08-28T16:00:00Z</t>
  </si>
  <si>
    <t>2023-08-28T16:15:00Z</t>
  </si>
  <si>
    <t>0.052074999999999996</t>
  </si>
  <si>
    <t>2023-08-28T16:30:00Z</t>
  </si>
  <si>
    <t>0.051304999999999996</t>
  </si>
  <si>
    <t>2023-08-28T16:45:00Z</t>
  </si>
  <si>
    <t>2023-08-28T17:00:00Z</t>
  </si>
  <si>
    <t>2023-08-28T17:15:00Z</t>
  </si>
  <si>
    <t>2023-08-28T17:30:00Z</t>
  </si>
  <si>
    <t>2023-08-28T17:45:00Z</t>
  </si>
  <si>
    <t>2023-08-28T18:00:00Z</t>
  </si>
  <si>
    <t>2023-08-28T18:15:00Z</t>
  </si>
  <si>
    <t>2023-08-28T18:30:00Z</t>
  </si>
  <si>
    <t>2023-08-28T18:45:00Z</t>
  </si>
  <si>
    <t>2023-08-28T19:00:00Z</t>
  </si>
  <si>
    <t>2023-08-28T19:15:00Z</t>
  </si>
  <si>
    <t>0.048655000000000004</t>
  </si>
  <si>
    <t>2023-08-28T19:30:00Z</t>
  </si>
  <si>
    <t>3.4379999999999997</t>
  </si>
  <si>
    <t>2023-08-28T19:45:00Z</t>
  </si>
  <si>
    <t>3.3810000000000002</t>
  </si>
  <si>
    <t>2023-08-28T20:00:00Z</t>
  </si>
  <si>
    <t>2023-08-28T20:15:00Z</t>
  </si>
  <si>
    <t>2023-08-28T20:30:00Z</t>
  </si>
  <si>
    <t>2023-08-28T20:45:00Z</t>
  </si>
  <si>
    <t>2023-08-28T21:00:00Z</t>
  </si>
  <si>
    <t>2023-08-28T21:15:00Z</t>
  </si>
  <si>
    <t>2023-08-28T21:30:00Z</t>
  </si>
  <si>
    <t>2023-08-28T21:45:00Z</t>
  </si>
  <si>
    <t>2023-08-28T22:00:00Z</t>
  </si>
  <si>
    <t>2023-08-28T22:15:00Z</t>
  </si>
  <si>
    <t>2023-08-28T22:30:00Z</t>
  </si>
  <si>
    <t>2023-08-28T22:45:00Z</t>
  </si>
  <si>
    <t>2023-08-28T23:00:00Z</t>
  </si>
  <si>
    <t>2023-08-28T23:15:00Z</t>
  </si>
  <si>
    <t>2023-08-28T23:30:00Z</t>
  </si>
  <si>
    <t>3.3024999999999998</t>
  </si>
  <si>
    <t>2023-08-28T23:45:00Z</t>
  </si>
  <si>
    <t>2023-08-29T00:00:00Z</t>
  </si>
  <si>
    <t>2023-08-29T00:15:00Z</t>
  </si>
  <si>
    <t>2023-08-29T00:30:00Z</t>
  </si>
  <si>
    <t>2023-08-29T00:45:00Z</t>
  </si>
  <si>
    <t>2023-08-29T01:00:00Z</t>
  </si>
  <si>
    <t>2023-08-29T01:15:00Z</t>
  </si>
  <si>
    <t>2023-08-29T01:30:00Z</t>
  </si>
  <si>
    <t>2023-08-29T01:45:00Z</t>
  </si>
  <si>
    <t>2023-08-29T02:00:00Z</t>
  </si>
  <si>
    <t>2023-08-29T02:15:00Z</t>
  </si>
  <si>
    <t>2023-08-29T02:30:00Z</t>
  </si>
  <si>
    <t>2023-08-29T02:45:00Z</t>
  </si>
  <si>
    <t>2023-08-29T03:00:00Z</t>
  </si>
  <si>
    <t>2023-08-29T03:15:00Z</t>
  </si>
  <si>
    <t>2023-08-29T03:30:00Z</t>
  </si>
  <si>
    <t>2023-08-29T03:45:00Z</t>
  </si>
  <si>
    <t>2023-08-29T04:00:00Z</t>
  </si>
  <si>
    <t>2023-08-29T04:15:00Z</t>
  </si>
  <si>
    <t>2023-08-29T04:30:00Z</t>
  </si>
  <si>
    <t>2023-08-29T04:45:00Z</t>
  </si>
  <si>
    <t>2023-08-29T05:00:00Z</t>
  </si>
  <si>
    <t>2023-08-29T05:15:00Z</t>
  </si>
  <si>
    <t>0.054025000000000004</t>
  </si>
  <si>
    <t>2023-08-29T05:30:00Z</t>
  </si>
  <si>
    <t>2023-08-29T05:45:00Z</t>
  </si>
  <si>
    <t>2023-08-29T06:00:00Z</t>
  </si>
  <si>
    <t>0.056299999999999996</t>
  </si>
  <si>
    <t>2023-08-29T06:15:00Z</t>
  </si>
  <si>
    <t>0.056639999999999996</t>
  </si>
  <si>
    <t>2023-08-29T06:30:00Z</t>
  </si>
  <si>
    <t>2023-08-29T06:45:00Z</t>
  </si>
  <si>
    <t>2023-08-29T07:00:00Z</t>
  </si>
  <si>
    <t>2023-08-29T07:15:00Z</t>
  </si>
  <si>
    <t>2023-08-29T07:30:00Z</t>
  </si>
  <si>
    <t>0.058214999999999996</t>
  </si>
  <si>
    <t>2023-08-29T07:45:00Z</t>
  </si>
  <si>
    <t>2023-08-29T08:00:00Z</t>
  </si>
  <si>
    <t>2023-08-29T08:15:00Z</t>
  </si>
  <si>
    <t>2023-08-29T08:30:00Z</t>
  </si>
  <si>
    <t>2023-08-29T08:45:00Z</t>
  </si>
  <si>
    <t>2023-08-29T09:00:00Z</t>
  </si>
  <si>
    <t>2023-08-29T09:15:00Z</t>
  </si>
  <si>
    <t>2023-08-29T09:30:00Z</t>
  </si>
  <si>
    <t>2023-08-29T09:45:00Z</t>
  </si>
  <si>
    <t>2023-08-29T10:00:00Z</t>
  </si>
  <si>
    <t>2023-08-29T10:15:00Z</t>
  </si>
  <si>
    <t>0.058195000000000004</t>
  </si>
  <si>
    <t>2023-08-29T10:30:00Z</t>
  </si>
  <si>
    <t>2023-08-29T10:45:00Z</t>
  </si>
  <si>
    <t>2023-08-29T11:00:00Z</t>
  </si>
  <si>
    <t>2023-08-29T11:15:00Z</t>
  </si>
  <si>
    <t>2023-08-29T11:30:00Z</t>
  </si>
  <si>
    <t>2023-08-29T11:45:00Z</t>
  </si>
  <si>
    <t>2023-08-29T12:00:00Z</t>
  </si>
  <si>
    <t>2023-08-29T12:15:00Z</t>
  </si>
  <si>
    <t>2023-08-29T12:30:00Z</t>
  </si>
  <si>
    <t>2023-08-29T12:45:00Z</t>
  </si>
  <si>
    <t>2023-08-29T13:00:00Z</t>
  </si>
  <si>
    <t>2023-08-29T13:15:00Z</t>
  </si>
  <si>
    <t>2023-08-29T13:30:00Z</t>
  </si>
  <si>
    <t>2023-08-29T13:45:00Z</t>
  </si>
  <si>
    <t>2023-08-29T14:00:00Z</t>
  </si>
  <si>
    <t>2023-08-29T14:15:00Z</t>
  </si>
  <si>
    <t>2023-08-29T14:30:00Z</t>
  </si>
  <si>
    <t>2023-08-29T14:45:00Z</t>
  </si>
  <si>
    <t>2023-08-29T15:00:00Z</t>
  </si>
  <si>
    <t>2023-08-29T15:15:00Z</t>
  </si>
  <si>
    <t>2023-08-29T15:30:00Z</t>
  </si>
  <si>
    <t>2023-08-29T15:45:00Z</t>
  </si>
  <si>
    <t>2023-08-29T16:00:00Z</t>
  </si>
  <si>
    <t>2023-08-29T16:15:00Z</t>
  </si>
  <si>
    <t>2023-08-29T16:30:00Z</t>
  </si>
  <si>
    <t>2023-08-29T16:45:00Z</t>
  </si>
  <si>
    <t>2023-08-29T17:00:00Z</t>
  </si>
  <si>
    <t>2023-08-29T17:15:00Z</t>
  </si>
  <si>
    <t>0.050034999999999996</t>
  </si>
  <si>
    <t>2023-08-29T17:30:00Z</t>
  </si>
  <si>
    <t>2023-08-29T17:45:00Z</t>
  </si>
  <si>
    <t>2023-08-29T18:00:00Z</t>
  </si>
  <si>
    <t>2023-08-29T18:15:00Z</t>
  </si>
  <si>
    <t>2023-08-29T18:30:00Z</t>
  </si>
  <si>
    <t>2023-08-29T18:45:00Z</t>
  </si>
  <si>
    <t>2023-08-29T19:00:00Z</t>
  </si>
  <si>
    <t>2023-08-29T19:15:00Z</t>
  </si>
  <si>
    <t>2023-08-29T19:30:00Z</t>
  </si>
  <si>
    <t>2023-08-29T19:45:00Z</t>
  </si>
  <si>
    <t>2023-08-29T20:00:00Z</t>
  </si>
  <si>
    <t>2023-08-29T20:15:00Z</t>
  </si>
  <si>
    <t>2023-08-29T20:30:00Z</t>
  </si>
  <si>
    <t>3.3770000000000002</t>
  </si>
  <si>
    <t>2023-08-29T20:45:00Z</t>
  </si>
  <si>
    <t>2023-08-29T21:00:00Z</t>
  </si>
  <si>
    <t>2023-08-29T21:15:00Z</t>
  </si>
  <si>
    <t>2023-08-29T21:30:00Z</t>
  </si>
  <si>
    <t>2023-08-29T21:45:00Z</t>
  </si>
  <si>
    <t>2023-08-29T22:00:00Z</t>
  </si>
  <si>
    <t>2023-08-29T22:15:00Z</t>
  </si>
  <si>
    <t>2023-08-29T22:30:00Z</t>
  </si>
  <si>
    <t>2023-08-29T22:45:00Z</t>
  </si>
  <si>
    <t>2023-08-29T23:00:00Z</t>
  </si>
  <si>
    <t>2023-08-29T23:15:00Z</t>
  </si>
  <si>
    <t>2023-08-29T23:30:00Z</t>
  </si>
  <si>
    <t>2023-08-29T23:45:00Z</t>
  </si>
  <si>
    <t>2023-08-30T00:00:00Z</t>
  </si>
  <si>
    <t>2023-08-30T00:15:00Z</t>
  </si>
  <si>
    <t>2023-08-30T00:30:00Z</t>
  </si>
  <si>
    <t>2023-08-30T00:45:00Z</t>
  </si>
  <si>
    <t>2023-08-30T01:00:00Z</t>
  </si>
  <si>
    <t>0.046204999999999996</t>
  </si>
  <si>
    <t>2023-08-30T01:15:00Z</t>
  </si>
  <si>
    <t>2023-08-30T01:30:00Z</t>
  </si>
  <si>
    <t>2023-08-30T01:45:00Z</t>
  </si>
  <si>
    <t>2023-08-30T02:00:00Z</t>
  </si>
  <si>
    <t>2023-08-30T02:15:00Z</t>
  </si>
  <si>
    <t>2023-08-30T02:30:00Z</t>
  </si>
  <si>
    <t>2023-08-30T02:45:00Z</t>
  </si>
  <si>
    <t>3.4435000000000002</t>
  </si>
  <si>
    <t>2023-08-30T03:00:00Z</t>
  </si>
  <si>
    <t>2023-08-30T03:15:00Z</t>
  </si>
  <si>
    <t>2023-08-30T03:30:00Z</t>
  </si>
  <si>
    <t>2023-08-30T03:45:00Z</t>
  </si>
  <si>
    <t>2023-08-30T04:00:00Z</t>
  </si>
  <si>
    <t>2023-08-30T04:15:00Z</t>
  </si>
  <si>
    <t>0.053470000000000004</t>
  </si>
  <si>
    <t>2023-08-30T04:30:00Z</t>
  </si>
  <si>
    <t>2023-08-30T04:45:00Z</t>
  </si>
  <si>
    <t>2023-08-30T05:00:00Z</t>
  </si>
  <si>
    <t>0.056065000000000004</t>
  </si>
  <si>
    <t>2023-08-30T05:15:00Z</t>
  </si>
  <si>
    <t>2023-08-30T05:30:00Z</t>
  </si>
  <si>
    <t>2023-08-30T05:45:00Z</t>
  </si>
  <si>
    <t>2023-08-30T06:00:00Z</t>
  </si>
  <si>
    <t>2023-08-30T06:15:00Z</t>
  </si>
  <si>
    <t>4.2364999999999995</t>
  </si>
  <si>
    <t>2023-08-30T06:30:00Z</t>
  </si>
  <si>
    <t>2023-08-30T06:45:00Z</t>
  </si>
  <si>
    <t>2023-08-30T07:00:00Z</t>
  </si>
  <si>
    <t>2023-08-30T07:15:00Z</t>
  </si>
  <si>
    <t>2023-08-30T07:30:00Z</t>
  </si>
  <si>
    <t>2023-08-30T07:45:00Z</t>
  </si>
  <si>
    <t>2023-08-30T08:00:00Z</t>
  </si>
  <si>
    <t>2023-08-30T08:15:00Z</t>
  </si>
  <si>
    <t>2023-08-30T08:30:00Z</t>
  </si>
  <si>
    <t>2023-08-30T08:45:00Z</t>
  </si>
  <si>
    <t>2023-08-30T09:00:00Z</t>
  </si>
  <si>
    <t>2023-08-30T09:15:00Z</t>
  </si>
  <si>
    <t>2023-08-30T09:30:00Z</t>
  </si>
  <si>
    <t>2023-08-30T09:45:00Z</t>
  </si>
  <si>
    <t>2023-08-30T10:00:00Z</t>
  </si>
  <si>
    <t>2023-08-30T10:15:00Z</t>
  </si>
  <si>
    <t>2023-08-30T10:30:00Z</t>
  </si>
  <si>
    <t>2023-08-30T10:45:00Z</t>
  </si>
  <si>
    <t>2023-08-30T11:00:00Z</t>
  </si>
  <si>
    <t>4.1754999999999995</t>
  </si>
  <si>
    <t>2023-08-30T11:15:00Z</t>
  </si>
  <si>
    <t>2023-08-30T11:30:00Z</t>
  </si>
  <si>
    <t>2023-08-30T11:45:00Z</t>
  </si>
  <si>
    <t>2023-08-30T12:00:00Z</t>
  </si>
  <si>
    <t>2023-08-30T12:15:00Z</t>
  </si>
  <si>
    <t>2023-08-30T12:30:00Z</t>
  </si>
  <si>
    <t>2023-08-30T12:45:00Z</t>
  </si>
  <si>
    <t>2023-08-30T13:00:00Z</t>
  </si>
  <si>
    <t>2023-08-30T13:15:00Z</t>
  </si>
  <si>
    <t>2023-08-30T13:30:00Z</t>
  </si>
  <si>
    <t>2023-08-30T13:45:00Z</t>
  </si>
  <si>
    <t>2023-08-30T14:00:00Z</t>
  </si>
  <si>
    <t>2023-08-30T14:15:00Z</t>
  </si>
  <si>
    <t>2023-08-30T14:30:00Z</t>
  </si>
  <si>
    <t>2023-08-30T14:45:00Z</t>
  </si>
  <si>
    <t>2023-08-30T15:00:00Z</t>
  </si>
  <si>
    <t>2023-08-30T15:15:00Z</t>
  </si>
  <si>
    <t>2023-08-30T15:30:00Z</t>
  </si>
  <si>
    <t>2023-08-30T15:45:00Z</t>
  </si>
  <si>
    <t>2023-08-30T16:00:00Z</t>
  </si>
  <si>
    <t>2023-08-30T16:15:00Z</t>
  </si>
  <si>
    <t>2023-08-30T16:30:00Z</t>
  </si>
  <si>
    <t>2023-08-30T16:45:00Z</t>
  </si>
  <si>
    <t>2023-08-30T17:00:00Z</t>
  </si>
  <si>
    <t>2023-08-30T17:15:00Z</t>
  </si>
  <si>
    <t>3.9250000000000003</t>
  </si>
  <si>
    <t>2023-08-30T17:30:00Z</t>
  </si>
  <si>
    <t>2023-08-30T17:45:00Z</t>
  </si>
  <si>
    <t>2023-08-30T18:00:00Z</t>
  </si>
  <si>
    <t>2023-08-30T18:15:00Z</t>
  </si>
  <si>
    <t>2023-08-30T18:30:00Z</t>
  </si>
  <si>
    <t>3.8729999999999998</t>
  </si>
  <si>
    <t>2023-08-30T18:45:00Z</t>
  </si>
  <si>
    <t>3.8305000000000002</t>
  </si>
  <si>
    <t>2023-08-30T19:00:00Z</t>
  </si>
  <si>
    <t>2023-08-30T19:15:00Z</t>
  </si>
  <si>
    <t>2023-08-30T19:30:00Z</t>
  </si>
  <si>
    <t>2023-08-30T19:45:00Z</t>
  </si>
  <si>
    <t>2023-08-30T20:00:00Z</t>
  </si>
  <si>
    <t>2023-08-30T20:15:00Z</t>
  </si>
  <si>
    <t>2023-08-30T20:30:00Z</t>
  </si>
  <si>
    <t>2023-08-30T20:45:00Z</t>
  </si>
  <si>
    <t>2023-08-30T21:00:00Z</t>
  </si>
  <si>
    <t>2023-08-30T21:15:00Z</t>
  </si>
  <si>
    <t>2023-08-30T21:30:00Z</t>
  </si>
  <si>
    <t>0.051555000000000004</t>
  </si>
  <si>
    <t>2023-08-30T21:45:00Z</t>
  </si>
  <si>
    <t>3.7015000000000002</t>
  </si>
  <si>
    <t>2023-08-30T22:00:00Z</t>
  </si>
  <si>
    <t>2023-08-30T22:15:00Z</t>
  </si>
  <si>
    <t>2023-08-30T22:30:00Z</t>
  </si>
  <si>
    <t>2023-08-30T22:45:00Z</t>
  </si>
  <si>
    <t>2023-08-30T23:00:00Z</t>
  </si>
  <si>
    <t>3.7640000000000002</t>
  </si>
  <si>
    <t>2023-08-30T23:15:00Z</t>
  </si>
  <si>
    <t>2023-08-30T23:30:00Z</t>
  </si>
  <si>
    <t>2023-08-30T23:45:00Z</t>
  </si>
  <si>
    <t>2023-08-31T00:00:00Z</t>
  </si>
  <si>
    <t>2023-08-31T00:15:00Z</t>
  </si>
  <si>
    <t>2023-08-31T00:30:00Z</t>
  </si>
  <si>
    <t>2023-08-31T00:45:00Z</t>
  </si>
  <si>
    <t>2023-08-31T01:00:00Z</t>
  </si>
  <si>
    <t>2023-08-31T01:15:00Z</t>
  </si>
  <si>
    <t>2023-08-31T01:30:00Z</t>
  </si>
  <si>
    <t>2023-08-31T01:45:00Z</t>
  </si>
  <si>
    <t>2023-08-31T02:00:00Z</t>
  </si>
  <si>
    <t>2023-08-31T02:15:00Z</t>
  </si>
  <si>
    <t>2023-08-31T02:30:00Z</t>
  </si>
  <si>
    <t>2023-08-31T02:45:00Z</t>
  </si>
  <si>
    <t>2023-08-31T03:00:00Z</t>
  </si>
  <si>
    <t>2023-08-31T03:15:00Z</t>
  </si>
  <si>
    <t>2023-08-31T03:30:00Z</t>
  </si>
  <si>
    <t>2023-08-31T03:45:00Z</t>
  </si>
  <si>
    <t>2023-08-31T04:00:00Z</t>
  </si>
  <si>
    <t>2023-08-31T04:15:00Z</t>
  </si>
  <si>
    <t>2023-08-31T04:30:00Z</t>
  </si>
  <si>
    <t>2023-08-31T04:45:00Z</t>
  </si>
  <si>
    <t>2023-08-31T05:00:00Z</t>
  </si>
  <si>
    <t>2023-08-31T05:15:00Z</t>
  </si>
  <si>
    <t>4.5120000000000005</t>
  </si>
  <si>
    <t>2023-08-31T05:30:00Z</t>
  </si>
  <si>
    <t>2023-08-31T05:45:00Z</t>
  </si>
  <si>
    <t>2023-08-31T06:00:00Z</t>
  </si>
  <si>
    <t>2023-08-31T06:15:00Z</t>
  </si>
  <si>
    <t>2023-08-31T06:30:00Z</t>
  </si>
  <si>
    <t>2023-08-31T06:45:00Z</t>
  </si>
  <si>
    <t>2023-08-31T07:00:00Z</t>
  </si>
  <si>
    <t>2023-08-31T07:15:00Z</t>
  </si>
  <si>
    <t>2023-08-31T07:30:00Z</t>
  </si>
  <si>
    <t>2023-08-31T07:45:00Z</t>
  </si>
  <si>
    <t>2023-08-31T08:00:00Z</t>
  </si>
  <si>
    <t>2023-08-31T08:15:00Z</t>
  </si>
  <si>
    <t>2023-08-31T08:30:00Z</t>
  </si>
  <si>
    <t>2023-08-31T08:45:00Z</t>
  </si>
  <si>
    <t>2023-08-31T09:00:00Z</t>
  </si>
  <si>
    <t>2023-08-31T09:15:00Z</t>
  </si>
  <si>
    <t>2023-08-31T09:30:00Z</t>
  </si>
  <si>
    <t>2023-08-31T09:45:00Z</t>
  </si>
  <si>
    <t>2023-08-31T10:00:00Z</t>
  </si>
  <si>
    <t>2023-08-31T10:15:00Z</t>
  </si>
  <si>
    <t>2023-08-31T10:30:00Z</t>
  </si>
  <si>
    <t>2023-08-31T10:45:00Z</t>
  </si>
  <si>
    <t>2023-08-31T11:00:00Z</t>
  </si>
  <si>
    <t>2023-08-31T11:15:00Z</t>
  </si>
  <si>
    <t>2023-08-31T11:30:00Z</t>
  </si>
  <si>
    <t>2023-08-31T11:45:00Z</t>
  </si>
  <si>
    <t>2023-08-31T12:00:00Z</t>
  </si>
  <si>
    <t>2023-08-31T12:15:00Z</t>
  </si>
  <si>
    <t>2023-08-31T12:30:00Z</t>
  </si>
  <si>
    <t>2023-08-31T12:45:00Z</t>
  </si>
  <si>
    <t>2023-08-31T13:00:00Z</t>
  </si>
  <si>
    <t>2023-08-31T13:15:00Z</t>
  </si>
  <si>
    <t>2023-08-31T13:30:00Z</t>
  </si>
  <si>
    <t>2023-08-31T13:45:00Z</t>
  </si>
  <si>
    <t>2023-08-31T14:00:00Z</t>
  </si>
  <si>
    <t>2023-08-31T14:15:00Z</t>
  </si>
  <si>
    <t>2023-08-31T14:30:00Z</t>
  </si>
  <si>
    <t>4.4495000000000005</t>
  </si>
  <si>
    <t>2023-08-31T14:45:00Z</t>
  </si>
  <si>
    <t>2023-08-31T15:00:00Z</t>
  </si>
  <si>
    <t>2023-08-31T15:15:00Z</t>
  </si>
  <si>
    <t>2023-08-31T15:30:00Z</t>
  </si>
  <si>
    <t>2023-08-31T15:45:00Z</t>
  </si>
  <si>
    <t>2023-08-31T16:00:00Z</t>
  </si>
  <si>
    <t>2023-08-31T16:15:00Z</t>
  </si>
  <si>
    <t>2023-08-31T16:30:00Z</t>
  </si>
  <si>
    <t>2023-08-31T16:45:00Z</t>
  </si>
  <si>
    <t>2023-08-31T17:00:00Z</t>
  </si>
  <si>
    <t>2023-08-31T17:15:00Z</t>
  </si>
  <si>
    <t>2023-08-31T17:30:00Z</t>
  </si>
  <si>
    <t>2023-08-31T17:45:00Z</t>
  </si>
  <si>
    <t>2023-08-31T18:00:00Z</t>
  </si>
  <si>
    <t>2023-08-31T18:15:00Z</t>
  </si>
  <si>
    <t>2023-08-31T18:30:00Z</t>
  </si>
  <si>
    <t>2023-08-31T18:45:00Z</t>
  </si>
  <si>
    <t>2023-08-31T19:00:00Z</t>
  </si>
  <si>
    <t>2023-08-31T19:15:00Z</t>
  </si>
  <si>
    <t>2023-08-31T19:30:00Z</t>
  </si>
  <si>
    <t>2023-08-31T19:45:00Z</t>
  </si>
  <si>
    <t>3.9450000000000003</t>
  </si>
  <si>
    <t>2023-08-31T20:00:00Z</t>
  </si>
  <si>
    <t>2023-08-31T20:15:00Z</t>
  </si>
  <si>
    <t>2023-08-31T20:30:00Z</t>
  </si>
  <si>
    <t>2023-08-31T20:45:00Z</t>
  </si>
  <si>
    <t>2023-08-31T21:00:00Z</t>
  </si>
  <si>
    <t>2023-08-31T21:15:00Z</t>
  </si>
  <si>
    <t>2023-08-31T21:30:00Z</t>
  </si>
  <si>
    <t>2023-08-31T21:45:00Z</t>
  </si>
  <si>
    <t>2023-08-31T22:00:00Z</t>
  </si>
  <si>
    <t>2023-08-31T22:15:00Z</t>
  </si>
  <si>
    <t>2023-08-31T22:30:00Z</t>
  </si>
  <si>
    <t>2023-08-31T22:45:00Z</t>
  </si>
  <si>
    <t>2023-08-31T23:00:00Z</t>
  </si>
  <si>
    <t>2023-08-31T23:15:00Z</t>
  </si>
  <si>
    <t>2023-08-31T23:30:00Z</t>
  </si>
  <si>
    <t>0.052610000000000004</t>
  </si>
  <si>
    <t>2023-08-31T23:45:00Z</t>
  </si>
  <si>
    <t>2023-09-01T00:00:00Z</t>
  </si>
  <si>
    <t>2023-09-01T00:15:00Z</t>
  </si>
  <si>
    <t>2023-09-01T00:30:00Z</t>
  </si>
  <si>
    <t>2023-09-01T00:45:00Z</t>
  </si>
  <si>
    <t>2023-09-01T01:00:00Z</t>
  </si>
  <si>
    <t>2023-09-01T01:15:00Z</t>
  </si>
  <si>
    <t>2023-09-01T01:30:00Z</t>
  </si>
  <si>
    <t>2023-09-01T01:45:00Z</t>
  </si>
  <si>
    <t>2023-09-01T02:00:00Z</t>
  </si>
  <si>
    <t>2023-09-01T02:15:00Z</t>
  </si>
  <si>
    <t>2023-09-01T02:30:00Z</t>
  </si>
  <si>
    <t>2023-09-01T02:45:00Z</t>
  </si>
  <si>
    <t>3.8185000000000002</t>
  </si>
  <si>
    <t>2023-09-01T03:00:00Z</t>
  </si>
  <si>
    <t>2023-09-01T03:15:00Z</t>
  </si>
  <si>
    <t>2023-09-01T03:30:00Z</t>
  </si>
  <si>
    <t>0.055600000000000004</t>
  </si>
  <si>
    <t>2023-09-01T03:45:00Z</t>
  </si>
  <si>
    <t>2023-09-01T04:00:00Z</t>
  </si>
  <si>
    <t>2023-09-01T04:15:00Z</t>
  </si>
  <si>
    <t>0.057874999999999996</t>
  </si>
  <si>
    <t>2023-09-01T04:30:00Z</t>
  </si>
  <si>
    <t>2023-09-01T04:45:00Z</t>
  </si>
  <si>
    <t>2023-09-01T05:00:00Z</t>
  </si>
  <si>
    <t>2023-09-01T05:15:00Z</t>
  </si>
  <si>
    <t>2023-09-01T05:30:00Z</t>
  </si>
  <si>
    <t>2023-09-01T05:45:00Z</t>
  </si>
  <si>
    <t>2023-09-01T06:00:00Z</t>
  </si>
  <si>
    <t>2023-09-01T06:15:00Z</t>
  </si>
  <si>
    <t>2023-09-01T06:30:00Z</t>
  </si>
  <si>
    <t>2023-09-01T06:45:00Z</t>
  </si>
  <si>
    <t>2023-09-01T07:00:00Z</t>
  </si>
  <si>
    <t>2023-09-01T07:15:00Z</t>
  </si>
  <si>
    <t>2023-09-01T07:30:00Z</t>
  </si>
  <si>
    <t>2023-09-01T07:45:00Z</t>
  </si>
  <si>
    <t>2023-09-01T08:00:00Z</t>
  </si>
  <si>
    <t>2023-09-01T08:15:00Z</t>
  </si>
  <si>
    <t>4.4655000000000005</t>
  </si>
  <si>
    <t>2023-09-01T08:30:00Z</t>
  </si>
  <si>
    <t>2023-09-01T08:45:00Z</t>
  </si>
  <si>
    <t>2023-09-01T09:00:00Z</t>
  </si>
  <si>
    <t>4.4575000000000005</t>
  </si>
  <si>
    <t>2023-09-01T09:15:00Z</t>
  </si>
  <si>
    <t>2023-09-01T09:30:00Z</t>
  </si>
  <si>
    <t>0.062115000000000004</t>
  </si>
  <si>
    <t>2023-09-01T09:45:00Z</t>
  </si>
  <si>
    <t>2023-09-01T10:00:00Z</t>
  </si>
  <si>
    <t>2023-09-01T10:15:00Z</t>
  </si>
  <si>
    <t>2023-09-01T10:30:00Z</t>
  </si>
  <si>
    <t>2023-09-01T10:45:00Z</t>
  </si>
  <si>
    <t>2023-09-01T11:00:00Z</t>
  </si>
  <si>
    <t>2023-09-01T11:15:00Z</t>
  </si>
  <si>
    <t>2023-09-01T11:30:00Z</t>
  </si>
  <si>
    <t>0.061435000000000003</t>
  </si>
  <si>
    <t>2023-09-01T11:45:00Z</t>
  </si>
  <si>
    <t>4.3934999999999995</t>
  </si>
  <si>
    <t>2023-09-01T12:00:00Z</t>
  </si>
  <si>
    <t>2023-09-01T12:15:00Z</t>
  </si>
  <si>
    <t>2023-09-01T12:30:00Z</t>
  </si>
  <si>
    <t>2023-09-01T12:45:00Z</t>
  </si>
  <si>
    <t>2023-09-01T13:00:00Z</t>
  </si>
  <si>
    <t>4.3405000000000005</t>
  </si>
  <si>
    <t>0.060790000000000004</t>
  </si>
  <si>
    <t>2023-09-01T13:15:00Z</t>
  </si>
  <si>
    <t>2023-09-01T13:30:00Z</t>
  </si>
  <si>
    <t>0.060504999999999996</t>
  </si>
  <si>
    <t>2023-09-01T13:45:00Z</t>
  </si>
  <si>
    <t>2023-09-01T14:00:00Z</t>
  </si>
  <si>
    <t>2023-09-01T14:15:00Z</t>
  </si>
  <si>
    <t>2023-09-01T14:30:00Z</t>
  </si>
  <si>
    <t>2023-09-01T14:45:00Z</t>
  </si>
  <si>
    <t>2023-09-01T15:00:00Z</t>
  </si>
  <si>
    <t>2023-09-01T15:15:00Z</t>
  </si>
  <si>
    <t>2023-09-01T15:30:00Z</t>
  </si>
  <si>
    <t>0.056584999999999996</t>
  </si>
  <si>
    <t>2023-09-01T15:45:00Z</t>
  </si>
  <si>
    <t>2023-09-01T16:00:00Z</t>
  </si>
  <si>
    <t>2023-09-01T16:15:00Z</t>
  </si>
  <si>
    <t>2023-09-01T16:30:00Z</t>
  </si>
  <si>
    <t>2023-09-01T16:45:00Z</t>
  </si>
  <si>
    <t>2023-09-01T17:00:00Z</t>
  </si>
  <si>
    <t>2023-09-01T17:15:00Z</t>
  </si>
  <si>
    <t>2023-09-01T17:30:00Z</t>
  </si>
  <si>
    <t>2023-09-01T17:45:00Z</t>
  </si>
  <si>
    <t>2023-09-01T18:00:00Z</t>
  </si>
  <si>
    <t>2023-09-01T18:15:00Z</t>
  </si>
  <si>
    <t>2023-09-01T18:30:00Z</t>
  </si>
  <si>
    <t>2023-09-01T18:45:00Z</t>
  </si>
  <si>
    <t>2023-09-01T19:00:00Z</t>
  </si>
  <si>
    <t>2023-09-01T19:15:00Z</t>
  </si>
  <si>
    <t>2023-09-01T19:30:00Z</t>
  </si>
  <si>
    <t>2023-09-01T19:45:00Z</t>
  </si>
  <si>
    <t>2023-09-01T20:00:00Z</t>
  </si>
  <si>
    <t>2023-09-01T20:15:00Z</t>
  </si>
  <si>
    <t>2023-09-01T20:30:00Z</t>
  </si>
  <si>
    <t>2023-09-01T20:45:00Z</t>
  </si>
  <si>
    <t>0.050644999999999996</t>
  </si>
  <si>
    <t>2023-09-01T21:00:00Z</t>
  </si>
  <si>
    <t>0.050409999999999996</t>
  </si>
  <si>
    <t>2023-09-01T21:15:00Z</t>
  </si>
  <si>
    <t>2023-09-01T21:30:00Z</t>
  </si>
  <si>
    <t>2023-09-01T21:45:00Z</t>
  </si>
  <si>
    <t>0.050069999999999996</t>
  </si>
  <si>
    <t>2023-09-01T22:00:00Z</t>
  </si>
  <si>
    <t>2023-09-01T22:15:00Z</t>
  </si>
  <si>
    <t>2023-09-01T22:30:00Z</t>
  </si>
  <si>
    <t>2023-09-01T22:45:00Z</t>
  </si>
  <si>
    <t>2023-09-01T23:00:00Z</t>
  </si>
  <si>
    <t>2023-09-01T23:15:00Z</t>
  </si>
  <si>
    <t>2023-09-01T23:30:00Z</t>
  </si>
  <si>
    <t>2023-09-01T23:45:00Z</t>
  </si>
  <si>
    <t>2023-09-02T00:00:00Z</t>
  </si>
  <si>
    <t>2023-09-02T00:15:00Z</t>
  </si>
  <si>
    <t>3.6350000000000002</t>
  </si>
  <si>
    <t>2023-09-02T00:30:00Z</t>
  </si>
  <si>
    <t>2023-09-02T00:45:00Z</t>
  </si>
  <si>
    <t>2023-09-02T01:00:00Z</t>
  </si>
  <si>
    <t>2023-09-02T01:15:00Z</t>
  </si>
  <si>
    <t>2023-09-02T01:30:00Z</t>
  </si>
  <si>
    <t>2023-09-02T01:45:00Z</t>
  </si>
  <si>
    <t>2023-09-02T02:00:00Z</t>
  </si>
  <si>
    <t>2023-09-02T02:15:00Z</t>
  </si>
  <si>
    <t>2023-09-02T02:30:00Z</t>
  </si>
  <si>
    <t>2023-09-02T02:45:00Z</t>
  </si>
  <si>
    <t>2023-09-02T03:00:00Z</t>
  </si>
  <si>
    <t>2023-09-02T03:15:00Z</t>
  </si>
  <si>
    <t>2023-09-02T03:30:00Z</t>
  </si>
  <si>
    <t>2023-09-02T03:45:00Z</t>
  </si>
  <si>
    <t>2023-09-02T04:00:00Z</t>
  </si>
  <si>
    <t>2023-09-02T04:15:00Z</t>
  </si>
  <si>
    <t>2023-09-02T04:30:00Z</t>
  </si>
  <si>
    <t>2023-09-02T04:45:00Z</t>
  </si>
  <si>
    <t>2023-09-02T05:00:00Z</t>
  </si>
  <si>
    <t>2023-09-02T05:15:00Z</t>
  </si>
  <si>
    <t>2023-09-02T05:30:00Z</t>
  </si>
  <si>
    <t>2023-09-02T05:45:00Z</t>
  </si>
  <si>
    <t>2023-09-02T06:00:00Z</t>
  </si>
  <si>
    <t>2023-09-02T06:15:00Z</t>
  </si>
  <si>
    <t>2023-09-02T06:30:00Z</t>
  </si>
  <si>
    <t>2023-09-02T06:45:00Z</t>
  </si>
  <si>
    <t>2023-09-02T07:00:00Z</t>
  </si>
  <si>
    <t>2023-09-02T07:15:00Z</t>
  </si>
  <si>
    <t>2023-09-02T07:30:00Z</t>
  </si>
  <si>
    <t>2023-09-02T07:45:00Z</t>
  </si>
  <si>
    <t>2023-09-02T08:00:00Z</t>
  </si>
  <si>
    <t>2023-09-02T08:15:00Z</t>
  </si>
  <si>
    <t>2023-09-02T08:30:00Z</t>
  </si>
  <si>
    <t>2023-09-02T08:45:00Z</t>
  </si>
  <si>
    <t>2023-09-02T09:00:00Z</t>
  </si>
  <si>
    <t>2023-09-02T09:15:00Z</t>
  </si>
  <si>
    <t>2023-09-02T09:30:00Z</t>
  </si>
  <si>
    <t>2023-09-02T09:45:00Z</t>
  </si>
  <si>
    <t>2023-09-02T10:00:00Z</t>
  </si>
  <si>
    <t>2023-09-02T10:15:00Z</t>
  </si>
  <si>
    <t>2023-09-02T10:30:00Z</t>
  </si>
  <si>
    <t>2023-09-02T10:45:00Z</t>
  </si>
  <si>
    <t>0.061005000000000004</t>
  </si>
  <si>
    <t>2023-09-02T11:00:00Z</t>
  </si>
  <si>
    <t>2023-09-02T11:15:00Z</t>
  </si>
  <si>
    <t>2023-09-02T11:30:00Z</t>
  </si>
  <si>
    <t>2023-09-02T11:45:00Z</t>
  </si>
  <si>
    <t>2023-09-02T12:00:00Z</t>
  </si>
  <si>
    <t>2023-09-02T12:15:00Z</t>
  </si>
  <si>
    <t>2023-09-02T12:30:00Z</t>
  </si>
  <si>
    <t>2023-09-02T12:45:00Z</t>
  </si>
  <si>
    <t>2023-09-02T13:00:00Z</t>
  </si>
  <si>
    <t>2023-09-02T13:15:00Z</t>
  </si>
  <si>
    <t>4.2924999999999995</t>
  </si>
  <si>
    <t>2023-09-02T13:30:00Z</t>
  </si>
  <si>
    <t>2023-09-02T13:45:00Z</t>
  </si>
  <si>
    <t>2023-09-02T14:00:00Z</t>
  </si>
  <si>
    <t>2023-09-02T14:15:00Z</t>
  </si>
  <si>
    <t>2023-09-02T14:30:00Z</t>
  </si>
  <si>
    <t>2023-09-02T14:45:00Z</t>
  </si>
  <si>
    <t>2023-09-02T15:00:00Z</t>
  </si>
  <si>
    <t>2023-09-02T15:15:00Z</t>
  </si>
  <si>
    <t>2023-09-02T15:30:00Z</t>
  </si>
  <si>
    <t>2023-09-02T15:45:00Z</t>
  </si>
  <si>
    <t>2023-09-02T16:00:00Z</t>
  </si>
  <si>
    <t>2023-09-02T16:15:00Z</t>
  </si>
  <si>
    <t>2023-09-02T16:30:00Z</t>
  </si>
  <si>
    <t>2023-09-02T16:45:00Z</t>
  </si>
  <si>
    <t>0.052665000000000003</t>
  </si>
  <si>
    <t>2023-09-02T17:00:00Z</t>
  </si>
  <si>
    <t>2023-09-02T17:15:00Z</t>
  </si>
  <si>
    <t>2023-09-02T17:30:00Z</t>
  </si>
  <si>
    <t>2023-09-02T17:45:00Z</t>
  </si>
  <si>
    <t>2023-09-02T18:00:00Z</t>
  </si>
  <si>
    <t>2023-09-02T18:15:00Z</t>
  </si>
  <si>
    <t>3.6229999999999998</t>
  </si>
  <si>
    <t>2023-09-02T18:30:00Z</t>
  </si>
  <si>
    <t>0.050714999999999996</t>
  </si>
  <si>
    <t>2023-09-02T18:45:00Z</t>
  </si>
  <si>
    <t>2023-09-02T19:00:00Z</t>
  </si>
  <si>
    <t>3.6149999999999998</t>
  </si>
  <si>
    <t>2023-09-02T19:15:00Z</t>
  </si>
  <si>
    <t>2023-09-02T19:30:00Z</t>
  </si>
  <si>
    <t>2023-09-02T19:45:00Z</t>
  </si>
  <si>
    <t>2023-09-02T20:00:00Z</t>
  </si>
  <si>
    <t>2023-09-02T20:15:00Z</t>
  </si>
  <si>
    <t>2023-09-02T20:30:00Z</t>
  </si>
  <si>
    <t>2023-09-02T20:45:00Z</t>
  </si>
  <si>
    <t>2023-09-02T21:00:00Z</t>
  </si>
  <si>
    <t>0.049890000000000004</t>
  </si>
  <si>
    <t>2023-09-02T21:15:00Z</t>
  </si>
  <si>
    <t>2023-09-02T21:30:00Z</t>
  </si>
  <si>
    <t>2023-09-02T21:45:00Z</t>
  </si>
  <si>
    <t>2023-09-02T22:00:00Z</t>
  </si>
  <si>
    <t>0.049354999999999996</t>
  </si>
  <si>
    <t>2023-09-02T22:15:00Z</t>
  </si>
  <si>
    <t>2023-09-02T22:30:00Z</t>
  </si>
  <si>
    <t>2023-09-02T22:45:00Z</t>
  </si>
  <si>
    <t>2023-09-02T23:00:00Z</t>
  </si>
  <si>
    <t>2023-09-02T23:15:00Z</t>
  </si>
  <si>
    <t>2023-09-02T23:30:00Z</t>
  </si>
  <si>
    <t>2023-09-02T23:45:00Z</t>
  </si>
  <si>
    <t>2023-09-03T00:00:00Z</t>
  </si>
  <si>
    <t>2023-09-03T00:15:00Z</t>
  </si>
  <si>
    <t>2023-09-03T00:30:00Z</t>
  </si>
  <si>
    <t>2023-09-03T00:45:00Z</t>
  </si>
  <si>
    <t>2023-09-03T01:00:00Z</t>
  </si>
  <si>
    <t>2023-09-03T01:15:00Z</t>
  </si>
  <si>
    <t>2023-09-03T01:30:00Z</t>
  </si>
  <si>
    <t>2023-09-03T01:45:00Z</t>
  </si>
  <si>
    <t>2023-09-03T02:00:00Z</t>
  </si>
  <si>
    <t>2023-09-03T02:15:00Z</t>
  </si>
  <si>
    <t>2023-09-03T02:30:00Z</t>
  </si>
  <si>
    <t>2023-09-03T02:45:00Z</t>
  </si>
  <si>
    <t>2023-09-03T03:00:00Z</t>
  </si>
  <si>
    <t>2023-09-03T03:15:00Z</t>
  </si>
  <si>
    <t>2023-09-03T03:30:00Z</t>
  </si>
  <si>
    <t>2023-09-03T03:45:00Z</t>
  </si>
  <si>
    <t>2023-09-03T04:00:00Z</t>
  </si>
  <si>
    <t>2023-09-03T04:15:00Z</t>
  </si>
  <si>
    <t>2023-09-03T04:30:00Z</t>
  </si>
  <si>
    <t>2023-09-03T04:45:00Z</t>
  </si>
  <si>
    <t>4.1770000000000005</t>
  </si>
  <si>
    <t>2023-09-03T05:00:00Z</t>
  </si>
  <si>
    <t>2023-09-03T05:15:00Z</t>
  </si>
  <si>
    <t>2023-09-03T05:30:00Z</t>
  </si>
  <si>
    <t>2023-09-03T05:45:00Z</t>
  </si>
  <si>
    <t>2023-09-03T06:00:00Z</t>
  </si>
  <si>
    <t>2023-09-03T06:15:00Z</t>
  </si>
  <si>
    <t>2023-09-03T06:30:00Z</t>
  </si>
  <si>
    <t>2023-09-03T06:45:00Z</t>
  </si>
  <si>
    <t>2023-09-03T07:00:00Z</t>
  </si>
  <si>
    <t>2023-09-03T07:15:00Z</t>
  </si>
  <si>
    <t>2023-09-03T07:30:00Z</t>
  </si>
  <si>
    <t>4.390000000000001</t>
  </si>
  <si>
    <t>2023-09-03T07:45:00Z</t>
  </si>
  <si>
    <t>2023-09-03T08:00:00Z</t>
  </si>
  <si>
    <t>2023-09-03T08:15:00Z</t>
  </si>
  <si>
    <t>2023-09-03T08:30:00Z</t>
  </si>
  <si>
    <t>2023-09-03T08:45:00Z</t>
  </si>
  <si>
    <t>2023-09-03T09:00:00Z</t>
  </si>
  <si>
    <t>2023-09-03T09:15:00Z</t>
  </si>
  <si>
    <t>2023-09-03T09:30:00Z</t>
  </si>
  <si>
    <t>2023-09-03T09:45:00Z</t>
  </si>
  <si>
    <t>2023-09-03T10:00:00Z</t>
  </si>
  <si>
    <t>2023-09-03T10:15:00Z</t>
  </si>
  <si>
    <t>2023-09-03T10:30:00Z</t>
  </si>
  <si>
    <t>0.060844999999999996</t>
  </si>
  <si>
    <t>2023-09-03T10:45:00Z</t>
  </si>
  <si>
    <t>2023-09-03T11:00:00Z</t>
  </si>
  <si>
    <t>2023-09-03T11:15:00Z</t>
  </si>
  <si>
    <t>2023-09-03T11:30:00Z</t>
  </si>
  <si>
    <t>2023-09-03T11:45:00Z</t>
  </si>
  <si>
    <t>2023-09-03T12:00:00Z</t>
  </si>
  <si>
    <t>2023-09-03T12:15:00Z</t>
  </si>
  <si>
    <t>2023-09-03T12:30:00Z</t>
  </si>
  <si>
    <t>2023-09-03T12:45:00Z</t>
  </si>
  <si>
    <t>2023-09-03T13:00:00Z</t>
  </si>
  <si>
    <t>2023-09-03T13:15:00Z</t>
  </si>
  <si>
    <t>2023-09-03T13:30:00Z</t>
  </si>
  <si>
    <t>2023-09-03T13:45:00Z</t>
  </si>
  <si>
    <t>2023-09-03T14:00:00Z</t>
  </si>
  <si>
    <t>2023-09-03T14:15:00Z</t>
  </si>
  <si>
    <t>2023-09-03T14:30:00Z</t>
  </si>
  <si>
    <t>0.058499999999999996</t>
  </si>
  <si>
    <t>2023-09-03T14:45:00Z</t>
  </si>
  <si>
    <t>2023-09-03T15:00:00Z</t>
  </si>
  <si>
    <t>0.057624999999999996</t>
  </si>
  <si>
    <t>2023-09-03T15:15:00Z</t>
  </si>
  <si>
    <t>2023-09-03T15:30:00Z</t>
  </si>
  <si>
    <t>2023-09-03T15:45:00Z</t>
  </si>
  <si>
    <t>2023-09-03T16:00:00Z</t>
  </si>
  <si>
    <t>2023-09-03T16:15:00Z</t>
  </si>
  <si>
    <t>2023-09-03T16:30:00Z</t>
  </si>
  <si>
    <t>2023-09-03T16:45:00Z</t>
  </si>
  <si>
    <t>2023-09-03T17:00:00Z</t>
  </si>
  <si>
    <t>3.7424999999999997</t>
  </si>
  <si>
    <t>2023-09-03T17:15:00Z</t>
  </si>
  <si>
    <t>2023-09-03T17:30:00Z</t>
  </si>
  <si>
    <t>2023-09-03T17:45:00Z</t>
  </si>
  <si>
    <t>2023-09-03T18:00:00Z</t>
  </si>
  <si>
    <t>2023-09-03T18:15:00Z</t>
  </si>
  <si>
    <t>2023-09-03T18:30:00Z</t>
  </si>
  <si>
    <t>2023-09-03T18:45:00Z</t>
  </si>
  <si>
    <t>2023-09-03T19:00:00Z</t>
  </si>
  <si>
    <t>2023-09-03T19:15:00Z</t>
  </si>
  <si>
    <t>2023-09-03T19:30:00Z</t>
  </si>
  <si>
    <t>2023-09-03T19:45:00Z</t>
  </si>
  <si>
    <t>2023-09-03T20:00:00Z</t>
  </si>
  <si>
    <t>2023-09-03T20:15:00Z</t>
  </si>
  <si>
    <t>2023-09-03T20:30:00Z</t>
  </si>
  <si>
    <t>3.5789999999999997</t>
  </si>
  <si>
    <t>2023-09-03T20:45:00Z</t>
  </si>
  <si>
    <t>2023-09-03T21:00:00Z</t>
  </si>
  <si>
    <t>2023-09-03T21:15:00Z</t>
  </si>
  <si>
    <t>2023-09-03T21:30:00Z</t>
  </si>
  <si>
    <t>2023-09-03T21:45:00Z</t>
  </si>
  <si>
    <t>2023-09-03T22:00:00Z</t>
  </si>
  <si>
    <t>2023-09-03T22:15:00Z</t>
  </si>
  <si>
    <t>2023-09-03T22:30:00Z</t>
  </si>
  <si>
    <t>2023-09-03T22:45:00Z</t>
  </si>
  <si>
    <t>2023-09-03T23:00:00Z</t>
  </si>
  <si>
    <t>2023-09-03T23:15:00Z</t>
  </si>
  <si>
    <t>2023-09-03T23:30:00Z</t>
  </si>
  <si>
    <t>2023-09-03T23:45:00Z</t>
  </si>
  <si>
    <t>3.5484999999999998</t>
  </si>
  <si>
    <t>2023-09-04T00:00:00Z</t>
  </si>
  <si>
    <t>2023-09-04T00:15:00Z</t>
  </si>
  <si>
    <t>2023-09-04T00:30:00Z</t>
  </si>
  <si>
    <t>2023-09-04T00:45:00Z</t>
  </si>
  <si>
    <t>2023-09-04T01:00:00Z</t>
  </si>
  <si>
    <t>2023-09-04T01:15:00Z</t>
  </si>
  <si>
    <t>3.6189999999999998</t>
  </si>
  <si>
    <t>2023-09-04T01:30:00Z</t>
  </si>
  <si>
    <t>2023-09-04T01:45:00Z</t>
  </si>
  <si>
    <t>2023-09-04T02:00:00Z</t>
  </si>
  <si>
    <t>2023-09-04T02:15:00Z</t>
  </si>
  <si>
    <t>2023-09-04T02:30:00Z</t>
  </si>
  <si>
    <t>2023-09-04T02:45:00Z</t>
  </si>
  <si>
    <t>2023-09-04T03:00:00Z</t>
  </si>
  <si>
    <t>2023-09-04T03:15:00Z</t>
  </si>
  <si>
    <t>2023-09-04T03:30:00Z</t>
  </si>
  <si>
    <t>2023-09-04T03:45:00Z</t>
  </si>
  <si>
    <t>2023-09-04T04:00:00Z</t>
  </si>
  <si>
    <t>2023-09-04T04:15:00Z</t>
  </si>
  <si>
    <t>2023-09-04T04:30:00Z</t>
  </si>
  <si>
    <t>2023-09-04T04:45:00Z</t>
  </si>
  <si>
    <t>2023-09-04T05:00:00Z</t>
  </si>
  <si>
    <t>2023-09-04T05:15:00Z</t>
  </si>
  <si>
    <t>2023-09-04T05:30:00Z</t>
  </si>
  <si>
    <t>2023-09-04T05:45:00Z</t>
  </si>
  <si>
    <t>2023-09-04T06:00:00Z</t>
  </si>
  <si>
    <t>2023-09-04T06:15:00Z</t>
  </si>
  <si>
    <t>2023-09-04T06:30:00Z</t>
  </si>
  <si>
    <t>2023-09-04T06:45:00Z</t>
  </si>
  <si>
    <t>2023-09-04T07:00:00Z</t>
  </si>
  <si>
    <t>0.061739999999999996</t>
  </si>
  <si>
    <t>2023-09-04T07:15:00Z</t>
  </si>
  <si>
    <t>2023-09-04T07:30:00Z</t>
  </si>
  <si>
    <t>2023-09-04T07:45:00Z</t>
  </si>
  <si>
    <t>2023-09-04T08:00:00Z</t>
  </si>
  <si>
    <t>2023-09-04T08:15:00Z</t>
  </si>
  <si>
    <t>2023-09-04T08:30:00Z</t>
  </si>
  <si>
    <t>2023-09-04T08:45:00Z</t>
  </si>
  <si>
    <t>2023-09-04T09:00:00Z</t>
  </si>
  <si>
    <t>2023-09-04T09:15:00Z</t>
  </si>
  <si>
    <t>2023-09-04T09:30:00Z</t>
  </si>
  <si>
    <t>2023-09-04T09:45:00Z</t>
  </si>
  <si>
    <t>0.061149999999999996</t>
  </si>
  <si>
    <t>2023-09-04T10:00:00Z</t>
  </si>
  <si>
    <t>2023-09-04T10:15:00Z</t>
  </si>
  <si>
    <t>2023-09-04T10:30:00Z</t>
  </si>
  <si>
    <t>0.061255000000000004</t>
  </si>
  <si>
    <t>2023-09-04T10:45:00Z</t>
  </si>
  <si>
    <t>2023-09-04T11:00:00Z</t>
  </si>
  <si>
    <t>2023-09-04T11:15:00Z</t>
  </si>
  <si>
    <t>2023-09-04T11:30:00Z</t>
  </si>
  <si>
    <t>2023-09-04T11:45:00Z</t>
  </si>
  <si>
    <t>2023-09-04T12:00:00Z</t>
  </si>
  <si>
    <t>2023-09-04T12:15:00Z</t>
  </si>
  <si>
    <t>2023-09-04T12:30:00Z</t>
  </si>
  <si>
    <t>2023-09-04T12:45:00Z</t>
  </si>
  <si>
    <t>2023-09-04T13:00:00Z</t>
  </si>
  <si>
    <t>2023-09-04T13:15:00Z</t>
  </si>
  <si>
    <t>4.3420000000000005</t>
  </si>
  <si>
    <t>2023-09-04T13:30:00Z</t>
  </si>
  <si>
    <t>0.060754999999999997</t>
  </si>
  <si>
    <t>2023-09-04T13:45:00Z</t>
  </si>
  <si>
    <t>0.060450000000000004</t>
  </si>
  <si>
    <t>2023-09-04T14:00:00Z</t>
  </si>
  <si>
    <t>2023-09-04T14:15:00Z</t>
  </si>
  <si>
    <t>2023-09-04T14:30:00Z</t>
  </si>
  <si>
    <t>2023-09-04T14:45:00Z</t>
  </si>
  <si>
    <t>2023-09-04T15:00:00Z</t>
  </si>
  <si>
    <t>2023-09-04T15:15:00Z</t>
  </si>
  <si>
    <t>2023-09-04T15:30:00Z</t>
  </si>
  <si>
    <t>2023-09-04T15:45:00Z</t>
  </si>
  <si>
    <t>2023-09-04T16:00:00Z</t>
  </si>
  <si>
    <t>2023-09-04T16:15:00Z</t>
  </si>
  <si>
    <t>2023-09-04T16:30:00Z</t>
  </si>
  <si>
    <t>2023-09-04T16:45:00Z</t>
  </si>
  <si>
    <t>2023-09-04T17:00:00Z</t>
  </si>
  <si>
    <t>2023-09-04T17:15:00Z</t>
  </si>
  <si>
    <t>2023-09-04T17:30:00Z</t>
  </si>
  <si>
    <t>2023-09-04T17:45:00Z</t>
  </si>
  <si>
    <t>2023-09-04T18:00:00Z</t>
  </si>
  <si>
    <t>2023-09-04T18:15:00Z</t>
  </si>
  <si>
    <t>2023-09-04T18:30:00Z</t>
  </si>
  <si>
    <t>2023-09-04T18:45:00Z</t>
  </si>
  <si>
    <t>2023-09-04T19:00:00Z</t>
  </si>
  <si>
    <t>2023-09-04T19:15:00Z</t>
  </si>
  <si>
    <t>2023-09-04T19:30:00Z</t>
  </si>
  <si>
    <t>2023-09-04T19:45:00Z</t>
  </si>
  <si>
    <t>0.050765000000000005</t>
  </si>
  <si>
    <t>2023-09-04T20:00:00Z</t>
  </si>
  <si>
    <t>2023-09-04T20:15:00Z</t>
  </si>
  <si>
    <t>2023-09-04T20:30:00Z</t>
  </si>
  <si>
    <t>3.7199999999999998</t>
  </si>
  <si>
    <t>2023-09-04T20:45:00Z</t>
  </si>
  <si>
    <t>2023-09-04T21:00:00Z</t>
  </si>
  <si>
    <t>2023-09-04T21:15:00Z</t>
  </si>
  <si>
    <t>2023-09-04T21:30:00Z</t>
  </si>
  <si>
    <t>2023-09-04T21:45:00Z</t>
  </si>
  <si>
    <t>2023-09-04T22:00:00Z</t>
  </si>
  <si>
    <t>2023-09-04T22:15:00Z</t>
  </si>
  <si>
    <t>2023-09-04T22:30:00Z</t>
  </si>
  <si>
    <t>2023-09-04T22:45:00Z</t>
  </si>
  <si>
    <t>2023-09-04T23:00:00Z</t>
  </si>
  <si>
    <t>2023-09-04T23:15:00Z</t>
  </si>
  <si>
    <t>2023-09-04T23:30:00Z</t>
  </si>
  <si>
    <t>2023-09-04T23:45:00Z</t>
  </si>
  <si>
    <t>2023-09-05T00:00:00Z</t>
  </si>
  <si>
    <t>0.053059999999999996</t>
  </si>
  <si>
    <t>2023-09-05T00:15:00Z</t>
  </si>
  <si>
    <t>2023-09-05T00:30:00Z</t>
  </si>
  <si>
    <t>2023-09-05T00:45:00Z</t>
  </si>
  <si>
    <t>2023-09-05T01:00:00Z</t>
  </si>
  <si>
    <t>2023-09-05T01:15:00Z</t>
  </si>
  <si>
    <t>2023-09-05T01:30:00Z</t>
  </si>
  <si>
    <t>2023-09-05T01:45:00Z</t>
  </si>
  <si>
    <t>2023-09-05T02:00:00Z</t>
  </si>
  <si>
    <t>2023-09-05T02:15:00Z</t>
  </si>
  <si>
    <t>2023-09-05T02:30:00Z</t>
  </si>
  <si>
    <t>2023-09-05T02:45:00Z</t>
  </si>
  <si>
    <t>2023-09-05T03:00:00Z</t>
  </si>
  <si>
    <t>2023-09-05T03:15:00Z</t>
  </si>
  <si>
    <t>2023-09-05T03:30:00Z</t>
  </si>
  <si>
    <t>2023-09-05T03:45:00Z</t>
  </si>
  <si>
    <t>2023-09-05T04:00:00Z</t>
  </si>
  <si>
    <t>2023-09-05T04:15:00Z</t>
  </si>
  <si>
    <t>0.059734999999999996</t>
  </si>
  <si>
    <t>2023-09-05T04:30:00Z</t>
  </si>
  <si>
    <t>2023-09-05T04:45:00Z</t>
  </si>
  <si>
    <t>2023-09-05T05:00:00Z</t>
  </si>
  <si>
    <t>2023-09-05T05:15:00Z</t>
  </si>
  <si>
    <t>2023-09-05T05:30:00Z</t>
  </si>
  <si>
    <t>2023-09-05T05:45:00Z</t>
  </si>
  <si>
    <t>2023-09-05T06:00:00Z</t>
  </si>
  <si>
    <t>2023-09-05T06:15:00Z</t>
  </si>
  <si>
    <t>2023-09-05T06:30:00Z</t>
  </si>
  <si>
    <t>2023-09-05T06:45:00Z</t>
  </si>
  <si>
    <t>0.062365000000000004</t>
  </si>
  <si>
    <t>2023-09-05T07:00:00Z</t>
  </si>
  <si>
    <t>0.062025000000000004</t>
  </si>
  <si>
    <t>2023-09-05T07:15:00Z</t>
  </si>
  <si>
    <t>2023-09-05T07:30:00Z</t>
  </si>
  <si>
    <t>2023-09-05T07:45:00Z</t>
  </si>
  <si>
    <t>2023-09-05T08:00:00Z</t>
  </si>
  <si>
    <t>2023-09-05T08:15:00Z</t>
  </si>
  <si>
    <t>2023-09-05T08:30:00Z</t>
  </si>
  <si>
    <t>4.5104999999999995</t>
  </si>
  <si>
    <t>2023-09-05T08:45:00Z</t>
  </si>
  <si>
    <t>2023-09-05T09:00:00Z</t>
  </si>
  <si>
    <t>2023-09-05T09:15:00Z</t>
  </si>
  <si>
    <t>2023-09-05T09:30:00Z</t>
  </si>
  <si>
    <t>2023-09-05T09:45:00Z</t>
  </si>
  <si>
    <t>2023-09-05T10:00:00Z</t>
  </si>
  <si>
    <t>2023-09-05T10:15:00Z</t>
  </si>
  <si>
    <t>2023-09-05T10:30:00Z</t>
  </si>
  <si>
    <t>2023-09-05T10:45:00Z</t>
  </si>
  <si>
    <t>2023-09-05T11:00:00Z</t>
  </si>
  <si>
    <t>2023-09-05T11:15:00Z</t>
  </si>
  <si>
    <t>2023-09-05T11:30:00Z</t>
  </si>
  <si>
    <t>2023-09-05T11:45:00Z</t>
  </si>
  <si>
    <t>2023-09-05T12:00:00Z</t>
  </si>
  <si>
    <t>2023-09-05T12:15:00Z</t>
  </si>
  <si>
    <t>2023-09-05T12:30:00Z</t>
  </si>
  <si>
    <t>2023-09-05T12:45:00Z</t>
  </si>
  <si>
    <t>2023-09-05T13:00:00Z</t>
  </si>
  <si>
    <t>2023-09-05T13:15:00Z</t>
  </si>
  <si>
    <t>2023-09-05T13:30:00Z</t>
  </si>
  <si>
    <t>2023-09-05T13:45:00Z</t>
  </si>
  <si>
    <t>2023-09-05T14:00:00Z</t>
  </si>
  <si>
    <t>2023-09-05T14:15:00Z</t>
  </si>
  <si>
    <t>2023-09-05T14:30:00Z</t>
  </si>
  <si>
    <t>2023-09-05T14:45:00Z</t>
  </si>
  <si>
    <t>2023-09-05T15:00:00Z</t>
  </si>
  <si>
    <t>2023-09-05T15:15:00Z</t>
  </si>
  <si>
    <t>2023-09-05T15:30:00Z</t>
  </si>
  <si>
    <t>2023-09-05T15:45:00Z</t>
  </si>
  <si>
    <t>2023-09-05T16:00:00Z</t>
  </si>
  <si>
    <t>2023-09-05T16:15:00Z</t>
  </si>
  <si>
    <t>2023-09-05T16:30:00Z</t>
  </si>
  <si>
    <t>2023-09-05T16:45:00Z</t>
  </si>
  <si>
    <t>2023-09-05T17:00:00Z</t>
  </si>
  <si>
    <t>2023-09-05T17:15:00Z</t>
  </si>
  <si>
    <t>2023-09-05T17:30:00Z</t>
  </si>
  <si>
    <t>2023-09-05T17:45:00Z</t>
  </si>
  <si>
    <t>2023-09-05T18:00:00Z</t>
  </si>
  <si>
    <t>0.051519999999999996</t>
  </si>
  <si>
    <t>2023-09-05T18:15:00Z</t>
  </si>
  <si>
    <t>2023-09-05T18:30:00Z</t>
  </si>
  <si>
    <t>2023-09-05T18:45:00Z</t>
  </si>
  <si>
    <t>2023-09-05T19:00:00Z</t>
  </si>
  <si>
    <t>2023-09-05T19:15:00Z</t>
  </si>
  <si>
    <t>2023-09-05T19:30:00Z</t>
  </si>
  <si>
    <t>2023-09-05T19:45:00Z</t>
  </si>
  <si>
    <t>2023-09-05T20:00:00Z</t>
  </si>
  <si>
    <t>2023-09-05T20:15:00Z</t>
  </si>
  <si>
    <t>2023-09-05T20:30:00Z</t>
  </si>
  <si>
    <t>2023-09-05T20:45:00Z</t>
  </si>
  <si>
    <t>2023-09-05T21:00:00Z</t>
  </si>
  <si>
    <t>2023-09-05T21:15:00Z</t>
  </si>
  <si>
    <t>2023-09-05T21:30:00Z</t>
  </si>
  <si>
    <t>2023-09-05T21:45:00Z</t>
  </si>
  <si>
    <t>2023-09-05T22:00:00Z</t>
  </si>
  <si>
    <t>2023-09-05T22:15:00Z</t>
  </si>
  <si>
    <t>2023-09-05T22:30:00Z</t>
  </si>
  <si>
    <t>2023-09-05T22:45:00Z</t>
  </si>
  <si>
    <t>0.050570000000000004</t>
  </si>
  <si>
    <t>2023-09-05T23:00:00Z</t>
  </si>
  <si>
    <t>0.050820000000000004</t>
  </si>
  <si>
    <t>2023-09-05T23:15:00Z</t>
  </si>
  <si>
    <t>2023-09-05T23:30:00Z</t>
  </si>
  <si>
    <t>2023-09-05T23:45:00Z</t>
  </si>
  <si>
    <t>2023-09-06T00:00:00Z</t>
  </si>
  <si>
    <t>2023-09-06T00:15:00Z</t>
  </si>
  <si>
    <t>2023-09-06T00:30:00Z</t>
  </si>
  <si>
    <t>2023-09-06T00:45:00Z</t>
  </si>
  <si>
    <t>2023-09-06T01:00:00Z</t>
  </si>
  <si>
    <t>2023-09-06T01:15:00Z</t>
  </si>
  <si>
    <t>2023-09-06T01:30:00Z</t>
  </si>
  <si>
    <t>2023-09-06T01:45:00Z</t>
  </si>
  <si>
    <t>2023-09-06T02:00:00Z</t>
  </si>
  <si>
    <t>2023-09-06T02:15:00Z</t>
  </si>
  <si>
    <t>2023-09-06T02:30:00Z</t>
  </si>
  <si>
    <t>0.052110000000000004</t>
  </si>
  <si>
    <t>2023-09-06T02:45:00Z</t>
  </si>
  <si>
    <t>2023-09-06T03:00:00Z</t>
  </si>
  <si>
    <t>2023-09-06T03:15:00Z</t>
  </si>
  <si>
    <t>2023-09-06T03:30:00Z</t>
  </si>
  <si>
    <t>2023-09-06T03:45:00Z</t>
  </si>
  <si>
    <t>2023-09-06T04:00:00Z</t>
  </si>
  <si>
    <t>2023-09-06T04:15:00Z</t>
  </si>
  <si>
    <t>2023-09-06T04:30:00Z</t>
  </si>
  <si>
    <t>2023-09-06T04:45:00Z</t>
  </si>
  <si>
    <t>2023-09-06T05:00:00Z</t>
  </si>
  <si>
    <t>2023-09-06T05:15:00Z</t>
  </si>
  <si>
    <t>2023-09-06T05:30:00Z</t>
  </si>
  <si>
    <t>2023-09-06T05:45:00Z</t>
  </si>
  <si>
    <t>4.2844999999999995</t>
  </si>
  <si>
    <t>2023-09-06T06:00:00Z</t>
  </si>
  <si>
    <t>2023-09-06T06:15:00Z</t>
  </si>
  <si>
    <t>2023-09-06T06:30:00Z</t>
  </si>
  <si>
    <t>2023-09-06T06:45:00Z</t>
  </si>
  <si>
    <t>2023-09-06T07:00:00Z</t>
  </si>
  <si>
    <t>2023-09-06T07:15:00Z</t>
  </si>
  <si>
    <t>2023-09-06T07:30:00Z</t>
  </si>
  <si>
    <t>2023-09-06T07:45:00Z</t>
  </si>
  <si>
    <t>2023-09-06T08:00:00Z</t>
  </si>
  <si>
    <t>0.061524999999999996</t>
  </si>
  <si>
    <t>2023-09-06T08:15:00Z</t>
  </si>
  <si>
    <t>2023-09-06T08:30:00Z</t>
  </si>
  <si>
    <t>2023-09-06T08:45:00Z</t>
  </si>
  <si>
    <t>2023-09-06T09:00:00Z</t>
  </si>
  <si>
    <t>2023-09-06T09:15:00Z</t>
  </si>
  <si>
    <t>2023-09-06T09:30:00Z</t>
  </si>
  <si>
    <t>2023-09-06T09:45:00Z</t>
  </si>
  <si>
    <t>2023-09-06T10:00:00Z</t>
  </si>
  <si>
    <t>2023-09-06T10:15:00Z</t>
  </si>
  <si>
    <t>2023-09-06T10:30:00Z</t>
  </si>
  <si>
    <t>0.061094999999999997</t>
  </si>
  <si>
    <t>2023-09-06T10:45:00Z</t>
  </si>
  <si>
    <t>2023-09-06T11:00:00Z</t>
  </si>
  <si>
    <t>2023-09-06T11:15:00Z</t>
  </si>
  <si>
    <t>2023-09-06T11:30:00Z</t>
  </si>
  <si>
    <t>2023-09-06T11:45:00Z</t>
  </si>
  <si>
    <t>2023-09-06T12:00:00Z</t>
  </si>
  <si>
    <t>2023-09-06T12:15:00Z</t>
  </si>
  <si>
    <t>2023-09-06T12:30:00Z</t>
  </si>
  <si>
    <t>2023-09-06T12:45:00Z</t>
  </si>
  <si>
    <t>2023-09-06T13:00:00Z</t>
  </si>
  <si>
    <t>0.060395000000000004</t>
  </si>
  <si>
    <t>2023-09-06T13:15:00Z</t>
  </si>
  <si>
    <t>2023-09-06T13:30:00Z</t>
  </si>
  <si>
    <t>2023-09-06T13:45:00Z</t>
  </si>
  <si>
    <t>2023-09-06T14:00:00Z</t>
  </si>
  <si>
    <t>2023-09-06T14:15:00Z</t>
  </si>
  <si>
    <t>2023-09-06T14:30:00Z</t>
  </si>
  <si>
    <t>0.058660000000000004</t>
  </si>
  <si>
    <t>2023-09-06T14:45:00Z</t>
  </si>
  <si>
    <t>2023-09-06T15:00:00Z</t>
  </si>
  <si>
    <t>4.1305000000000005</t>
  </si>
  <si>
    <t>2023-09-06T15:15:00Z</t>
  </si>
  <si>
    <t>2023-09-06T15:30:00Z</t>
  </si>
  <si>
    <t>2023-09-06T15:45:00Z</t>
  </si>
  <si>
    <t>2023-09-06T16:00:00Z</t>
  </si>
  <si>
    <t>2023-09-06T16:15:00Z</t>
  </si>
  <si>
    <t>2023-09-06T16:30:00Z</t>
  </si>
  <si>
    <t>2023-09-06T16:45:00Z</t>
  </si>
  <si>
    <t>2023-09-06T17:00:00Z</t>
  </si>
  <si>
    <t>2023-09-06T17:15:00Z</t>
  </si>
  <si>
    <t>2023-09-06T17:30:00Z</t>
  </si>
  <si>
    <t>2023-09-06T17:45:00Z</t>
  </si>
  <si>
    <t>2023-09-06T18:00:00Z</t>
  </si>
  <si>
    <t>2023-09-06T18:15:00Z</t>
  </si>
  <si>
    <t>2023-09-06T18:30:00Z</t>
  </si>
  <si>
    <t>2023-09-06T18:45:00Z</t>
  </si>
  <si>
    <t>3.6270000000000002</t>
  </si>
  <si>
    <t>2023-09-06T19:00:00Z</t>
  </si>
  <si>
    <t>2023-09-06T19:15:00Z</t>
  </si>
  <si>
    <t>2023-09-06T19:30:00Z</t>
  </si>
  <si>
    <t>2023-09-06T19:45:00Z</t>
  </si>
  <si>
    <t>2023-09-06T20:00:00Z</t>
  </si>
  <si>
    <t>2023-09-06T20:15:00Z</t>
  </si>
  <si>
    <t>3.5845000000000002</t>
  </si>
  <si>
    <t>2023-09-06T20:30:00Z</t>
  </si>
  <si>
    <t>2023-09-06T20:45:00Z</t>
  </si>
  <si>
    <t>2023-09-06T21:00:00Z</t>
  </si>
  <si>
    <t>0.049659999999999996</t>
  </si>
  <si>
    <t>2023-09-06T21:15:00Z</t>
  </si>
  <si>
    <t>2023-09-06T21:30:00Z</t>
  </si>
  <si>
    <t>2023-09-06T21:45:00Z</t>
  </si>
  <si>
    <t>2023-09-06T22:00:00Z</t>
  </si>
  <si>
    <t>2023-09-06T22:15:00Z</t>
  </si>
  <si>
    <t>2023-09-06T22:30:00Z</t>
  </si>
  <si>
    <t>2023-09-06T22:45:00Z</t>
  </si>
  <si>
    <t>2023-09-06T23:00:00Z</t>
  </si>
  <si>
    <t>2023-09-06T23:15:00Z</t>
  </si>
  <si>
    <t>2023-09-06T23:30:00Z</t>
  </si>
  <si>
    <t>2023-09-06T23:45:00Z</t>
  </si>
  <si>
    <t>2023-09-07T00:00:00Z</t>
  </si>
  <si>
    <t>2023-09-07T00:15:00Z</t>
  </si>
  <si>
    <t>2023-09-07T00:30:00Z</t>
  </si>
  <si>
    <t>0.049729999999999996</t>
  </si>
  <si>
    <t>2023-09-07T00:45:00Z</t>
  </si>
  <si>
    <t>0.050355000000000004</t>
  </si>
  <si>
    <t>2023-09-07T01:00:00Z</t>
  </si>
  <si>
    <t>2023-09-07T01:15:00Z</t>
  </si>
  <si>
    <t>2023-09-07T01:30:00Z</t>
  </si>
  <si>
    <t>2023-09-07T01:45:00Z</t>
  </si>
  <si>
    <t>0.050124999999999996</t>
  </si>
  <si>
    <t>2023-09-07T02:00:00Z</t>
  </si>
  <si>
    <t>2023-09-07T02:15:00Z</t>
  </si>
  <si>
    <t>2023-09-07T02:30:00Z</t>
  </si>
  <si>
    <t>2023-09-07T02:45:00Z</t>
  </si>
  <si>
    <t>2023-09-07T03:00:00Z</t>
  </si>
  <si>
    <t>2023-09-07T03:15:00Z</t>
  </si>
  <si>
    <t>2023-09-07T03:30:00Z</t>
  </si>
  <si>
    <t>2023-09-07T03:45:00Z</t>
  </si>
  <si>
    <t>0.054365000000000004</t>
  </si>
  <si>
    <t>2023-09-07T04:00:00Z</t>
  </si>
  <si>
    <t>2023-09-07T04:15:00Z</t>
  </si>
  <si>
    <t>2023-09-07T04:30:00Z</t>
  </si>
  <si>
    <t>2023-09-07T04:45:00Z</t>
  </si>
  <si>
    <t>2023-09-07T05:00:00Z</t>
  </si>
  <si>
    <t>2023-09-07T05:15:00Z</t>
  </si>
  <si>
    <t>2023-09-07T05:30:00Z</t>
  </si>
  <si>
    <t>2023-09-07T05:45:00Z</t>
  </si>
  <si>
    <t>0.059645000000000004</t>
  </si>
  <si>
    <t>2023-09-07T06:00:00Z</t>
  </si>
  <si>
    <t>2023-09-07T06:15:00Z</t>
  </si>
  <si>
    <t>2023-09-07T06:30:00Z</t>
  </si>
  <si>
    <t>2023-09-07T06:45:00Z</t>
  </si>
  <si>
    <t>2023-09-07T07:00:00Z</t>
  </si>
  <si>
    <t>2023-09-07T07:15:00Z</t>
  </si>
  <si>
    <t>2023-09-07T07:30:00Z</t>
  </si>
  <si>
    <t>2023-09-07T07:45:00Z</t>
  </si>
  <si>
    <t>2023-09-07T08:00:00Z</t>
  </si>
  <si>
    <t>2023-09-07T08:15:00Z</t>
  </si>
  <si>
    <t>2023-09-07T08:30:00Z</t>
  </si>
  <si>
    <t>2023-09-07T08:45:00Z</t>
  </si>
  <si>
    <t>2023-09-07T09:00:00Z</t>
  </si>
  <si>
    <t>2023-09-07T09:15:00Z</t>
  </si>
  <si>
    <t>2023-09-07T09:30:00Z</t>
  </si>
  <si>
    <t>2023-09-07T09:45:00Z</t>
  </si>
  <si>
    <t>2023-09-07T10:00:00Z</t>
  </si>
  <si>
    <t>2023-09-07T10:15:00Z</t>
  </si>
  <si>
    <t>2023-09-07T10:30:00Z</t>
  </si>
  <si>
    <t>2023-09-07T10:45:00Z</t>
  </si>
  <si>
    <t>2023-09-07T11:00:00Z</t>
  </si>
  <si>
    <t>0.060915000000000004</t>
  </si>
  <si>
    <t>2023-09-07T11:15:00Z</t>
  </si>
  <si>
    <t>2023-09-07T11:30:00Z</t>
  </si>
  <si>
    <t>2023-09-07T11:45:00Z</t>
  </si>
  <si>
    <t>2023-09-07T12:00:00Z</t>
  </si>
  <si>
    <t>2023-09-07T12:15:00Z</t>
  </si>
  <si>
    <t>2023-09-07T12:30:00Z</t>
  </si>
  <si>
    <t>2023-09-07T12:45:00Z</t>
  </si>
  <si>
    <t>2023-09-07T13:00:00Z</t>
  </si>
  <si>
    <t>2023-09-07T13:15:00Z</t>
  </si>
  <si>
    <t>2023-09-07T13:30:00Z</t>
  </si>
  <si>
    <t>2023-09-07T13:45:00Z</t>
  </si>
  <si>
    <t>2023-09-07T14:00:00Z</t>
  </si>
  <si>
    <t>2023-09-07T14:15:00Z</t>
  </si>
  <si>
    <t>2023-09-07T14:30:00Z</t>
  </si>
  <si>
    <t>2023-09-07T14:45:00Z</t>
  </si>
  <si>
    <t>2023-09-07T15:00:00Z</t>
  </si>
  <si>
    <t>2023-09-07T15:15:00Z</t>
  </si>
  <si>
    <t>2023-09-07T15:30:00Z</t>
  </si>
  <si>
    <t>2023-09-07T15:45:00Z</t>
  </si>
  <si>
    <t>2023-09-07T16:00:00Z</t>
  </si>
  <si>
    <t>2023-09-07T16:15:00Z</t>
  </si>
  <si>
    <t>2023-09-07T16:30:00Z</t>
  </si>
  <si>
    <t>2023-09-07T16:45:00Z</t>
  </si>
  <si>
    <t>2023-09-07T17:00:00Z</t>
  </si>
  <si>
    <t>2023-09-07T17:15:00Z</t>
  </si>
  <si>
    <t>0.053219999999999996</t>
  </si>
  <si>
    <t>2023-09-07T17:30:00Z</t>
  </si>
  <si>
    <t>2023-09-07T17:45:00Z</t>
  </si>
  <si>
    <t>2023-09-07T18:00:00Z</t>
  </si>
  <si>
    <t>2023-09-07T18:15:00Z</t>
  </si>
  <si>
    <t>2023-09-07T18:30:00Z</t>
  </si>
  <si>
    <t>2023-09-07T18:45:00Z</t>
  </si>
  <si>
    <t>2023-09-07T19:00:00Z</t>
  </si>
  <si>
    <t>2023-09-07T19:15:00Z</t>
  </si>
  <si>
    <t>2023-09-07T19:30:00Z</t>
  </si>
  <si>
    <t>2023-09-07T19:45:00Z</t>
  </si>
  <si>
    <t>2023-09-07T20:00:00Z</t>
  </si>
  <si>
    <t>2023-09-07T20:15:00Z</t>
  </si>
  <si>
    <t>2023-09-07T20:30:00Z</t>
  </si>
  <si>
    <t>2023-09-07T20:45:00Z</t>
  </si>
  <si>
    <t>2023-09-07T21:00:00Z</t>
  </si>
  <si>
    <t>2023-09-07T21:15:00Z</t>
  </si>
  <si>
    <t>2023-09-07T21:30:00Z</t>
  </si>
  <si>
    <t>2023-09-07T21:45:00Z</t>
  </si>
  <si>
    <t>2023-09-07T22:00:00Z</t>
  </si>
  <si>
    <t>2023-09-07T22:15:00Z</t>
  </si>
  <si>
    <t>2023-09-07T22:30:00Z</t>
  </si>
  <si>
    <t>2023-09-07T22:45:00Z</t>
  </si>
  <si>
    <t>2023-09-07T23:00:00Z</t>
  </si>
  <si>
    <t>2023-09-07T23:15:00Z</t>
  </si>
  <si>
    <t>2023-09-07T23:30:00Z</t>
  </si>
  <si>
    <t>2023-09-07T23:45:00Z</t>
  </si>
  <si>
    <t>2023-09-08T00:00:00Z</t>
  </si>
  <si>
    <t>2023-09-08T00:15:00Z</t>
  </si>
  <si>
    <t>2023-09-08T00:30:00Z</t>
  </si>
  <si>
    <t>2023-09-08T00:45:00Z</t>
  </si>
  <si>
    <t>2023-09-08T01:00:00Z</t>
  </si>
  <si>
    <t>2023-09-08T01:15:00Z</t>
  </si>
  <si>
    <t>0.050785000000000004</t>
  </si>
  <si>
    <t>2023-09-08T01:30:00Z</t>
  </si>
  <si>
    <t>2023-09-08T01:45:00Z</t>
  </si>
  <si>
    <t>2023-09-08T02:00:00Z</t>
  </si>
  <si>
    <t>2023-09-08T02:15:00Z</t>
  </si>
  <si>
    <t>2023-09-08T02:30:00Z</t>
  </si>
  <si>
    <t>2023-09-08T02:45:00Z</t>
  </si>
  <si>
    <t>3.7560000000000002</t>
  </si>
  <si>
    <t>2023-09-08T03:00:00Z</t>
  </si>
  <si>
    <t>2023-09-08T03:15:00Z</t>
  </si>
  <si>
    <t>3.8385000000000002</t>
  </si>
  <si>
    <t>2023-09-08T03:30:00Z</t>
  </si>
  <si>
    <t>2023-09-08T03:45:00Z</t>
  </si>
  <si>
    <t>2023-09-08T04:00:00Z</t>
  </si>
  <si>
    <t>0.055815000000000003</t>
  </si>
  <si>
    <t>2023-09-08T04:15:00Z</t>
  </si>
  <si>
    <t>2023-09-08T04:30:00Z</t>
  </si>
  <si>
    <t>2023-09-08T04:45:00Z</t>
  </si>
  <si>
    <t>2023-09-08T05:00:00Z</t>
  </si>
  <si>
    <t>4.2379999999999995</t>
  </si>
  <si>
    <t>0.059359999999999996</t>
  </si>
  <si>
    <t>2023-09-08T05:15:00Z</t>
  </si>
  <si>
    <t>2023-09-08T05:30:00Z</t>
  </si>
  <si>
    <t>2023-09-08T05:45:00Z</t>
  </si>
  <si>
    <t>2023-09-08T06:00:00Z</t>
  </si>
  <si>
    <t>2023-09-08T06:15:00Z</t>
  </si>
  <si>
    <t>0.061775000000000004</t>
  </si>
  <si>
    <t>2023-09-08T06:30:00Z</t>
  </si>
  <si>
    <t>2023-09-08T06:45:00Z</t>
  </si>
  <si>
    <t>2023-09-08T07:00:00Z</t>
  </si>
  <si>
    <t>2023-09-08T07:15:00Z</t>
  </si>
  <si>
    <t>2023-09-08T07:30:00Z</t>
  </si>
  <si>
    <t>2023-09-08T07:45:00Z</t>
  </si>
  <si>
    <t>2023-09-08T08:00:00Z</t>
  </si>
  <si>
    <t>2023-09-08T08:15:00Z</t>
  </si>
  <si>
    <t>2023-09-08T08:30:00Z</t>
  </si>
  <si>
    <t>2023-09-08T08:45:00Z</t>
  </si>
  <si>
    <t>0.062455000000000004</t>
  </si>
  <si>
    <t>2023-09-08T09:00:00Z</t>
  </si>
  <si>
    <t>2023-09-08T09:15:00Z</t>
  </si>
  <si>
    <t>2023-09-08T09:30:00Z</t>
  </si>
  <si>
    <t>2023-09-08T09:45:00Z</t>
  </si>
  <si>
    <t>4.4350000000000005</t>
  </si>
  <si>
    <t>2023-09-08T10:00:00Z</t>
  </si>
  <si>
    <t>2023-09-08T10:15:00Z</t>
  </si>
  <si>
    <t>2023-09-08T10:30:00Z</t>
  </si>
  <si>
    <t>2023-09-08T10:45:00Z</t>
  </si>
  <si>
    <t>2023-09-08T11:00:00Z</t>
  </si>
  <si>
    <t>2023-09-08T11:15:00Z</t>
  </si>
  <si>
    <t>2023-09-08T11:30:00Z</t>
  </si>
  <si>
    <t>2023-09-08T11:45:00Z</t>
  </si>
  <si>
    <t>2023-09-08T12:00:00Z</t>
  </si>
  <si>
    <t>2023-09-08T12:15:00Z</t>
  </si>
  <si>
    <t>2023-09-08T12:30:00Z</t>
  </si>
  <si>
    <t>2023-09-08T12:45:00Z</t>
  </si>
  <si>
    <t>2023-09-08T13:00:00Z</t>
  </si>
  <si>
    <t>2023-09-08T13:15:00Z</t>
  </si>
  <si>
    <t>2023-09-08T13:30:00Z</t>
  </si>
  <si>
    <t>4.3885000000000005</t>
  </si>
  <si>
    <t>2023-09-08T13:45:00Z</t>
  </si>
  <si>
    <t>4.4190000000000005</t>
  </si>
  <si>
    <t>2023-09-08T14:00:00Z</t>
  </si>
  <si>
    <t>2023-09-08T14:15:00Z</t>
  </si>
  <si>
    <t>2023-09-08T14:30:00Z</t>
  </si>
  <si>
    <t>2023-09-08T14:45:00Z</t>
  </si>
  <si>
    <t>2023-09-08T15:00:00Z</t>
  </si>
  <si>
    <t>2023-09-08T15:15:00Z</t>
  </si>
  <si>
    <t>2023-09-08T15:30:00Z</t>
  </si>
  <si>
    <t>2023-09-08T15:45:00Z</t>
  </si>
  <si>
    <t>2023-09-08T16:00:00Z</t>
  </si>
  <si>
    <t>2023-09-08T16:15:00Z</t>
  </si>
  <si>
    <t>2023-09-08T16:30:00Z</t>
  </si>
  <si>
    <t>2023-09-08T16:45:00Z</t>
  </si>
  <si>
    <t>2023-09-08T17:00:00Z</t>
  </si>
  <si>
    <t>3.8770000000000002</t>
  </si>
  <si>
    <t>2023-09-08T17:15:00Z</t>
  </si>
  <si>
    <t>2023-09-08T17:30:00Z</t>
  </si>
  <si>
    <t>2023-09-08T17:45:00Z</t>
  </si>
  <si>
    <t>2023-09-08T18:00:00Z</t>
  </si>
  <si>
    <t>2023-09-08T18:15:00Z</t>
  </si>
  <si>
    <t>2023-09-08T18:30:00Z</t>
  </si>
  <si>
    <t>2023-09-08T18:45:00Z</t>
  </si>
  <si>
    <t>3.7784999999999997</t>
  </si>
  <si>
    <t>2023-09-08T19:00:00Z</t>
  </si>
  <si>
    <t>2023-09-08T19:15:00Z</t>
  </si>
  <si>
    <t>2023-09-08T19:30:00Z</t>
  </si>
  <si>
    <t>2023-09-08T19:45:00Z</t>
  </si>
  <si>
    <t>2023-09-08T20:00:00Z</t>
  </si>
  <si>
    <t>2023-09-08T20:15:00Z</t>
  </si>
  <si>
    <t>2023-09-08T20:30:00Z</t>
  </si>
  <si>
    <t>2023-09-08T20:45:00Z</t>
  </si>
  <si>
    <t>2023-09-08T21:00:00Z</t>
  </si>
  <si>
    <t>3.6975000000000002</t>
  </si>
  <si>
    <t>2023-09-08T21:15:00Z</t>
  </si>
  <si>
    <t>2023-09-08T21:30:00Z</t>
  </si>
  <si>
    <t>2023-09-08T21:45:00Z</t>
  </si>
  <si>
    <t>2023-09-08T22:00:00Z</t>
  </si>
  <si>
    <t>3.6510000000000002</t>
  </si>
  <si>
    <t>2023-09-08T22:15:00Z</t>
  </si>
  <si>
    <t>2023-09-08T22:30:00Z</t>
  </si>
  <si>
    <t>2023-09-08T22:45:00Z</t>
  </si>
  <si>
    <t>2023-09-08T23:00:00Z</t>
  </si>
  <si>
    <t>2023-09-08T23:15:00Z</t>
  </si>
  <si>
    <t>2023-09-08T23:30:00Z</t>
  </si>
  <si>
    <t>0.051449999999999996</t>
  </si>
  <si>
    <t>2023-09-08T23:45:00Z</t>
  </si>
  <si>
    <t>2023-09-09T00:00:00Z</t>
  </si>
  <si>
    <t>2023-09-09T00:15:00Z</t>
  </si>
  <si>
    <t>2023-09-09T00:30:00Z</t>
  </si>
  <si>
    <t>2023-09-09T00:45:00Z</t>
  </si>
  <si>
    <t>2023-09-09T01:00:00Z</t>
  </si>
  <si>
    <t>2023-09-09T01:15:00Z</t>
  </si>
  <si>
    <t>2023-09-09T01:30:00Z</t>
  </si>
  <si>
    <t>2023-09-09T01:45:00Z</t>
  </si>
  <si>
    <t>2023-09-09T02:00:00Z</t>
  </si>
  <si>
    <t>2023-09-09T02:15:00Z</t>
  </si>
  <si>
    <t>2023-09-09T02:30:00Z</t>
  </si>
  <si>
    <t>2023-09-09T02:45:00Z</t>
  </si>
  <si>
    <t>2023-09-09T03:00:00Z</t>
  </si>
  <si>
    <t>2023-09-09T03:15:00Z</t>
  </si>
  <si>
    <t>2023-09-09T03:30:00Z</t>
  </si>
  <si>
    <t>2023-09-09T03:45:00Z</t>
  </si>
  <si>
    <t>2023-09-09T04:00:00Z</t>
  </si>
  <si>
    <t>2023-09-09T04:15:00Z</t>
  </si>
  <si>
    <t>2023-09-09T04:30:00Z</t>
  </si>
  <si>
    <t>2023-09-09T04:45:00Z</t>
  </si>
  <si>
    <t>2023-09-09T05:00:00Z</t>
  </si>
  <si>
    <t>2023-09-09T05:15:00Z</t>
  </si>
  <si>
    <t>0.060344999999999996</t>
  </si>
  <si>
    <t>2023-09-09T05:30:00Z</t>
  </si>
  <si>
    <t>2023-09-09T05:45:00Z</t>
  </si>
  <si>
    <t>2023-09-09T06:00:00Z</t>
  </si>
  <si>
    <t>2023-09-09T06:15:00Z</t>
  </si>
  <si>
    <t>2023-09-09T06:30:00Z</t>
  </si>
  <si>
    <t>2023-09-09T06:45:00Z</t>
  </si>
  <si>
    <t>2023-09-09T07:00:00Z</t>
  </si>
  <si>
    <t>2023-09-09T07:15:00Z</t>
  </si>
  <si>
    <t>2023-09-09T07:30:00Z</t>
  </si>
  <si>
    <t>2023-09-09T07:45:00Z</t>
  </si>
  <si>
    <t>2023-09-09T08:00:00Z</t>
  </si>
  <si>
    <t>2023-09-09T08:15:00Z</t>
  </si>
  <si>
    <t>2023-09-09T08:30:00Z</t>
  </si>
  <si>
    <t>2023-09-09T08:45:00Z</t>
  </si>
  <si>
    <t>2023-09-09T09:00:00Z</t>
  </si>
  <si>
    <t>2023-09-09T09:15:00Z</t>
  </si>
  <si>
    <t>2023-09-09T09:30:00Z</t>
  </si>
  <si>
    <t>2023-09-09T09:45:00Z</t>
  </si>
  <si>
    <t>0.062330000000000003</t>
  </si>
  <si>
    <t>2023-09-09T10:00:00Z</t>
  </si>
  <si>
    <t>2023-09-09T10:15:00Z</t>
  </si>
  <si>
    <t>2023-09-09T10:30:00Z</t>
  </si>
  <si>
    <t>2023-09-09T10:45:00Z</t>
  </si>
  <si>
    <t>2023-09-09T11:00:00Z</t>
  </si>
  <si>
    <t>2023-09-09T11:15:00Z</t>
  </si>
  <si>
    <t>2023-09-09T11:30:00Z</t>
  </si>
  <si>
    <t>2023-09-09T11:45:00Z</t>
  </si>
  <si>
    <t>2023-09-09T12:00:00Z</t>
  </si>
  <si>
    <t>2023-09-09T12:15:00Z</t>
  </si>
  <si>
    <t>2023-09-09T12:30:00Z</t>
  </si>
  <si>
    <t>4.4670000000000005</t>
  </si>
  <si>
    <t>2023-09-09T12:45:00Z</t>
  </si>
  <si>
    <t>2023-09-09T13:00:00Z</t>
  </si>
  <si>
    <t>2023-09-09T13:15:00Z</t>
  </si>
  <si>
    <t>2023-09-09T13:30:00Z</t>
  </si>
  <si>
    <t>2023-09-09T13:45:00Z</t>
  </si>
  <si>
    <t>2023-09-09T14:00:00Z</t>
  </si>
  <si>
    <t>2023-09-09T14:15:00Z</t>
  </si>
  <si>
    <t>0.061095000000000003</t>
  </si>
  <si>
    <t>2023-09-09T14:30:00Z</t>
  </si>
  <si>
    <t>2023-09-09T14:45:00Z</t>
  </si>
  <si>
    <t>0.060934999999999996</t>
  </si>
  <si>
    <t>2023-09-09T15:00:00Z</t>
  </si>
  <si>
    <t>2023-09-09T15:15:00Z</t>
  </si>
  <si>
    <t>2023-09-09T15:30:00Z</t>
  </si>
  <si>
    <t>2023-09-09T15:45:00Z</t>
  </si>
  <si>
    <t>2023-09-09T16:00:00Z</t>
  </si>
  <si>
    <t>2023-09-09T16:15:00Z</t>
  </si>
  <si>
    <t>2023-09-09T16:30:00Z</t>
  </si>
  <si>
    <t>2023-09-09T16:45:00Z</t>
  </si>
  <si>
    <t>2023-09-09T17:00:00Z</t>
  </si>
  <si>
    <t>2023-09-09T17:15:00Z</t>
  </si>
  <si>
    <t>2023-09-09T17:30:00Z</t>
  </si>
  <si>
    <t>2023-09-09T17:45:00Z</t>
  </si>
  <si>
    <t>2023-09-09T18:00:00Z</t>
  </si>
  <si>
    <t>2023-09-09T18:15:00Z</t>
  </si>
  <si>
    <t>2023-09-09T18:30:00Z</t>
  </si>
  <si>
    <t>2023-09-09T18:45:00Z</t>
  </si>
  <si>
    <t>3.7720000000000002</t>
  </si>
  <si>
    <t>2023-09-09T19:00:00Z</t>
  </si>
  <si>
    <t>2023-09-09T19:15:00Z</t>
  </si>
  <si>
    <t>2023-09-09T19:30:00Z</t>
  </si>
  <si>
    <t>2023-09-09T19:45:00Z</t>
  </si>
  <si>
    <t>2023-09-09T20:00:00Z</t>
  </si>
  <si>
    <t>0.052324999999999997</t>
  </si>
  <si>
    <t>2023-09-12T23:00:00Z</t>
  </si>
  <si>
    <t>2023-09-12T23:15:00Z</t>
  </si>
  <si>
    <t>2023-09-12T23:30:00Z</t>
  </si>
  <si>
    <t>2023-09-12T23:45:00Z</t>
  </si>
  <si>
    <t>2023-09-13T00:00:00Z</t>
  </si>
  <si>
    <t>2023-09-13T00:15:00Z</t>
  </si>
  <si>
    <t>2023-09-13T00:30:00Z</t>
  </si>
  <si>
    <t>2023-09-13T00:45:00Z</t>
  </si>
  <si>
    <t>2023-09-13T01:00:00Z</t>
  </si>
  <si>
    <t>2023-09-13T01:15:00Z</t>
  </si>
  <si>
    <t>2023-09-13T01:30:00Z</t>
  </si>
  <si>
    <t>2023-09-13T01:45:00Z</t>
  </si>
  <si>
    <t>2023-09-13T02:00:00Z</t>
  </si>
  <si>
    <t>2023-09-13T02:15:00Z</t>
  </si>
  <si>
    <t>2023-09-13T02:30:00Z</t>
  </si>
  <si>
    <t>2023-09-13T02:45:00Z</t>
  </si>
  <si>
    <t>2023-09-13T03:00:00Z</t>
  </si>
  <si>
    <t>2023-09-13T03:15:00Z</t>
  </si>
  <si>
    <t>2023-09-13T03:30:00Z</t>
  </si>
  <si>
    <t>2023-09-13T03:45:00Z</t>
  </si>
  <si>
    <t>3.7095000000000002</t>
  </si>
  <si>
    <t>2023-09-13T04:00:00Z</t>
  </si>
  <si>
    <t>2023-09-13T04:15:00Z</t>
  </si>
  <si>
    <t>2023-09-13T04:30:00Z</t>
  </si>
  <si>
    <t>0.053290000000000004</t>
  </si>
  <si>
    <t>2023-09-13T04:45:00Z</t>
  </si>
  <si>
    <t>2023-09-13T05:00:00Z</t>
  </si>
  <si>
    <t>2023-09-13T05:15:00Z</t>
  </si>
  <si>
    <t>2023-09-13T05:30:00Z</t>
  </si>
  <si>
    <t>3.9884999999999997</t>
  </si>
  <si>
    <t>2023-09-13T05:45:00Z</t>
  </si>
  <si>
    <t>2023-09-13T06:00:00Z</t>
  </si>
  <si>
    <t>2023-09-13T06:15:00Z</t>
  </si>
  <si>
    <t>2023-09-13T06:30:00Z</t>
  </si>
  <si>
    <t>2023-09-13T06:45:00Z</t>
  </si>
  <si>
    <t>2023-09-13T07:00:00Z</t>
  </si>
  <si>
    <t>2023-09-13T07:15:00Z</t>
  </si>
  <si>
    <t>2023-09-13T07:30:00Z</t>
  </si>
  <si>
    <t>2023-09-13T07:45:00Z</t>
  </si>
  <si>
    <t>2023-09-13T08:00:00Z</t>
  </si>
  <si>
    <t>2023-09-13T08:15:00Z</t>
  </si>
  <si>
    <t>2023-09-13T08:30:00Z</t>
  </si>
  <si>
    <t>2023-09-13T08:45:00Z</t>
  </si>
  <si>
    <t>2023-09-13T09:00:00Z</t>
  </si>
  <si>
    <t>2023-09-13T09:15:00Z</t>
  </si>
  <si>
    <t>2023-09-13T09:30:00Z</t>
  </si>
  <si>
    <t>2023-09-13T09:45:00Z</t>
  </si>
  <si>
    <t>2023-09-13T10:00:00Z</t>
  </si>
  <si>
    <t>2023-09-13T10:15:00Z</t>
  </si>
  <si>
    <t>2023-09-13T10:30:00Z</t>
  </si>
  <si>
    <t>2023-09-13T10:45:00Z</t>
  </si>
  <si>
    <t>2023-09-13T11:00:00Z</t>
  </si>
  <si>
    <t>2023-09-13T11:15:00Z</t>
  </si>
  <si>
    <t>0.057515000000000004</t>
  </si>
  <si>
    <t>2023-09-13T11:30:00Z</t>
  </si>
  <si>
    <t>2023-09-13T11:45:00Z</t>
  </si>
  <si>
    <t>2023-09-13T12:00:00Z</t>
  </si>
  <si>
    <t>2023-09-13T12:15:00Z</t>
  </si>
  <si>
    <t>2023-09-13T12:30:00Z</t>
  </si>
  <si>
    <t>0.055885000000000004</t>
  </si>
  <si>
    <t>2023-09-13T12:45:00Z</t>
  </si>
  <si>
    <t>2023-09-13T13:00:00Z</t>
  </si>
  <si>
    <t>2023-09-13T13:15:00Z</t>
  </si>
  <si>
    <t>2023-09-13T13:30:00Z</t>
  </si>
  <si>
    <t>2023-09-13T13:45:00Z</t>
  </si>
  <si>
    <t>2023-09-13T14:00:00Z</t>
  </si>
  <si>
    <t>2023-09-13T14:15:00Z</t>
  </si>
  <si>
    <t>2023-09-13T14:30:00Z</t>
  </si>
  <si>
    <t>2023-09-13T14:45:00Z</t>
  </si>
  <si>
    <t>2023-09-13T15:00:00Z</t>
  </si>
  <si>
    <t>2023-09-13T15:15:00Z</t>
  </si>
  <si>
    <t>0.054705000000000004</t>
  </si>
  <si>
    <t>2023-09-13T15:30:00Z</t>
  </si>
  <si>
    <t>2023-09-13T15:45:00Z</t>
  </si>
  <si>
    <t>2023-09-13T16:00:00Z</t>
  </si>
  <si>
    <t>2023-09-13T16:15:00Z</t>
  </si>
  <si>
    <t>2023-09-13T16:30:00Z</t>
  </si>
  <si>
    <t>2023-09-13T16:45:00Z</t>
  </si>
  <si>
    <t>2023-09-13T17:00:00Z</t>
  </si>
  <si>
    <t>2023-09-13T17:15:00Z</t>
  </si>
  <si>
    <t>2023-09-13T17:30:00Z</t>
  </si>
  <si>
    <t>2023-09-13T17:45:00Z</t>
  </si>
  <si>
    <t>2023-09-13T18:00:00Z</t>
  </si>
  <si>
    <t>2023-09-13T18:15:00Z</t>
  </si>
  <si>
    <t>2023-09-13T18:30:00Z</t>
  </si>
  <si>
    <t>2023-09-13T18:45:00Z</t>
  </si>
  <si>
    <t>2023-09-13T19:00:00Z</t>
  </si>
  <si>
    <t>2023-09-13T19:15:00Z</t>
  </si>
  <si>
    <t>2023-09-13T19:30:00Z</t>
  </si>
  <si>
    <t>2023-09-13T19:45:00Z</t>
  </si>
  <si>
    <t>3.8265000000000002</t>
  </si>
  <si>
    <t>0.053595000000000004</t>
  </si>
  <si>
    <t>2023-09-13T20:00:00Z</t>
  </si>
  <si>
    <t>2023-09-13T20:15:00Z</t>
  </si>
  <si>
    <t>2023-09-13T20:30:00Z</t>
  </si>
  <si>
    <t>2023-09-13T20:45:00Z</t>
  </si>
  <si>
    <t>2023-09-13T21:00:00Z</t>
  </si>
  <si>
    <t>2023-09-13T21:15:00Z</t>
  </si>
  <si>
    <t>2023-09-13T21:30:00Z</t>
  </si>
  <si>
    <t>0.049909999999999996</t>
  </si>
  <si>
    <t>2023-09-13T21:45:00Z</t>
  </si>
  <si>
    <t>2023-09-13T22:00:00Z</t>
  </si>
  <si>
    <t>2023-09-13T22:15:00Z</t>
  </si>
  <si>
    <t>2023-09-13T22:30:00Z</t>
  </si>
  <si>
    <t>2023-09-13T22:45:00Z</t>
  </si>
  <si>
    <t>2023-09-13T23:00:00Z</t>
  </si>
  <si>
    <t>2023-09-13T23:15:00Z</t>
  </si>
  <si>
    <t>2023-09-13T23:30:00Z</t>
  </si>
  <si>
    <t>0.051644999999999996</t>
  </si>
  <si>
    <t>2023-09-13T23:45:00Z</t>
  </si>
  <si>
    <t>0.050875000000000004</t>
  </si>
  <si>
    <t>2023-09-14T00:00:00Z</t>
  </si>
  <si>
    <t>2023-09-14T00:15:00Z</t>
  </si>
  <si>
    <t>2023-09-14T00:30:00Z</t>
  </si>
  <si>
    <t>2023-09-14T00:45:00Z</t>
  </si>
  <si>
    <t>2023-09-14T01:00:00Z</t>
  </si>
  <si>
    <t>2023-09-14T01:15:00Z</t>
  </si>
  <si>
    <t>2023-09-14T01:30:00Z</t>
  </si>
  <si>
    <t>2023-09-14T01:45:00Z</t>
  </si>
  <si>
    <t>2023-09-14T02:00:00Z</t>
  </si>
  <si>
    <t>2023-09-14T02:15:00Z</t>
  </si>
  <si>
    <t>2023-09-14T02:30:00Z</t>
  </si>
  <si>
    <t>2023-09-14T02:45:00Z</t>
  </si>
  <si>
    <t>2023-09-14T03:00:00Z</t>
  </si>
  <si>
    <t>2023-09-14T03:15:00Z</t>
  </si>
  <si>
    <t>2023-09-14T03:30:00Z</t>
  </si>
  <si>
    <t>2023-09-14T03:45:00Z</t>
  </si>
  <si>
    <t>2023-09-14T04:00:00Z</t>
  </si>
  <si>
    <t>2023-09-14T04:15:00Z</t>
  </si>
  <si>
    <t>2023-09-14T04:30:00Z</t>
  </si>
  <si>
    <t>2023-09-14T04:45:00Z</t>
  </si>
  <si>
    <t>2023-09-14T05:00:00Z</t>
  </si>
  <si>
    <t>2023-09-14T05:15:00Z</t>
  </si>
  <si>
    <t>2023-09-14T05:30:00Z</t>
  </si>
  <si>
    <t>2023-09-14T05:45:00Z</t>
  </si>
  <si>
    <t>2023-09-14T06:00:00Z</t>
  </si>
  <si>
    <t>2023-09-14T06:15:00Z</t>
  </si>
  <si>
    <t>2023-09-14T06:30:00Z</t>
  </si>
  <si>
    <t>2023-09-14T06:45:00Z</t>
  </si>
  <si>
    <t>2023-09-14T07:00:00Z</t>
  </si>
  <si>
    <t>2023-09-14T07:15:00Z</t>
  </si>
  <si>
    <t>2023-09-14T07:30:00Z</t>
  </si>
  <si>
    <t>2023-09-14T07:45:00Z</t>
  </si>
  <si>
    <t>4.0920000000000005</t>
  </si>
  <si>
    <t>0.057319999999999996</t>
  </si>
  <si>
    <t>2023-09-14T08:00:00Z</t>
  </si>
  <si>
    <t>2023-09-14T08:15:00Z</t>
  </si>
  <si>
    <t>2023-09-14T08:30:00Z</t>
  </si>
  <si>
    <t>2023-09-14T08:45:00Z</t>
  </si>
  <si>
    <t>2023-09-14T09:00:00Z</t>
  </si>
  <si>
    <t>2023-09-14T09:15:00Z</t>
  </si>
  <si>
    <t>2023-09-14T09:30:00Z</t>
  </si>
  <si>
    <t>2023-09-14T09:45:00Z</t>
  </si>
  <si>
    <t>0.056799999999999996</t>
  </si>
  <si>
    <t>2023-09-14T10:00:00Z</t>
  </si>
  <si>
    <t>2023-09-14T10:15:00Z</t>
  </si>
  <si>
    <t>2023-09-14T10:30:00Z</t>
  </si>
  <si>
    <t>2023-09-14T10:45:00Z</t>
  </si>
  <si>
    <t>2023-09-14T11:00:00Z</t>
  </si>
  <si>
    <t>2023-09-14T11:15:00Z</t>
  </si>
  <si>
    <t>2023-09-14T11:30:00Z</t>
  </si>
  <si>
    <t>2023-09-14T11:45:00Z</t>
  </si>
  <si>
    <t>2023-09-14T12:00:00Z</t>
  </si>
  <si>
    <t>2023-09-14T12:15:00Z</t>
  </si>
  <si>
    <t>2023-09-14T12:30:00Z</t>
  </si>
  <si>
    <t>2023-09-14T12:45:00Z</t>
  </si>
  <si>
    <t>2023-09-14T13:00:00Z</t>
  </si>
  <si>
    <t>2023-09-14T13:15:00Z</t>
  </si>
  <si>
    <t>2023-09-14T13:30:00Z</t>
  </si>
  <si>
    <t>2023-09-14T13:45:00Z</t>
  </si>
  <si>
    <t>2023-09-14T14:00:00Z</t>
  </si>
  <si>
    <t>2023-09-14T14:15:00Z</t>
  </si>
  <si>
    <t>2023-09-14T14:30:00Z</t>
  </si>
  <si>
    <t>2023-09-14T14:45:00Z</t>
  </si>
  <si>
    <t>2023-09-14T15:00:00Z</t>
  </si>
  <si>
    <t>2023-09-14T15:15:00Z</t>
  </si>
  <si>
    <t>3.8225000000000002</t>
  </si>
  <si>
    <t>2023-09-14T15:30:00Z</t>
  </si>
  <si>
    <t>2023-09-14T15:45:00Z</t>
  </si>
  <si>
    <t>2023-09-14T16:00:00Z</t>
  </si>
  <si>
    <t>2023-09-14T16:15:00Z</t>
  </si>
  <si>
    <t>2023-09-14T16:30:00Z</t>
  </si>
  <si>
    <t>2023-09-14T16:45:00Z</t>
  </si>
  <si>
    <t>2023-09-14T17:00:00Z</t>
  </si>
  <si>
    <t>2023-09-14T17:15:00Z</t>
  </si>
  <si>
    <t>2023-09-14T17:30:00Z</t>
  </si>
  <si>
    <t>2023-09-14T17:45:00Z</t>
  </si>
  <si>
    <t>2023-09-14T18:00:00Z</t>
  </si>
  <si>
    <t>2023-09-14T18:15:00Z</t>
  </si>
  <si>
    <t>2023-09-14T18:30:00Z</t>
  </si>
  <si>
    <t>2023-09-14T18:45:00Z</t>
  </si>
  <si>
    <t>2023-09-14T19:00:00Z</t>
  </si>
  <si>
    <t>2023-09-14T19:15:00Z</t>
  </si>
  <si>
    <t>2023-09-14T19:30:00Z</t>
  </si>
  <si>
    <t>2023-09-14T19:45:00Z</t>
  </si>
  <si>
    <t>2023-09-14T20:00:00Z</t>
  </si>
  <si>
    <t>2023-09-14T20:15:00Z</t>
  </si>
  <si>
    <t>2023-09-14T20:30:00Z</t>
  </si>
  <si>
    <t>2023-09-14T20:45:00Z</t>
  </si>
  <si>
    <t>2023-09-14T21:00:00Z</t>
  </si>
  <si>
    <t>2023-09-14T21:15:00Z</t>
  </si>
  <si>
    <t>0.034015000000000004</t>
  </si>
  <si>
    <t>2023-09-14T21:30:00Z</t>
  </si>
  <si>
    <t>2023-09-14T21:45:00Z</t>
  </si>
  <si>
    <t>2e-4</t>
  </si>
  <si>
    <t>2023-09-14T22:00:00Z</t>
  </si>
  <si>
    <t>2023-09-14T22:15:00Z</t>
  </si>
  <si>
    <t>2023-09-14T22:30:00Z</t>
  </si>
  <si>
    <t>3.6494999999999997</t>
  </si>
  <si>
    <t>2023-09-14T22:45:00Z</t>
  </si>
  <si>
    <t>2023-09-14T23:00:00Z</t>
  </si>
  <si>
    <t>2023-09-14T23:15:00Z</t>
  </si>
  <si>
    <t>2023-09-14T23:30:00Z</t>
  </si>
  <si>
    <t>2023-09-14T23:45:00Z</t>
  </si>
  <si>
    <t>2023-09-15T00:00:00Z</t>
  </si>
  <si>
    <t>2023-09-15T00:15:00Z</t>
  </si>
  <si>
    <t>2023-09-15T00:30:00Z</t>
  </si>
  <si>
    <t>2023-09-15T00:45:00Z</t>
  </si>
  <si>
    <t>2023-09-15T01:00:00Z</t>
  </si>
  <si>
    <t>2023-09-15T01:15:00Z</t>
  </si>
  <si>
    <t>2023-09-15T01:30:00Z</t>
  </si>
  <si>
    <t>2023-09-15T01:45:00Z</t>
  </si>
  <si>
    <t>2023-09-15T02:00:00Z</t>
  </si>
  <si>
    <t>2023-09-15T02:15:00Z</t>
  </si>
  <si>
    <t>2023-09-15T02:30:00Z</t>
  </si>
  <si>
    <t>2023-09-15T02:45:00Z</t>
  </si>
  <si>
    <t>2023-09-15T03:00:00Z</t>
  </si>
  <si>
    <t>2023-09-15T03:15:00Z</t>
  </si>
  <si>
    <t>2023-09-15T03:30:00Z</t>
  </si>
  <si>
    <t>2023-09-15T03:45:00Z</t>
  </si>
  <si>
    <t>2023-09-15T04:00:00Z</t>
  </si>
  <si>
    <t>2023-09-15T04:15:00Z</t>
  </si>
  <si>
    <t>2023-09-15T04:30:00Z</t>
  </si>
  <si>
    <t>2023-09-15T04:45:00Z</t>
  </si>
  <si>
    <t>2023-09-15T05:00:00Z</t>
  </si>
  <si>
    <t>2023-09-15T05:15:00Z</t>
  </si>
  <si>
    <t>2023-09-15T05:30:00Z</t>
  </si>
  <si>
    <t>4.0504999999999995</t>
  </si>
  <si>
    <t>2023-09-15T05:45:00Z</t>
  </si>
  <si>
    <t>2023-09-15T06:00:00Z</t>
  </si>
  <si>
    <t>2023-09-15T06:15:00Z</t>
  </si>
  <si>
    <t>2023-09-15T06:30:00Z</t>
  </si>
  <si>
    <t>2023-09-15T06:45:00Z</t>
  </si>
  <si>
    <t>2023-09-15T07:00:00Z</t>
  </si>
  <si>
    <t>2023-09-15T07:15:00Z</t>
  </si>
  <si>
    <t>2023-09-15T07:30:00Z</t>
  </si>
  <si>
    <t>2023-09-15T07:45:00Z</t>
  </si>
  <si>
    <t>2023-09-15T08:00:00Z</t>
  </si>
  <si>
    <t>0.058124999999999996</t>
  </si>
  <si>
    <t>2023-09-15T08:15:00Z</t>
  </si>
  <si>
    <t>2023-09-15T08:30:00Z</t>
  </si>
  <si>
    <t>2023-09-15T08:45:00Z</t>
  </si>
  <si>
    <t>2023-09-15T09:00:00Z</t>
  </si>
  <si>
    <t>2023-09-15T09:15:00Z</t>
  </si>
  <si>
    <t>2023-09-15T09:30:00Z</t>
  </si>
  <si>
    <t>2023-09-15T09:45:00Z</t>
  </si>
  <si>
    <t>2023-09-15T10:00:00Z</t>
  </si>
  <si>
    <t>2023-09-15T10:15:00Z</t>
  </si>
  <si>
    <t>2023-09-15T10:30:00Z</t>
  </si>
  <si>
    <t>2023-09-15T10:45:00Z</t>
  </si>
  <si>
    <t>2023-09-15T11:00:00Z</t>
  </si>
  <si>
    <t>2023-09-15T11:15:00Z</t>
  </si>
  <si>
    <t>2023-09-15T11:30:00Z</t>
  </si>
  <si>
    <t>2023-09-15T11:45:00Z</t>
  </si>
  <si>
    <t>2023-09-15T12:00:00Z</t>
  </si>
  <si>
    <t>2023-09-15T12:15:00Z</t>
  </si>
  <si>
    <t>2023-09-15T12:30:00Z</t>
  </si>
  <si>
    <t>0.029715000000000002</t>
  </si>
  <si>
    <t>2023-09-15T12:45:00Z</t>
  </si>
  <si>
    <t>2023-09-15T13:00:00Z</t>
  </si>
  <si>
    <t>2023-09-15T13:15:00Z</t>
  </si>
  <si>
    <t>2023-09-15T13:30:00Z</t>
  </si>
  <si>
    <t>0.021329999999999998</t>
  </si>
  <si>
    <t>2023-09-15T13:45:00Z</t>
  </si>
  <si>
    <t>1.3054999999999999</t>
  </si>
  <si>
    <t>2023-09-15T14:00:00Z</t>
  </si>
  <si>
    <t>2023-09-15T14:15:00Z</t>
  </si>
  <si>
    <t>2023-09-15T14:30:00Z</t>
  </si>
  <si>
    <t>2023-09-15T14:45:00Z</t>
  </si>
  <si>
    <t>2023-09-15T15:00:00Z</t>
  </si>
  <si>
    <t>2023-09-15T15:15:00Z</t>
  </si>
  <si>
    <t>2023-09-15T15:30:00Z</t>
  </si>
  <si>
    <t>0.015135000000000001</t>
  </si>
  <si>
    <t>2023-09-15T15:45:00Z</t>
  </si>
  <si>
    <t>2023-09-15T16:00:00Z</t>
  </si>
  <si>
    <t>2023-09-15T16:15:00Z</t>
  </si>
  <si>
    <t>2023-09-15T16:30:00Z</t>
  </si>
  <si>
    <t>1.8559999999999999</t>
  </si>
  <si>
    <t>2023-09-15T16:45:00Z</t>
  </si>
  <si>
    <t>2023-09-15T17:00:00Z</t>
  </si>
  <si>
    <t>2023-09-15T17:15:00Z</t>
  </si>
  <si>
    <t>2023-09-15T17:30:00Z</t>
  </si>
  <si>
    <t>1.6804999999999999</t>
  </si>
  <si>
    <t>2023-09-15T17:45:00Z</t>
  </si>
  <si>
    <t>2023-09-15T18:00:00Z</t>
  </si>
  <si>
    <t>2.2664999999999997</t>
  </si>
  <si>
    <t>2023-09-15T18:15:00Z</t>
  </si>
  <si>
    <t>2023-09-15T18:30:00Z</t>
  </si>
  <si>
    <t>2023-09-15T18:45:00Z</t>
  </si>
  <si>
    <t>2023-09-15T19:00:00Z</t>
  </si>
  <si>
    <t>2023-09-15T19:15:00Z</t>
  </si>
  <si>
    <t>2023-09-15T19:30:00Z</t>
  </si>
  <si>
    <t>2023-09-15T19:45:00Z</t>
  </si>
  <si>
    <t>2023-09-15T20:00:00Z</t>
  </si>
  <si>
    <t>2023-09-15T20:15:00Z</t>
  </si>
  <si>
    <t>2023-09-15T20:30:00Z</t>
  </si>
  <si>
    <t>2023-09-15T20:45:00Z</t>
  </si>
  <si>
    <t>2023-09-15T21:00:00Z</t>
  </si>
  <si>
    <t>2023-09-15T21:15:00Z</t>
  </si>
  <si>
    <t>2023-09-15T21:30:00Z</t>
  </si>
  <si>
    <t>2023-09-15T21:45:00Z</t>
  </si>
  <si>
    <t>2023-09-15T22:30:00Z</t>
  </si>
  <si>
    <t>0.042874999999999996</t>
  </si>
  <si>
    <t>2023-09-15T22:45:00Z</t>
  </si>
  <si>
    <t>3.4619999999999997</t>
  </si>
  <si>
    <t>2023-09-15T23:00:00Z</t>
  </si>
  <si>
    <t>2023-09-15T23:15:00Z</t>
  </si>
  <si>
    <t>2023-09-15T23:30:00Z</t>
  </si>
  <si>
    <t>2023-09-15T23:45:00Z</t>
  </si>
  <si>
    <t>2023-09-16T00:00:00Z</t>
  </si>
  <si>
    <t>2023-09-16T00:15:00Z</t>
  </si>
  <si>
    <t>2023-09-16T00:30:00Z</t>
  </si>
  <si>
    <t>2023-09-16T00:45:00Z</t>
  </si>
  <si>
    <t>2023-09-16T01:00:00Z</t>
  </si>
  <si>
    <t>2023-09-16T01:15:00Z</t>
  </si>
  <si>
    <t>2023-09-16T01:30:00Z</t>
  </si>
  <si>
    <t>2023-09-16T01:45:00Z</t>
  </si>
  <si>
    <t>0.050660000000000004</t>
  </si>
  <si>
    <t>2023-09-16T02:00:00Z</t>
  </si>
  <si>
    <t>2023-09-16T02:15:00Z</t>
  </si>
  <si>
    <t>2023-09-16T02:30:00Z</t>
  </si>
  <si>
    <t>2023-09-16T02:45:00Z</t>
  </si>
  <si>
    <t>2023-09-16T03:00:00Z</t>
  </si>
  <si>
    <t>3.8425000000000002</t>
  </si>
  <si>
    <t>2023-09-16T03:15:00Z</t>
  </si>
  <si>
    <t>2023-09-16T03:30:00Z</t>
  </si>
  <si>
    <t>2023-09-16T03:45:00Z</t>
  </si>
  <si>
    <t>2023-09-16T04:00:00Z</t>
  </si>
  <si>
    <t>2023-09-16T04:15:00Z</t>
  </si>
  <si>
    <t>2023-09-16T04:30:00Z</t>
  </si>
  <si>
    <t>2023-09-16T04:45:00Z</t>
  </si>
  <si>
    <t>4.0344999999999995</t>
  </si>
  <si>
    <t>2023-09-16T05:00:00Z</t>
  </si>
  <si>
    <t>2023-09-16T05:15:00Z</t>
  </si>
  <si>
    <t>2023-09-16T05:30:00Z</t>
  </si>
  <si>
    <t>2023-09-16T05:45:00Z</t>
  </si>
  <si>
    <t>2023-09-16T06:00:00Z</t>
  </si>
  <si>
    <t>2023-09-16T06:15:00Z</t>
  </si>
  <si>
    <t>2023-09-16T06:30:00Z</t>
  </si>
  <si>
    <t>2023-09-16T06:45:00Z</t>
  </si>
  <si>
    <t>2023-09-16T07:00:00Z</t>
  </si>
  <si>
    <t>2023-09-16T07:15:00Z</t>
  </si>
  <si>
    <t>2023-09-16T07:30:00Z</t>
  </si>
  <si>
    <t>2023-09-16T07:45:00Z</t>
  </si>
  <si>
    <t>2023-09-16T08:00:00Z</t>
  </si>
  <si>
    <t>2023-09-16T08:15:00Z</t>
  </si>
  <si>
    <t>2023-09-16T08:30:00Z</t>
  </si>
  <si>
    <t>2023-09-16T08:45:00Z</t>
  </si>
  <si>
    <t>2023-09-16T09:00:00Z</t>
  </si>
  <si>
    <t>2023-09-16T09:15:00Z</t>
  </si>
  <si>
    <t>2023-09-16T09:30:00Z</t>
  </si>
  <si>
    <t>0.057425000000000004</t>
  </si>
  <si>
    <t>2023-09-16T09:45:00Z</t>
  </si>
  <si>
    <t>2023-09-16T10:00:00Z</t>
  </si>
  <si>
    <t>2023-09-16T10:15:00Z</t>
  </si>
  <si>
    <t>2023-09-16T10:30:00Z</t>
  </si>
  <si>
    <t>2023-09-16T10:45:00Z</t>
  </si>
  <si>
    <t>0.046454999999999996</t>
  </si>
  <si>
    <t>2023-09-16T11:00:00Z</t>
  </si>
  <si>
    <t>2023-09-16T11:15:00Z</t>
  </si>
  <si>
    <t>2023-09-16T11:30:00Z</t>
  </si>
  <si>
    <t>2023-09-16T11:45:00Z</t>
  </si>
  <si>
    <t>2023-09-16T12:00:00Z</t>
  </si>
  <si>
    <t>2023-09-16T12:15:00Z</t>
  </si>
  <si>
    <t>2023-09-16T12:30:00Z</t>
  </si>
  <si>
    <t>2023-09-16T12:45:00Z</t>
  </si>
  <si>
    <t>2023-09-16T13:00:00Z</t>
  </si>
  <si>
    <t>1.5534999999999999</t>
  </si>
  <si>
    <t>0.021759999999999998</t>
  </si>
  <si>
    <t>2023-09-16T13:15:00Z</t>
  </si>
  <si>
    <t>2023-09-16T13:30:00Z</t>
  </si>
  <si>
    <t>1.1864999999999999</t>
  </si>
  <si>
    <t>2023-09-16T13:45:00Z</t>
  </si>
  <si>
    <t>2023-09-16T14:00:00Z</t>
  </si>
  <si>
    <t>2023-09-16T14:15:00Z</t>
  </si>
  <si>
    <t>2023-09-16T14:30:00Z</t>
  </si>
  <si>
    <t>0.022350000000000002</t>
  </si>
  <si>
    <t>2023-09-16T14:45:00Z</t>
  </si>
  <si>
    <t>2023-09-16T15:00:00Z</t>
  </si>
  <si>
    <t>2023-09-16T15:15:00Z</t>
  </si>
  <si>
    <t>2023-09-16T15:30:00Z</t>
  </si>
  <si>
    <t>2023-09-16T15:45:00Z</t>
  </si>
  <si>
    <t>2023-09-16T16:00:00Z</t>
  </si>
  <si>
    <t>2023-09-16T16:15:00Z</t>
  </si>
  <si>
    <t>2023-09-16T16:30:00Z</t>
  </si>
  <si>
    <t>2023-09-16T16:45:00Z</t>
  </si>
  <si>
    <t>2023-09-16T17:00:00Z</t>
  </si>
  <si>
    <t>2023-09-16T17:15:00Z</t>
  </si>
  <si>
    <t>2023-09-16T17:30:00Z</t>
  </si>
  <si>
    <t>2023-09-16T17:45:00Z</t>
  </si>
  <si>
    <t>2023-09-16T18:00:00Z</t>
  </si>
  <si>
    <t>2023-09-16T18:15:00Z</t>
  </si>
  <si>
    <t>2023-09-16T18:30:00Z</t>
  </si>
  <si>
    <t>2023-09-16T18:45:00Z</t>
  </si>
  <si>
    <t>2023-09-16T19:00:00Z</t>
  </si>
  <si>
    <t>2023-09-16T19:15:00Z</t>
  </si>
  <si>
    <t>3.3890000000000002</t>
  </si>
  <si>
    <t>2023-09-16T19:30:00Z</t>
  </si>
  <si>
    <t>2023-09-16T19:45:00Z</t>
  </si>
  <si>
    <t>2023-09-16T20:00:00Z</t>
  </si>
  <si>
    <t>2023-09-16T20:15:00Z</t>
  </si>
  <si>
    <t>2023-09-16T20:30:00Z</t>
  </si>
  <si>
    <t>2023-09-16T20:45:00Z</t>
  </si>
  <si>
    <t>2023-09-16T21:00:00Z</t>
  </si>
  <si>
    <t>1.9409999999999998</t>
  </si>
  <si>
    <t>2023-09-16T21:15:00Z</t>
  </si>
  <si>
    <t>2023-09-16T21:30:00Z</t>
  </si>
  <si>
    <t>0.018815000000000002</t>
  </si>
  <si>
    <t>2023-09-16T21:45:00Z</t>
  </si>
  <si>
    <t>2023-09-16T22:15:00Z</t>
  </si>
  <si>
    <t>2023-09-16T22:30:00Z</t>
  </si>
  <si>
    <t>2023-09-16T22:45:00Z</t>
  </si>
  <si>
    <t>2023-09-16T23:00:00Z</t>
  </si>
  <si>
    <t>2023-09-16T23:15:00Z</t>
  </si>
  <si>
    <t>2023-09-16T23:30:00Z</t>
  </si>
  <si>
    <t>2023-09-16T23:45:00Z</t>
  </si>
  <si>
    <t>2023-09-17T00:00:00Z</t>
  </si>
  <si>
    <t>2023-09-17T00:15:00Z</t>
  </si>
  <si>
    <t>2023-09-17T00:30:00Z</t>
  </si>
  <si>
    <t>2023-09-17T00:45:00Z</t>
  </si>
  <si>
    <t>2023-09-17T01:00:00Z</t>
  </si>
  <si>
    <t>2023-09-17T01:15:00Z</t>
  </si>
  <si>
    <t>2023-09-17T01:30:00Z</t>
  </si>
  <si>
    <t>2023-09-17T01:45:00Z</t>
  </si>
  <si>
    <t>2023-09-17T02:00:00Z</t>
  </si>
  <si>
    <t>2023-09-17T02:15:00Z</t>
  </si>
  <si>
    <t>2023-09-17T02:30:00Z</t>
  </si>
  <si>
    <t>2023-09-17T02:45:00Z</t>
  </si>
  <si>
    <t>2023-09-17T03:00:00Z</t>
  </si>
  <si>
    <t>2023-09-17T03:15:00Z</t>
  </si>
  <si>
    <t>2023-09-17T03:30:00Z</t>
  </si>
  <si>
    <t>3.9755000000000003</t>
  </si>
  <si>
    <t>2023-09-17T03:45:00Z</t>
  </si>
  <si>
    <t>2023-09-17T04:00:00Z</t>
  </si>
  <si>
    <t>2023-09-17T04:15:00Z</t>
  </si>
  <si>
    <t>2023-09-17T04:30:00Z</t>
  </si>
  <si>
    <t>2023-09-17T04:45:00Z</t>
  </si>
  <si>
    <t>2023-09-17T05:00:00Z</t>
  </si>
  <si>
    <t>2023-09-17T05:15:00Z</t>
  </si>
  <si>
    <t>2023-09-17T05:30:00Z</t>
  </si>
  <si>
    <t>2023-09-17T05:45:00Z</t>
  </si>
  <si>
    <t>2023-09-17T06:00:00Z</t>
  </si>
  <si>
    <t>2023-09-17T06:15:00Z</t>
  </si>
  <si>
    <t>2023-09-17T06:30:00Z</t>
  </si>
  <si>
    <t>2023-09-17T06:45:00Z</t>
  </si>
  <si>
    <t>2023-09-17T07:00:00Z</t>
  </si>
  <si>
    <t>2023-09-17T07:15:00Z</t>
  </si>
  <si>
    <t>2023-09-17T07:30:00Z</t>
  </si>
  <si>
    <t>2023-09-17T07:45:00Z</t>
  </si>
  <si>
    <t>0.058034999999999996</t>
  </si>
  <si>
    <t>2023-09-17T08:00:00Z</t>
  </si>
  <si>
    <t>2023-09-17T08:15:00Z</t>
  </si>
  <si>
    <t>2023-09-17T08:30:00Z</t>
  </si>
  <si>
    <t>2023-09-17T08:45:00Z</t>
  </si>
  <si>
    <t>2023-09-17T09:00:00Z</t>
  </si>
  <si>
    <t>2023-09-17T09:15:00Z</t>
  </si>
  <si>
    <t>2023-09-17T09:30:00Z</t>
  </si>
  <si>
    <t>2023-09-17T09:45:00Z</t>
  </si>
  <si>
    <t>3.6590000000000003</t>
  </si>
  <si>
    <t>2023-09-17T10:00:00Z</t>
  </si>
  <si>
    <t>2023-09-17T10:15:00Z</t>
  </si>
  <si>
    <t>3.2744999999999997</t>
  </si>
  <si>
    <t>0.045864999999999996</t>
  </si>
  <si>
    <t>2023-09-17T10:30:00Z</t>
  </si>
  <si>
    <t>3.0604999999999998</t>
  </si>
  <si>
    <t>2023-09-17T10:45:00Z</t>
  </si>
  <si>
    <t>2023-09-17T11:00:00Z</t>
  </si>
  <si>
    <t>2023-09-17T11:15:00Z</t>
  </si>
  <si>
    <t>2023-09-17T11:30:00Z</t>
  </si>
  <si>
    <t>2023-09-17T11:45:00Z</t>
  </si>
  <si>
    <t>2.0044999999999997</t>
  </si>
  <si>
    <t>2023-09-17T12:00:00Z</t>
  </si>
  <si>
    <t>2023-09-17T12:15:00Z</t>
  </si>
  <si>
    <t>1.5554999999999999</t>
  </si>
  <si>
    <t>0.021804999999999998</t>
  </si>
  <si>
    <t>2023-09-17T12:30:00Z</t>
  </si>
  <si>
    <t>2023-09-17T12:45:00Z</t>
  </si>
  <si>
    <t>2023-09-17T13:00:00Z</t>
  </si>
  <si>
    <t>2023-09-17T13:15:00Z</t>
  </si>
  <si>
    <t>2023-09-17T13:30:00Z</t>
  </si>
  <si>
    <t>2023-09-17T13:45:00Z</t>
  </si>
  <si>
    <t>2023-09-17T14:00:00Z</t>
  </si>
  <si>
    <t>2023-09-17T14:15:00Z</t>
  </si>
  <si>
    <t>2023-09-17T14:30:00Z</t>
  </si>
  <si>
    <t>2023-09-17T14:45:00Z</t>
  </si>
  <si>
    <t>0.025920000000000002</t>
  </si>
  <si>
    <t>2023-09-17T15:00:00Z</t>
  </si>
  <si>
    <t>2023-09-17T15:15:00Z</t>
  </si>
  <si>
    <t>2023-09-17T15:30:00Z</t>
  </si>
  <si>
    <t>2023-09-17T15:45:00Z</t>
  </si>
  <si>
    <t>2023-09-17T16:00:00Z</t>
  </si>
  <si>
    <t>2023-09-17T16:15:00Z</t>
  </si>
  <si>
    <t>2023-09-17T16:30:00Z</t>
  </si>
  <si>
    <t>2023-09-17T16:45:00Z</t>
  </si>
  <si>
    <t>2023-09-17T17:00:00Z</t>
  </si>
  <si>
    <t>2.4050000000000002</t>
  </si>
  <si>
    <t>2023-09-17T17:15:00Z</t>
  </si>
  <si>
    <t>2023-09-17T17:30:00Z</t>
  </si>
  <si>
    <t>2023-09-17T17:45:00Z</t>
  </si>
  <si>
    <t>2023-09-17T18:00:00Z</t>
  </si>
  <si>
    <t>2023-09-17T18:15:00Z</t>
  </si>
  <si>
    <t>2023-09-17T18:30:00Z</t>
  </si>
  <si>
    <t>2023-09-17T18:45:00Z</t>
  </si>
  <si>
    <t>2023-09-17T19:00:00Z</t>
  </si>
  <si>
    <t>2023-09-17T19:15:00Z</t>
  </si>
  <si>
    <t>2023-09-17T19:30:00Z</t>
  </si>
  <si>
    <t>2023-09-17T19:45:00Z</t>
  </si>
  <si>
    <t>2023-09-17T20:00:00Z</t>
  </si>
  <si>
    <t>0.044360000000000004</t>
  </si>
  <si>
    <t>2023-09-17T20:15:00Z</t>
  </si>
  <si>
    <t>2023-09-17T20:30:00Z</t>
  </si>
  <si>
    <t>2023-09-17T20:45:00Z</t>
  </si>
  <si>
    <t>2023-09-17T21:00:00Z</t>
  </si>
  <si>
    <t>2023-09-17T21:15:00Z</t>
  </si>
  <si>
    <t>2023-09-17T21:30:00Z</t>
  </si>
  <si>
    <t>2023-09-17T21:45:00Z</t>
  </si>
  <si>
    <t>2023-09-17T22:00:00Z</t>
  </si>
  <si>
    <t>0.048225000000000004</t>
  </si>
  <si>
    <t>2023-09-17T22:15:00Z</t>
  </si>
  <si>
    <t>2023-09-17T22:30:00Z</t>
  </si>
  <si>
    <t>2023-09-17T22:45:00Z</t>
  </si>
  <si>
    <t>3.7760000000000002</t>
  </si>
  <si>
    <t>2023-09-17T23:00:00Z</t>
  </si>
  <si>
    <t>2023-09-17T23:15:00Z</t>
  </si>
  <si>
    <t>2023-09-17T23:30:00Z</t>
  </si>
  <si>
    <t>2023-09-17T23:45:00Z</t>
  </si>
  <si>
    <t>2023-09-18T00:00:00Z</t>
  </si>
  <si>
    <t>2023-09-18T00:15:00Z</t>
  </si>
  <si>
    <t>2023-09-18T00:30:00Z</t>
  </si>
  <si>
    <t>2023-09-18T00:45:00Z</t>
  </si>
  <si>
    <t>4.0264999999999995</t>
  </si>
  <si>
    <t>2023-09-18T01:00:00Z</t>
  </si>
  <si>
    <t>0.053810000000000004</t>
  </si>
  <si>
    <t>2023-09-18T01:15:00Z</t>
  </si>
  <si>
    <t>2023-09-18T01:30:00Z</t>
  </si>
  <si>
    <t>2023-09-18T01:45:00Z</t>
  </si>
  <si>
    <t>2023-09-18T02:00:00Z</t>
  </si>
  <si>
    <t>2023-09-18T02:15:00Z</t>
  </si>
  <si>
    <t>2023-09-18T02:30:00Z</t>
  </si>
  <si>
    <t>2023-09-18T02:45:00Z</t>
  </si>
  <si>
    <t>2023-09-18T03:00:00Z</t>
  </si>
  <si>
    <t>2023-09-18T03:15:00Z</t>
  </si>
  <si>
    <t>2023-09-18T03:30:00Z</t>
  </si>
  <si>
    <t>3.9130000000000003</t>
  </si>
  <si>
    <t>2023-09-18T03:45:00Z</t>
  </si>
  <si>
    <t>2023-09-18T04:00:00Z</t>
  </si>
  <si>
    <t>2023-09-18T04:15:00Z</t>
  </si>
  <si>
    <t>2023-09-18T04:30:00Z</t>
  </si>
  <si>
    <t>2023-09-18T04:45:00Z</t>
  </si>
  <si>
    <t>2023-09-18T05:00:00Z</t>
  </si>
  <si>
    <t>2023-09-18T05:15:00Z</t>
  </si>
  <si>
    <t>2023-09-18T05:30:00Z</t>
  </si>
  <si>
    <t>2023-09-18T05:45:00Z</t>
  </si>
  <si>
    <t>4.0809999999999995</t>
  </si>
  <si>
    <t>2023-09-18T06:00:00Z</t>
  </si>
  <si>
    <t>2023-09-18T06:15:00Z</t>
  </si>
  <si>
    <t>2023-09-18T06:30:00Z</t>
  </si>
  <si>
    <t>2023-09-18T06:45:00Z</t>
  </si>
  <si>
    <t>2023-09-18T07:00:00Z</t>
  </si>
  <si>
    <t>2023-09-18T07:15:00Z</t>
  </si>
  <si>
    <t>2023-09-18T07:30:00Z</t>
  </si>
  <si>
    <t>2023-09-18T07:45:00Z</t>
  </si>
  <si>
    <t>2023-09-18T08:00:00Z</t>
  </si>
  <si>
    <t>2023-09-18T08:15:00Z</t>
  </si>
  <si>
    <t>2023-09-18T08:30:00Z</t>
  </si>
  <si>
    <t>2023-09-18T08:45:00Z</t>
  </si>
  <si>
    <t>4.2620000000000005</t>
  </si>
  <si>
    <t>2023-09-18T09:00:00Z</t>
  </si>
  <si>
    <t>2023-09-18T09:15:00Z</t>
  </si>
  <si>
    <t>2023-09-18T09:30:00Z</t>
  </si>
  <si>
    <t>2023-09-18T09:45:00Z</t>
  </si>
  <si>
    <t>2023-09-18T10:00:00Z</t>
  </si>
  <si>
    <t>2023-09-18T10:15:00Z</t>
  </si>
  <si>
    <t>2023-09-18T10:30:00Z</t>
  </si>
  <si>
    <t>2023-09-18T10:45:00Z</t>
  </si>
  <si>
    <t>2023-09-18T11:00:00Z</t>
  </si>
  <si>
    <t>2023-09-18T11:15:00Z</t>
  </si>
  <si>
    <t>2023-09-18T11:30:00Z</t>
  </si>
  <si>
    <t>2023-09-18T11:45:00Z</t>
  </si>
  <si>
    <t>0.058965000000000004</t>
  </si>
  <si>
    <t>2023-09-18T12:00:00Z</t>
  </si>
  <si>
    <t>2023-09-18T12:15:00Z</t>
  </si>
  <si>
    <t>2023-09-18T12:30:00Z</t>
  </si>
  <si>
    <t>2023-09-18T12:45:00Z</t>
  </si>
  <si>
    <t>2023-09-18T13:00:00Z</t>
  </si>
  <si>
    <t>0.057264999999999996</t>
  </si>
  <si>
    <t>2023-09-18T13:15:00Z</t>
  </si>
  <si>
    <t>2023-09-18T13:30:00Z</t>
  </si>
  <si>
    <t>2023-09-18T13:45:00Z</t>
  </si>
  <si>
    <t>2023-09-18T14:00:00Z</t>
  </si>
  <si>
    <t>2023-09-18T14:15:00Z</t>
  </si>
  <si>
    <t>2023-09-18T14:30:00Z</t>
  </si>
  <si>
    <t>2023-09-18T14:45:00Z</t>
  </si>
  <si>
    <t>2023-09-18T15:00:00Z</t>
  </si>
  <si>
    <t>2023-09-18T15:15:00Z</t>
  </si>
  <si>
    <t>2023-09-18T15:30:00Z</t>
  </si>
  <si>
    <t>2023-09-18T15:45:00Z</t>
  </si>
  <si>
    <t>2023-09-18T16:00:00Z</t>
  </si>
  <si>
    <t>2023-09-18T16:15:00Z</t>
  </si>
  <si>
    <t>2023-09-18T16:30:00Z</t>
  </si>
  <si>
    <t>2023-09-18T16:45:00Z</t>
  </si>
  <si>
    <t>2023-09-18T17:00:00Z</t>
  </si>
  <si>
    <t>2023-09-18T17:15:00Z</t>
  </si>
  <si>
    <t>2023-09-18T17:30:00Z</t>
  </si>
  <si>
    <t>2023-09-18T17:45:00Z</t>
  </si>
  <si>
    <t>2023-09-18T18:00:00Z</t>
  </si>
  <si>
    <t>0.051394999999999996</t>
  </si>
  <si>
    <t>2023-09-18T18:15:00Z</t>
  </si>
  <si>
    <t>2023-09-18T18:30:00Z</t>
  </si>
  <si>
    <t>2023-09-18T18:45:00Z</t>
  </si>
  <si>
    <t>2023-09-18T19:00:00Z</t>
  </si>
  <si>
    <t>2023-09-18T19:15:00Z</t>
  </si>
  <si>
    <t>2023-09-18T19:30:00Z</t>
  </si>
  <si>
    <t>2023-09-18T19:45:00Z</t>
  </si>
  <si>
    <t>2023-09-18T20:00:00Z</t>
  </si>
  <si>
    <t>2023-09-18T20:15:00Z</t>
  </si>
  <si>
    <t>2023-09-18T20:30:00Z</t>
  </si>
  <si>
    <t>2023-09-18T20:45:00Z</t>
  </si>
  <si>
    <t>2023-09-18T21:00:00Z</t>
  </si>
  <si>
    <t>2023-09-18T21:15:00Z</t>
  </si>
  <si>
    <t>2023-09-18T21:30:00Z</t>
  </si>
  <si>
    <t>2023-09-18T21:45:00Z</t>
  </si>
  <si>
    <t>2023-09-18T22:00:00Z</t>
  </si>
  <si>
    <t>0.041729999999999996</t>
  </si>
  <si>
    <t>2023-09-18T22:15:00Z</t>
  </si>
  <si>
    <t>2023-09-18T22:30:00Z</t>
  </si>
  <si>
    <t>2023-09-18T22:45:00Z</t>
  </si>
  <si>
    <t>2023-09-18T23:00:00Z</t>
  </si>
  <si>
    <t>2023-09-18T23:15:00Z</t>
  </si>
  <si>
    <t>2023-09-18T23:30:00Z</t>
  </si>
  <si>
    <t>2023-09-18T23:45:00Z</t>
  </si>
  <si>
    <t>2023-09-19T00:00:00Z</t>
  </si>
  <si>
    <t>0.061724999999999995</t>
  </si>
  <si>
    <t>2023-09-19T00:15:00Z</t>
  </si>
  <si>
    <t>2023-09-19T00:30:00Z</t>
  </si>
  <si>
    <t>2023-09-19T00:45:00Z</t>
  </si>
  <si>
    <t>2023-09-19T01:00:00Z</t>
  </si>
  <si>
    <t>2023-09-19T01:15:00Z</t>
  </si>
  <si>
    <t>2023-09-19T01:30:00Z</t>
  </si>
  <si>
    <t>2023-09-19T01:45:00Z</t>
  </si>
  <si>
    <t>2023-09-19T02:00:00Z</t>
  </si>
  <si>
    <t>2023-09-19T02:15:00Z</t>
  </si>
  <si>
    <t>2023-09-19T02:30:00Z</t>
  </si>
  <si>
    <t>2023-09-19T02:45:00Z</t>
  </si>
  <si>
    <t>2023-09-19T03:00:00Z</t>
  </si>
  <si>
    <t>2023-09-19T03:15:00Z</t>
  </si>
  <si>
    <t>3.9619999999999997</t>
  </si>
  <si>
    <t>2023-09-19T03:30:00Z</t>
  </si>
  <si>
    <t>2023-09-19T03:45:00Z</t>
  </si>
  <si>
    <t>2023-09-19T04:00:00Z</t>
  </si>
  <si>
    <t>0.055510000000000004</t>
  </si>
  <si>
    <t>2023-09-19T04:15:00Z</t>
  </si>
  <si>
    <t>2023-09-19T04:30:00Z</t>
  </si>
  <si>
    <t>2023-09-19T04:45:00Z</t>
  </si>
  <si>
    <t>2023-09-19T05:00:00Z</t>
  </si>
  <si>
    <t>2023-09-19T05:15:00Z</t>
  </si>
  <si>
    <t>2023-09-19T05:30:00Z</t>
  </si>
  <si>
    <t>2023-09-19T05:45:00Z</t>
  </si>
  <si>
    <t>2023-09-19T06:00:00Z</t>
  </si>
  <si>
    <t>2023-09-19T06:15:00Z</t>
  </si>
  <si>
    <t>2023-09-19T06:30:00Z</t>
  </si>
  <si>
    <t>2023-09-19T06:45:00Z</t>
  </si>
  <si>
    <t>2023-09-19T07:00:00Z</t>
  </si>
  <si>
    <t>2023-09-19T07:15:00Z</t>
  </si>
  <si>
    <t>2023-09-19T07:30:00Z</t>
  </si>
  <si>
    <t>0.057730000000000004</t>
  </si>
  <si>
    <t>2023-09-19T07:45:00Z</t>
  </si>
  <si>
    <t>2023-09-19T08:00:00Z</t>
  </si>
  <si>
    <t>2023-09-19T08:15:00Z</t>
  </si>
  <si>
    <t>2023-09-19T08:30:00Z</t>
  </si>
  <si>
    <t>2023-09-19T08:45:00Z</t>
  </si>
  <si>
    <t>2023-09-19T09:00:00Z</t>
  </si>
  <si>
    <t>2023-09-19T09:15:00Z</t>
  </si>
  <si>
    <t>2023-09-19T09:30:00Z</t>
  </si>
  <si>
    <t>2023-09-19T09:45:00Z</t>
  </si>
  <si>
    <t>2023-09-19T10:00:00Z</t>
  </si>
  <si>
    <t>2023-09-19T10:15:00Z</t>
  </si>
  <si>
    <t>2023-09-19T10:30:00Z</t>
  </si>
  <si>
    <t>2023-09-19T10:45:00Z</t>
  </si>
  <si>
    <t>2023-09-19T11:00:00Z</t>
  </si>
  <si>
    <t>2023-09-19T11:15:00Z</t>
  </si>
  <si>
    <t>2023-09-19T11:30:00Z</t>
  </si>
  <si>
    <t>2023-09-19T11:45:00Z</t>
  </si>
  <si>
    <t>2023-09-19T12:00:00Z</t>
  </si>
  <si>
    <t>2023-09-19T12:15:00Z</t>
  </si>
  <si>
    <t>2023-09-19T12:30:00Z</t>
  </si>
  <si>
    <t>2023-09-19T12:45:00Z</t>
  </si>
  <si>
    <t>2023-09-19T13:00:00Z</t>
  </si>
  <si>
    <t>2023-09-19T13:15:00Z</t>
  </si>
  <si>
    <t>1.6219999999999999</t>
  </si>
  <si>
    <t>2023-09-19T13:30:00Z</t>
  </si>
  <si>
    <t>2023-09-19T13:45:00Z</t>
  </si>
  <si>
    <t>2023-09-19T14:00:00Z</t>
  </si>
  <si>
    <t>2023-09-19T14:15:00Z</t>
  </si>
  <si>
    <t>2023-09-19T14:30:00Z</t>
  </si>
  <si>
    <t>2023-09-19T14:45:00Z</t>
  </si>
  <si>
    <t>2023-09-19T15:00:00Z</t>
  </si>
  <si>
    <t>2023-09-19T15:15:00Z</t>
  </si>
  <si>
    <t>2023-09-19T15:30:00Z</t>
  </si>
  <si>
    <t>2023-09-19T15:45:00Z</t>
  </si>
  <si>
    <t>2023-09-19T16:00:00Z</t>
  </si>
  <si>
    <t>2023-09-19T16:15:00Z</t>
  </si>
  <si>
    <t>2023-09-19T16:30:00Z</t>
  </si>
  <si>
    <t>2023-09-19T16:45:00Z</t>
  </si>
  <si>
    <t>2023-09-19T17:00:00Z</t>
  </si>
  <si>
    <t>2023-09-19T17:15:00Z</t>
  </si>
  <si>
    <t>2023-09-19T17:30:00Z</t>
  </si>
  <si>
    <t>2023-09-19T17:45:00Z</t>
  </si>
  <si>
    <t>2023-09-19T18:00:00Z</t>
  </si>
  <si>
    <t>2023-09-19T18:15:00Z</t>
  </si>
  <si>
    <t>2023-09-19T18:30:00Z</t>
  </si>
  <si>
    <t>2023-09-19T18:45:00Z</t>
  </si>
  <si>
    <t>2023-09-19T19:00:00Z</t>
  </si>
  <si>
    <t>2023-09-19T19:15:00Z</t>
  </si>
  <si>
    <t>2023-09-19T19:30:00Z</t>
  </si>
  <si>
    <t>2023-09-19T19:45:00Z</t>
  </si>
  <si>
    <t>2023-09-19T20:00:00Z</t>
  </si>
  <si>
    <t>0.010239999999999999</t>
  </si>
  <si>
    <t>2023-09-19T21:45:00Z</t>
  </si>
  <si>
    <t>2023-09-19T22:00:00Z</t>
  </si>
  <si>
    <t>2023-09-19T22:15:00Z</t>
  </si>
  <si>
    <t>2023-09-19T22:30:00Z</t>
  </si>
  <si>
    <t>2023-09-19T22:45:00Z</t>
  </si>
  <si>
    <t>2023-09-19T23:00:00Z</t>
  </si>
  <si>
    <t>0.046275000000000004</t>
  </si>
  <si>
    <t>2023-09-19T23:15:00Z</t>
  </si>
  <si>
    <t>2023-09-19T23:30:00Z</t>
  </si>
  <si>
    <t>2023-09-19T23:45:00Z</t>
  </si>
  <si>
    <t>2023-09-20T00:00:00Z</t>
  </si>
  <si>
    <t>2023-09-20T00:15:00Z</t>
  </si>
  <si>
    <t>2023-09-20T00:30:00Z</t>
  </si>
  <si>
    <t>2023-09-20T00:45:00Z</t>
  </si>
  <si>
    <t>2023-09-20T01:00:00Z</t>
  </si>
  <si>
    <t>2023-09-20T01:15:00Z</t>
  </si>
  <si>
    <t>2023-09-20T01:30:00Z</t>
  </si>
  <si>
    <t>2023-09-20T01:45:00Z</t>
  </si>
  <si>
    <t>2023-09-20T02:00:00Z</t>
  </si>
  <si>
    <t>2023-09-20T02:15:00Z</t>
  </si>
  <si>
    <t>2023-09-20T02:30:00Z</t>
  </si>
  <si>
    <t>2023-09-20T02:45:00Z</t>
  </si>
  <si>
    <t>2023-09-20T03:00:00Z</t>
  </si>
  <si>
    <t>3.3449999999999998</t>
  </si>
  <si>
    <t>2023-09-20T03:15:00Z</t>
  </si>
  <si>
    <t>2023-09-20T03:30:00Z</t>
  </si>
  <si>
    <t>2023-09-20T03:45:00Z</t>
  </si>
  <si>
    <t>2023-09-20T04:00:00Z</t>
  </si>
  <si>
    <t>2023-09-20T04:15:00Z</t>
  </si>
  <si>
    <t>2023-09-20T04:30:00Z</t>
  </si>
  <si>
    <t>2023-09-20T04:45:00Z</t>
  </si>
  <si>
    <t>2023-09-20T05:00:00Z</t>
  </si>
  <si>
    <t>2023-09-20T05:15:00Z</t>
  </si>
  <si>
    <t>0.047349999999999996</t>
  </si>
  <si>
    <t>2023-09-20T05:30:00Z</t>
  </si>
  <si>
    <t>2023-09-20T05:45:00Z</t>
  </si>
  <si>
    <t>2023-09-20T06:00:00Z</t>
  </si>
  <si>
    <t>2023-09-20T06:15:00Z</t>
  </si>
  <si>
    <t>2023-09-20T06:30:00Z</t>
  </si>
  <si>
    <t>2023-09-20T06:45:00Z</t>
  </si>
  <si>
    <t>2023-09-20T07:00:00Z</t>
  </si>
  <si>
    <t>2023-09-20T07:15:00Z</t>
  </si>
  <si>
    <t>2023-09-20T07:30:00Z</t>
  </si>
  <si>
    <t>2023-09-20T07:45:00Z</t>
  </si>
  <si>
    <t>2023-09-20T08:00:00Z</t>
  </si>
  <si>
    <t>2023-09-20T08:15:00Z</t>
  </si>
  <si>
    <t>2023-09-20T08:30:00Z</t>
  </si>
  <si>
    <t>2023-09-20T08:45:00Z</t>
  </si>
  <si>
    <t>0.047744999999999996</t>
  </si>
  <si>
    <t>2023-09-20T09:00:00Z</t>
  </si>
  <si>
    <t>2023-09-20T09:15:00Z</t>
  </si>
  <si>
    <t>2023-09-20T09:30:00Z</t>
  </si>
  <si>
    <t>2023-09-20T09:45:00Z</t>
  </si>
  <si>
    <t>2023-09-20T10:00:00Z</t>
  </si>
  <si>
    <t>0.047420000000000004</t>
  </si>
  <si>
    <t>2023-09-20T10:15:00Z</t>
  </si>
  <si>
    <t>2023-09-20T10:30:00Z</t>
  </si>
  <si>
    <t>2023-09-20T10:45:00Z</t>
  </si>
  <si>
    <t>2023-09-20T11:00:00Z</t>
  </si>
  <si>
    <t>2023-09-20T11:15:00Z</t>
  </si>
  <si>
    <t>2023-09-20T11:30:00Z</t>
  </si>
  <si>
    <t>3.4290000000000003</t>
  </si>
  <si>
    <t>2023-09-20T11:45:00Z</t>
  </si>
  <si>
    <t>2023-09-20T12:00:00Z</t>
  </si>
  <si>
    <t>2023-09-20T12:15:00Z</t>
  </si>
  <si>
    <t>2023-09-20T12:30:00Z</t>
  </si>
  <si>
    <t>2023-09-20T12:45:00Z</t>
  </si>
  <si>
    <t>2023-09-20T13:00:00Z</t>
  </si>
  <si>
    <t>3.4130000000000003</t>
  </si>
  <si>
    <t>2023-09-20T13:15:00Z</t>
  </si>
  <si>
    <t>2023-09-20T13:30:00Z</t>
  </si>
  <si>
    <t>2023-09-20T13:45:00Z</t>
  </si>
  <si>
    <t>2023-09-20T14:00:00Z</t>
  </si>
  <si>
    <t>2023-09-20T14:15:00Z</t>
  </si>
  <si>
    <t>2023-09-20T14:30:00Z</t>
  </si>
  <si>
    <t>2023-09-20T14:45:00Z</t>
  </si>
  <si>
    <t>2023-09-20T15:00:00Z</t>
  </si>
  <si>
    <t>2023-09-20T15:15:00Z</t>
  </si>
  <si>
    <t>2023-09-20T15:30:00Z</t>
  </si>
  <si>
    <t>2023-09-20T15:45:00Z</t>
  </si>
  <si>
    <t>2023-09-20T16:00:00Z</t>
  </si>
  <si>
    <t>2023-09-20T16:15:00Z</t>
  </si>
  <si>
    <t>0.048100000000000004</t>
  </si>
  <si>
    <t>2023-09-20T16:30:00Z</t>
  </si>
  <si>
    <t>2023-09-20T16:45:00Z</t>
  </si>
  <si>
    <t>2023-09-20T17:00:00Z</t>
  </si>
  <si>
    <t>2023-09-20T17:15:00Z</t>
  </si>
  <si>
    <t>2023-09-20T17:30:00Z</t>
  </si>
  <si>
    <t>2023-09-20T17:45:00Z</t>
  </si>
  <si>
    <t>2023-09-20T18:00:00Z</t>
  </si>
  <si>
    <t>2023-09-20T18:15:00Z</t>
  </si>
  <si>
    <t>2023-09-20T18:30:00Z</t>
  </si>
  <si>
    <t>2023-09-20T18:45:00Z</t>
  </si>
  <si>
    <t>2023-09-20T19:00:00Z</t>
  </si>
  <si>
    <t>2023-09-20T19:15:00Z</t>
  </si>
  <si>
    <t>2023-09-20T19:30:00Z</t>
  </si>
  <si>
    <t>2023-09-20T19:45:00Z</t>
  </si>
  <si>
    <t>2023-09-20T20:00:00Z</t>
  </si>
  <si>
    <t>2023-09-20T20:15:00Z</t>
  </si>
  <si>
    <t>2023-09-20T20:30:00Z</t>
  </si>
  <si>
    <t>2023-09-20T20:45:00Z</t>
  </si>
  <si>
    <t>2023-09-20T21:00:00Z</t>
  </si>
  <si>
    <t>2023-09-20T21:15:00Z</t>
  </si>
  <si>
    <t>2023-09-20T21:30:00Z</t>
  </si>
  <si>
    <t>2023-09-20T21:45:00Z</t>
  </si>
  <si>
    <t>2023-09-20T22:00:00Z</t>
  </si>
  <si>
    <t>2023-09-20T22:15:00Z</t>
  </si>
  <si>
    <t>0.047045000000000003</t>
  </si>
  <si>
    <t>2023-09-20T22:30:00Z</t>
  </si>
  <si>
    <t>2023-09-20T22:45:00Z</t>
  </si>
  <si>
    <t>2023-09-20T23:00:00Z</t>
  </si>
  <si>
    <t>2023-09-20T23:15:00Z</t>
  </si>
  <si>
    <t>2023-09-20T23:30:00Z</t>
  </si>
  <si>
    <t>2023-09-20T23:45:00Z</t>
  </si>
  <si>
    <t>2023-09-21T00:00:00Z</t>
  </si>
  <si>
    <t>0.046615000000000004</t>
  </si>
  <si>
    <t>2023-09-21T00:15:00Z</t>
  </si>
  <si>
    <t>2023-09-21T00:30:00Z</t>
  </si>
  <si>
    <t>2023-09-21T00:45:00Z</t>
  </si>
  <si>
    <t>0.046579999999999996</t>
  </si>
  <si>
    <t>2023-09-21T01:00:00Z</t>
  </si>
  <si>
    <t>2023-09-21T01:15:00Z</t>
  </si>
  <si>
    <t>2023-09-21T01:30:00Z</t>
  </si>
  <si>
    <t>2023-09-21T01:45:00Z</t>
  </si>
  <si>
    <t>2023-09-21T02:00:00Z</t>
  </si>
  <si>
    <t>2023-09-21T02:15:00Z</t>
  </si>
  <si>
    <t>2023-09-21T02:30:00Z</t>
  </si>
  <si>
    <t>2023-09-21T02:45:00Z</t>
  </si>
  <si>
    <t>2023-09-21T03:00:00Z</t>
  </si>
  <si>
    <t>2023-09-21T03:15:00Z</t>
  </si>
  <si>
    <t>2023-09-21T03:30:00Z</t>
  </si>
  <si>
    <t>2023-09-21T03:45:00Z</t>
  </si>
  <si>
    <t>2023-09-21T04:00:00Z</t>
  </si>
  <si>
    <t>2023-09-21T04:15:00Z</t>
  </si>
  <si>
    <t>2023-09-21T04:30:00Z</t>
  </si>
  <si>
    <t>2023-09-21T04:45:00Z</t>
  </si>
  <si>
    <t>2023-09-21T05:00:00Z</t>
  </si>
  <si>
    <t>2023-09-21T05:15:00Z</t>
  </si>
  <si>
    <t>2023-09-21T05:30:00Z</t>
  </si>
  <si>
    <t>2023-09-21T05:45:00Z</t>
  </si>
  <si>
    <t>3.2880000000000003</t>
  </si>
  <si>
    <t>2023-09-21T06:00:00Z</t>
  </si>
  <si>
    <t>2023-09-21T06:15:00Z</t>
  </si>
  <si>
    <t>2023-09-21T06:30:00Z</t>
  </si>
  <si>
    <t>2023-09-21T06:45:00Z</t>
  </si>
  <si>
    <t>2023-09-21T07:00:00Z</t>
  </si>
  <si>
    <t>2023-09-21T07:15:00Z</t>
  </si>
  <si>
    <t>2023-09-21T07:30:00Z</t>
  </si>
  <si>
    <t>2023-09-21T07:45:00Z</t>
  </si>
  <si>
    <t>2023-09-21T08:00:00Z</t>
  </si>
  <si>
    <t>0.046130000000000004</t>
  </si>
  <si>
    <t>2023-09-21T08:15:00Z</t>
  </si>
  <si>
    <t>2023-09-21T08:30:00Z</t>
  </si>
  <si>
    <t>3.2984999999999998</t>
  </si>
  <si>
    <t>2023-09-21T08:45:00Z</t>
  </si>
  <si>
    <t>0.045415000000000004</t>
  </si>
  <si>
    <t>2023-09-21T09:00:00Z</t>
  </si>
  <si>
    <t>2023-09-21T09:15:00Z</t>
  </si>
  <si>
    <t>2023-09-21T09:30:00Z</t>
  </si>
  <si>
    <t>2023-09-21T09:45:00Z</t>
  </si>
  <si>
    <t>2023-09-21T10:00:00Z</t>
  </si>
  <si>
    <t>2023-09-21T10:15:00Z</t>
  </si>
  <si>
    <t>2023-09-21T10:30:00Z</t>
  </si>
  <si>
    <t>2023-09-21T10:45:00Z</t>
  </si>
  <si>
    <t>2023-09-21T11:00:00Z</t>
  </si>
  <si>
    <t>2023-09-21T11:15:00Z</t>
  </si>
  <si>
    <t>2023-09-21T11:30:00Z</t>
  </si>
  <si>
    <t>2023-09-21T11:45:00Z</t>
  </si>
  <si>
    <t>2023-09-21T12:00:00Z</t>
  </si>
  <si>
    <t>3.3104999999999998</t>
  </si>
  <si>
    <t>2023-09-21T12:15:00Z</t>
  </si>
  <si>
    <t>2023-09-21T12:30:00Z</t>
  </si>
  <si>
    <t>2023-09-21T12:45:00Z</t>
  </si>
  <si>
    <t>2023-09-21T13:00:00Z</t>
  </si>
  <si>
    <t>2023-09-21T13:15:00Z</t>
  </si>
  <si>
    <t>2023-09-21T13:30:00Z</t>
  </si>
  <si>
    <t>2023-09-21T13:45:00Z</t>
  </si>
  <si>
    <t>2023-09-21T14:00:00Z</t>
  </si>
  <si>
    <t>2023-09-21T14:15:00Z</t>
  </si>
  <si>
    <t>3.3185000000000002</t>
  </si>
  <si>
    <t>2023-09-21T14:30:00Z</t>
  </si>
  <si>
    <t>2023-09-21T14:45:00Z</t>
  </si>
  <si>
    <t>2023-09-21T15:00:00Z</t>
  </si>
  <si>
    <t>2023-09-21T15:15:00Z</t>
  </si>
  <si>
    <t>2023-09-21T15:30:00Z</t>
  </si>
  <si>
    <t>2023-09-21T15:45:00Z</t>
  </si>
  <si>
    <t>2023-09-21T16:00:00Z</t>
  </si>
  <si>
    <t>2023-09-21T16:15:00Z</t>
  </si>
  <si>
    <t>2023-09-21T16:30:00Z</t>
  </si>
  <si>
    <t>2023-09-21T16:45:00Z</t>
  </si>
  <si>
    <t>2023-09-21T17:00:00Z</t>
  </si>
  <si>
    <t>2023-09-21T17:15:00Z</t>
  </si>
  <si>
    <t>2023-09-21T17:30:00Z</t>
  </si>
  <si>
    <t>2023-09-21T17:45:00Z</t>
  </si>
  <si>
    <t>2023-09-21T18:00:00Z</t>
  </si>
  <si>
    <t>2023-09-21T18:15:00Z</t>
  </si>
  <si>
    <t>2023-09-21T18:30:00Z</t>
  </si>
  <si>
    <t>2023-09-21T18:45:00Z</t>
  </si>
  <si>
    <t>2023-09-21T19:00:00Z</t>
  </si>
  <si>
    <t>2023-09-21T19:15:00Z</t>
  </si>
  <si>
    <t>2023-09-21T19:30:00Z</t>
  </si>
  <si>
    <t>2023-09-21T19:45:00Z</t>
  </si>
  <si>
    <t>2023-09-21T20:00:00Z</t>
  </si>
  <si>
    <t>2023-09-21T20:15:00Z</t>
  </si>
  <si>
    <t>2023-09-21T20:30:00Z</t>
  </si>
  <si>
    <t>3.2439999999999998</t>
  </si>
  <si>
    <t>2023-09-21T20:45:00Z</t>
  </si>
  <si>
    <t>2023-09-21T21:00:00Z</t>
  </si>
  <si>
    <t>2023-09-21T21:15:00Z</t>
  </si>
  <si>
    <t>2023-09-21T21:30:00Z</t>
  </si>
  <si>
    <t>2023-09-21T21:45:00Z</t>
  </si>
  <si>
    <t>2023-09-21T22:00:00Z</t>
  </si>
  <si>
    <t>2023-09-21T22:15:00Z</t>
  </si>
  <si>
    <t>2023-09-21T22:30:00Z</t>
  </si>
  <si>
    <t>2023-09-21T22:45:00Z</t>
  </si>
  <si>
    <t>2023-09-21T23:00:00Z</t>
  </si>
  <si>
    <t>2023-09-21T23:15:00Z</t>
  </si>
  <si>
    <t>2023-09-21T23:30:00Z</t>
  </si>
  <si>
    <t>3.2680000000000002</t>
  </si>
  <si>
    <t>2023-09-21T23:45:00Z</t>
  </si>
  <si>
    <t>2023-09-22T00:00:00Z</t>
  </si>
  <si>
    <t>2023-09-22T00:15:00Z</t>
  </si>
  <si>
    <t>2023-09-22T00:30:00Z</t>
  </si>
  <si>
    <t>2023-09-22T00:45:00Z</t>
  </si>
  <si>
    <t>2023-09-22T01:00:00Z</t>
  </si>
  <si>
    <t>2023-09-22T01:15:00Z</t>
  </si>
  <si>
    <t>2023-09-22T01:30:00Z</t>
  </si>
  <si>
    <t>2023-09-22T01:45:00Z</t>
  </si>
  <si>
    <t>2023-09-22T02:00:00Z</t>
  </si>
  <si>
    <t>0.045469999999999997</t>
  </si>
  <si>
    <t>2023-09-22T02:15:00Z</t>
  </si>
  <si>
    <t>2023-09-22T02:30:00Z</t>
  </si>
  <si>
    <t>2023-09-22T02:45:00Z</t>
  </si>
  <si>
    <t>2023-09-22T03:00:00Z</t>
  </si>
  <si>
    <t>2023-09-22T03:15:00Z</t>
  </si>
  <si>
    <t>2023-09-22T03:30:00Z</t>
  </si>
  <si>
    <t>3.2720000000000002</t>
  </si>
  <si>
    <t>2023-09-22T03:45:00Z</t>
  </si>
  <si>
    <t>2023-09-22T04:00:00Z</t>
  </si>
  <si>
    <t>2023-09-22T04:15:00Z</t>
  </si>
  <si>
    <t>2023-09-22T04:30:00Z</t>
  </si>
  <si>
    <t>2023-09-22T04:45:00Z</t>
  </si>
  <si>
    <t>0.045630000000000004</t>
  </si>
  <si>
    <t>2023-09-22T05:00:00Z</t>
  </si>
  <si>
    <t>2023-09-22T05:15:00Z</t>
  </si>
  <si>
    <t>2023-09-22T05:30:00Z</t>
  </si>
  <si>
    <t>2023-09-22T05:45:00Z</t>
  </si>
  <si>
    <t>2023-09-22T06:00:00Z</t>
  </si>
  <si>
    <t>2023-09-22T06:15:00Z</t>
  </si>
  <si>
    <t>2023-09-22T06:30:00Z</t>
  </si>
  <si>
    <t>2023-09-22T06:45:00Z</t>
  </si>
  <si>
    <t>2023-09-22T07:00:00Z</t>
  </si>
  <si>
    <t>2023-09-22T07:15:00Z</t>
  </si>
  <si>
    <t>2023-09-22T07:30:00Z</t>
  </si>
  <si>
    <t>2023-09-22T07:45:00Z</t>
  </si>
  <si>
    <t>2023-09-22T08:00:00Z</t>
  </si>
  <si>
    <t>2023-09-22T08:15:00Z</t>
  </si>
  <si>
    <t>2023-09-22T08:30:00Z</t>
  </si>
  <si>
    <t>2023-09-22T08:45:00Z</t>
  </si>
  <si>
    <t>2023-09-22T09:00:00Z</t>
  </si>
  <si>
    <t>2023-09-22T09:15:00Z</t>
  </si>
  <si>
    <t>2023-09-22T09:30:00Z</t>
  </si>
  <si>
    <t>2023-09-22T09:45:00Z</t>
  </si>
  <si>
    <t>2023-09-22T10:00:00Z</t>
  </si>
  <si>
    <t>2023-09-22T10:15:00Z</t>
  </si>
  <si>
    <t>2023-09-22T10:30:00Z</t>
  </si>
  <si>
    <t>2023-09-22T10:45:00Z</t>
  </si>
  <si>
    <t>2023-09-22T11:00:00Z</t>
  </si>
  <si>
    <t>2023-09-22T11:15:00Z</t>
  </si>
  <si>
    <t>2023-09-22T11:30:00Z</t>
  </si>
  <si>
    <t>2023-09-22T11:45:00Z</t>
  </si>
  <si>
    <t>2023-09-22T12:00:00Z</t>
  </si>
  <si>
    <t>2023-09-22T12:15:00Z</t>
  </si>
  <si>
    <t>2023-09-22T12:30:00Z</t>
  </si>
  <si>
    <t>2023-09-22T12:45:00Z</t>
  </si>
  <si>
    <t>2023-09-22T13:00:00Z</t>
  </si>
  <si>
    <t>2023-09-22T13:15:00Z</t>
  </si>
  <si>
    <t>2023-09-22T13:30:00Z</t>
  </si>
  <si>
    <t>2023-09-22T13:45:00Z</t>
  </si>
  <si>
    <t>2023-09-22T14:00:00Z</t>
  </si>
  <si>
    <t>2023-09-22T14:15:00Z</t>
  </si>
  <si>
    <t>2023-09-22T14:30:00Z</t>
  </si>
  <si>
    <t>2023-09-22T14:45:00Z</t>
  </si>
  <si>
    <t>2023-09-22T15:00:00Z</t>
  </si>
  <si>
    <t>2023-09-22T15:15:00Z</t>
  </si>
  <si>
    <t>2023-09-22T15:30:00Z</t>
  </si>
  <si>
    <t>2023-09-22T15:45:00Z</t>
  </si>
  <si>
    <t>2023-09-22T16:00:00Z</t>
  </si>
  <si>
    <t>2023-09-22T16:15:00Z</t>
  </si>
  <si>
    <t>2023-09-22T16:30:00Z</t>
  </si>
  <si>
    <t>2023-09-22T16:45:00Z</t>
  </si>
  <si>
    <t>2023-09-22T17:00:00Z</t>
  </si>
  <si>
    <t>2023-09-22T17:15:00Z</t>
  </si>
  <si>
    <t>2023-09-22T17:30:00Z</t>
  </si>
  <si>
    <t>2023-09-22T17:45:00Z</t>
  </si>
  <si>
    <t>2023-09-22T18:00:00Z</t>
  </si>
  <si>
    <t>2023-09-22T18:15:00Z</t>
  </si>
  <si>
    <t>2023-09-22T18:30:00Z</t>
  </si>
  <si>
    <t>2023-09-22T18:45:00Z</t>
  </si>
  <si>
    <t>2023-09-22T19:00:00Z</t>
  </si>
  <si>
    <t>2023-09-22T19:15:00Z</t>
  </si>
  <si>
    <t>2023-09-22T19:30:00Z</t>
  </si>
  <si>
    <t>2023-09-22T19:45:00Z</t>
  </si>
  <si>
    <t>2023-09-22T20:00:00Z</t>
  </si>
  <si>
    <t>2023-09-22T20:15:00Z</t>
  </si>
  <si>
    <t>2023-09-22T20:30:00Z</t>
  </si>
  <si>
    <t>0.045434999999999996</t>
  </si>
  <si>
    <t>2023-09-22T20:45:00Z</t>
  </si>
  <si>
    <t>2023-09-22T21:00:00Z</t>
  </si>
  <si>
    <t>2023-09-22T21:15:00Z</t>
  </si>
  <si>
    <t>2023-09-22T21:30:00Z</t>
  </si>
  <si>
    <t>0.045129999999999997</t>
  </si>
  <si>
    <t>2023-09-22T21:45:00Z</t>
  </si>
  <si>
    <t>2023-09-22T22:00:00Z</t>
  </si>
  <si>
    <t>2023-09-22T22:15:00Z</t>
  </si>
  <si>
    <t>2023-09-22T22:30:00Z</t>
  </si>
  <si>
    <t>2023-09-22T22:45:00Z</t>
  </si>
  <si>
    <t>2023-09-22T23:00:00Z</t>
  </si>
  <si>
    <t>2023-09-22T23:15:00Z</t>
  </si>
  <si>
    <t>2023-09-22T23:30:00Z</t>
  </si>
  <si>
    <t>2023-09-22T23:45:00Z</t>
  </si>
  <si>
    <t>2023-09-23T00:00:00Z</t>
  </si>
  <si>
    <t>2023-09-23T00:15:00Z</t>
  </si>
  <si>
    <t>2023-09-23T00:30:00Z</t>
  </si>
  <si>
    <t>0.045219999999999996</t>
  </si>
  <si>
    <t>2023-09-23T00:45:00Z</t>
  </si>
  <si>
    <t>3.1959999999999997</t>
  </si>
  <si>
    <t>2023-09-23T01:00:00Z</t>
  </si>
  <si>
    <t>2023-09-23T01:15:00Z</t>
  </si>
  <si>
    <t>2023-09-23T01:30:00Z</t>
  </si>
  <si>
    <t>2023-09-23T01:45:00Z</t>
  </si>
  <si>
    <t>2023-09-23T02:00:00Z</t>
  </si>
  <si>
    <t>3.2175000000000002</t>
  </si>
  <si>
    <t>2023-09-23T02:15:00Z</t>
  </si>
  <si>
    <t>2023-09-23T02:30:00Z</t>
  </si>
  <si>
    <t>2023-09-23T02:45:00Z</t>
  </si>
  <si>
    <t>2023-09-23T03:00:00Z</t>
  </si>
  <si>
    <t>2023-09-23T03:15:00Z</t>
  </si>
  <si>
    <t>2023-09-23T03:30:00Z</t>
  </si>
  <si>
    <t>2023-09-23T03:45:00Z</t>
  </si>
  <si>
    <t>2023-09-23T04:00:00Z</t>
  </si>
  <si>
    <t>2023-09-23T04:15:00Z</t>
  </si>
  <si>
    <t>2023-09-23T04:30:00Z</t>
  </si>
  <si>
    <t>2023-09-23T04:45:00Z</t>
  </si>
  <si>
    <t>2023-09-23T05:00:00Z</t>
  </si>
  <si>
    <t>2023-09-23T05:15:00Z</t>
  </si>
  <si>
    <t>2023-09-23T05:30:00Z</t>
  </si>
  <si>
    <t>2023-09-23T05:45:00Z</t>
  </si>
  <si>
    <t>2023-09-23T06:00:00Z</t>
  </si>
  <si>
    <t>2023-09-23T06:15:00Z</t>
  </si>
  <si>
    <t>2023-09-23T06:30:00Z</t>
  </si>
  <si>
    <t>2023-09-23T06:45:00Z</t>
  </si>
  <si>
    <t>2023-09-23T07:00:00Z</t>
  </si>
  <si>
    <t>2023-09-23T07:15:00Z</t>
  </si>
  <si>
    <t>0.046919999999999996</t>
  </si>
  <si>
    <t>2023-09-23T07:30:00Z</t>
  </si>
  <si>
    <t>2023-09-23T07:45:00Z</t>
  </si>
  <si>
    <t>2023-09-23T08:00:00Z</t>
  </si>
  <si>
    <t>3.3609999999999998</t>
  </si>
  <si>
    <t>2023-09-23T08:15:00Z</t>
  </si>
  <si>
    <t>2023-09-23T08:30:00Z</t>
  </si>
  <si>
    <t>2023-09-23T08:45:00Z</t>
  </si>
  <si>
    <t>2023-09-23T09:00:00Z</t>
  </si>
  <si>
    <t>2023-09-23T09:15:00Z</t>
  </si>
  <si>
    <t>2023-09-23T09:30:00Z</t>
  </si>
  <si>
    <t>2023-09-23T09:45:00Z</t>
  </si>
  <si>
    <t>2023-09-23T10:00:00Z</t>
  </si>
  <si>
    <t>2023-09-23T10:15:00Z</t>
  </si>
  <si>
    <t>2023-09-23T10:30:00Z</t>
  </si>
  <si>
    <t>2023-09-23T10:45:00Z</t>
  </si>
  <si>
    <t>2023-09-23T11:00:00Z</t>
  </si>
  <si>
    <t>2023-09-23T11:15:00Z</t>
  </si>
  <si>
    <t>2023-09-23T11:30:00Z</t>
  </si>
  <si>
    <t>2023-09-23T11:45:00Z</t>
  </si>
  <si>
    <t>2023-09-23T12:00:00Z</t>
  </si>
  <si>
    <t>2023-09-23T12:15:00Z</t>
  </si>
  <si>
    <t>2023-09-23T12:30:00Z</t>
  </si>
  <si>
    <t>2023-09-23T12:45:00Z</t>
  </si>
  <si>
    <t>2023-09-23T13:00:00Z</t>
  </si>
  <si>
    <t>2023-09-23T13:15:00Z</t>
  </si>
  <si>
    <t>2023-09-23T13:30:00Z</t>
  </si>
  <si>
    <t>3.4354999999999998</t>
  </si>
  <si>
    <t>2023-09-23T13:45:00Z</t>
  </si>
  <si>
    <t>0.048029999999999996</t>
  </si>
  <si>
    <t>2023-09-23T14:00:00Z</t>
  </si>
  <si>
    <t>2023-09-23T14:15:00Z</t>
  </si>
  <si>
    <t>2023-09-23T14:30:00Z</t>
  </si>
  <si>
    <t>2023-09-23T14:45:00Z</t>
  </si>
  <si>
    <t>2023-09-23T15:00:00Z</t>
  </si>
  <si>
    <t>0.047635000000000004</t>
  </si>
  <si>
    <t>2023-09-23T15:15:00Z</t>
  </si>
  <si>
    <t>2023-09-23T15:30:00Z</t>
  </si>
  <si>
    <t>2023-09-23T15:45:00Z</t>
  </si>
  <si>
    <t>2023-09-23T16:00:00Z</t>
  </si>
  <si>
    <t>2023-09-23T16:15:00Z</t>
  </si>
  <si>
    <t>2023-09-23T16:30:00Z</t>
  </si>
  <si>
    <t>2023-09-23T16:45:00Z</t>
  </si>
  <si>
    <t>2023-09-23T17:00:00Z</t>
  </si>
  <si>
    <t>2023-09-23T17:15:00Z</t>
  </si>
  <si>
    <t>2023-09-23T17:30:00Z</t>
  </si>
  <si>
    <t>2023-09-23T17:45:00Z</t>
  </si>
  <si>
    <t>2023-09-23T18:00:00Z</t>
  </si>
  <si>
    <t>2023-09-23T18:15:00Z</t>
  </si>
  <si>
    <t>2023-09-23T18:30:00Z</t>
  </si>
  <si>
    <t>2023-09-23T18:45:00Z</t>
  </si>
  <si>
    <t>2023-09-23T19:00:00Z</t>
  </si>
  <si>
    <t>2023-09-23T19:15:00Z</t>
  </si>
  <si>
    <t>2023-09-23T19:30:00Z</t>
  </si>
  <si>
    <t>2023-09-23T19:45:00Z</t>
  </si>
  <si>
    <t>2023-09-23T20:00:00Z</t>
  </si>
  <si>
    <t>2023-09-23T20:15:00Z</t>
  </si>
  <si>
    <t>0.046310000000000004</t>
  </si>
  <si>
    <t>2023-09-23T20:30:00Z</t>
  </si>
  <si>
    <t>2023-09-23T20:45:00Z</t>
  </si>
  <si>
    <t>2023-09-23T21:00:00Z</t>
  </si>
  <si>
    <t>2023-09-23T21:15:00Z</t>
  </si>
  <si>
    <t>2023-09-23T21:30:00Z</t>
  </si>
  <si>
    <t>2023-09-23T21:45:00Z</t>
  </si>
  <si>
    <t>2023-09-23T22:00:00Z</t>
  </si>
  <si>
    <t>2023-09-23T22:15:00Z</t>
  </si>
  <si>
    <t>2023-09-23T22:30:00Z</t>
  </si>
  <si>
    <t>2023-09-23T22:45:00Z</t>
  </si>
  <si>
    <t>3.2279999999999998</t>
  </si>
  <si>
    <t>2023-09-23T23:00:00Z</t>
  </si>
  <si>
    <t>2023-09-23T23:15:00Z</t>
  </si>
  <si>
    <t>2023-09-23T23:30:00Z</t>
  </si>
  <si>
    <t>2023-09-23T23:45:00Z</t>
  </si>
  <si>
    <t>2023-09-24T00:00:00Z</t>
  </si>
  <si>
    <t>3.2095000000000002</t>
  </si>
  <si>
    <t>2023-09-24T00:15:00Z</t>
  </si>
  <si>
    <t>2023-09-24T00:30:00Z</t>
  </si>
  <si>
    <t>2023-09-24T00:45:00Z</t>
  </si>
  <si>
    <t>2023-09-24T01:00:00Z</t>
  </si>
  <si>
    <t>0.044395000000000004</t>
  </si>
  <si>
    <t>2023-09-24T01:15:00Z</t>
  </si>
  <si>
    <t>0.044449999999999996</t>
  </si>
  <si>
    <t>2023-09-24T01:30:00Z</t>
  </si>
  <si>
    <t>2023-09-24T01:45:00Z</t>
  </si>
  <si>
    <t>2023-09-24T02:00:00Z</t>
  </si>
  <si>
    <t>3.1470000000000002</t>
  </si>
  <si>
    <t>2023-09-24T02:15:00Z</t>
  </si>
  <si>
    <t>2023-09-24T02:30:00Z</t>
  </si>
  <si>
    <t>2023-09-24T02:45:00Z</t>
  </si>
  <si>
    <t>2023-09-24T03:00:00Z</t>
  </si>
  <si>
    <t>2023-09-24T03:15:00Z</t>
  </si>
  <si>
    <t>2023-09-24T03:30:00Z</t>
  </si>
  <si>
    <t>2023-09-24T03:45:00Z</t>
  </si>
  <si>
    <t>2023-09-24T04:00:00Z</t>
  </si>
  <si>
    <t>2023-09-24T04:15:00Z</t>
  </si>
  <si>
    <t>2023-09-24T04:30:00Z</t>
  </si>
  <si>
    <t>2023-09-24T04:45:00Z</t>
  </si>
  <si>
    <t>2023-09-24T05:00:00Z</t>
  </si>
  <si>
    <t>2023-09-24T05:15:00Z</t>
  </si>
  <si>
    <t>2023-09-24T05:30:00Z</t>
  </si>
  <si>
    <t>2023-09-24T05:45:00Z</t>
  </si>
  <si>
    <t>2023-09-24T06:00:00Z</t>
  </si>
  <si>
    <t>2023-09-24T06:15:00Z</t>
  </si>
  <si>
    <t>2023-09-24T06:30:00Z</t>
  </si>
  <si>
    <t>2023-09-24T06:45:00Z</t>
  </si>
  <si>
    <t>2023-09-24T07:00:00Z</t>
  </si>
  <si>
    <t>2023-09-24T07:15:00Z</t>
  </si>
  <si>
    <t>2023-09-24T07:30:00Z</t>
  </si>
  <si>
    <t>2023-09-24T07:45:00Z</t>
  </si>
  <si>
    <t>0.043179999999999996</t>
  </si>
  <si>
    <t>2023-09-24T08:00:00Z</t>
  </si>
  <si>
    <t>2023-09-24T08:15:00Z</t>
  </si>
  <si>
    <t>2023-09-24T08:30:00Z</t>
  </si>
  <si>
    <t>2023-09-24T08:45:00Z</t>
  </si>
  <si>
    <t>2023-09-24T09:00:00Z</t>
  </si>
  <si>
    <t>2023-09-24T09:15:00Z</t>
  </si>
  <si>
    <t>2023-09-24T09:30:00Z</t>
  </si>
  <si>
    <t>2023-09-24T09:45:00Z</t>
  </si>
  <si>
    <t>2023-09-24T10:00:00Z</t>
  </si>
  <si>
    <t>0.043089999999999996</t>
  </si>
  <si>
    <t>2023-09-24T10:15:00Z</t>
  </si>
  <si>
    <t>2023-09-24T10:30:00Z</t>
  </si>
  <si>
    <t>2023-09-24T10:45:00Z</t>
  </si>
  <si>
    <t>2023-09-24T11:00:00Z</t>
  </si>
  <si>
    <t>2023-09-24T11:15:00Z</t>
  </si>
  <si>
    <t>2023-09-24T11:30:00Z</t>
  </si>
  <si>
    <t>2023-09-24T11:45:00Z</t>
  </si>
  <si>
    <t>2023-09-24T12:00:00Z</t>
  </si>
  <si>
    <t>2023-09-24T12:15:00Z</t>
  </si>
  <si>
    <t>2023-09-24T12:30:00Z</t>
  </si>
  <si>
    <t>2023-09-24T12:45:00Z</t>
  </si>
  <si>
    <t>2023-09-24T13:00:00Z</t>
  </si>
  <si>
    <t>0.043554999999999996</t>
  </si>
  <si>
    <t>2023-09-24T13:15:00Z</t>
  </si>
  <si>
    <t>2023-09-24T13:30:00Z</t>
  </si>
  <si>
    <t>2023-09-24T13:45:00Z</t>
  </si>
  <si>
    <t>2023-09-24T14:00:00Z</t>
  </si>
  <si>
    <t>2023-09-24T14:15:00Z</t>
  </si>
  <si>
    <t>2023-09-24T14:30:00Z</t>
  </si>
  <si>
    <t>2023-09-24T14:45:00Z</t>
  </si>
  <si>
    <t>2023-09-24T15:00:00Z</t>
  </si>
  <si>
    <t>3.1005000000000003</t>
  </si>
  <si>
    <t>0.043429999999999996</t>
  </si>
  <si>
    <t>2023-09-24T15:15:00Z</t>
  </si>
  <si>
    <t>2023-09-24T15:30:00Z</t>
  </si>
  <si>
    <t>3.0885000000000002</t>
  </si>
  <si>
    <t>2023-09-24T15:45:00Z</t>
  </si>
  <si>
    <t>2023-09-24T16:00:00Z</t>
  </si>
  <si>
    <t>2023-09-24T16:15:00Z</t>
  </si>
  <si>
    <t>2023-09-24T16:30:00Z</t>
  </si>
  <si>
    <t>2023-09-24T16:45:00Z</t>
  </si>
  <si>
    <t>2023-09-24T17:00:00Z</t>
  </si>
  <si>
    <t>2023-09-24T17:15:00Z</t>
  </si>
  <si>
    <t>0.042929999999999996</t>
  </si>
  <si>
    <t>2023-09-24T17:30:00Z</t>
  </si>
  <si>
    <t>2023-09-24T17:45:00Z</t>
  </si>
  <si>
    <t>2023-09-24T18:00:00Z</t>
  </si>
  <si>
    <t>2023-09-24T18:15:00Z</t>
  </si>
  <si>
    <t>2023-09-24T18:30:00Z</t>
  </si>
  <si>
    <t>2023-09-24T18:45:00Z</t>
  </si>
  <si>
    <t>3.0204999999999997</t>
  </si>
  <si>
    <t>2023-09-24T19:00:00Z</t>
  </si>
  <si>
    <t>2023-09-24T19:15:00Z</t>
  </si>
  <si>
    <t>0.042480000000000004</t>
  </si>
  <si>
    <t>2023-09-24T19:30:00Z</t>
  </si>
  <si>
    <t>2023-09-24T19:45:00Z</t>
  </si>
  <si>
    <t>2023-09-24T20:00:00Z</t>
  </si>
  <si>
    <t>2023-09-24T20:15:00Z</t>
  </si>
  <si>
    <t>2023-09-24T20:30:00Z</t>
  </si>
  <si>
    <t>0.042034999999999996</t>
  </si>
  <si>
    <t>2023-09-24T20:45:00Z</t>
  </si>
  <si>
    <t>2023-09-24T21:00:00Z</t>
  </si>
  <si>
    <t>2023-09-24T21:15:00Z</t>
  </si>
  <si>
    <t>2023-09-24T21:30:00Z</t>
  </si>
  <si>
    <t>2023-09-24T21:45:00Z</t>
  </si>
  <si>
    <t>2023-09-24T22:00:00Z</t>
  </si>
  <si>
    <t>2023-09-24T22:15:00Z</t>
  </si>
  <si>
    <t>2023-09-24T22:30:00Z</t>
  </si>
  <si>
    <t>2023-09-24T22:45:00Z</t>
  </si>
  <si>
    <t>2023-09-24T23:00:00Z</t>
  </si>
  <si>
    <t>2023-09-24T23:15:00Z</t>
  </si>
  <si>
    <t>2023-09-24T23:30:00Z</t>
  </si>
  <si>
    <t>2.9395000000000002</t>
  </si>
  <si>
    <t>2023-09-24T23:45:00Z</t>
  </si>
  <si>
    <t>2023-09-25T00:00:00Z</t>
  </si>
  <si>
    <t>2023-09-25T00:15:00Z</t>
  </si>
  <si>
    <t>2023-09-25T00:30:00Z</t>
  </si>
  <si>
    <t>2023-09-25T00:45:00Z</t>
  </si>
  <si>
    <t>2023-09-25T01:00:00Z</t>
  </si>
  <si>
    <t>2023-09-25T01:15:00Z</t>
  </si>
  <si>
    <t>2023-09-25T01:30:00Z</t>
  </si>
  <si>
    <t>2023-09-25T01:45:00Z</t>
  </si>
  <si>
    <t>2023-09-25T02:00:00Z</t>
  </si>
  <si>
    <t>2023-09-25T02:15:00Z</t>
  </si>
  <si>
    <t>2023-09-25T02:30:00Z</t>
  </si>
  <si>
    <t>0.040819999999999995</t>
  </si>
  <si>
    <t>2023-09-25T02:45:00Z</t>
  </si>
  <si>
    <t>2.9515000000000002</t>
  </si>
  <si>
    <t>2023-09-25T03:00:00Z</t>
  </si>
  <si>
    <t>2023-09-25T03:15:00Z</t>
  </si>
  <si>
    <t>2023-09-25T03:30:00Z</t>
  </si>
  <si>
    <t>2023-09-25T03:45:00Z</t>
  </si>
  <si>
    <t>2023-09-25T04:00:00Z</t>
  </si>
  <si>
    <t>2023-09-25T04:15:00Z</t>
  </si>
  <si>
    <t>2023-09-25T04:30:00Z</t>
  </si>
  <si>
    <t>2023-09-25T04:45:00Z</t>
  </si>
  <si>
    <t>2023-09-25T05:00:00Z</t>
  </si>
  <si>
    <t>2023-09-25T05:15:00Z</t>
  </si>
  <si>
    <t>2023-09-25T05:30:00Z</t>
  </si>
  <si>
    <t>2023-09-25T05:45:00Z</t>
  </si>
  <si>
    <t>2023-09-25T06:00:00Z</t>
  </si>
  <si>
    <t>2023-09-25T06:15:00Z</t>
  </si>
  <si>
    <t>2023-09-25T06:30:00Z</t>
  </si>
  <si>
    <t>2023-09-25T06:45:00Z</t>
  </si>
  <si>
    <t>2023-09-25T07:00:00Z</t>
  </si>
  <si>
    <t>2023-09-25T07:15:00Z</t>
  </si>
  <si>
    <t>2023-09-25T07:30:00Z</t>
  </si>
  <si>
    <t>2023-09-25T07:45:00Z</t>
  </si>
  <si>
    <t>2.9435000000000002</t>
  </si>
  <si>
    <t>2023-09-25T08:00:00Z</t>
  </si>
  <si>
    <t>2023-09-25T08:15:00Z</t>
  </si>
  <si>
    <t>2023-09-25T08:30:00Z</t>
  </si>
  <si>
    <t>2023-09-25T08:45:00Z</t>
  </si>
  <si>
    <t>2023-09-25T09:00:00Z</t>
  </si>
  <si>
    <t>0.041389999999999996</t>
  </si>
  <si>
    <t>2023-09-25T09:15:00Z</t>
  </si>
  <si>
    <t>2023-09-25T09:30:00Z</t>
  </si>
  <si>
    <t>2023-09-25T09:45:00Z</t>
  </si>
  <si>
    <t>2023-09-25T10:00:00Z</t>
  </si>
  <si>
    <t>2023-09-25T10:15:00Z</t>
  </si>
  <si>
    <t>2023-09-25T10:30:00Z</t>
  </si>
  <si>
    <t>2023-09-25T10:45:00Z</t>
  </si>
  <si>
    <t>2023-09-25T11:00:00Z</t>
  </si>
  <si>
    <t>2023-09-25T11:15:00Z</t>
  </si>
  <si>
    <t>2023-09-25T11:30:00Z</t>
  </si>
  <si>
    <t>2.9699999999999998</t>
  </si>
  <si>
    <t>2023-09-25T11:45:00Z</t>
  </si>
  <si>
    <t>2023-09-25T12:00:00Z</t>
  </si>
  <si>
    <t>2023-09-25T12:15:00Z</t>
  </si>
  <si>
    <t>2023-09-25T12:30:00Z</t>
  </si>
  <si>
    <t>2.9939999999999998</t>
  </si>
  <si>
    <t>2023-09-25T12:45:00Z</t>
  </si>
  <si>
    <t>2023-09-25T13:00:00Z</t>
  </si>
  <si>
    <t>2023-09-25T13:15:00Z</t>
  </si>
  <si>
    <t>2023-09-25T13:30:00Z</t>
  </si>
  <si>
    <t>2023-09-25T13:45:00Z</t>
  </si>
  <si>
    <t>2023-09-25T14:00:00Z</t>
  </si>
  <si>
    <t>2023-09-25T14:15:00Z</t>
  </si>
  <si>
    <t>2023-09-25T14:30:00Z</t>
  </si>
  <si>
    <t>2023-09-25T14:45:00Z</t>
  </si>
  <si>
    <t>2023-09-25T15:00:00Z</t>
  </si>
  <si>
    <t>2023-09-25T15:15:00Z</t>
  </si>
  <si>
    <t>2023-09-25T15:30:00Z</t>
  </si>
  <si>
    <t>2023-09-25T15:45:00Z</t>
  </si>
  <si>
    <t>0.041745000000000004</t>
  </si>
  <si>
    <t>2023-09-25T16:00:00Z</t>
  </si>
  <si>
    <t>2023-09-25T16:15:00Z</t>
  </si>
  <si>
    <t>2023-09-25T16:30:00Z</t>
  </si>
  <si>
    <t>2023-09-25T16:45:00Z</t>
  </si>
  <si>
    <t>2023-09-25T17:00:00Z</t>
  </si>
  <si>
    <t>2023-09-25T17:15:00Z</t>
  </si>
  <si>
    <t>2023-09-25T17:30:00Z</t>
  </si>
  <si>
    <t>2023-09-25T17:45:00Z</t>
  </si>
  <si>
    <t>2023-09-25T18:00:00Z</t>
  </si>
  <si>
    <t>2023-09-25T18:15:00Z</t>
  </si>
  <si>
    <t>2023-09-25T18:30:00Z</t>
  </si>
  <si>
    <t>0.041425000000000003</t>
  </si>
  <si>
    <t>2023-09-25T18:45:00Z</t>
  </si>
  <si>
    <t>2023-09-25T19:00:00Z</t>
  </si>
  <si>
    <t>2.9779999999999998</t>
  </si>
  <si>
    <t>2023-09-25T19:15:00Z</t>
  </si>
  <si>
    <t>2023-09-25T19:30:00Z</t>
  </si>
  <si>
    <t>2023-09-25T19:45:00Z</t>
  </si>
  <si>
    <t>2023-09-25T20:00:00Z</t>
  </si>
  <si>
    <t>2023-09-25T20:15:00Z</t>
  </si>
  <si>
    <t>2.9475000000000002</t>
  </si>
  <si>
    <t>2023-09-25T20:30:00Z</t>
  </si>
  <si>
    <t>2.9379999999999997</t>
  </si>
  <si>
    <t>2023-09-25T20:45:00Z</t>
  </si>
  <si>
    <t>2023-09-25T21:00:00Z</t>
  </si>
  <si>
    <t>2023-09-25T21:15:00Z</t>
  </si>
  <si>
    <t>2023-09-25T21:30:00Z</t>
  </si>
  <si>
    <t>2023-09-25T21:45:00Z</t>
  </si>
  <si>
    <t>2023-09-25T22:00:00Z</t>
  </si>
  <si>
    <t>2023-09-25T22:15:00Z</t>
  </si>
  <si>
    <t>2023-09-25T22:30:00Z</t>
  </si>
  <si>
    <t>2.9274999999999998</t>
  </si>
  <si>
    <t>2023-09-25T22:45:00Z</t>
  </si>
  <si>
    <t>0.040834999999999996</t>
  </si>
  <si>
    <t>2023-09-25T23:00:00Z</t>
  </si>
  <si>
    <t>2.9210000000000003</t>
  </si>
  <si>
    <t>2023-09-25T23:15:00Z</t>
  </si>
  <si>
    <t>2023-09-25T23:30:00Z</t>
  </si>
  <si>
    <t>2023-09-25T23:45:00Z</t>
  </si>
  <si>
    <t>2023-09-26T00:00:00Z</t>
  </si>
  <si>
    <t>2023-09-26T00:15:00Z</t>
  </si>
  <si>
    <t>2023-09-26T00:30:00Z</t>
  </si>
  <si>
    <t>2023-09-26T00:45:00Z</t>
  </si>
  <si>
    <t>2023-09-26T01:00:00Z</t>
  </si>
  <si>
    <t>2023-09-26T01:15:00Z</t>
  </si>
  <si>
    <t>2023-09-26T01:30:00Z</t>
  </si>
  <si>
    <t>2023-09-26T01:45:00Z</t>
  </si>
  <si>
    <t>2023-09-26T02:00:00Z</t>
  </si>
  <si>
    <t>2023-09-26T02:15:00Z</t>
  </si>
  <si>
    <t>2023-09-26T02:30:00Z</t>
  </si>
  <si>
    <t>2023-09-26T02:45:00Z</t>
  </si>
  <si>
    <t>2023-09-26T03:00:00Z</t>
  </si>
  <si>
    <t>2023-09-26T03:15:00Z</t>
  </si>
  <si>
    <t>2023-09-26T03:30:00Z</t>
  </si>
  <si>
    <t>2023-09-26T03:45:00Z</t>
  </si>
  <si>
    <t>2023-09-26T04:00:00Z</t>
  </si>
  <si>
    <t>2023-09-26T04:15:00Z</t>
  </si>
  <si>
    <t>2023-09-26T04:30:00Z</t>
  </si>
  <si>
    <t>2023-09-26T04:45:00Z</t>
  </si>
  <si>
    <t>2023-09-26T05:00:00Z</t>
  </si>
  <si>
    <t>2023-09-26T05:15:00Z</t>
  </si>
  <si>
    <t>2023-09-26T05:30:00Z</t>
  </si>
  <si>
    <t>2023-09-26T05:45:00Z</t>
  </si>
  <si>
    <t>2023-09-26T06:00:00Z</t>
  </si>
  <si>
    <t>2023-09-26T06:15:00Z</t>
  </si>
  <si>
    <t>2023-09-26T06:30:00Z</t>
  </si>
  <si>
    <t>2023-09-26T06:45:00Z</t>
  </si>
  <si>
    <t>2023-09-26T07:00:00Z</t>
  </si>
  <si>
    <t>2023-09-26T07:15:00Z</t>
  </si>
  <si>
    <t>2023-09-26T07:30:00Z</t>
  </si>
  <si>
    <t>2023-09-26T07:45:00Z</t>
  </si>
  <si>
    <t>2023-09-26T08:00:00Z</t>
  </si>
  <si>
    <t>2023-09-26T08:15:00Z</t>
  </si>
  <si>
    <t>2023-09-26T08:30:00Z</t>
  </si>
  <si>
    <t>2023-09-26T08:45:00Z</t>
  </si>
  <si>
    <t>2023-09-26T09:00:00Z</t>
  </si>
  <si>
    <t>2023-09-26T09:15:00Z</t>
  </si>
  <si>
    <t>2023-09-26T09:30:00Z</t>
  </si>
  <si>
    <t>2023-09-26T09:45:00Z</t>
  </si>
  <si>
    <t>2023-09-26T10:00:00Z</t>
  </si>
  <si>
    <t>2023-09-26T10:15:00Z</t>
  </si>
  <si>
    <t>2023-09-26T10:30:00Z</t>
  </si>
  <si>
    <t>2023-09-26T10:45:00Z</t>
  </si>
  <si>
    <t>2023-09-26T11:00:00Z</t>
  </si>
  <si>
    <t>2023-09-26T11:15:00Z</t>
  </si>
  <si>
    <t>2023-09-26T11:30:00Z</t>
  </si>
  <si>
    <t>2023-09-26T11:45:00Z</t>
  </si>
  <si>
    <t>2023-09-26T12:00:00Z</t>
  </si>
  <si>
    <t>2023-09-26T12:15:00Z</t>
  </si>
  <si>
    <t>2023-09-26T12:30:00Z</t>
  </si>
  <si>
    <t>2023-09-26T12:45:00Z</t>
  </si>
  <si>
    <t>2023-09-26T13:00:00Z</t>
  </si>
  <si>
    <t>2023-09-26T13:15:00Z</t>
  </si>
  <si>
    <t>2023-09-26T13:30:00Z</t>
  </si>
  <si>
    <t>2023-09-26T13:45:00Z</t>
  </si>
  <si>
    <t>2023-09-26T14:00:00Z</t>
  </si>
  <si>
    <t>2023-09-26T14:15:00Z</t>
  </si>
  <si>
    <t>2023-09-26T14:30:00Z</t>
  </si>
  <si>
    <t>2023-09-26T14:45:00Z</t>
  </si>
  <si>
    <t>2023-09-26T15:00:00Z</t>
  </si>
  <si>
    <t>2023-09-26T15:15:00Z</t>
  </si>
  <si>
    <t>2023-09-26T15:30:00Z</t>
  </si>
  <si>
    <t>2023-09-26T15:45:00Z</t>
  </si>
  <si>
    <t>2023-09-26T16:00:00Z</t>
  </si>
  <si>
    <t>2023-09-26T16:15:00Z</t>
  </si>
  <si>
    <t>2023-09-26T16:30:00Z</t>
  </si>
  <si>
    <t>2023-09-26T16:45:00Z</t>
  </si>
  <si>
    <t>2023-09-26T17:00:00Z</t>
  </si>
  <si>
    <t>2023-09-26T17:15:00Z</t>
  </si>
  <si>
    <t>2.9419999999999997</t>
  </si>
  <si>
    <t>2023-09-26T17:30:00Z</t>
  </si>
  <si>
    <t>2023-09-26T17:45:00Z</t>
  </si>
  <si>
    <t>2023-09-26T18:00:00Z</t>
  </si>
  <si>
    <t>2023-09-26T18:15:00Z</t>
  </si>
  <si>
    <t>2023-09-26T18:30:00Z</t>
  </si>
  <si>
    <t>2023-09-26T19:45:00Z</t>
  </si>
  <si>
    <t>2023-09-26T20:00:00Z</t>
  </si>
  <si>
    <t>2023-09-26T20:15:00Z</t>
  </si>
  <si>
    <t>2023-09-26T20:30:00Z</t>
  </si>
  <si>
    <t>2023-09-26T20:45:00Z</t>
  </si>
  <si>
    <t>2023-09-26T21:00:00Z</t>
  </si>
  <si>
    <t>2023-09-26T21:15:00Z</t>
  </si>
  <si>
    <t>2023-09-26T21:30:00Z</t>
  </si>
  <si>
    <t>2023-09-26T21:45:00Z</t>
  </si>
  <si>
    <t>2023-09-26T22:00:00Z</t>
  </si>
  <si>
    <t>2023-09-26T22:15:00Z</t>
  </si>
  <si>
    <t>2023-09-26T22:30:00Z</t>
  </si>
  <si>
    <t>2023-09-26T22:45:00Z</t>
  </si>
  <si>
    <t>2023-09-26T23:00:00Z</t>
  </si>
  <si>
    <t>2023-09-26T23:15:00Z</t>
  </si>
  <si>
    <t>2023-09-26T23:30:00Z</t>
  </si>
  <si>
    <t>2023-09-26T23:45:00Z</t>
  </si>
  <si>
    <t>2023-09-27T00:00:00Z</t>
  </si>
  <si>
    <t>2023-09-27T00:15:00Z</t>
  </si>
  <si>
    <t>2023-09-27T00:30:00Z</t>
  </si>
  <si>
    <t>2023-09-27T00:45:00Z</t>
  </si>
  <si>
    <t>2023-09-27T01:00:00Z</t>
  </si>
  <si>
    <t>2023-09-27T01:15:00Z</t>
  </si>
  <si>
    <t>2023-09-27T01:30:00Z</t>
  </si>
  <si>
    <t>2023-09-27T01:45:00Z</t>
  </si>
  <si>
    <t>4.8790000000000004</t>
  </si>
  <si>
    <t>2023-09-27T02:00:00Z</t>
  </si>
  <si>
    <t>2023-09-27T02:15:00Z</t>
  </si>
  <si>
    <t>4.9030000000000005</t>
  </si>
  <si>
    <t>2023-09-27T02:30:00Z</t>
  </si>
  <si>
    <t>2023-09-27T02:45:00Z</t>
  </si>
  <si>
    <t>2023-09-27T03:00:00Z</t>
  </si>
  <si>
    <t>2023-09-27T03:15:00Z</t>
  </si>
  <si>
    <t>2023-09-27T03:30:00Z</t>
  </si>
  <si>
    <t>2023-09-27T03:45:00Z</t>
  </si>
  <si>
    <t>2023-09-27T04:00:00Z</t>
  </si>
  <si>
    <t>2023-09-27T04:15:00Z</t>
  </si>
  <si>
    <t>2023-09-27T04:30:00Z</t>
  </si>
  <si>
    <t>2023-09-27T04:45:00Z</t>
  </si>
  <si>
    <t>2023-09-27T05:00:00Z</t>
  </si>
  <si>
    <t>2023-09-27T05:15:00Z</t>
  </si>
  <si>
    <t>2023-09-27T05:30:00Z</t>
  </si>
  <si>
    <t>2023-09-27T05:45:00Z</t>
  </si>
  <si>
    <t>2023-09-27T06:00:00Z</t>
  </si>
  <si>
    <t>2023-09-27T06:15:00Z</t>
  </si>
  <si>
    <t>2023-09-27T06:30:00Z</t>
  </si>
  <si>
    <t>2023-09-27T06:45:00Z</t>
  </si>
  <si>
    <t>2023-09-27T07:00:00Z</t>
  </si>
  <si>
    <t>5.2540000000000004</t>
  </si>
  <si>
    <t>2023-09-27T07:15:00Z</t>
  </si>
  <si>
    <t>2023-09-27T07:30:00Z</t>
  </si>
  <si>
    <t>2023-09-27T07:45:00Z</t>
  </si>
  <si>
    <t>2023-09-27T08:00:00Z</t>
  </si>
  <si>
    <t>2023-09-27T08:15:00Z</t>
  </si>
  <si>
    <t>2023-09-27T08:30:00Z</t>
  </si>
  <si>
    <t>2023-09-27T08:45:00Z</t>
  </si>
  <si>
    <t>5.2620000000000005</t>
  </si>
  <si>
    <t>2023-09-27T09:00:00Z</t>
  </si>
  <si>
    <t>2023-09-27T09:15:00Z</t>
  </si>
  <si>
    <t>2023-09-27T09:30:00Z</t>
  </si>
  <si>
    <t>2023-09-27T09:45:00Z</t>
  </si>
  <si>
    <t>2023-09-27T10:00:00Z</t>
  </si>
  <si>
    <t>2023-09-27T10:15:00Z</t>
  </si>
  <si>
    <t>2023-09-27T10:30:00Z</t>
  </si>
  <si>
    <t>2023-09-27T10:45:00Z</t>
  </si>
  <si>
    <t>2023-09-27T11:00:00Z</t>
  </si>
  <si>
    <t>2023-09-27T11:15:00Z</t>
  </si>
  <si>
    <t>2023-09-27T11:30:00Z</t>
  </si>
  <si>
    <t>2023-09-27T11:45:00Z</t>
  </si>
  <si>
    <t>2023-09-27T12:00:00Z</t>
  </si>
  <si>
    <t>2023-09-27T12:15:00Z</t>
  </si>
  <si>
    <t>2023-09-27T12:30:00Z</t>
  </si>
  <si>
    <t>2023-09-27T12:45:00Z</t>
  </si>
  <si>
    <t>2023-09-27T13:00:00Z</t>
  </si>
  <si>
    <t>2023-09-27T13:15:00Z</t>
  </si>
  <si>
    <t>2023-09-27T13:30:00Z</t>
  </si>
  <si>
    <t>2023-09-27T13:45:00Z</t>
  </si>
  <si>
    <t>2023-09-27T14:00:00Z</t>
  </si>
  <si>
    <t>2023-09-27T14:15:00Z</t>
  </si>
  <si>
    <t>2023-09-27T14:30:00Z</t>
  </si>
  <si>
    <t>2023-09-27T14:45:00Z</t>
  </si>
  <si>
    <t>2023-09-27T15:00:00Z</t>
  </si>
  <si>
    <t>2023-09-27T15:15:00Z</t>
  </si>
  <si>
    <t>2023-09-27T15:30:00Z</t>
  </si>
  <si>
    <t>2023-09-27T15:45:00Z</t>
  </si>
  <si>
    <t>2023-09-27T16:00:00Z</t>
  </si>
  <si>
    <t>2023-09-27T16:15:00Z</t>
  </si>
  <si>
    <t>2023-09-27T16:30:00Z</t>
  </si>
  <si>
    <t>2023-09-27T16:45:00Z</t>
  </si>
  <si>
    <t>2023-09-27T17:00:00Z</t>
  </si>
  <si>
    <t>2023-09-27T17:15:00Z</t>
  </si>
  <si>
    <t>2023-09-27T17:30:00Z</t>
  </si>
  <si>
    <t>2023-09-27T17:45:00Z</t>
  </si>
  <si>
    <t>2023-09-27T18:00:00Z</t>
  </si>
  <si>
    <t>2023-09-27T18:15:00Z</t>
  </si>
  <si>
    <t>2023-09-27T18:30:00Z</t>
  </si>
  <si>
    <t>2023-09-27T18:45:00Z</t>
  </si>
  <si>
    <t>2023-09-27T19:00:00Z</t>
  </si>
  <si>
    <t>2023-09-27T19:15:00Z</t>
  </si>
  <si>
    <t>2023-09-27T19:30:00Z</t>
  </si>
  <si>
    <t>2023-09-27T19:45:00Z</t>
  </si>
  <si>
    <t>4.5584999999999996</t>
  </si>
  <si>
    <t>2023-09-27T20:00:00Z</t>
  </si>
  <si>
    <t>2023-09-27T20:15:00Z</t>
  </si>
  <si>
    <t>2023-09-27T20:30:00Z</t>
  </si>
  <si>
    <t>2023-09-27T20:45:00Z</t>
  </si>
  <si>
    <t>2023-09-27T21:00:00Z</t>
  </si>
  <si>
    <t>2023-09-27T21:15:00Z</t>
  </si>
  <si>
    <t>2023-09-27T21:30:00Z</t>
  </si>
  <si>
    <t>2023-09-27T21:45:00Z</t>
  </si>
  <si>
    <t>2023-09-27T22:00:00Z</t>
  </si>
  <si>
    <t>2023-09-27T22:15:00Z</t>
  </si>
  <si>
    <t>2023-09-27T22:30:00Z</t>
  </si>
  <si>
    <t>2023-09-27T22:45:00Z</t>
  </si>
  <si>
    <t>4.5424999999999995</t>
  </si>
  <si>
    <t>2023-09-27T23:00:00Z</t>
  </si>
  <si>
    <t>2023-09-27T23:15:00Z</t>
  </si>
  <si>
    <t>2023-09-27T23:30:00Z</t>
  </si>
  <si>
    <t>2023-09-27T23:45:00Z</t>
  </si>
  <si>
    <t>2023-09-28T00:00:00Z</t>
  </si>
  <si>
    <t>2023-09-28T00:15:00Z</t>
  </si>
  <si>
    <t>2023-09-28T00:30:00Z</t>
  </si>
  <si>
    <t>2023-09-28T00:45:00Z</t>
  </si>
  <si>
    <t>2023-09-28T01:00:00Z</t>
  </si>
  <si>
    <t>2023-09-28T01:15:00Z</t>
  </si>
  <si>
    <t>2023-09-28T01:30:00Z</t>
  </si>
  <si>
    <t>2023-09-28T01:45:00Z</t>
  </si>
  <si>
    <t>2023-09-28T02:00:00Z</t>
  </si>
  <si>
    <t>2023-09-28T02:15:00Z</t>
  </si>
  <si>
    <t>2023-09-28T02:30:00Z</t>
  </si>
  <si>
    <t>2023-09-28T02:45:00Z</t>
  </si>
  <si>
    <t>2023-09-28T03:00:00Z</t>
  </si>
  <si>
    <t>2023-09-28T03:15:00Z</t>
  </si>
  <si>
    <t>2023-09-28T03:30:00Z</t>
  </si>
  <si>
    <t>4.8565000000000005</t>
  </si>
  <si>
    <t>2023-09-28T03:45:00Z</t>
  </si>
  <si>
    <t>2023-09-28T04:00:00Z</t>
  </si>
  <si>
    <t>2023-09-28T04:15:00Z</t>
  </si>
  <si>
    <t>2023-09-28T04:30:00Z</t>
  </si>
  <si>
    <t>2023-09-28T04:45:00Z</t>
  </si>
  <si>
    <t>2023-09-28T05:00:00Z</t>
  </si>
  <si>
    <t>2023-09-28T05:15:00Z</t>
  </si>
  <si>
    <t>2023-09-28T05:30:00Z</t>
  </si>
  <si>
    <t>2023-09-28T05:45:00Z</t>
  </si>
  <si>
    <t>5.1594999999999995</t>
  </si>
  <si>
    <t>2023-09-28T06:00:00Z</t>
  </si>
  <si>
    <t>2023-09-28T06:15:00Z</t>
  </si>
  <si>
    <t>5.2059999999999995</t>
  </si>
  <si>
    <t>2023-09-28T06:30:00Z</t>
  </si>
  <si>
    <t>2023-09-28T06:45:00Z</t>
  </si>
  <si>
    <t>2023-09-28T07:00:00Z</t>
  </si>
  <si>
    <t>2023-09-28T07:15:00Z</t>
  </si>
  <si>
    <t>2023-09-28T07:30:00Z</t>
  </si>
  <si>
    <t>2023-09-28T07:45:00Z</t>
  </si>
  <si>
    <t>2023-09-28T08:00:00Z</t>
  </si>
  <si>
    <t>2023-09-28T08:15:00Z</t>
  </si>
  <si>
    <t>2023-09-28T08:30:00Z</t>
  </si>
  <si>
    <t>2023-09-28T08:45:00Z</t>
  </si>
  <si>
    <t>2023-09-28T09:00:00Z</t>
  </si>
  <si>
    <t>2023-09-28T09:15:00Z</t>
  </si>
  <si>
    <t>2023-09-28T09:30:00Z</t>
  </si>
  <si>
    <t>2023-09-28T09:45:00Z</t>
  </si>
  <si>
    <t>2023-09-28T10:00:00Z</t>
  </si>
  <si>
    <t>2023-09-28T10:15:00Z</t>
  </si>
  <si>
    <t>2023-09-28T10:30:00Z</t>
  </si>
  <si>
    <t>2023-09-28T10:45:00Z</t>
  </si>
  <si>
    <t>2023-09-28T11:00:00Z</t>
  </si>
  <si>
    <t>2023-09-28T11:15:00Z</t>
  </si>
  <si>
    <t>2023-09-28T11:30:00Z</t>
  </si>
  <si>
    <t>2023-09-28T11:45:00Z</t>
  </si>
  <si>
    <t>2023-09-28T12:00:00Z</t>
  </si>
  <si>
    <t>2023-09-28T12:15:00Z</t>
  </si>
  <si>
    <t>2023-09-28T12:30:00Z</t>
  </si>
  <si>
    <t>2023-09-28T12:45:00Z</t>
  </si>
  <si>
    <t>2023-09-28T13:00:00Z</t>
  </si>
  <si>
    <t>2023-09-28T13:15:00Z</t>
  </si>
  <si>
    <t>2023-09-28T13:30:00Z</t>
  </si>
  <si>
    <t>2023-09-28T13:45:00Z</t>
  </si>
  <si>
    <t>2023-09-28T14:00:00Z</t>
  </si>
  <si>
    <t>2023-09-28T14:15:00Z</t>
  </si>
  <si>
    <t>2023-09-28T14:30:00Z</t>
  </si>
  <si>
    <t>2023-09-28T14:45:00Z</t>
  </si>
  <si>
    <t>2023-09-28T15:00:00Z</t>
  </si>
  <si>
    <t>2023-09-28T15:15:00Z</t>
  </si>
  <si>
    <t>2023-09-28T15:30:00Z</t>
  </si>
  <si>
    <t>2023-09-28T15:45:00Z</t>
  </si>
  <si>
    <t>2023-09-28T16:00:00Z</t>
  </si>
  <si>
    <t>2023-09-28T16:15:00Z</t>
  </si>
  <si>
    <t>2023-09-28T16:30:00Z</t>
  </si>
  <si>
    <t>2023-09-28T16:45:00Z</t>
  </si>
  <si>
    <t>2023-09-28T17:00:00Z</t>
  </si>
  <si>
    <t>2023-09-28T17:15:00Z</t>
  </si>
  <si>
    <t>2023-09-28T17:30:00Z</t>
  </si>
  <si>
    <t>2023-09-28T17:45:00Z</t>
  </si>
  <si>
    <t>2023-09-28T18:00:00Z</t>
  </si>
  <si>
    <t>2023-09-28T18:15:00Z</t>
  </si>
  <si>
    <t>2023-09-28T18:30:00Z</t>
  </si>
  <si>
    <t>2023-09-28T18:45:00Z</t>
  </si>
  <si>
    <t>2023-09-28T19:00:00Z</t>
  </si>
  <si>
    <t>2023-09-28T19:15:00Z</t>
  </si>
  <si>
    <t>4.6579999999999995</t>
  </si>
  <si>
    <t>2023-09-28T19:30:00Z</t>
  </si>
  <si>
    <t>2023-09-28T19:45:00Z</t>
  </si>
  <si>
    <t>2023-09-28T20:00:00Z</t>
  </si>
  <si>
    <t>2023-09-28T20:15:00Z</t>
  </si>
  <si>
    <t>2023-09-28T20:30:00Z</t>
  </si>
  <si>
    <t>4.6370000000000005</t>
  </si>
  <si>
    <t>2023-09-28T20:45:00Z</t>
  </si>
  <si>
    <t>2023-09-28T21:00:00Z</t>
  </si>
  <si>
    <t>2023-09-28T21:15:00Z</t>
  </si>
  <si>
    <t>2023-09-28T21:30:00Z</t>
  </si>
  <si>
    <t>2023-09-28T21:45:00Z</t>
  </si>
  <si>
    <t>2023-09-28T22:00:00Z</t>
  </si>
  <si>
    <t>2023-09-28T22:15:00Z</t>
  </si>
  <si>
    <t>2023-09-28T22:30:00Z</t>
  </si>
  <si>
    <t>2023-09-28T22:45:00Z</t>
  </si>
  <si>
    <t>2023-09-28T23:00:00Z</t>
  </si>
  <si>
    <t>2023-09-28T23:15:00Z</t>
  </si>
  <si>
    <t>2023-09-28T23:30:00Z</t>
  </si>
  <si>
    <t>2023-09-28T23:45:00Z</t>
  </si>
  <si>
    <t>2023-09-29T00:00:00Z</t>
  </si>
  <si>
    <t>2023-09-29T00:15:00Z</t>
  </si>
  <si>
    <t>2023-09-29T00:30:00Z</t>
  </si>
  <si>
    <t>2023-09-29T00:45:00Z</t>
  </si>
  <si>
    <t>4.5825000000000005</t>
  </si>
  <si>
    <t>2023-09-29T01:00:00Z</t>
  </si>
  <si>
    <t>2023-09-29T01:15:00Z</t>
  </si>
  <si>
    <t>4.6274999999999995</t>
  </si>
  <si>
    <t>2023-09-29T01:30:00Z</t>
  </si>
  <si>
    <t>2023-09-29T01:45:00Z</t>
  </si>
  <si>
    <t>2023-09-29T02:00:00Z</t>
  </si>
  <si>
    <t>2023-09-29T02:15:00Z</t>
  </si>
  <si>
    <t>4.7044999999999995</t>
  </si>
  <si>
    <t>2023-09-29T02:30:00Z</t>
  </si>
  <si>
    <t>2023-09-29T02:45:00Z</t>
  </si>
  <si>
    <t>2023-09-29T03:00:00Z</t>
  </si>
  <si>
    <t>2023-09-29T03:15:00Z</t>
  </si>
  <si>
    <t>2023-09-29T03:30:00Z</t>
  </si>
  <si>
    <t>2023-09-29T03:45:00Z</t>
  </si>
  <si>
    <t>2023-09-29T04:00:00Z</t>
  </si>
  <si>
    <t>2023-09-29T04:15:00Z</t>
  </si>
  <si>
    <t>2023-09-29T04:30:00Z</t>
  </si>
  <si>
    <t>2023-09-29T04:45:00Z</t>
  </si>
  <si>
    <t>2023-09-29T05:00:00Z</t>
  </si>
  <si>
    <t>2023-09-29T05:15:00Z</t>
  </si>
  <si>
    <t>2023-09-29T05:30:00Z</t>
  </si>
  <si>
    <t>2023-09-29T05:45:00Z</t>
  </si>
  <si>
    <t>2023-09-29T06:00:00Z</t>
  </si>
  <si>
    <t>2023-09-29T06:15:00Z</t>
  </si>
  <si>
    <t>2023-09-29T06:30:00Z</t>
  </si>
  <si>
    <t>2023-09-29T06:45:00Z</t>
  </si>
  <si>
    <t>2023-09-29T07:00:00Z</t>
  </si>
  <si>
    <t>2023-09-29T07:15:00Z</t>
  </si>
  <si>
    <t>2023-09-29T07:30:00Z</t>
  </si>
  <si>
    <t>2023-09-29T07:45:00Z</t>
  </si>
  <si>
    <t>2023-09-29T08:00:00Z</t>
  </si>
  <si>
    <t>2023-09-29T08:15:00Z</t>
  </si>
  <si>
    <t>2023-09-29T08:30:00Z</t>
  </si>
  <si>
    <t>2023-09-29T08:45:00Z</t>
  </si>
  <si>
    <t>2023-09-29T09:00:00Z</t>
  </si>
  <si>
    <t>2023-09-29T09:15:00Z</t>
  </si>
  <si>
    <t>2023-09-29T09:30:00Z</t>
  </si>
  <si>
    <t>2023-09-29T09:45:00Z</t>
  </si>
  <si>
    <t>2023-09-29T10:00:00Z</t>
  </si>
  <si>
    <t>5.1995000000000005</t>
  </si>
  <si>
    <t>2023-09-29T10:15:00Z</t>
  </si>
  <si>
    <t>2023-09-29T10:30:00Z</t>
  </si>
  <si>
    <t>2023-09-29T10:45:00Z</t>
  </si>
  <si>
    <t>2023-09-29T11:00:00Z</t>
  </si>
  <si>
    <t>2023-09-29T11:15:00Z</t>
  </si>
  <si>
    <t>2023-09-29T11:30:00Z</t>
  </si>
  <si>
    <t>2023-09-29T11:45:00Z</t>
  </si>
  <si>
    <t>2023-09-29T12:00:00Z</t>
  </si>
  <si>
    <t>2023-09-29T12:15:00Z</t>
  </si>
  <si>
    <t>2023-09-29T12:30:00Z</t>
  </si>
  <si>
    <t>2023-09-29T12:45:00Z</t>
  </si>
  <si>
    <t>2023-09-29T13:00:00Z</t>
  </si>
  <si>
    <t>2023-09-29T13:15:00Z</t>
  </si>
  <si>
    <t>2023-09-29T13:30:00Z</t>
  </si>
  <si>
    <t>2023-09-29T13:45:00Z</t>
  </si>
  <si>
    <t>2023-09-29T14:00:00Z</t>
  </si>
  <si>
    <t>2023-09-29T14:15:00Z</t>
  </si>
  <si>
    <t>2023-09-29T14:30:00Z</t>
  </si>
  <si>
    <t>2023-09-29T14:45:00Z</t>
  </si>
  <si>
    <t>2023-09-29T15:00:00Z</t>
  </si>
  <si>
    <t>2023-09-29T15:15:00Z</t>
  </si>
  <si>
    <t>2023-09-29T15:30:00Z</t>
  </si>
  <si>
    <t>2023-09-29T15:45:00Z</t>
  </si>
  <si>
    <t>5.0825000000000005</t>
  </si>
  <si>
    <t>2023-09-29T16:00:00Z</t>
  </si>
  <si>
    <t>2023-09-29T16:15:00Z</t>
  </si>
  <si>
    <t>2023-09-29T16:30:00Z</t>
  </si>
  <si>
    <t>2023-09-29T16:45:00Z</t>
  </si>
  <si>
    <t>2023-09-29T17:00:00Z</t>
  </si>
  <si>
    <t>2023-09-29T17:15:00Z</t>
  </si>
  <si>
    <t>2023-09-29T17:30:00Z</t>
  </si>
  <si>
    <t>2023-09-29T17:45:00Z</t>
  </si>
  <si>
    <t>2023-09-29T18:00:00Z</t>
  </si>
  <si>
    <t>2023-09-29T18:15:00Z</t>
  </si>
  <si>
    <t>2023-09-29T18:30:00Z</t>
  </si>
  <si>
    <t>2023-09-29T18:45:00Z</t>
  </si>
  <si>
    <t>2023-09-29T19:00:00Z</t>
  </si>
  <si>
    <t>2023-09-29T19:15:00Z</t>
  </si>
  <si>
    <t>2023-09-29T19:30:00Z</t>
  </si>
  <si>
    <t>2023-09-29T19:45:00Z</t>
  </si>
  <si>
    <t>2023-09-29T20:00:00Z</t>
  </si>
  <si>
    <t>2023-09-29T20:15:00Z</t>
  </si>
  <si>
    <t>2023-09-29T20:30:00Z</t>
  </si>
  <si>
    <t>2023-09-29T20:45:00Z</t>
  </si>
  <si>
    <t>2023-09-29T21:00:00Z</t>
  </si>
  <si>
    <t>2023-09-29T21:15:00Z</t>
  </si>
  <si>
    <t>4.6594999999999995</t>
  </si>
  <si>
    <t>2023-09-29T21:30:00Z</t>
  </si>
  <si>
    <t>2023-09-29T21:45:00Z</t>
  </si>
  <si>
    <t>2023-09-29T22:00:00Z</t>
  </si>
  <si>
    <t>2023-09-29T22:15:00Z</t>
  </si>
  <si>
    <t>2023-09-29T22:30:00Z</t>
  </si>
  <si>
    <t>2023-09-29T22:45:00Z</t>
  </si>
  <si>
    <t>2023-09-29T23:00:00Z</t>
  </si>
  <si>
    <t>2023-09-29T23:15:00Z</t>
  </si>
  <si>
    <t>2023-09-29T23:30:00Z</t>
  </si>
  <si>
    <t>2023-09-29T23:45:00Z</t>
  </si>
  <si>
    <t>2023-09-30T00:00:00Z</t>
  </si>
  <si>
    <t>2023-09-30T00:15:00Z</t>
  </si>
  <si>
    <t>2023-09-30T00:30:00Z</t>
  </si>
  <si>
    <t>2023-09-30T00:45:00Z</t>
  </si>
  <si>
    <t>2023-09-30T01:00:00Z</t>
  </si>
  <si>
    <t>2023-09-30T01:15:00Z</t>
  </si>
  <si>
    <t>2023-09-30T01:30:00Z</t>
  </si>
  <si>
    <t>2023-09-30T01:45:00Z</t>
  </si>
  <si>
    <t>2023-09-30T02:00:00Z</t>
  </si>
  <si>
    <t>2023-09-30T02:15:00Z</t>
  </si>
  <si>
    <t>2023-09-30T02:30:00Z</t>
  </si>
  <si>
    <t>2023-09-30T02:45:00Z</t>
  </si>
  <si>
    <t>2023-09-30T03:00:00Z</t>
  </si>
  <si>
    <t>2023-09-30T03:15:00Z</t>
  </si>
  <si>
    <t>2023-09-30T03:30:00Z</t>
  </si>
  <si>
    <t>2023-09-30T03:45:00Z</t>
  </si>
  <si>
    <t>2023-09-30T04:00:00Z</t>
  </si>
  <si>
    <t>2023-09-30T04:15:00Z</t>
  </si>
  <si>
    <t>2023-09-30T04:30:00Z</t>
  </si>
  <si>
    <t>2023-09-30T04:45:00Z</t>
  </si>
  <si>
    <t>2023-09-30T05:00:00Z</t>
  </si>
  <si>
    <t>2023-09-30T05:15:00Z</t>
  </si>
  <si>
    <t>2023-09-30T05:30:00Z</t>
  </si>
  <si>
    <t>2023-09-30T05:45:00Z</t>
  </si>
  <si>
    <t>2023-09-30T06:00:00Z</t>
  </si>
  <si>
    <t>2023-09-30T06:15:00Z</t>
  </si>
  <si>
    <t>2023-09-30T06:30:00Z</t>
  </si>
  <si>
    <t>2023-09-30T06:45:00Z</t>
  </si>
  <si>
    <t>2023-09-30T07:00:00Z</t>
  </si>
  <si>
    <t>2023-09-30T07:15:00Z</t>
  </si>
  <si>
    <t>2023-09-30T07:30:00Z</t>
  </si>
  <si>
    <t>2023-09-30T07:45:00Z</t>
  </si>
  <si>
    <t>2023-09-30T08:00:00Z</t>
  </si>
  <si>
    <t>2023-09-30T08:15:00Z</t>
  </si>
  <si>
    <t>2023-09-30T08:30:00Z</t>
  </si>
  <si>
    <t>2023-09-30T08:45:00Z</t>
  </si>
  <si>
    <t>2023-09-30T09:00:00Z</t>
  </si>
  <si>
    <t>2023-09-30T09:15:00Z</t>
  </si>
  <si>
    <t>2023-09-30T09:30:00Z</t>
  </si>
  <si>
    <t>2023-09-30T09:45:00Z</t>
  </si>
  <si>
    <t>2023-09-30T10:00:00Z</t>
  </si>
  <si>
    <t>2023-09-30T10:15:00Z</t>
  </si>
  <si>
    <t>2023-09-30T10:30:00Z</t>
  </si>
  <si>
    <t>2023-09-30T10:45:00Z</t>
  </si>
  <si>
    <t>2023-09-30T11:00:00Z</t>
  </si>
  <si>
    <t>2023-09-30T11:15:00Z</t>
  </si>
  <si>
    <t>2023-09-30T11:30:00Z</t>
  </si>
  <si>
    <t>2023-09-30T11:45:00Z</t>
  </si>
  <si>
    <t>2023-09-30T12:00:00Z</t>
  </si>
  <si>
    <t>2023-09-30T12:15:00Z</t>
  </si>
  <si>
    <t>2023-09-30T12:30:00Z</t>
  </si>
  <si>
    <t>2023-09-30T12:45:00Z</t>
  </si>
  <si>
    <t>2023-09-30T13:00:00Z</t>
  </si>
  <si>
    <t>2023-09-30T13:15:00Z</t>
  </si>
  <si>
    <t>2023-09-30T13:30:00Z</t>
  </si>
  <si>
    <t>2023-09-30T13:45:00Z</t>
  </si>
  <si>
    <t>2023-09-30T14:00:00Z</t>
  </si>
  <si>
    <t>2023-09-30T14:15:00Z</t>
  </si>
  <si>
    <t>2023-09-30T14:30:00Z</t>
  </si>
  <si>
    <t>2023-09-30T14:45:00Z</t>
  </si>
  <si>
    <t>5.3084999999999996</t>
  </si>
  <si>
    <t>2023-09-30T15:00:00Z</t>
  </si>
  <si>
    <t>2023-09-30T15:15:00Z</t>
  </si>
  <si>
    <t>2023-09-30T15:30:00Z</t>
  </si>
  <si>
    <t>2023-09-30T15:45:00Z</t>
  </si>
  <si>
    <t>2023-09-30T16:00:00Z</t>
  </si>
  <si>
    <t>2023-09-30T16:15:00Z</t>
  </si>
  <si>
    <t>2023-09-30T16:30:00Z</t>
  </si>
  <si>
    <t>2023-09-30T16:45:00Z</t>
  </si>
  <si>
    <t>2023-09-30T17:00:00Z</t>
  </si>
  <si>
    <t>2023-09-30T17:15:00Z</t>
  </si>
  <si>
    <t>2023-09-30T17:30:00Z</t>
  </si>
  <si>
    <t>2023-09-30T17:45:00Z</t>
  </si>
  <si>
    <t>2023-09-30T18:00:00Z</t>
  </si>
  <si>
    <t>5.0040000000000004</t>
  </si>
  <si>
    <t>2023-09-30T18:15:00Z</t>
  </si>
  <si>
    <t>2023-09-30T18:30:00Z</t>
  </si>
  <si>
    <t>2023-09-30T18:45:00Z</t>
  </si>
  <si>
    <t>2023-09-30T19:00:00Z</t>
  </si>
  <si>
    <t>2023-09-30T19:15:00Z</t>
  </si>
  <si>
    <t>2023-09-30T19:30:00Z</t>
  </si>
  <si>
    <t>2023-09-30T19:45:00Z</t>
  </si>
  <si>
    <t>2023-09-30T20:00:00Z</t>
  </si>
  <si>
    <t>2023-09-30T20:15:00Z</t>
  </si>
  <si>
    <t>2023-09-30T20:30:00Z</t>
  </si>
  <si>
    <t>2023-09-30T20:45:00Z</t>
  </si>
  <si>
    <t>2023-09-30T21:00:00Z</t>
  </si>
  <si>
    <t>2023-09-30T21:15:00Z</t>
  </si>
  <si>
    <t>4.8870000000000005</t>
  </si>
  <si>
    <t>2023-09-30T21:30:00Z</t>
  </si>
  <si>
    <t>2023-09-30T21:45:00Z</t>
  </si>
  <si>
    <t>2023-09-30T22:00:00Z</t>
  </si>
  <si>
    <t>2023-09-30T22:15:00Z</t>
  </si>
  <si>
    <t>2023-09-30T22:30:00Z</t>
  </si>
  <si>
    <t>2023-09-30T22:45:00Z</t>
  </si>
  <si>
    <t>2023-09-30T23:00:00Z</t>
  </si>
  <si>
    <t>2023-09-30T23:15:00Z</t>
  </si>
  <si>
    <t>2023-09-30T23:30:00Z</t>
  </si>
  <si>
    <t>2023-09-30T23:45:00Z</t>
  </si>
  <si>
    <t>2023-10-01T00:00:00Z</t>
  </si>
  <si>
    <t>2023-10-01T00:15:00Z</t>
  </si>
  <si>
    <t>2023-10-01T00:30:00Z</t>
  </si>
  <si>
    <t>2023-10-01T00:45:00Z</t>
  </si>
  <si>
    <t>2023-10-01T01:00:00Z</t>
  </si>
  <si>
    <t>2023-10-01T01:15:00Z</t>
  </si>
  <si>
    <t>2023-10-01T01:30:00Z</t>
  </si>
  <si>
    <t>2023-10-01T01:45:00Z</t>
  </si>
  <si>
    <t>2023-10-01T02:00:00Z</t>
  </si>
  <si>
    <t>2023-10-01T02:15:00Z</t>
  </si>
  <si>
    <t>2023-10-01T02:30:00Z</t>
  </si>
  <si>
    <t>2023-10-01T02:45:00Z</t>
  </si>
  <si>
    <t>2023-10-01T03:00:00Z</t>
  </si>
  <si>
    <t>2023-10-01T03:15:00Z</t>
  </si>
  <si>
    <t>2023-10-01T03:30:00Z</t>
  </si>
  <si>
    <t>2023-10-01T03:45:00Z</t>
  </si>
  <si>
    <t>2023-10-01T04:00:00Z</t>
  </si>
  <si>
    <t>2023-10-01T04:15:00Z</t>
  </si>
  <si>
    <t>2023-10-01T04:30:00Z</t>
  </si>
  <si>
    <t>2023-10-01T04:45:00Z</t>
  </si>
  <si>
    <t>2023-10-01T05:00:00Z</t>
  </si>
  <si>
    <t>2023-10-01T05:15:00Z</t>
  </si>
  <si>
    <t>2023-10-01T05:30:00Z</t>
  </si>
  <si>
    <t>2023-10-01T05:45:00Z</t>
  </si>
  <si>
    <t>2023-10-01T06:00:00Z</t>
  </si>
  <si>
    <t>2023-10-01T06:15:00Z</t>
  </si>
  <si>
    <t>2023-10-01T06:30:00Z</t>
  </si>
  <si>
    <t>2023-10-01T06:45:00Z</t>
  </si>
  <si>
    <t>2023-10-01T07:00:00Z</t>
  </si>
  <si>
    <t>2023-10-01T07:15:00Z</t>
  </si>
  <si>
    <t>2023-10-01T07:30:00Z</t>
  </si>
  <si>
    <t>2023-10-01T07:45:00Z</t>
  </si>
  <si>
    <t>2023-10-01T08:00:00Z</t>
  </si>
  <si>
    <t>2023-10-01T08:15:00Z</t>
  </si>
  <si>
    <t>2023-10-01T08:30:00Z</t>
  </si>
  <si>
    <t>2023-10-01T08:45:00Z</t>
  </si>
  <si>
    <t>5.6754999999999995</t>
  </si>
  <si>
    <t>2023-10-01T09:00:00Z</t>
  </si>
  <si>
    <t>2023-10-01T09:15:00Z</t>
  </si>
  <si>
    <t>2023-10-01T09:30:00Z</t>
  </si>
  <si>
    <t>2023-10-01T09:45:00Z</t>
  </si>
  <si>
    <t>2023-10-01T10:00:00Z</t>
  </si>
  <si>
    <t>2023-10-01T10:15:00Z</t>
  </si>
  <si>
    <t>2023-10-01T10:30:00Z</t>
  </si>
  <si>
    <t>2023-10-01T10:45:00Z</t>
  </si>
  <si>
    <t>2023-10-01T11:00:00Z</t>
  </si>
  <si>
    <t>2023-10-01T11:15:00Z</t>
  </si>
  <si>
    <t>2023-10-01T11:30:00Z</t>
  </si>
  <si>
    <t>2023-10-01T11:45:00Z</t>
  </si>
  <si>
    <t>2023-10-01T12:00:00Z</t>
  </si>
  <si>
    <t>2023-10-01T12:15:00Z</t>
  </si>
  <si>
    <t>2023-10-01T12:30:00Z</t>
  </si>
  <si>
    <t>2023-10-01T12:45:00Z</t>
  </si>
  <si>
    <t>2023-10-01T13:00:00Z</t>
  </si>
  <si>
    <t>2023-10-01T13:15:00Z</t>
  </si>
  <si>
    <t>2023-10-01T13:30:00Z</t>
  </si>
  <si>
    <t>2023-10-01T13:45:00Z</t>
  </si>
  <si>
    <t>2023-10-01T14:00:00Z</t>
  </si>
  <si>
    <t>2023-10-01T14:15:00Z</t>
  </si>
  <si>
    <t>2023-10-01T14:30:00Z</t>
  </si>
  <si>
    <t>2023-10-01T14:45:00Z</t>
  </si>
  <si>
    <t>2023-10-01T15:00:00Z</t>
  </si>
  <si>
    <t>2023-10-01T15:15:00Z</t>
  </si>
  <si>
    <t>5.5649999999999995</t>
  </si>
  <si>
    <t>2023-10-01T15:30:00Z</t>
  </si>
  <si>
    <t>2023-10-01T15:45:00Z</t>
  </si>
  <si>
    <t>2023-10-01T16:00:00Z</t>
  </si>
  <si>
    <t>2023-10-01T16:15:00Z</t>
  </si>
  <si>
    <t>2023-10-01T16:30:00Z</t>
  </si>
  <si>
    <t>2023-10-01T16:45:00Z</t>
  </si>
  <si>
    <t>2023-10-01T17:00:00Z</t>
  </si>
  <si>
    <t>2023-10-01T17:15:00Z</t>
  </si>
  <si>
    <t>2023-10-01T17:30:00Z</t>
  </si>
  <si>
    <t>2023-10-01T17:45:00Z</t>
  </si>
  <si>
    <t>2023-10-01T18:00:00Z</t>
  </si>
  <si>
    <t>2023-10-01T18:15:00Z</t>
  </si>
  <si>
    <t>2023-10-01T18:30:00Z</t>
  </si>
  <si>
    <t>2023-10-01T18:45:00Z</t>
  </si>
  <si>
    <t>2023-10-01T19:00:00Z</t>
  </si>
  <si>
    <t>2023-10-01T19:15:00Z</t>
  </si>
  <si>
    <t>2023-10-01T19:30:00Z</t>
  </si>
  <si>
    <t>2023-10-01T19:45:00Z</t>
  </si>
  <si>
    <t>2023-10-01T20:00:00Z</t>
  </si>
  <si>
    <t>2023-10-01T20:15:00Z</t>
  </si>
  <si>
    <t>2023-10-01T20:30:00Z</t>
  </si>
  <si>
    <t>2023-10-01T20:45:00Z</t>
  </si>
  <si>
    <t>2023-10-01T21:00:00Z</t>
  </si>
  <si>
    <t>2023-10-01T21:15:00Z</t>
  </si>
  <si>
    <t>2023-10-01T21:30:00Z</t>
  </si>
  <si>
    <t>2023-10-01T21:45:00Z</t>
  </si>
  <si>
    <t>2023-10-01T22:00:00Z</t>
  </si>
  <si>
    <t>2023-10-01T22:15:00Z</t>
  </si>
  <si>
    <t>2023-10-01T22:30:00Z</t>
  </si>
  <si>
    <t>2023-10-01T22:45:00Z</t>
  </si>
  <si>
    <t>2023-10-01T23:00:00Z</t>
  </si>
  <si>
    <t>2023-10-01T23:15:00Z</t>
  </si>
  <si>
    <t>2023-10-01T23:30:00Z</t>
  </si>
  <si>
    <t>2023-10-01T23:45:00Z</t>
  </si>
  <si>
    <t>2023-10-02T00:00:00Z</t>
  </si>
  <si>
    <t>2023-10-02T00:15:00Z</t>
  </si>
  <si>
    <t>2023-10-02T00:30:00Z</t>
  </si>
  <si>
    <t>2023-10-02T00:45:00Z</t>
  </si>
  <si>
    <t>2023-10-02T01:00:00Z</t>
  </si>
  <si>
    <t>2023-10-02T01:15:00Z</t>
  </si>
  <si>
    <t>2023-10-02T01:30:00Z</t>
  </si>
  <si>
    <t>2023-10-02T01:45:00Z</t>
  </si>
  <si>
    <t>2023-10-02T02:00:00Z</t>
  </si>
  <si>
    <t>2023-10-02T02:15:00Z</t>
  </si>
  <si>
    <t>2023-10-02T02:30:00Z</t>
  </si>
  <si>
    <t>2023-10-02T02:45:00Z</t>
  </si>
  <si>
    <t>2023-10-02T03:00:00Z</t>
  </si>
  <si>
    <t>5.0120000000000005</t>
  </si>
  <si>
    <t>2023-10-02T03:15:00Z</t>
  </si>
  <si>
    <t>2023-10-02T03:30:00Z</t>
  </si>
  <si>
    <t>2023-10-02T03:45:00Z</t>
  </si>
  <si>
    <t>2023-10-02T04:00:00Z</t>
  </si>
  <si>
    <t>2023-10-02T04:15:00Z</t>
  </si>
  <si>
    <t>2023-10-02T04:30:00Z</t>
  </si>
  <si>
    <t>5.2764999999999995</t>
  </si>
  <si>
    <t>2023-10-02T04:45:00Z</t>
  </si>
  <si>
    <t>2023-10-02T05:00:00Z</t>
  </si>
  <si>
    <t>2023-10-02T05:15:00Z</t>
  </si>
  <si>
    <t>2023-10-02T05:30:00Z</t>
  </si>
  <si>
    <t>2023-10-02T05:45:00Z</t>
  </si>
  <si>
    <t>2023-10-02T06:00:00Z</t>
  </si>
  <si>
    <t>2023-10-02T06:15:00Z</t>
  </si>
  <si>
    <t>2023-10-02T06:30:00Z</t>
  </si>
  <si>
    <t>2023-10-02T06:45:00Z</t>
  </si>
  <si>
    <t>2023-10-02T07:00:00Z</t>
  </si>
  <si>
    <t>2023-10-02T07:15:00Z</t>
  </si>
  <si>
    <t>2023-10-02T07:30:00Z</t>
  </si>
  <si>
    <t>5.4190000000000005</t>
  </si>
  <si>
    <t>2023-10-02T07:45:00Z</t>
  </si>
  <si>
    <t>2023-10-02T08:00:00Z</t>
  </si>
  <si>
    <t>2023-10-02T08:15:00Z</t>
  </si>
  <si>
    <t>2023-10-02T08:30:00Z</t>
  </si>
  <si>
    <t>2023-10-02T08:45:00Z</t>
  </si>
  <si>
    <t>2023-10-02T09:00:00Z</t>
  </si>
  <si>
    <t>2023-10-02T09:15:00Z</t>
  </si>
  <si>
    <t>2023-10-02T09:30:00Z</t>
  </si>
  <si>
    <t>2023-10-02T09:45:00Z</t>
  </si>
  <si>
    <t>2023-10-02T10:00:00Z</t>
  </si>
  <si>
    <t>2023-10-02T10:15:00Z</t>
  </si>
  <si>
    <t>2023-10-02T10:30:00Z</t>
  </si>
  <si>
    <t>2023-10-02T10:45:00Z</t>
  </si>
  <si>
    <t>2023-10-02T11:00:00Z</t>
  </si>
  <si>
    <t>2023-10-02T11:15:00Z</t>
  </si>
  <si>
    <t>2023-10-02T11:30:00Z</t>
  </si>
  <si>
    <t>2023-10-02T11:45:00Z</t>
  </si>
  <si>
    <t>2023-10-02T12:00:00Z</t>
  </si>
  <si>
    <t>2023-10-02T12:15:00Z</t>
  </si>
  <si>
    <t>2023-10-02T12:30:00Z</t>
  </si>
  <si>
    <t>2023-10-02T12:45:00Z</t>
  </si>
  <si>
    <t>2023-10-02T13:00:00Z</t>
  </si>
  <si>
    <t>2023-10-02T13:15:00Z</t>
  </si>
  <si>
    <t>2023-10-02T13:30:00Z</t>
  </si>
  <si>
    <t>2023-10-02T13:45:00Z</t>
  </si>
  <si>
    <t>2023-10-02T14:00:00Z</t>
  </si>
  <si>
    <t>2023-10-02T14:15:00Z</t>
  </si>
  <si>
    <t>2023-10-02T14:30:00Z</t>
  </si>
  <si>
    <t>2023-10-02T14:45:00Z</t>
  </si>
  <si>
    <t>2023-10-02T15:00:00Z</t>
  </si>
  <si>
    <t>2023-10-02T15:15:00Z</t>
  </si>
  <si>
    <t>5.3325000000000005</t>
  </si>
  <si>
    <t>2023-10-02T15:30:00Z</t>
  </si>
  <si>
    <t>2023-10-02T15:45:00Z</t>
  </si>
  <si>
    <t>2023-10-02T16:00:00Z</t>
  </si>
  <si>
    <t>2023-10-02T16:15:00Z</t>
  </si>
  <si>
    <t>5.1674999999999995</t>
  </si>
  <si>
    <t>2023-10-02T16:30:00Z</t>
  </si>
  <si>
    <t>2023-10-02T16:45:00Z</t>
  </si>
  <si>
    <t>2023-10-02T17:00:00Z</t>
  </si>
  <si>
    <t>2023-10-02T17:15:00Z</t>
  </si>
  <si>
    <t>4.9864999999999995</t>
  </si>
  <si>
    <t>2023-10-02T17:30:00Z</t>
  </si>
  <si>
    <t>2023-10-02T17:45:00Z</t>
  </si>
  <si>
    <t>2023-10-02T18:00:00Z</t>
  </si>
  <si>
    <t>2023-10-02T18:15:00Z</t>
  </si>
  <si>
    <t>2023-10-02T18:30:00Z</t>
  </si>
  <si>
    <t>2023-10-02T18:45:00Z</t>
  </si>
  <si>
    <t>2023-10-02T19:00:00Z</t>
  </si>
  <si>
    <t>2023-10-02T19:15:00Z</t>
  </si>
  <si>
    <t>2023-10-02T19:30:00Z</t>
  </si>
  <si>
    <t>2023-10-02T19:45:00Z</t>
  </si>
  <si>
    <t>2023-10-02T20:00:00Z</t>
  </si>
  <si>
    <t>2023-10-02T20:15:00Z</t>
  </si>
  <si>
    <t>2023-10-02T20:30:00Z</t>
  </si>
  <si>
    <t>2023-10-02T20:45:00Z</t>
  </si>
  <si>
    <t>2023-10-02T21:00:00Z</t>
  </si>
  <si>
    <t>2023-10-02T21:15:00Z</t>
  </si>
  <si>
    <t>2023-10-02T21:30:00Z</t>
  </si>
  <si>
    <t>4.7700000000000005</t>
  </si>
  <si>
    <t>2023-10-02T21:45:00Z</t>
  </si>
  <si>
    <t>2023-10-02T22:00:00Z</t>
  </si>
  <si>
    <t>2023-10-02T22:15:00Z</t>
  </si>
  <si>
    <t>2023-10-02T22:30:00Z</t>
  </si>
  <si>
    <t>2023-10-02T22:45:00Z</t>
  </si>
  <si>
    <t>2023-10-02T23:00:00Z</t>
  </si>
  <si>
    <t>2023-10-02T23:15:00Z</t>
  </si>
  <si>
    <t>2023-10-02T23:30:00Z</t>
  </si>
  <si>
    <t>2023-10-02T23:45:00Z</t>
  </si>
  <si>
    <t>2023-10-03T00:00:00Z</t>
  </si>
  <si>
    <t>2023-10-03T00:15:00Z</t>
  </si>
  <si>
    <t>2023-10-03T00:30:00Z</t>
  </si>
  <si>
    <t>2023-10-03T00:45:00Z</t>
  </si>
  <si>
    <t>2023-10-03T01:00:00Z</t>
  </si>
  <si>
    <t>2023-10-03T01:15:00Z</t>
  </si>
  <si>
    <t>2023-10-03T01:30:00Z</t>
  </si>
  <si>
    <t>2023-10-03T01:45:00Z</t>
  </si>
  <si>
    <t>2023-10-03T02:00:00Z</t>
  </si>
  <si>
    <t>2023-10-03T02:15:00Z</t>
  </si>
  <si>
    <t>2023-10-03T02:30:00Z</t>
  </si>
  <si>
    <t>2023-10-03T02:45:00Z</t>
  </si>
  <si>
    <t>2023-10-03T03:00:00Z</t>
  </si>
  <si>
    <t>2023-10-03T03:15:00Z</t>
  </si>
  <si>
    <t>2023-10-03T03:30:00Z</t>
  </si>
  <si>
    <t>2023-10-03T03:45:00Z</t>
  </si>
  <si>
    <t>2023-10-03T04:00:00Z</t>
  </si>
  <si>
    <t>2023-10-03T04:15:00Z</t>
  </si>
  <si>
    <t>5.2395000000000005</t>
  </si>
  <si>
    <t>2023-10-03T04:30:00Z</t>
  </si>
  <si>
    <t>2023-10-03T04:45:00Z</t>
  </si>
  <si>
    <t>2023-10-03T05:00:00Z</t>
  </si>
  <si>
    <t>2023-10-03T05:15:00Z</t>
  </si>
  <si>
    <t>2023-10-03T05:30:00Z</t>
  </si>
  <si>
    <t>2023-10-03T05:45:00Z</t>
  </si>
  <si>
    <t>2023-10-03T06:00:00Z</t>
  </si>
  <si>
    <t>2023-10-03T06:15:00Z</t>
  </si>
  <si>
    <t>2023-10-03T06:30:00Z</t>
  </si>
  <si>
    <t>2023-10-03T06:45:00Z</t>
  </si>
  <si>
    <t>2023-10-03T07:00:00Z</t>
  </si>
  <si>
    <t>2023-10-03T07:15:00Z</t>
  </si>
  <si>
    <t>2023-10-03T07:30:00Z</t>
  </si>
  <si>
    <t>2023-10-03T07:45:00Z</t>
  </si>
  <si>
    <t>2023-10-03T08:00:00Z</t>
  </si>
  <si>
    <t>2023-10-03T08:15:00Z</t>
  </si>
  <si>
    <t>2023-10-03T08:30:00Z</t>
  </si>
  <si>
    <t>2023-10-03T08:45:00Z</t>
  </si>
  <si>
    <t>2023-10-03T09:00:00Z</t>
  </si>
  <si>
    <t>2023-10-03T09:15:00Z</t>
  </si>
  <si>
    <t>2023-10-03T09:30:00Z</t>
  </si>
  <si>
    <t>5.3870000000000005</t>
  </si>
  <si>
    <t>2023-10-03T09:45:00Z</t>
  </si>
  <si>
    <t>2023-10-03T10:00:00Z</t>
  </si>
  <si>
    <t>2023-10-03T10:15:00Z</t>
  </si>
  <si>
    <t>2023-10-03T10:30:00Z</t>
  </si>
  <si>
    <t>2023-10-03T10:45:00Z</t>
  </si>
  <si>
    <t>2023-10-03T11:00:00Z</t>
  </si>
  <si>
    <t>2023-10-03T11:15:00Z</t>
  </si>
  <si>
    <t>2023-10-03T11:30:00Z</t>
  </si>
  <si>
    <t>2023-10-03T11:45:00Z</t>
  </si>
  <si>
    <t>5.4479999999999995</t>
  </si>
  <si>
    <t>2023-10-03T12:00:00Z</t>
  </si>
  <si>
    <t>2023-10-03T12:15:00Z</t>
  </si>
  <si>
    <t>2023-10-03T12:30:00Z</t>
  </si>
  <si>
    <t>2023-10-03T12:45:00Z</t>
  </si>
  <si>
    <t>2023-10-03T13:00:00Z</t>
  </si>
  <si>
    <t>2023-10-03T13:15:00Z</t>
  </si>
  <si>
    <t>2023-10-03T13:30:00Z</t>
  </si>
  <si>
    <t>2023-10-03T13:45:00Z</t>
  </si>
  <si>
    <t>2023-10-03T14:00:00Z</t>
  </si>
  <si>
    <t>2023-10-03T14:15:00Z</t>
  </si>
  <si>
    <t>2023-10-03T14:30:00Z</t>
  </si>
  <si>
    <t>2023-10-03T14:45:00Z</t>
  </si>
  <si>
    <t>2023-10-03T15:00:00Z</t>
  </si>
  <si>
    <t>2023-10-03T15:15:00Z</t>
  </si>
  <si>
    <t>2023-10-03T15:30:00Z</t>
  </si>
  <si>
    <t>2023-10-03T15:45:00Z</t>
  </si>
  <si>
    <t>2023-10-03T16:00:00Z</t>
  </si>
  <si>
    <t>2023-10-03T16:15:00Z</t>
  </si>
  <si>
    <t>2023-10-03T16:30:00Z</t>
  </si>
  <si>
    <t>2023-10-03T16:45:00Z</t>
  </si>
  <si>
    <t>2023-10-03T17:00:00Z</t>
  </si>
  <si>
    <t>2023-10-03T17:15:00Z</t>
  </si>
  <si>
    <t>2023-10-03T17:30:00Z</t>
  </si>
  <si>
    <t>2023-10-03T17:45:00Z</t>
  </si>
  <si>
    <t>2023-10-03T18:00:00Z</t>
  </si>
  <si>
    <t>2023-10-03T18:15:00Z</t>
  </si>
  <si>
    <t>2023-10-03T18:30:00Z</t>
  </si>
  <si>
    <t>2023-10-03T18:45:00Z</t>
  </si>
  <si>
    <t>2023-10-03T19:00:00Z</t>
  </si>
  <si>
    <t>2023-10-03T19:15:00Z</t>
  </si>
  <si>
    <t>4.8614999999999995</t>
  </si>
  <si>
    <t>2023-10-03T19:30:00Z</t>
  </si>
  <si>
    <t>2023-10-03T19:45:00Z</t>
  </si>
  <si>
    <t>2023-10-03T20:00:00Z</t>
  </si>
  <si>
    <t>2023-10-03T20:15:00Z</t>
  </si>
  <si>
    <t>2023-10-03T20:30:00Z</t>
  </si>
  <si>
    <t>2023-10-03T20:45:00Z</t>
  </si>
  <si>
    <t>2023-10-03T21:00:00Z</t>
  </si>
  <si>
    <t>2023-10-03T21:15:00Z</t>
  </si>
  <si>
    <t>2023-10-03T21:30:00Z</t>
  </si>
  <si>
    <t>2023-10-03T21:45:00Z</t>
  </si>
  <si>
    <t>2023-10-03T22:00:00Z</t>
  </si>
  <si>
    <t>2023-10-03T22:15:00Z</t>
  </si>
  <si>
    <t>2023-10-03T22:30:00Z</t>
  </si>
  <si>
    <t>2023-10-03T22:45:00Z</t>
  </si>
  <si>
    <t>2023-10-03T23:00:00Z</t>
  </si>
  <si>
    <t>2023-10-03T23:15:00Z</t>
  </si>
  <si>
    <t>2023-10-03T23:30:00Z</t>
  </si>
  <si>
    <t>2023-10-03T23:45:00Z</t>
  </si>
  <si>
    <t>2023-10-04T00:00:00Z</t>
  </si>
  <si>
    <t>2023-10-04T00:15:00Z</t>
  </si>
  <si>
    <t>4.9415000000000004</t>
  </si>
  <si>
    <t>2023-10-04T00:30:00Z</t>
  </si>
  <si>
    <t>2023-10-04T00:45:00Z</t>
  </si>
  <si>
    <t>2023-10-04T01:00:00Z</t>
  </si>
  <si>
    <t>2023-10-04T01:15:00Z</t>
  </si>
  <si>
    <t>2023-10-04T01:30:00Z</t>
  </si>
  <si>
    <t>2023-10-04T01:45:00Z</t>
  </si>
  <si>
    <t>2023-10-04T02:00:00Z</t>
  </si>
  <si>
    <t>2023-10-04T02:15:00Z</t>
  </si>
  <si>
    <t>2023-10-04T02:30:00Z</t>
  </si>
  <si>
    <t>2023-10-04T02:45:00Z</t>
  </si>
  <si>
    <t>2023-10-04T03:00:00Z</t>
  </si>
  <si>
    <t>5.0504999999999995</t>
  </si>
  <si>
    <t>2023-10-04T03:15:00Z</t>
  </si>
  <si>
    <t>2023-10-04T03:30:00Z</t>
  </si>
  <si>
    <t>2023-10-04T03:45:00Z</t>
  </si>
  <si>
    <t>2023-10-04T04:00:00Z</t>
  </si>
  <si>
    <t>2023-10-04T04:15:00Z</t>
  </si>
  <si>
    <t>2023-10-04T04:30:00Z</t>
  </si>
  <si>
    <t>2023-10-04T04:45:00Z</t>
  </si>
  <si>
    <t>2023-10-04T05:00:00Z</t>
  </si>
  <si>
    <t>2023-10-04T05:15:00Z</t>
  </si>
  <si>
    <t>2023-10-04T05:30:00Z</t>
  </si>
  <si>
    <t>2023-10-04T05:45:00Z</t>
  </si>
  <si>
    <t>2023-10-04T06:00:00Z</t>
  </si>
  <si>
    <t>2023-10-04T06:15:00Z</t>
  </si>
  <si>
    <t>2023-10-04T06:30:00Z</t>
  </si>
  <si>
    <t>2023-10-04T06:45:00Z</t>
  </si>
  <si>
    <t>5.4239999999999995</t>
  </si>
  <si>
    <t>2023-10-04T07:00:00Z</t>
  </si>
  <si>
    <t>2023-10-04T07:15:00Z</t>
  </si>
  <si>
    <t>2023-10-04T07:30:00Z</t>
  </si>
  <si>
    <t>2023-10-04T07:45:00Z</t>
  </si>
  <si>
    <t>2023-10-04T08:00:00Z</t>
  </si>
  <si>
    <t>2023-10-04T08:15:00Z</t>
  </si>
  <si>
    <t>2023-10-04T08:30:00Z</t>
  </si>
  <si>
    <t>2023-10-04T08:45:00Z</t>
  </si>
  <si>
    <t>2023-10-04T09:00:00Z</t>
  </si>
  <si>
    <t>2023-10-04T09:15:00Z</t>
  </si>
  <si>
    <t>2023-10-04T09:30:00Z</t>
  </si>
  <si>
    <t>2023-10-04T09:45:00Z</t>
  </si>
  <si>
    <t>2023-10-04T10:00:00Z</t>
  </si>
  <si>
    <t>2023-10-04T10:15:00Z</t>
  </si>
  <si>
    <t>5.406499999999999</t>
  </si>
  <si>
    <t>2023-10-04T10:30:00Z</t>
  </si>
  <si>
    <t>2023-10-04T10:45:00Z</t>
  </si>
  <si>
    <t>2023-10-04T11:00:00Z</t>
  </si>
  <si>
    <t>2023-10-04T11:15:00Z</t>
  </si>
  <si>
    <t>2023-10-04T11:30:00Z</t>
  </si>
  <si>
    <t>2023-10-04T11:45:00Z</t>
  </si>
  <si>
    <t>2023-10-04T12:00:00Z</t>
  </si>
  <si>
    <t>2023-10-04T12:15:00Z</t>
  </si>
  <si>
    <t>2023-10-04T12:30:00Z</t>
  </si>
  <si>
    <t>2023-10-04T12:45:00Z</t>
  </si>
  <si>
    <t>2023-10-04T13:00:00Z</t>
  </si>
  <si>
    <t>2023-10-04T13:15:00Z</t>
  </si>
  <si>
    <t>2023-10-04T13:30:00Z</t>
  </si>
  <si>
    <t>2023-10-04T13:45:00Z</t>
  </si>
  <si>
    <t>2023-10-04T14:00:00Z</t>
  </si>
  <si>
    <t>2023-10-04T14:15:00Z</t>
  </si>
  <si>
    <t>2023-10-04T14:30:00Z</t>
  </si>
  <si>
    <t>2023-10-04T14:45:00Z</t>
  </si>
  <si>
    <t>2023-10-04T15:00:00Z</t>
  </si>
  <si>
    <t>2023-10-04T15:15:00Z</t>
  </si>
  <si>
    <t>2023-10-04T15:30:00Z</t>
  </si>
  <si>
    <t>2023-10-04T15:45:00Z</t>
  </si>
  <si>
    <t>2023-10-04T16:00:00Z</t>
  </si>
  <si>
    <t>2023-10-04T16:15:00Z</t>
  </si>
  <si>
    <t>2023-10-04T16:30:00Z</t>
  </si>
  <si>
    <t>2023-10-04T16:45:00Z</t>
  </si>
  <si>
    <t>2023-10-04T17:00:00Z</t>
  </si>
  <si>
    <t>2023-10-04T17:15:00Z</t>
  </si>
  <si>
    <t>2023-10-04T17:30:00Z</t>
  </si>
  <si>
    <t>2023-10-04T17:45:00Z</t>
  </si>
  <si>
    <t>2023-10-04T18:00:00Z</t>
  </si>
  <si>
    <t>2023-10-04T18:15:00Z</t>
  </si>
  <si>
    <t>2023-10-04T18:30:00Z</t>
  </si>
  <si>
    <t>2023-10-04T18:45:00Z</t>
  </si>
  <si>
    <t>2023-10-04T19:00:00Z</t>
  </si>
  <si>
    <t>2023-10-04T19:15:00Z</t>
  </si>
  <si>
    <t>2023-10-04T19:30:00Z</t>
  </si>
  <si>
    <t>2023-10-04T19:45:00Z</t>
  </si>
  <si>
    <t>2023-10-04T20:00:00Z</t>
  </si>
  <si>
    <t>2023-10-04T20:15:00Z</t>
  </si>
  <si>
    <t>2023-10-04T20:30:00Z</t>
  </si>
  <si>
    <t>2023-10-04T20:45:00Z</t>
  </si>
  <si>
    <t>2023-10-04T21:00:00Z</t>
  </si>
  <si>
    <t>2023-10-04T21:15:00Z</t>
  </si>
  <si>
    <t>2023-10-04T21:30:00Z</t>
  </si>
  <si>
    <t>2023-10-04T21:45:00Z</t>
  </si>
  <si>
    <t>2023-10-04T22:00:00Z</t>
  </si>
  <si>
    <t>2023-10-04T22:15:00Z</t>
  </si>
  <si>
    <t>2023-10-04T22:30:00Z</t>
  </si>
  <si>
    <t>2023-10-04T22:45:00Z</t>
  </si>
  <si>
    <t>2023-10-04T23:00:00Z</t>
  </si>
  <si>
    <t>2023-10-04T23:15:00Z</t>
  </si>
  <si>
    <t>2023-10-04T23:30:00Z</t>
  </si>
  <si>
    <t>2023-10-04T23:45:00Z</t>
  </si>
  <si>
    <t>2023-10-05T00:00:00Z</t>
  </si>
  <si>
    <t>2023-10-05T00:15:00Z</t>
  </si>
  <si>
    <t>2023-10-05T00:30:00Z</t>
  </si>
  <si>
    <t>2023-10-05T00:45:00Z</t>
  </si>
  <si>
    <t>2023-10-05T01:00:00Z</t>
  </si>
  <si>
    <t>2023-10-05T01:15:00Z</t>
  </si>
  <si>
    <t>4.8100000000000005</t>
  </si>
  <si>
    <t>2023-10-05T01:30:00Z</t>
  </si>
  <si>
    <t>2023-10-05T01:45:00Z</t>
  </si>
  <si>
    <t>2023-10-05T02:00:00Z</t>
  </si>
  <si>
    <t>2023-10-05T02:15:00Z</t>
  </si>
  <si>
    <t>2023-10-05T02:30:00Z</t>
  </si>
  <si>
    <t>2023-10-05T02:45:00Z</t>
  </si>
  <si>
    <t>2023-10-05T03:00:00Z</t>
  </si>
  <si>
    <t>2023-10-05T03:15:00Z</t>
  </si>
  <si>
    <t>2023-10-05T03:30:00Z</t>
  </si>
  <si>
    <t>2023-10-05T03:45:00Z</t>
  </si>
  <si>
    <t>2023-10-05T04:00:00Z</t>
  </si>
  <si>
    <t>2023-10-05T04:15:00Z</t>
  </si>
  <si>
    <t>2023-10-05T04:30:00Z</t>
  </si>
  <si>
    <t>2023-10-05T04:45:00Z</t>
  </si>
  <si>
    <t>2023-10-05T05:00:00Z</t>
  </si>
  <si>
    <t>2023-10-05T05:15:00Z</t>
  </si>
  <si>
    <t>2023-10-05T05:30:00Z</t>
  </si>
  <si>
    <t>2023-10-05T05:45:00Z</t>
  </si>
  <si>
    <t>2023-10-05T06:00:00Z</t>
  </si>
  <si>
    <t>2023-10-05T06:15:00Z</t>
  </si>
  <si>
    <t>5.2284999999999995</t>
  </si>
  <si>
    <t>2023-10-05T06:30:00Z</t>
  </si>
  <si>
    <t>2023-10-05T06:45:00Z</t>
  </si>
  <si>
    <t>2023-10-05T07:00:00Z</t>
  </si>
  <si>
    <t>2023-10-05T07:15:00Z</t>
  </si>
  <si>
    <t>2023-10-05T07:30:00Z</t>
  </si>
  <si>
    <t>2023-10-05T07:45:00Z</t>
  </si>
  <si>
    <t>2023-10-05T08:00:00Z</t>
  </si>
  <si>
    <t>2023-10-05T08:15:00Z</t>
  </si>
  <si>
    <t>2023-10-05T08:30:00Z</t>
  </si>
  <si>
    <t>2023-10-05T08:45:00Z</t>
  </si>
  <si>
    <t>2023-10-05T09:00:00Z</t>
  </si>
  <si>
    <t>2023-10-05T09:15:00Z</t>
  </si>
  <si>
    <t>2023-10-05T09:30:00Z</t>
  </si>
  <si>
    <t>2023-10-05T09:45:00Z</t>
  </si>
  <si>
    <t>2023-10-05T10:00:00Z</t>
  </si>
  <si>
    <t>2023-10-05T10:15:00Z</t>
  </si>
  <si>
    <t>2023-10-05T10:30:00Z</t>
  </si>
  <si>
    <t>2023-10-05T10:45:00Z</t>
  </si>
  <si>
    <t>2023-10-05T11:00:00Z</t>
  </si>
  <si>
    <t>2023-10-05T11:15:00Z</t>
  </si>
  <si>
    <t>2023-10-05T11:30:00Z</t>
  </si>
  <si>
    <t>2023-10-05T11:45:00Z</t>
  </si>
  <si>
    <t>2023-10-05T12:00:00Z</t>
  </si>
  <si>
    <t>2023-10-05T12:15:00Z</t>
  </si>
  <si>
    <t>2023-10-05T12:30:00Z</t>
  </si>
  <si>
    <t>5.2459999999999996</t>
  </si>
  <si>
    <t>2023-10-05T12:45:00Z</t>
  </si>
  <si>
    <t>5.2204999999999995</t>
  </si>
  <si>
    <t>2023-10-05T13:00:00Z</t>
  </si>
  <si>
    <t>2023-10-05T13:15:00Z</t>
  </si>
  <si>
    <t>2023-10-05T13:30:00Z</t>
  </si>
  <si>
    <t>2023-10-05T13:45:00Z</t>
  </si>
  <si>
    <t>2023-10-05T14:00:00Z</t>
  </si>
  <si>
    <t>2023-10-05T14:15:00Z</t>
  </si>
  <si>
    <t>2023-10-05T14:30:00Z</t>
  </si>
  <si>
    <t>5.1754999999999995</t>
  </si>
  <si>
    <t>2023-10-05T14:45:00Z</t>
  </si>
  <si>
    <t>2023-10-05T15:00:00Z</t>
  </si>
  <si>
    <t>2023-10-05T15:15:00Z</t>
  </si>
  <si>
    <t>2023-10-05T15:30:00Z</t>
  </si>
  <si>
    <t>2023-10-05T15:45:00Z</t>
  </si>
  <si>
    <t>2023-10-05T16:00:00Z</t>
  </si>
  <si>
    <t>2023-10-05T16:15:00Z</t>
  </si>
  <si>
    <t>2023-10-05T16:30:00Z</t>
  </si>
  <si>
    <t>2023-10-05T16:45:00Z</t>
  </si>
  <si>
    <t>2023-10-05T17:00:00Z</t>
  </si>
  <si>
    <t>2023-10-05T17:15:00Z</t>
  </si>
  <si>
    <t>2023-10-05T17:30:00Z</t>
  </si>
  <si>
    <t>2023-10-05T17:45:00Z</t>
  </si>
  <si>
    <t>2023-10-05T18:00:00Z</t>
  </si>
  <si>
    <t>2023-10-05T18:15:00Z</t>
  </si>
  <si>
    <t>2023-10-05T18:30:00Z</t>
  </si>
  <si>
    <t>2023-10-05T18:45:00Z</t>
  </si>
  <si>
    <t>2023-10-05T19:00:00Z</t>
  </si>
  <si>
    <t>2023-10-05T19:15:00Z</t>
  </si>
  <si>
    <t>4.6209999999999996</t>
  </si>
  <si>
    <t>2023-10-05T19:30:00Z</t>
  </si>
  <si>
    <t>2023-10-05T19:45:00Z</t>
  </si>
  <si>
    <t>2023-10-05T20:00:00Z</t>
  </si>
  <si>
    <t>2023-10-05T20:15:00Z</t>
  </si>
  <si>
    <t>2023-10-05T20:30:00Z</t>
  </si>
  <si>
    <t>2023-10-05T20:45:00Z</t>
  </si>
  <si>
    <t>2023-10-05T21:00:00Z</t>
  </si>
  <si>
    <t>2023-10-05T21:15:00Z</t>
  </si>
  <si>
    <t>2023-10-05T21:30:00Z</t>
  </si>
  <si>
    <t>2023-10-05T21:45:00Z</t>
  </si>
  <si>
    <t>2023-10-05T22:00:00Z</t>
  </si>
  <si>
    <t>2023-10-05T22:15:00Z</t>
  </si>
  <si>
    <t>2023-10-05T22:30:00Z</t>
  </si>
  <si>
    <t>4.5280000000000005</t>
  </si>
  <si>
    <t>2023-10-05T22:45:00Z</t>
  </si>
  <si>
    <t>2023-10-05T23:00:00Z</t>
  </si>
  <si>
    <t>2023-10-05T23:15:00Z</t>
  </si>
  <si>
    <t>2023-10-05T23:30:00Z</t>
  </si>
  <si>
    <t>2023-10-05T23:45:00Z</t>
  </si>
  <si>
    <t>2023-10-06T00:00:00Z</t>
  </si>
  <si>
    <t>2023-10-06T00:15:00Z</t>
  </si>
  <si>
    <t>4.5729999999999995</t>
  </si>
  <si>
    <t>2023-10-06T00:30:00Z</t>
  </si>
  <si>
    <t>2023-10-06T00:45:00Z</t>
  </si>
  <si>
    <t>2023-10-06T01:00:00Z</t>
  </si>
  <si>
    <t>2023-10-06T01:15:00Z</t>
  </si>
  <si>
    <t>2023-10-06T01:30:00Z</t>
  </si>
  <si>
    <t>2023-10-06T01:45:00Z</t>
  </si>
  <si>
    <t>2023-10-06T02:00:00Z</t>
  </si>
  <si>
    <t>2023-10-06T02:15:00Z</t>
  </si>
  <si>
    <t>2023-10-06T02:30:00Z</t>
  </si>
  <si>
    <t>2023-10-06T02:45:00Z</t>
  </si>
  <si>
    <t>2023-10-06T03:00:00Z</t>
  </si>
  <si>
    <t>2023-10-06T03:15:00Z</t>
  </si>
  <si>
    <t>2023-10-06T03:30:00Z</t>
  </si>
  <si>
    <t>2023-10-06T03:45:00Z</t>
  </si>
  <si>
    <t>2023-10-06T04:00:00Z</t>
  </si>
  <si>
    <t>2023-10-06T04:15:00Z</t>
  </si>
  <si>
    <t>2023-10-06T04:30:00Z</t>
  </si>
  <si>
    <t>2023-10-06T04:45:00Z</t>
  </si>
  <si>
    <t>2023-10-06T05:00:00Z</t>
  </si>
  <si>
    <t>2023-10-06T05:15:00Z</t>
  </si>
  <si>
    <t>2023-10-06T05:30:00Z</t>
  </si>
  <si>
    <t>2023-10-06T05:45:00Z</t>
  </si>
  <si>
    <t>2023-10-06T06:00:00Z</t>
  </si>
  <si>
    <t>2023-10-06T06:15:00Z</t>
  </si>
  <si>
    <t>2023-10-06T06:30:00Z</t>
  </si>
  <si>
    <t>2023-10-06T06:45:00Z</t>
  </si>
  <si>
    <t>2023-10-06T07:00:00Z</t>
  </si>
  <si>
    <t>2023-10-06T07:15:00Z</t>
  </si>
  <si>
    <t>2023-10-06T07:30:00Z</t>
  </si>
  <si>
    <t>2023-10-06T07:45:00Z</t>
  </si>
  <si>
    <t>2023-10-06T08:00:00Z</t>
  </si>
  <si>
    <t>2023-10-06T08:15:00Z</t>
  </si>
  <si>
    <t>2023-10-06T08:30:00Z</t>
  </si>
  <si>
    <t>2023-10-06T08:45:00Z</t>
  </si>
  <si>
    <t>2023-10-06T09:00:00Z</t>
  </si>
  <si>
    <t>2023-10-06T09:15:00Z</t>
  </si>
  <si>
    <t>2023-10-06T09:30:00Z</t>
  </si>
  <si>
    <t>5.1915000000000004</t>
  </si>
  <si>
    <t>2023-10-06T09:45:00Z</t>
  </si>
  <si>
    <t>2023-10-06T10:00:00Z</t>
  </si>
  <si>
    <t>2023-10-06T10:15:00Z</t>
  </si>
  <si>
    <t>2023-10-06T10:30:00Z</t>
  </si>
  <si>
    <t>2023-10-06T10:45:00Z</t>
  </si>
  <si>
    <t>2023-10-06T11:00:00Z</t>
  </si>
  <si>
    <t>2023-10-06T11:15:00Z</t>
  </si>
  <si>
    <t>2023-10-06T11:30:00Z</t>
  </si>
  <si>
    <t>2023-10-06T11:45:00Z</t>
  </si>
  <si>
    <t>2023-10-06T12:00:00Z</t>
  </si>
  <si>
    <t>2023-10-06T12:15:00Z</t>
  </si>
  <si>
    <t>2023-10-06T12:30:00Z</t>
  </si>
  <si>
    <t>2023-10-06T12:45:00Z</t>
  </si>
  <si>
    <t>2023-10-06T13:00:00Z</t>
  </si>
  <si>
    <t>2023-10-06T13:15:00Z</t>
  </si>
  <si>
    <t>2023-10-06T13:30:00Z</t>
  </si>
  <si>
    <t>2023-10-06T13:45:00Z</t>
  </si>
  <si>
    <t>2023-10-06T14:00:00Z</t>
  </si>
  <si>
    <t>2023-10-06T14:15:00Z</t>
  </si>
  <si>
    <t>2023-10-06T14:30:00Z</t>
  </si>
  <si>
    <t>2023-10-06T14:45:00Z</t>
  </si>
  <si>
    <t>2023-10-06T15:00:00Z</t>
  </si>
  <si>
    <t>2023-10-06T15:15:00Z</t>
  </si>
  <si>
    <t>2023-10-06T15:30:00Z</t>
  </si>
  <si>
    <t>2023-10-06T15:45:00Z</t>
  </si>
  <si>
    <t>2023-10-06T16:00:00Z</t>
  </si>
  <si>
    <t>2023-10-06T16:15:00Z</t>
  </si>
  <si>
    <t>2023-10-06T16:30:00Z</t>
  </si>
  <si>
    <t>2023-10-06T16:45:00Z</t>
  </si>
  <si>
    <t>2023-10-06T17:00:00Z</t>
  </si>
  <si>
    <t>2023-10-06T17:15:00Z</t>
  </si>
  <si>
    <t>2023-10-06T17:30:00Z</t>
  </si>
  <si>
    <t>2023-10-06T17:45:00Z</t>
  </si>
  <si>
    <t>2023-10-06T18:00:00Z</t>
  </si>
  <si>
    <t>2023-10-06T18:15:00Z</t>
  </si>
  <si>
    <t>2023-10-06T18:30:00Z</t>
  </si>
  <si>
    <t>2023-10-06T18:45:00Z</t>
  </si>
  <si>
    <t>2023-10-06T19:00:00Z</t>
  </si>
  <si>
    <t>2023-10-06T19:15:00Z</t>
  </si>
  <si>
    <t>4.6049999999999995</t>
  </si>
  <si>
    <t>2023-10-06T19:30:00Z</t>
  </si>
  <si>
    <t>2023-10-06T19:45:00Z</t>
  </si>
  <si>
    <t>2023-10-06T20:00:00Z</t>
  </si>
  <si>
    <t>4.5649999999999995</t>
  </si>
  <si>
    <t>2023-10-06T20:15:00Z</t>
  </si>
  <si>
    <t>2023-10-06T20:30:00Z</t>
  </si>
  <si>
    <t>2023-10-06T20:45:00Z</t>
  </si>
  <si>
    <t>2023-10-06T21:00:00Z</t>
  </si>
  <si>
    <t>2023-10-06T21:15:00Z</t>
  </si>
  <si>
    <t>2023-10-06T21:30:00Z</t>
  </si>
  <si>
    <t>2023-10-06T21:45:00Z</t>
  </si>
  <si>
    <t>2023-10-06T22:00:00Z</t>
  </si>
  <si>
    <t>2023-10-06T22:30:00Z</t>
  </si>
  <si>
    <t>2023-10-06T22:45:00Z</t>
  </si>
  <si>
    <t>2023-10-06T23:00:00Z</t>
  </si>
  <si>
    <t>2023-10-06T23:15:00Z</t>
  </si>
  <si>
    <t>2023-10-06T23:30:00Z</t>
  </si>
  <si>
    <t>2023-10-06T23:45:00Z</t>
  </si>
  <si>
    <t>2023-10-07T00:00:00Z</t>
  </si>
  <si>
    <t>2023-10-07T00:15:00Z</t>
  </si>
  <si>
    <t>2023-10-07T00:30:00Z</t>
  </si>
  <si>
    <t>2023-10-07T00:45:00Z</t>
  </si>
  <si>
    <t>2023-10-07T01:00:00Z</t>
  </si>
  <si>
    <t>2023-10-07T01:15:00Z</t>
  </si>
  <si>
    <t>2023-10-07T01:30:00Z</t>
  </si>
  <si>
    <t>2023-10-07T01:45:00Z</t>
  </si>
  <si>
    <t>2023-10-07T02:00:00Z</t>
  </si>
  <si>
    <t>2023-10-07T02:15:00Z</t>
  </si>
  <si>
    <t>2023-10-07T02:30:00Z</t>
  </si>
  <si>
    <t>2023-10-07T02:45:00Z</t>
  </si>
  <si>
    <t>2023-10-07T03:00:00Z</t>
  </si>
  <si>
    <t>2023-10-07T03:15:00Z</t>
  </si>
  <si>
    <t>2023-10-07T03:30:00Z</t>
  </si>
  <si>
    <t>2023-10-07T03:45:00Z</t>
  </si>
  <si>
    <t>2023-10-07T04:00:00Z</t>
  </si>
  <si>
    <t>2023-10-07T04:15:00Z</t>
  </si>
  <si>
    <t>2023-10-07T04:30:00Z</t>
  </si>
  <si>
    <t>2023-10-07T04:45:00Z</t>
  </si>
  <si>
    <t>2023-10-07T05:00:00Z</t>
  </si>
  <si>
    <t>2023-10-07T05:15:00Z</t>
  </si>
  <si>
    <t>2023-10-07T05:30:00Z</t>
  </si>
  <si>
    <t>2023-10-07T05:45:00Z</t>
  </si>
  <si>
    <t>2023-10-07T06:00:00Z</t>
  </si>
  <si>
    <t>2023-10-07T06:15:00Z</t>
  </si>
  <si>
    <t>2023-10-07T06:30:00Z</t>
  </si>
  <si>
    <t>5.4864999999999995</t>
  </si>
  <si>
    <t>2023-10-07T06:45:00Z</t>
  </si>
  <si>
    <t>2023-10-07T07:00:00Z</t>
  </si>
  <si>
    <t>2023-10-07T07:15:00Z</t>
  </si>
  <si>
    <t>2023-10-07T07:30:00Z</t>
  </si>
  <si>
    <t>2023-10-07T07:45:00Z</t>
  </si>
  <si>
    <t>2023-10-07T08:00:00Z</t>
  </si>
  <si>
    <t>2023-10-07T08:15:00Z</t>
  </si>
  <si>
    <t>2023-10-07T08:30:00Z</t>
  </si>
  <si>
    <t>2023-10-07T08:45:00Z</t>
  </si>
  <si>
    <t>2023-10-07T09:00:00Z</t>
  </si>
  <si>
    <t>5.4495000000000005</t>
  </si>
  <si>
    <t>2023-10-07T09:15:00Z</t>
  </si>
  <si>
    <t>2023-10-07T09:30:00Z</t>
  </si>
  <si>
    <t>2023-10-07T09:45:00Z</t>
  </si>
  <si>
    <t>5.4174999999999995</t>
  </si>
  <si>
    <t>2023-10-07T10:00:00Z</t>
  </si>
  <si>
    <t>2023-10-07T10:15:00Z</t>
  </si>
  <si>
    <t>2023-10-07T10:30:00Z</t>
  </si>
  <si>
    <t>2023-10-07T10:45:00Z</t>
  </si>
  <si>
    <t>2023-10-07T11:00:00Z</t>
  </si>
  <si>
    <t>2023-10-07T11:15:00Z</t>
  </si>
  <si>
    <t>2023-10-07T11:30:00Z</t>
  </si>
  <si>
    <t>2023-10-07T11:45:00Z</t>
  </si>
  <si>
    <t>2023-10-07T12:00:00Z</t>
  </si>
  <si>
    <t>2023-10-07T12:15:00Z</t>
  </si>
  <si>
    <t>2023-10-07T12:30:00Z</t>
  </si>
  <si>
    <t>2023-10-07T12:45:00Z</t>
  </si>
  <si>
    <t>2023-10-07T13:00:00Z</t>
  </si>
  <si>
    <t>2023-10-07T13:15:00Z</t>
  </si>
  <si>
    <t>2023-10-07T13:30:00Z</t>
  </si>
  <si>
    <t>2023-10-07T13:45:00Z</t>
  </si>
  <si>
    <t>2023-10-07T14:00:00Z</t>
  </si>
  <si>
    <t>2023-10-07T14:15:00Z</t>
  </si>
  <si>
    <t>2023-10-07T14:30:00Z</t>
  </si>
  <si>
    <t>2023-10-07T14:45:00Z</t>
  </si>
  <si>
    <t>2023-10-07T15:00:00Z</t>
  </si>
  <si>
    <t>2023-10-07T15:15:00Z</t>
  </si>
  <si>
    <t>2023-10-07T15:30:00Z</t>
  </si>
  <si>
    <t>2023-10-07T15:45:00Z</t>
  </si>
  <si>
    <t>2023-10-07T16:00:00Z</t>
  </si>
  <si>
    <t>2023-10-07T16:15:00Z</t>
  </si>
  <si>
    <t>2023-10-07T16:30:00Z</t>
  </si>
  <si>
    <t>5.0584999999999996</t>
  </si>
  <si>
    <t>2023-10-07T16:45:00Z</t>
  </si>
  <si>
    <t>2023-10-07T17:00:00Z</t>
  </si>
  <si>
    <t>2023-10-07T17:15:00Z</t>
  </si>
  <si>
    <t>2023-10-07T17:30:00Z</t>
  </si>
  <si>
    <t>2023-10-07T17:45:00Z</t>
  </si>
  <si>
    <t>2023-10-07T18:00:00Z</t>
  </si>
  <si>
    <t>2023-10-07T18:15:00Z</t>
  </si>
  <si>
    <t>2023-10-07T18:30:00Z</t>
  </si>
  <si>
    <t>2023-10-07T18:45:00Z</t>
  </si>
  <si>
    <t>2023-10-07T19:00:00Z</t>
  </si>
  <si>
    <t>2023-10-07T19:15:00Z</t>
  </si>
  <si>
    <t>4.6530000000000005</t>
  </si>
  <si>
    <t>2023-10-07T19:30:00Z</t>
  </si>
  <si>
    <t>2023-10-07T19:45:00Z</t>
  </si>
  <si>
    <t>2023-10-07T20:00:00Z</t>
  </si>
  <si>
    <t>2023-10-07T20:15:00Z</t>
  </si>
  <si>
    <t>2023-10-07T20:30:00Z</t>
  </si>
  <si>
    <t>2023-10-07T20:45:00Z</t>
  </si>
  <si>
    <t>2023-10-07T21:00:00Z</t>
  </si>
  <si>
    <t>2023-10-07T21:15:00Z</t>
  </si>
  <si>
    <t>2023-10-07T21:30:00Z</t>
  </si>
  <si>
    <t>2023-10-07T21:45:00Z</t>
  </si>
  <si>
    <t>2023-10-07T22:00:00Z</t>
  </si>
  <si>
    <t>2023-10-07T22:15:00Z</t>
  </si>
  <si>
    <t>2023-10-07T22:30:00Z</t>
  </si>
  <si>
    <t>2023-10-07T22:45:00Z</t>
  </si>
  <si>
    <t>2023-10-07T23:00:00Z</t>
  </si>
  <si>
    <t>2023-10-07T23:15:00Z</t>
  </si>
  <si>
    <t>4.6610000000000005</t>
  </si>
  <si>
    <t>2023-10-07T23:30:00Z</t>
  </si>
  <si>
    <t>2023-10-07T23:45:00Z</t>
  </si>
  <si>
    <t>2023-10-08T00:00:00Z</t>
  </si>
  <si>
    <t>2023-10-08T00:15:00Z</t>
  </si>
  <si>
    <t>2023-10-08T00:30:00Z</t>
  </si>
  <si>
    <t>2023-10-08T00:45:00Z</t>
  </si>
  <si>
    <t>2023-10-08T01:00:00Z</t>
  </si>
  <si>
    <t>2023-10-08T01:15:00Z</t>
  </si>
  <si>
    <t>2023-10-08T01:30:00Z</t>
  </si>
  <si>
    <t>2023-10-08T01:45:00Z</t>
  </si>
  <si>
    <t>2023-10-08T02:00:00Z</t>
  </si>
  <si>
    <t>2023-10-08T02:15:00Z</t>
  </si>
  <si>
    <t>2023-10-08T02:30:00Z</t>
  </si>
  <si>
    <t>2023-10-08T02:45:00Z</t>
  </si>
  <si>
    <t>2023-10-08T03:00:00Z</t>
  </si>
  <si>
    <t>2023-10-08T03:15:00Z</t>
  </si>
  <si>
    <t>2023-10-08T03:30:00Z</t>
  </si>
  <si>
    <t>2023-10-08T03:45:00Z</t>
  </si>
  <si>
    <t>2023-10-08T04:00:00Z</t>
  </si>
  <si>
    <t>2023-10-08T04:15:00Z</t>
  </si>
  <si>
    <t>2023-10-08T04:30:00Z</t>
  </si>
  <si>
    <t>2023-10-08T04:45:00Z</t>
  </si>
  <si>
    <t>2023-10-08T05:00:00Z</t>
  </si>
  <si>
    <t>2023-10-08T05:15:00Z</t>
  </si>
  <si>
    <t>2023-10-08T05:30:00Z</t>
  </si>
  <si>
    <t>2023-10-08T05:45:00Z</t>
  </si>
  <si>
    <t>2023-10-08T06:00:00Z</t>
  </si>
  <si>
    <t>2023-10-08T06:15:00Z</t>
  </si>
  <si>
    <t>2023-10-08T06:30:00Z</t>
  </si>
  <si>
    <t>2023-10-08T06:45:00Z</t>
  </si>
  <si>
    <t>2023-10-08T07:00:00Z</t>
  </si>
  <si>
    <t>2023-10-08T07:15:00Z</t>
  </si>
  <si>
    <t>2023-10-08T07:30:00Z</t>
  </si>
  <si>
    <t>2023-10-08T07:45:00Z</t>
  </si>
  <si>
    <t>2023-10-08T08:00:00Z</t>
  </si>
  <si>
    <t>5.3420000000000005</t>
  </si>
  <si>
    <t>2023-10-08T08:15:00Z</t>
  </si>
  <si>
    <t>2023-10-08T08:30:00Z</t>
  </si>
  <si>
    <t>2023-10-08T08:45:00Z</t>
  </si>
  <si>
    <t>2023-10-08T09:00:00Z</t>
  </si>
  <si>
    <t>2023-10-08T09:15:00Z</t>
  </si>
  <si>
    <t>2023-10-08T09:30:00Z</t>
  </si>
  <si>
    <t>2023-10-08T09:45:00Z</t>
  </si>
  <si>
    <t>2023-10-08T10:00:00Z</t>
  </si>
  <si>
    <t>2023-10-08T10:15:00Z</t>
  </si>
  <si>
    <t>2023-10-08T10:30:00Z</t>
  </si>
  <si>
    <t>5.2669999999999995</t>
  </si>
  <si>
    <t>2023-10-08T10:45:00Z</t>
  </si>
  <si>
    <t>2023-10-08T11:00:00Z</t>
  </si>
  <si>
    <t>2023-10-08T11:15:00Z</t>
  </si>
  <si>
    <t>2023-10-08T11:30:00Z</t>
  </si>
  <si>
    <t>2023-10-08T11:45:00Z</t>
  </si>
  <si>
    <t>2023-10-08T12:00:00Z</t>
  </si>
  <si>
    <t>2023-10-08T12:15:00Z</t>
  </si>
  <si>
    <t>2023-10-08T12:30:00Z</t>
  </si>
  <si>
    <t>2023-10-08T12:45:00Z</t>
  </si>
  <si>
    <t>2023-10-08T13:00:00Z</t>
  </si>
  <si>
    <t>2023-10-08T13:15:00Z</t>
  </si>
  <si>
    <t>2023-10-08T13:30:00Z</t>
  </si>
  <si>
    <t>2023-10-08T13:45:00Z</t>
  </si>
  <si>
    <t>2023-10-08T14:00:00Z</t>
  </si>
  <si>
    <t>2023-10-08T14:15:00Z</t>
  </si>
  <si>
    <t>2023-10-08T14:30:00Z</t>
  </si>
  <si>
    <t>2023-10-08T14:45:00Z</t>
  </si>
  <si>
    <t>2023-10-08T15:00:00Z</t>
  </si>
  <si>
    <t>2023-10-08T15:15:00Z</t>
  </si>
  <si>
    <t>2023-10-08T15:30:00Z</t>
  </si>
  <si>
    <t>2023-10-08T15:45:00Z</t>
  </si>
  <si>
    <t>2023-10-08T16:00:00Z</t>
  </si>
  <si>
    <t>2023-10-08T16:15:00Z</t>
  </si>
  <si>
    <t>2023-10-08T16:30:00Z</t>
  </si>
  <si>
    <t>2023-10-08T16:45:00Z</t>
  </si>
  <si>
    <t>2023-10-08T17:00:00Z</t>
  </si>
  <si>
    <t>2023-10-08T17:15:00Z</t>
  </si>
  <si>
    <t>2023-10-08T17:30:00Z</t>
  </si>
  <si>
    <t>2023-10-08T17:45:00Z</t>
  </si>
  <si>
    <t>2023-10-08T18:00:00Z</t>
  </si>
  <si>
    <t>2023-10-08T18:15:00Z</t>
  </si>
  <si>
    <t>2023-10-08T18:30:00Z</t>
  </si>
  <si>
    <t>2023-10-08T18:45:00Z</t>
  </si>
  <si>
    <t>2023-10-08T19:00:00Z</t>
  </si>
  <si>
    <t>2023-10-08T19:15:00Z</t>
  </si>
  <si>
    <t>2023-10-08T19:30:00Z</t>
  </si>
  <si>
    <t>2023-10-08T19:45:00Z</t>
  </si>
  <si>
    <t>2023-10-08T20:00:00Z</t>
  </si>
  <si>
    <t>2023-10-08T20:15:00Z</t>
  </si>
  <si>
    <t>2023-10-08T20:30:00Z</t>
  </si>
  <si>
    <t>2023-10-08T20:45:00Z</t>
  </si>
  <si>
    <t>2023-10-08T21:00:00Z</t>
  </si>
  <si>
    <t>2023-10-08T21:15:00Z</t>
  </si>
  <si>
    <t>2023-10-08T21:30:00Z</t>
  </si>
  <si>
    <t>2023-10-08T21:45:00Z</t>
  </si>
  <si>
    <t>2023-10-08T22:00:00Z</t>
  </si>
  <si>
    <t>2023-10-08T22:15:00Z</t>
  </si>
  <si>
    <t>2023-10-08T22:30:00Z</t>
  </si>
  <si>
    <t>2023-10-08T22:45:00Z</t>
  </si>
  <si>
    <t>2023-10-08T23:00:00Z</t>
  </si>
  <si>
    <t>2023-10-08T23:15:00Z</t>
  </si>
  <si>
    <t>2023-10-08T23:30:00Z</t>
  </si>
  <si>
    <t>2023-10-08T23:45:00Z</t>
  </si>
  <si>
    <t>2023-10-09T00:00:00Z</t>
  </si>
  <si>
    <t>2023-10-09T00:15:00Z</t>
  </si>
  <si>
    <t>2023-10-09T00:30:00Z</t>
  </si>
  <si>
    <t>2023-10-09T00:45:00Z</t>
  </si>
  <si>
    <t>2023-10-09T01:00:00Z</t>
  </si>
  <si>
    <t>2023-10-09T01:15:00Z</t>
  </si>
  <si>
    <t>2023-10-09T01:30:00Z</t>
  </si>
  <si>
    <t>2023-10-09T01:45:00Z</t>
  </si>
  <si>
    <t>2023-10-09T02:00:00Z</t>
  </si>
  <si>
    <t>2023-10-09T02:15:00Z</t>
  </si>
  <si>
    <t>2023-10-09T02:30:00Z</t>
  </si>
  <si>
    <t>2023-10-09T02:45:00Z</t>
  </si>
  <si>
    <t>2023-10-09T03:00:00Z</t>
  </si>
  <si>
    <t>2023-10-09T03:15:00Z</t>
  </si>
  <si>
    <t>2023-10-09T03:30:00Z</t>
  </si>
  <si>
    <t>2023-10-09T03:45:00Z</t>
  </si>
  <si>
    <t>2023-10-09T04:00:00Z</t>
  </si>
  <si>
    <t>2023-10-09T04:15:00Z</t>
  </si>
  <si>
    <t>2023-10-09T04:30:00Z</t>
  </si>
  <si>
    <t>2023-10-09T04:45:00Z</t>
  </si>
  <si>
    <t>2023-10-09T05:00:00Z</t>
  </si>
  <si>
    <t>2023-10-09T05:15:00Z</t>
  </si>
  <si>
    <t>2023-10-09T05:30:00Z</t>
  </si>
  <si>
    <t>2023-10-09T05:45:00Z</t>
  </si>
  <si>
    <t>2023-10-09T06:00:00Z</t>
  </si>
  <si>
    <t>2023-10-09T06:15:00Z</t>
  </si>
  <si>
    <t>2023-10-09T06:30:00Z</t>
  </si>
  <si>
    <t>2023-10-09T06:45:00Z</t>
  </si>
  <si>
    <t>2023-10-09T07:00:00Z</t>
  </si>
  <si>
    <t>2023-10-09T07:15:00Z</t>
  </si>
  <si>
    <t>2023-10-09T07:30:00Z</t>
  </si>
  <si>
    <t>2023-10-09T07:45:00Z</t>
  </si>
  <si>
    <t>2023-10-09T08:00:00Z</t>
  </si>
  <si>
    <t>2023-10-09T08:15:00Z</t>
  </si>
  <si>
    <t>2023-10-09T08:30:00Z</t>
  </si>
  <si>
    <t>2023-10-09T08:45:00Z</t>
  </si>
  <si>
    <t>2023-10-09T09:00:00Z</t>
  </si>
  <si>
    <t>2023-10-09T09:15:00Z</t>
  </si>
  <si>
    <t>2023-10-09T09:30:00Z</t>
  </si>
  <si>
    <t>2023-10-09T09:45:00Z</t>
  </si>
  <si>
    <t>2023-10-09T10:00:00Z</t>
  </si>
  <si>
    <t>2023-10-09T10:15:00Z</t>
  </si>
  <si>
    <t>2023-10-09T10:30:00Z</t>
  </si>
  <si>
    <t>2023-10-09T10:45:00Z</t>
  </si>
  <si>
    <t>2023-10-09T11:00:00Z</t>
  </si>
  <si>
    <t>2023-10-09T11:15:00Z</t>
  </si>
  <si>
    <t>2023-10-09T11:30:00Z</t>
  </si>
  <si>
    <t>2023-10-09T11:45:00Z</t>
  </si>
  <si>
    <t>5.0745000000000005</t>
  </si>
  <si>
    <t>2023-10-09T12:00:00Z</t>
  </si>
  <si>
    <t>2023-10-09T12:15:00Z</t>
  </si>
  <si>
    <t>2023-10-09T12:30:00Z</t>
  </si>
  <si>
    <t>2023-10-09T12:45:00Z</t>
  </si>
  <si>
    <t>2023-10-09T13:00:00Z</t>
  </si>
  <si>
    <t>2023-10-09T13:15:00Z</t>
  </si>
  <si>
    <t>2023-10-09T13:30:00Z</t>
  </si>
  <si>
    <t>2023-10-09T13:45:00Z</t>
  </si>
  <si>
    <t>2023-10-09T14:00:00Z</t>
  </si>
  <si>
    <t>5.0489999999999995</t>
  </si>
  <si>
    <t>2023-10-09T14:15:00Z</t>
  </si>
  <si>
    <t>2023-10-09T14:30:00Z</t>
  </si>
  <si>
    <t>2023-10-09T14:45:00Z</t>
  </si>
  <si>
    <t>0.070929999999999993</t>
  </si>
  <si>
    <t>2023-10-09T15:00:00Z</t>
  </si>
  <si>
    <t>2023-10-09T15:15:00Z</t>
  </si>
  <si>
    <t>2023-10-09T15:30:00Z</t>
  </si>
  <si>
    <t>2023-10-09T15:45:00Z</t>
  </si>
  <si>
    <t>2023-10-09T16:00:00Z</t>
  </si>
  <si>
    <t>2023-10-09T16:15:00Z</t>
  </si>
  <si>
    <t>2023-10-09T16:30:00Z</t>
  </si>
  <si>
    <t>2023-10-09T16:45:00Z</t>
  </si>
  <si>
    <t>2023-10-09T17:00:00Z</t>
  </si>
  <si>
    <t>2023-10-09T17:15:00Z</t>
  </si>
  <si>
    <t>2023-10-09T17:30:00Z</t>
  </si>
  <si>
    <t>2023-10-09T17:45:00Z</t>
  </si>
  <si>
    <t>2023-10-09T18:00:00Z</t>
  </si>
  <si>
    <t>4.5249999999999995</t>
  </si>
  <si>
    <t>2023-10-09T18:15:00Z</t>
  </si>
  <si>
    <t>2023-10-09T18:30:00Z</t>
  </si>
  <si>
    <t>2023-10-09T18:45:00Z</t>
  </si>
  <si>
    <t>2023-10-09T19:00:00Z</t>
  </si>
  <si>
    <t>2023-10-09T19:15:00Z</t>
  </si>
  <si>
    <t>2023-10-09T19:30:00Z</t>
  </si>
  <si>
    <t>2023-10-09T19:45:00Z</t>
  </si>
  <si>
    <t>2023-10-09T20:00:00Z</t>
  </si>
  <si>
    <t>2023-10-09T20:15:00Z</t>
  </si>
  <si>
    <t>2023-10-09T20:30:00Z</t>
  </si>
  <si>
    <t>2023-10-09T20:45:00Z</t>
  </si>
  <si>
    <t>2023-10-09T21:00:00Z</t>
  </si>
  <si>
    <t>2023-10-09T21:15:00Z</t>
  </si>
  <si>
    <t>2023-10-09T21:30:00Z</t>
  </si>
  <si>
    <t>2023-10-09T21:45:00Z</t>
  </si>
  <si>
    <t>2023-10-09T22:00:00Z</t>
  </si>
  <si>
    <t>2023-10-09T22:15:00Z</t>
  </si>
  <si>
    <t>2023-10-09T22:30:00Z</t>
  </si>
  <si>
    <t>4.3870000000000005</t>
  </si>
  <si>
    <t>2023-10-09T22:45:00Z</t>
  </si>
  <si>
    <t>2023-10-09T23:00:00Z</t>
  </si>
  <si>
    <t>2023-10-09T23:15:00Z</t>
  </si>
  <si>
    <t>2023-10-09T23:30:00Z</t>
  </si>
  <si>
    <t>2023-10-09T23:45:00Z</t>
  </si>
  <si>
    <t>4.3950000000000005</t>
  </si>
  <si>
    <t>2023-10-10T00:00:00Z</t>
  </si>
  <si>
    <t>2023-10-10T00:15:00Z</t>
  </si>
  <si>
    <t>2023-10-10T00:30:00Z</t>
  </si>
  <si>
    <t>2023-10-10T00:45:00Z</t>
  </si>
  <si>
    <t>2023-10-10T01:00:00Z</t>
  </si>
  <si>
    <t>2023-10-10T01:15:00Z</t>
  </si>
  <si>
    <t>2023-10-10T01:30:00Z</t>
  </si>
  <si>
    <t>2023-10-10T01:45:00Z</t>
  </si>
  <si>
    <t>2023-10-10T02:00:00Z</t>
  </si>
  <si>
    <t>2023-10-10T02:15:00Z</t>
  </si>
  <si>
    <t>2023-10-10T02:30:00Z</t>
  </si>
  <si>
    <t>2023-10-10T02:45:00Z</t>
  </si>
  <si>
    <t>2023-10-10T03:00:00Z</t>
  </si>
  <si>
    <t>2023-10-10T03:15:00Z</t>
  </si>
  <si>
    <t>2023-10-10T03:30:00Z</t>
  </si>
  <si>
    <t>4.7764999999999995</t>
  </si>
  <si>
    <t>2023-10-10T03:45:00Z</t>
  </si>
  <si>
    <t>2023-10-10T04:00:00Z</t>
  </si>
  <si>
    <t>2023-10-10T04:15:00Z</t>
  </si>
  <si>
    <t>2023-10-10T04:30:00Z</t>
  </si>
  <si>
    <t>2023-10-10T04:45:00Z</t>
  </si>
  <si>
    <t>2023-10-10T05:00:00Z</t>
  </si>
  <si>
    <t>2023-10-10T05:15:00Z</t>
  </si>
  <si>
    <t>2023-10-10T05:30:00Z</t>
  </si>
  <si>
    <t>2023-10-10T05:45:00Z</t>
  </si>
  <si>
    <t>2023-10-10T06:00:00Z</t>
  </si>
  <si>
    <t>2023-10-10T06:15:00Z</t>
  </si>
  <si>
    <t>2023-10-10T06:30:00Z</t>
  </si>
  <si>
    <t>2023-10-10T06:45:00Z</t>
  </si>
  <si>
    <t>2023-10-10T07:00:00Z</t>
  </si>
  <si>
    <t>2023-10-10T07:15:00Z</t>
  </si>
  <si>
    <t>2023-10-10T07:30:00Z</t>
  </si>
  <si>
    <t>2023-10-10T07:45:00Z</t>
  </si>
  <si>
    <t>2023-10-10T08:00:00Z</t>
  </si>
  <si>
    <t>2023-10-10T08:15:00Z</t>
  </si>
  <si>
    <t>2023-10-10T08:30:00Z</t>
  </si>
  <si>
    <t>2023-10-10T08:45:00Z</t>
  </si>
  <si>
    <t>2023-10-10T09:00:00Z</t>
  </si>
  <si>
    <t>2023-10-10T09:15:00Z</t>
  </si>
  <si>
    <t>2023-10-10T09:30:00Z</t>
  </si>
  <si>
    <t>2023-10-10T09:45:00Z</t>
  </si>
  <si>
    <t>2023-10-10T10:00:00Z</t>
  </si>
  <si>
    <t>2023-10-10T10:15:00Z</t>
  </si>
  <si>
    <t>2023-10-10T10:30:00Z</t>
  </si>
  <si>
    <t>2023-10-10T10:45:00Z</t>
  </si>
  <si>
    <t>2023-10-10T11:00:00Z</t>
  </si>
  <si>
    <t>2023-10-10T11:15:00Z</t>
  </si>
  <si>
    <t>2023-10-10T11:30:00Z</t>
  </si>
  <si>
    <t>2023-10-10T11:45:00Z</t>
  </si>
  <si>
    <t>2023-10-10T12:00:00Z</t>
  </si>
  <si>
    <t>2023-10-10T12:15:00Z</t>
  </si>
  <si>
    <t>2023-10-10T12:30:00Z</t>
  </si>
  <si>
    <t>2023-10-10T12:45:00Z</t>
  </si>
  <si>
    <t>2023-10-10T13:00:00Z</t>
  </si>
  <si>
    <t>2023-10-10T13:15:00Z</t>
  </si>
  <si>
    <t>2023-10-10T13:30:00Z</t>
  </si>
  <si>
    <t>2023-10-10T13:45:00Z</t>
  </si>
  <si>
    <t>2023-10-10T14:00:00Z</t>
  </si>
  <si>
    <t>2023-10-10T14:15:00Z</t>
  </si>
  <si>
    <t>2023-10-10T14:30:00Z</t>
  </si>
  <si>
    <t>2023-10-10T14:45:00Z</t>
  </si>
  <si>
    <t>2023-10-10T15:00:00Z</t>
  </si>
  <si>
    <t>2023-10-10T15:15:00Z</t>
  </si>
  <si>
    <t>2023-10-10T15:30:00Z</t>
  </si>
  <si>
    <t>2023-10-10T15:45:00Z</t>
  </si>
  <si>
    <t>2023-10-10T16:00:00Z</t>
  </si>
  <si>
    <t>2023-10-10T16:15:00Z</t>
  </si>
  <si>
    <t>2023-10-10T16:30:00Z</t>
  </si>
  <si>
    <t>2023-10-10T16:45:00Z</t>
  </si>
  <si>
    <t>2023-10-10T17:00:00Z</t>
  </si>
  <si>
    <t>2023-10-10T17:15:00Z</t>
  </si>
  <si>
    <t>2023-10-10T17:30:00Z</t>
  </si>
  <si>
    <t>2023-10-10T17:45:00Z</t>
  </si>
  <si>
    <t>2023-10-10T18:00:00Z</t>
  </si>
  <si>
    <t>2023-10-10T18:15:00Z</t>
  </si>
  <si>
    <t>2023-10-10T18:30:00Z</t>
  </si>
  <si>
    <t>2023-10-10T18:45:00Z</t>
  </si>
  <si>
    <t>4.5440000000000005</t>
  </si>
  <si>
    <t>2023-10-10T19:00:00Z</t>
  </si>
  <si>
    <t>2023-10-10T19:15:00Z</t>
  </si>
  <si>
    <t>2023-10-10T19:30:00Z</t>
  </si>
  <si>
    <t>2023-10-10T19:45:00Z</t>
  </si>
  <si>
    <t>2023-10-10T20:00:00Z</t>
  </si>
  <si>
    <t>2023-10-10T20:15:00Z</t>
  </si>
  <si>
    <t>2023-10-10T20:30:00Z</t>
  </si>
  <si>
    <t>2023-10-10T20:45:00Z</t>
  </si>
  <si>
    <t>2023-10-10T21:00:00Z</t>
  </si>
  <si>
    <t>2023-10-10T21:15:00Z</t>
  </si>
  <si>
    <t>2023-10-10T21:30:00Z</t>
  </si>
  <si>
    <t>2023-10-10T21:45:00Z</t>
  </si>
  <si>
    <t>2023-10-10T22:00:00Z</t>
  </si>
  <si>
    <t>2023-10-10T22:15:00Z</t>
  </si>
  <si>
    <t>2023-10-10T22:30:00Z</t>
  </si>
  <si>
    <t>2023-10-10T22:45:00Z</t>
  </si>
  <si>
    <t>2023-10-10T23:00:00Z</t>
  </si>
  <si>
    <t>4.577500000000001</t>
  </si>
  <si>
    <t>2023-10-10T23:15:00Z</t>
  </si>
  <si>
    <t>2023-10-10T23:30:00Z</t>
  </si>
  <si>
    <t>2023-10-10T23:45:00Z</t>
  </si>
  <si>
    <t>2023-10-11T00:00:00Z</t>
  </si>
  <si>
    <t>2023-10-11T00:15:00Z</t>
  </si>
  <si>
    <t>2023-10-11T00:30:00Z</t>
  </si>
  <si>
    <t>2023-10-11T00:45:00Z</t>
  </si>
  <si>
    <t>2023-10-11T01:00:00Z</t>
  </si>
  <si>
    <t>2023-10-11T01:15:00Z</t>
  </si>
  <si>
    <t>2023-10-11T01:30:00Z</t>
  </si>
  <si>
    <t>2023-10-11T01:45:00Z</t>
  </si>
  <si>
    <t>2023-10-11T02:00:00Z</t>
  </si>
  <si>
    <t>2023-10-11T02:15:00Z</t>
  </si>
  <si>
    <t>2023-10-11T02:30:00Z</t>
  </si>
  <si>
    <t>2023-10-11T02:45:00Z</t>
  </si>
  <si>
    <t>2023-10-11T03:00:00Z</t>
  </si>
  <si>
    <t>2023-10-11T03:15:00Z</t>
  </si>
  <si>
    <t>2023-10-11T03:30:00Z</t>
  </si>
  <si>
    <t>2023-10-11T03:45:00Z</t>
  </si>
  <si>
    <t>2023-10-11T04:00:00Z</t>
  </si>
  <si>
    <t>2023-10-11T04:15:00Z</t>
  </si>
  <si>
    <t>2023-10-11T04:30:00Z</t>
  </si>
  <si>
    <t>2023-10-11T04:45:00Z</t>
  </si>
  <si>
    <t>2023-10-11T05:00:00Z</t>
  </si>
  <si>
    <t>2023-10-11T05:15:00Z</t>
  </si>
  <si>
    <t>5.1579999999999995</t>
  </si>
  <si>
    <t>2023-10-11T05:30:00Z</t>
  </si>
  <si>
    <t>2023-10-11T05:45:00Z</t>
  </si>
  <si>
    <t>2023-10-11T06:00:00Z</t>
  </si>
  <si>
    <t>2023-10-11T06:15:00Z</t>
  </si>
  <si>
    <t>2023-10-11T06:30:00Z</t>
  </si>
  <si>
    <t>2023-10-11T06:45:00Z</t>
  </si>
  <si>
    <t>2023-10-11T07:00:00Z</t>
  </si>
  <si>
    <t>5.2155000000000005</t>
  </si>
  <si>
    <t>2023-10-11T07:15:00Z</t>
  </si>
  <si>
    <t>2023-10-11T07:30:00Z</t>
  </si>
  <si>
    <t>2023-10-11T07:45:00Z</t>
  </si>
  <si>
    <t>2023-10-11T08:00:00Z</t>
  </si>
  <si>
    <t>2023-10-11T08:15:00Z</t>
  </si>
  <si>
    <t>2023-10-11T08:30:00Z</t>
  </si>
  <si>
    <t>2023-10-11T08:45:00Z</t>
  </si>
  <si>
    <t>2023-10-11T09:00:00Z</t>
  </si>
  <si>
    <t>5.2010000000000005</t>
  </si>
  <si>
    <t>2023-10-11T09:15:00Z</t>
  </si>
  <si>
    <t>2023-10-11T09:30:00Z</t>
  </si>
  <si>
    <t>2023-10-11T09:45:00Z</t>
  </si>
  <si>
    <t>2023-10-11T10:00:00Z</t>
  </si>
  <si>
    <t>2023-10-11T10:15:00Z</t>
  </si>
  <si>
    <t>2023-10-11T10:30:00Z</t>
  </si>
  <si>
    <t>2023-10-11T10:45:00Z</t>
  </si>
  <si>
    <t>2023-10-11T11:00:00Z</t>
  </si>
  <si>
    <t>2023-10-11T11:15:00Z</t>
  </si>
  <si>
    <t>2023-10-11T11:30:00Z</t>
  </si>
  <si>
    <t>2023-10-11T11:45:00Z</t>
  </si>
  <si>
    <t>5.1930000000000005</t>
  </si>
  <si>
    <t>2023-10-11T12:00:00Z</t>
  </si>
  <si>
    <t>2023-10-11T12:15:00Z</t>
  </si>
  <si>
    <t>2023-10-11T12:30:00Z</t>
  </si>
  <si>
    <t>2023-10-11T12:45:00Z</t>
  </si>
  <si>
    <t>2023-10-11T13:00:00Z</t>
  </si>
  <si>
    <t>2023-10-11T13:15:00Z</t>
  </si>
  <si>
    <t>2023-10-11T13:30:00Z</t>
  </si>
  <si>
    <t>2023-10-11T13:45:00Z</t>
  </si>
  <si>
    <t>2023-10-11T14:00:00Z</t>
  </si>
  <si>
    <t>2023-10-11T14:15:00Z</t>
  </si>
  <si>
    <t>2023-10-11T14:30:00Z</t>
  </si>
  <si>
    <t>2023-10-11T14:45:00Z</t>
  </si>
  <si>
    <t>2023-10-11T15:00:00Z</t>
  </si>
  <si>
    <t>2023-10-11T15:15:00Z</t>
  </si>
  <si>
    <t>2023-10-11T15:30:00Z</t>
  </si>
  <si>
    <t>2023-10-11T15:45:00Z</t>
  </si>
  <si>
    <t>2023-10-11T16:00:00Z</t>
  </si>
  <si>
    <t>2023-10-11T16:15:00Z</t>
  </si>
  <si>
    <t>2023-10-11T16:30:00Z</t>
  </si>
  <si>
    <t>4.9365000000000006</t>
  </si>
  <si>
    <t>2023-10-11T16:45:00Z</t>
  </si>
  <si>
    <t>2023-10-11T17:00:00Z</t>
  </si>
  <si>
    <t>2023-10-11T17:15:00Z</t>
  </si>
  <si>
    <t>2023-10-11T17:30:00Z</t>
  </si>
  <si>
    <t>2023-10-11T17:45:00Z</t>
  </si>
  <si>
    <t>2023-10-11T18:00:00Z</t>
  </si>
  <si>
    <t>2023-10-11T18:15:00Z</t>
  </si>
  <si>
    <t>2023-10-11T18:30:00Z</t>
  </si>
  <si>
    <t>2023-10-11T18:45:00Z</t>
  </si>
  <si>
    <t>2023-10-11T19:00:00Z</t>
  </si>
  <si>
    <t>2023-10-11T19:15:00Z</t>
  </si>
  <si>
    <t>2023-10-11T19:30:00Z</t>
  </si>
  <si>
    <t>2023-10-11T19:45:00Z</t>
  </si>
  <si>
    <t>2023-10-11T20:00:00Z</t>
  </si>
  <si>
    <t>4.5520000000000005</t>
  </si>
  <si>
    <t>2023-10-11T20:15:00Z</t>
  </si>
  <si>
    <t>2023-10-11T20:30:00Z</t>
  </si>
  <si>
    <t>4.5905000000000005</t>
  </si>
  <si>
    <t>2023-10-11T20:45:00Z</t>
  </si>
  <si>
    <t>2023-10-11T21:00:00Z</t>
  </si>
  <si>
    <t>2023-10-11T21:15:00Z</t>
  </si>
  <si>
    <t>2023-10-11T21:30:00Z</t>
  </si>
  <si>
    <t>2023-10-11T21:45:00Z</t>
  </si>
  <si>
    <t>2023-10-11T22:00:00Z</t>
  </si>
  <si>
    <t>2023-10-11T22:15:00Z</t>
  </si>
  <si>
    <t>2023-10-11T22:30:00Z</t>
  </si>
  <si>
    <t>2023-10-11T22:45:00Z</t>
  </si>
  <si>
    <t>2023-10-11T23:00:00Z</t>
  </si>
  <si>
    <t>2023-10-11T23:15:00Z</t>
  </si>
  <si>
    <t>2023-10-11T23:30:00Z</t>
  </si>
  <si>
    <t>2023-10-11T23:45:00Z</t>
  </si>
  <si>
    <t>2023-10-12T00:00:00Z</t>
  </si>
  <si>
    <t>2023-10-12T00:15:00Z</t>
  </si>
  <si>
    <t>2023-10-12T00:30:00Z</t>
  </si>
  <si>
    <t>2023-10-12T00:45:00Z</t>
  </si>
  <si>
    <t>2023-10-12T01:00:00Z</t>
  </si>
  <si>
    <t>2023-10-12T01:15:00Z</t>
  </si>
  <si>
    <t>2023-10-12T01:30:00Z</t>
  </si>
  <si>
    <t>2023-10-12T01:45:00Z</t>
  </si>
  <si>
    <t>2023-10-12T02:00:00Z</t>
  </si>
  <si>
    <t>2023-10-12T02:15:00Z</t>
  </si>
  <si>
    <t>2023-10-12T02:30:00Z</t>
  </si>
  <si>
    <t>2023-10-12T02:45:00Z</t>
  </si>
  <si>
    <t>2023-10-12T03:00:00Z</t>
  </si>
  <si>
    <t>2023-10-12T03:15:00Z</t>
  </si>
  <si>
    <t>2023-10-12T03:30:00Z</t>
  </si>
  <si>
    <t>2023-10-12T03:45:00Z</t>
  </si>
  <si>
    <t>2023-10-12T04:00:00Z</t>
  </si>
  <si>
    <t>2023-10-12T04:15:00Z</t>
  </si>
  <si>
    <t>2023-10-12T04:30:00Z</t>
  </si>
  <si>
    <t>2023-10-12T04:45:00Z</t>
  </si>
  <si>
    <t>2023-10-12T05:00:00Z</t>
  </si>
  <si>
    <t>2023-10-12T05:15:00Z</t>
  </si>
  <si>
    <t>2023-10-12T05:30:00Z</t>
  </si>
  <si>
    <t>2023-10-12T05:45:00Z</t>
  </si>
  <si>
    <t>2023-10-12T06:00:00Z</t>
  </si>
  <si>
    <t>2023-10-12T06:15:00Z</t>
  </si>
  <si>
    <t>2023-10-12T06:30:00Z</t>
  </si>
  <si>
    <t>2023-10-12T06:45:00Z</t>
  </si>
  <si>
    <t>2023-10-12T07:00:00Z</t>
  </si>
  <si>
    <t>2023-10-12T07:15:00Z</t>
  </si>
  <si>
    <t>2023-10-12T07:30:00Z</t>
  </si>
  <si>
    <t>2023-10-12T07:45:00Z</t>
  </si>
  <si>
    <t>2023-10-12T08:00:00Z</t>
  </si>
  <si>
    <t>2023-10-12T08:15:00Z</t>
  </si>
  <si>
    <t>2023-10-12T08:30:00Z</t>
  </si>
  <si>
    <t>2023-10-12T08:45:00Z</t>
  </si>
  <si>
    <t>5.132000000000001</t>
  </si>
  <si>
    <t>2023-10-12T09:00:00Z</t>
  </si>
  <si>
    <t>2023-10-12T09:15:00Z</t>
  </si>
  <si>
    <t>2023-10-12T09:30:00Z</t>
  </si>
  <si>
    <t>2023-10-12T09:45:00Z</t>
  </si>
  <si>
    <t>2023-10-12T10:00:00Z</t>
  </si>
  <si>
    <t>2023-10-12T10:15:00Z</t>
  </si>
  <si>
    <t>2023-10-12T10:30:00Z</t>
  </si>
  <si>
    <t>2023-10-12T10:45:00Z</t>
  </si>
  <si>
    <t>2023-10-12T11:00:00Z</t>
  </si>
  <si>
    <t>2023-10-12T11:15:00Z</t>
  </si>
  <si>
    <t>2023-10-12T11:30:00Z</t>
  </si>
  <si>
    <t>2023-10-12T11:45:00Z</t>
  </si>
  <si>
    <t>2023-10-12T12:00:00Z</t>
  </si>
  <si>
    <t>2023-10-12T12:15:00Z</t>
  </si>
  <si>
    <t>2023-10-12T12:30:00Z</t>
  </si>
  <si>
    <t>4.9205000000000005</t>
  </si>
  <si>
    <t>2023-10-12T12:45:00Z</t>
  </si>
  <si>
    <t>2023-10-12T13:00:00Z</t>
  </si>
  <si>
    <t>2023-10-12T13:15:00Z</t>
  </si>
  <si>
    <t>2023-10-12T13:30:00Z</t>
  </si>
  <si>
    <t>2023-10-12T13:45:00Z</t>
  </si>
  <si>
    <t>2023-10-12T14:00:00Z</t>
  </si>
  <si>
    <t>2023-10-12T14:15:00Z</t>
  </si>
  <si>
    <t>2023-10-12T14:30:00Z</t>
  </si>
  <si>
    <t>2023-10-12T14:45:00Z</t>
  </si>
  <si>
    <t>2023-10-12T15:00:00Z</t>
  </si>
  <si>
    <t>4.7204999999999995</t>
  </si>
  <si>
    <t>2023-10-12T15:15:00Z</t>
  </si>
  <si>
    <t>2023-10-12T15:30:00Z</t>
  </si>
  <si>
    <t>2023-10-12T15:45:00Z</t>
  </si>
  <si>
    <t>2023-10-12T16:00:00Z</t>
  </si>
  <si>
    <t>2023-10-12T16:15:00Z</t>
  </si>
  <si>
    <t>2023-10-12T16:30:00Z</t>
  </si>
  <si>
    <t>2023-10-12T16:45:00Z</t>
  </si>
  <si>
    <t>2023-10-12T17:00:00Z</t>
  </si>
  <si>
    <t>2023-10-12T17:15:00Z</t>
  </si>
  <si>
    <t>2023-10-12T17:30:00Z</t>
  </si>
  <si>
    <t>2023-10-12T17:45:00Z</t>
  </si>
  <si>
    <t>2023-10-12T18:00:00Z</t>
  </si>
  <si>
    <t>2023-10-12T18:15:00Z</t>
  </si>
  <si>
    <t>2023-10-12T18:30:00Z</t>
  </si>
  <si>
    <t>2023-10-12T18:45:00Z</t>
  </si>
  <si>
    <t>2023-10-12T19:00:00Z</t>
  </si>
  <si>
    <t>2023-10-12T19:15:00Z</t>
  </si>
  <si>
    <t>2023-10-12T19:30:00Z</t>
  </si>
  <si>
    <t>2023-10-12T19:45:00Z</t>
  </si>
  <si>
    <t>2023-10-12T20:00:00Z</t>
  </si>
  <si>
    <t>2023-10-12T20:15:00Z</t>
  </si>
  <si>
    <t>2023-10-12T20:30:00Z</t>
  </si>
  <si>
    <t>2023-10-12T20:45:00Z</t>
  </si>
  <si>
    <t>2023-10-12T21:00:00Z</t>
  </si>
  <si>
    <t>2023-10-12T21:15:00Z</t>
  </si>
  <si>
    <t>2023-10-12T21:30:00Z</t>
  </si>
  <si>
    <t>2023-10-12T21:45:00Z</t>
  </si>
  <si>
    <t>2023-10-12T22:00:00Z</t>
  </si>
  <si>
    <t>2023-10-12T22:15:00Z</t>
  </si>
  <si>
    <t>2023-10-12T22:30:00Z</t>
  </si>
  <si>
    <t>2023-10-12T22:45:00Z</t>
  </si>
  <si>
    <t>2023-10-12T23:00:00Z</t>
  </si>
  <si>
    <t>2023-10-12T23:15:00Z</t>
  </si>
  <si>
    <t>4.2475000000000005</t>
  </si>
  <si>
    <t>2023-10-12T23:30:00Z</t>
  </si>
  <si>
    <t>4.2989999999999995</t>
  </si>
  <si>
    <t>2023-10-12T23:45:00Z</t>
  </si>
  <si>
    <t>2023-10-13T00:00:00Z</t>
  </si>
  <si>
    <t>2023-10-13T00:15:00Z</t>
  </si>
  <si>
    <t>2023-10-13T00:30:00Z</t>
  </si>
  <si>
    <t>2023-10-13T00:45:00Z</t>
  </si>
  <si>
    <t>2023-10-13T01:00:00Z</t>
  </si>
  <si>
    <t>4.6129999999999995</t>
  </si>
  <si>
    <t>2023-10-13T01:15:00Z</t>
  </si>
  <si>
    <t>2023-10-13T01:30:00Z</t>
  </si>
  <si>
    <t>2023-10-13T01:45:00Z</t>
  </si>
  <si>
    <t>2023-10-13T02:00:00Z</t>
  </si>
  <si>
    <t>2023-10-13T02:15:00Z</t>
  </si>
  <si>
    <t>2023-10-13T02:30:00Z</t>
  </si>
  <si>
    <t>2023-10-13T02:45:00Z</t>
  </si>
  <si>
    <t>2023-10-13T03:00:00Z</t>
  </si>
  <si>
    <t>2023-10-13T03:15:00Z</t>
  </si>
  <si>
    <t>2023-10-13T03:30:00Z</t>
  </si>
  <si>
    <t>2023-10-13T03:45:00Z</t>
  </si>
  <si>
    <t>2023-10-13T04:00:00Z</t>
  </si>
  <si>
    <t>2023-10-13T04:15:00Z</t>
  </si>
  <si>
    <t>2023-10-13T04:30:00Z</t>
  </si>
  <si>
    <t>2023-10-13T04:45:00Z</t>
  </si>
  <si>
    <t>2023-10-13T05:00:00Z</t>
  </si>
  <si>
    <t>2023-10-13T05:15:00Z</t>
  </si>
  <si>
    <t>2023-10-13T05:30:00Z</t>
  </si>
  <si>
    <t>2023-10-13T05:45:00Z</t>
  </si>
  <si>
    <t>5.0809999999999995</t>
  </si>
  <si>
    <t>2023-10-13T06:00:00Z</t>
  </si>
  <si>
    <t>2023-10-13T06:15:00Z</t>
  </si>
  <si>
    <t>2023-10-13T06:30:00Z</t>
  </si>
  <si>
    <t>2023-10-13T06:45:00Z</t>
  </si>
  <si>
    <t>2023-10-13T07:00:00Z</t>
  </si>
  <si>
    <t>2023-10-13T07:15:00Z</t>
  </si>
  <si>
    <t>2023-10-13T07:30:00Z</t>
  </si>
  <si>
    <t>2023-10-13T07:45:00Z</t>
  </si>
  <si>
    <t>2023-10-13T08:00:00Z</t>
  </si>
  <si>
    <t>2023-10-13T08:15:00Z</t>
  </si>
  <si>
    <t>2023-10-13T08:30:00Z</t>
  </si>
  <si>
    <t>2023-10-13T08:45:00Z</t>
  </si>
  <si>
    <t>2023-10-13T09:00:00Z</t>
  </si>
  <si>
    <t>2023-10-13T09:15:00Z</t>
  </si>
  <si>
    <t>2023-10-13T09:30:00Z</t>
  </si>
  <si>
    <t>2023-10-13T09:45:00Z</t>
  </si>
  <si>
    <t>14.373333333333333</t>
  </si>
  <si>
    <t>0.2013111111111111</t>
  </si>
  <si>
    <t>2023-10-13T10:00:00Z</t>
  </si>
  <si>
    <t>2023-10-13T10:15:00Z</t>
  </si>
  <si>
    <t>2023-10-13T10:30:00Z</t>
  </si>
  <si>
    <t>2023-10-13T10:45:00Z</t>
  </si>
  <si>
    <t>2023-10-13T11:00:00Z</t>
  </si>
  <si>
    <t>2023-10-13T11:15:00Z</t>
  </si>
  <si>
    <t>2023-10-13T11:30:00Z</t>
  </si>
  <si>
    <t>5.3149999999999995</t>
  </si>
  <si>
    <t>2023-10-13T11:45:00Z</t>
  </si>
  <si>
    <t>2023-10-13T12:00:00Z</t>
  </si>
  <si>
    <t>2023-10-13T12:15:00Z</t>
  </si>
  <si>
    <t>2023-10-13T12:30:00Z</t>
  </si>
  <si>
    <t>2023-10-13T12:45:00Z</t>
  </si>
  <si>
    <t>2023-10-13T13:00:00Z</t>
  </si>
  <si>
    <t>2023-10-13T13:15:00Z</t>
  </si>
  <si>
    <t>2023-10-13T13:30:00Z</t>
  </si>
  <si>
    <t>2023-10-13T13:45:00Z</t>
  </si>
  <si>
    <t>2023-10-13T14:00:00Z</t>
  </si>
  <si>
    <t>2023-10-13T14:15:00Z</t>
  </si>
  <si>
    <t>2023-10-13T14:30:00Z</t>
  </si>
  <si>
    <t>2023-10-13T14:45:00Z</t>
  </si>
  <si>
    <t>2023-10-13T15:00:00Z</t>
  </si>
  <si>
    <t>2023-10-13T15:15:00Z</t>
  </si>
  <si>
    <t>2023-10-13T15:30:00Z</t>
  </si>
  <si>
    <t>2023-10-13T15:45:00Z</t>
  </si>
  <si>
    <t>2023-10-13T16:00:00Z</t>
  </si>
  <si>
    <t>2023-10-13T16:15:00Z</t>
  </si>
  <si>
    <t>2023-10-13T16:30:00Z</t>
  </si>
  <si>
    <t>2023-10-13T16:45:00Z</t>
  </si>
  <si>
    <t>2023-10-13T17:00:00Z</t>
  </si>
  <si>
    <t>2023-10-13T17:15:00Z</t>
  </si>
  <si>
    <t>2023-10-13T17:30:00Z</t>
  </si>
  <si>
    <t>2023-10-13T17:45:00Z</t>
  </si>
  <si>
    <t>2023-10-13T18:00:00Z</t>
  </si>
  <si>
    <t>2023-10-13T18:15:00Z</t>
  </si>
  <si>
    <t>2023-10-13T18:30:00Z</t>
  </si>
  <si>
    <t>2023-10-13T18:45:00Z</t>
  </si>
  <si>
    <t>2023-10-13T19:00:00Z</t>
  </si>
  <si>
    <t>2023-10-13T19:15:00Z</t>
  </si>
  <si>
    <t>2023-10-13T19:30:00Z</t>
  </si>
  <si>
    <t>2023-10-13T19:45:00Z</t>
  </si>
  <si>
    <t>2023-10-13T20:00:00Z</t>
  </si>
  <si>
    <t>2023-10-13T20:15:00Z</t>
  </si>
  <si>
    <t>2023-10-13T20:30:00Z</t>
  </si>
  <si>
    <t>2023-10-13T20:45:00Z</t>
  </si>
  <si>
    <t>2023-10-13T21:00:00Z</t>
  </si>
  <si>
    <t>4.9735000000000005</t>
  </si>
  <si>
    <t>2023-10-13T21:15:00Z</t>
  </si>
  <si>
    <t>2023-10-13T21:30:00Z</t>
  </si>
  <si>
    <t>2023-10-13T21:45:00Z</t>
  </si>
  <si>
    <t>2023-10-13T22:00:00Z</t>
  </si>
  <si>
    <t>2023-10-13T22:15:00Z</t>
  </si>
  <si>
    <t>2023-10-13T22:30:00Z</t>
  </si>
  <si>
    <t>2023-10-13T22:45:00Z</t>
  </si>
  <si>
    <t>2023-10-13T23:00:00Z</t>
  </si>
  <si>
    <t>2023-10-13T23:15:00Z</t>
  </si>
  <si>
    <t>2023-10-13T23:30:00Z</t>
  </si>
  <si>
    <t>2023-10-13T23:45:00Z</t>
  </si>
  <si>
    <t>2023-10-14T00:00:00Z</t>
  </si>
  <si>
    <t>2023-10-14T00:15:00Z</t>
  </si>
  <si>
    <t>2023-10-14T00:30:00Z</t>
  </si>
  <si>
    <t>2023-10-14T00:45:00Z</t>
  </si>
  <si>
    <t>2023-10-14T01:00:00Z</t>
  </si>
  <si>
    <t>2023-10-14T01:15:00Z</t>
  </si>
  <si>
    <t>2023-10-14T01:30:00Z</t>
  </si>
  <si>
    <t>2023-10-14T01:45:00Z</t>
  </si>
  <si>
    <t>2023-10-14T02:00:00Z</t>
  </si>
  <si>
    <t>2023-10-14T02:15:00Z</t>
  </si>
  <si>
    <t>2023-10-14T02:30:00Z</t>
  </si>
  <si>
    <t>2023-10-14T02:45:00Z</t>
  </si>
  <si>
    <t>2023-10-14T03:00:00Z</t>
  </si>
  <si>
    <t>2023-10-14T03:15:00Z</t>
  </si>
  <si>
    <t>2023-10-14T03:30:00Z</t>
  </si>
  <si>
    <t>2023-10-14T03:45:00Z</t>
  </si>
  <si>
    <t>2023-10-14T04:00:00Z</t>
  </si>
  <si>
    <t>2023-10-14T04:15:00Z</t>
  </si>
  <si>
    <t>2023-10-14T04:30:00Z</t>
  </si>
  <si>
    <t>2023-10-14T04:45:00Z</t>
  </si>
  <si>
    <t>2023-10-14T05:00:00Z</t>
  </si>
  <si>
    <t>2023-10-14T05:15:00Z</t>
  </si>
  <si>
    <t>2023-10-14T05:30:00Z</t>
  </si>
  <si>
    <t>2023-10-14T05:45:00Z</t>
  </si>
  <si>
    <t>2023-10-14T06:00:00Z</t>
  </si>
  <si>
    <t>2023-10-14T06:15:00Z</t>
  </si>
  <si>
    <t>2023-10-14T06:30:00Z</t>
  </si>
  <si>
    <t>2023-10-14T06:45:00Z</t>
  </si>
  <si>
    <t>2023-10-14T07:00:00Z</t>
  </si>
  <si>
    <t>2023-10-14T07:15:00Z</t>
  </si>
  <si>
    <t>2023-10-14T07:30:00Z</t>
  </si>
  <si>
    <t>2023-10-14T07:45:00Z</t>
  </si>
  <si>
    <t>2023-10-14T08:00:00Z</t>
  </si>
  <si>
    <t>2023-10-14T08:15:00Z</t>
  </si>
  <si>
    <t>2023-10-14T08:30:00Z</t>
  </si>
  <si>
    <t>2023-10-14T08:45:00Z</t>
  </si>
  <si>
    <t>2023-10-14T09:00:00Z</t>
  </si>
  <si>
    <t>2023-10-14T09:15:00Z</t>
  </si>
  <si>
    <t>2023-10-14T09:30:00Z</t>
  </si>
  <si>
    <t>2023-10-14T09:45:00Z</t>
  </si>
  <si>
    <t>2023-10-14T10:00:00Z</t>
  </si>
  <si>
    <t>2023-10-14T10:15:00Z</t>
  </si>
  <si>
    <t>2023-10-14T10:30:00Z</t>
  </si>
  <si>
    <t>2023-10-14T10:45:00Z</t>
  </si>
  <si>
    <t>2023-10-14T11:00:00Z</t>
  </si>
  <si>
    <t>2023-10-14T11:15:00Z</t>
  </si>
  <si>
    <t>2023-10-14T11:30:00Z</t>
  </si>
  <si>
    <t>2023-10-14T11:45:00Z</t>
  </si>
  <si>
    <t>2023-10-14T12:00:00Z</t>
  </si>
  <si>
    <t>2023-10-14T12:15:00Z</t>
  </si>
  <si>
    <t>2023-10-14T12:30:00Z</t>
  </si>
  <si>
    <t>2023-10-14T12:45:00Z</t>
  </si>
  <si>
    <t>2023-10-14T13:00:00Z</t>
  </si>
  <si>
    <t>2023-10-14T13:15:00Z</t>
  </si>
  <si>
    <t>2023-10-14T13:30:00Z</t>
  </si>
  <si>
    <t>2023-10-14T13:45:00Z</t>
  </si>
  <si>
    <t>2023-10-14T14:00:00Z</t>
  </si>
  <si>
    <t>2023-10-14T14:15:00Z</t>
  </si>
  <si>
    <t>2023-10-14T14:30:00Z</t>
  </si>
  <si>
    <t>2023-10-14T14:45:00Z</t>
  </si>
  <si>
    <t>2023-10-14T15:00:00Z</t>
  </si>
  <si>
    <t>2023-10-14T15:15:00Z</t>
  </si>
  <si>
    <t>2023-10-14T15:30:00Z</t>
  </si>
  <si>
    <t>2023-10-14T15:45:00Z</t>
  </si>
  <si>
    <t>2023-10-14T16:00:00Z</t>
  </si>
  <si>
    <t>2023-10-14T16:15:00Z</t>
  </si>
  <si>
    <t>2023-10-14T16:30:00Z</t>
  </si>
  <si>
    <t>2023-10-14T16:45:00Z</t>
  </si>
  <si>
    <t>2023-10-14T17:00:00Z</t>
  </si>
  <si>
    <t>2023-10-14T17:15:00Z</t>
  </si>
  <si>
    <t>4.9479999999999995</t>
  </si>
  <si>
    <t>2023-10-14T17:30:00Z</t>
  </si>
  <si>
    <t>2023-10-14T17:45:00Z</t>
  </si>
  <si>
    <t>2023-10-14T18:00:00Z</t>
  </si>
  <si>
    <t>2023-10-14T18:15:00Z</t>
  </si>
  <si>
    <t>2023-10-14T18:30:00Z</t>
  </si>
  <si>
    <t>2023-10-14T18:45:00Z</t>
  </si>
  <si>
    <t>2023-10-14T19:00:00Z</t>
  </si>
  <si>
    <t>2023-10-14T19:15:00Z</t>
  </si>
  <si>
    <t>2023-10-14T19:30:00Z</t>
  </si>
  <si>
    <t>2023-10-14T19:45:00Z</t>
  </si>
  <si>
    <t>2023-10-14T20:00:00Z</t>
  </si>
  <si>
    <t>2023-10-14T20:15:00Z</t>
  </si>
  <si>
    <t>2023-10-14T20:30:00Z</t>
  </si>
  <si>
    <t>2023-10-14T20:45:00Z</t>
  </si>
  <si>
    <t>2023-10-14T21:00:00Z</t>
  </si>
  <si>
    <t>2023-10-14T21:15:00Z</t>
  </si>
  <si>
    <t>2023-10-14T21:30:00Z</t>
  </si>
  <si>
    <t>2023-10-14T21:45:00Z</t>
  </si>
  <si>
    <t>2023-10-14T22:00:00Z</t>
  </si>
  <si>
    <t>2023-10-14T22:15:00Z</t>
  </si>
  <si>
    <t>2023-10-14T22:30:00Z</t>
  </si>
  <si>
    <t>2023-10-14T22:45:00Z</t>
  </si>
  <si>
    <t>2023-10-14T23:00:00Z</t>
  </si>
  <si>
    <t>2023-10-14T23:15:00Z</t>
  </si>
  <si>
    <t>2023-10-14T23:30:00Z</t>
  </si>
  <si>
    <t>2023-10-14T23:45:00Z</t>
  </si>
  <si>
    <t>2023-10-15T00:00:00Z</t>
  </si>
  <si>
    <t>2023-10-15T00:15:00Z</t>
  </si>
  <si>
    <t>2023-10-15T00:30:00Z</t>
  </si>
  <si>
    <t>2023-10-15T00:45:00Z</t>
  </si>
  <si>
    <t>2023-10-15T01:00:00Z</t>
  </si>
  <si>
    <t>2023-10-15T01:15:00Z</t>
  </si>
  <si>
    <t>2023-10-15T01:30:00Z</t>
  </si>
  <si>
    <t>2023-10-15T01:45:00Z</t>
  </si>
  <si>
    <t>2023-10-15T02:00:00Z</t>
  </si>
  <si>
    <t>2023-10-15T02:15:00Z</t>
  </si>
  <si>
    <t>2023-10-15T02:30:00Z</t>
  </si>
  <si>
    <t>2023-10-15T02:45:00Z</t>
  </si>
  <si>
    <t>2023-10-15T03:00:00Z</t>
  </si>
  <si>
    <t>2023-10-15T03:15:00Z</t>
  </si>
  <si>
    <t>2023-10-15T03:30:00Z</t>
  </si>
  <si>
    <t>2023-10-15T03:45:00Z</t>
  </si>
  <si>
    <t>2023-10-15T04:00:00Z</t>
  </si>
  <si>
    <t>2023-10-15T04:15:00Z</t>
  </si>
  <si>
    <t>2023-10-15T04:30:00Z</t>
  </si>
  <si>
    <t>2023-10-15T04:45:00Z</t>
  </si>
  <si>
    <t>2023-10-15T05:00:00Z</t>
  </si>
  <si>
    <t>2023-10-15T05:15:00Z</t>
  </si>
  <si>
    <t>2023-10-15T05:30:00Z</t>
  </si>
  <si>
    <t>2023-10-15T05:45:00Z</t>
  </si>
  <si>
    <t>2023-10-15T06:00:00Z</t>
  </si>
  <si>
    <t>2023-10-15T06:15:00Z</t>
  </si>
  <si>
    <t>2023-10-15T06:30:00Z</t>
  </si>
  <si>
    <t>2023-10-15T06:45:00Z</t>
  </si>
  <si>
    <t>2023-10-15T07:00:00Z</t>
  </si>
  <si>
    <t>2023-10-15T07:15:00Z</t>
  </si>
  <si>
    <t>2023-10-15T07:30:00Z</t>
  </si>
  <si>
    <t>2023-10-15T07:45:00Z</t>
  </si>
  <si>
    <t>2023-10-15T08:00:00Z</t>
  </si>
  <si>
    <t>2023-10-15T08:15:00Z</t>
  </si>
  <si>
    <t>5.3245000000000005</t>
  </si>
  <si>
    <t>2023-10-15T08:30:00Z</t>
  </si>
  <si>
    <t>2023-10-15T08:45:00Z</t>
  </si>
  <si>
    <t>2023-10-15T09:00:00Z</t>
  </si>
  <si>
    <t>2023-10-15T09:15:00Z</t>
  </si>
  <si>
    <t>2023-10-15T09:30:00Z</t>
  </si>
  <si>
    <t>2023-10-15T09:45:00Z</t>
  </si>
  <si>
    <t>2023-10-15T10:00:00Z</t>
  </si>
  <si>
    <t>2023-10-15T10:15:00Z</t>
  </si>
  <si>
    <t>2023-10-15T10:30:00Z</t>
  </si>
  <si>
    <t>2023-10-15T10:45:00Z</t>
  </si>
  <si>
    <t>2023-10-15T11:00:00Z</t>
  </si>
  <si>
    <t>5.2379999999999995</t>
  </si>
  <si>
    <t>2023-10-15T11:15:00Z</t>
  </si>
  <si>
    <t>2023-10-15T11:30:00Z</t>
  </si>
  <si>
    <t>2023-10-15T11:45:00Z</t>
  </si>
  <si>
    <t>2023-10-15T12:00:00Z</t>
  </si>
  <si>
    <t>2023-10-15T12:15:00Z</t>
  </si>
  <si>
    <t>2023-10-15T12:30:00Z</t>
  </si>
  <si>
    <t>2023-10-15T12:45:00Z</t>
  </si>
  <si>
    <t>2023-10-15T13:00:00Z</t>
  </si>
  <si>
    <t>2023-10-15T13:15:00Z</t>
  </si>
  <si>
    <t>2023-10-15T13:30:00Z</t>
  </si>
  <si>
    <t>2023-10-15T13:45:00Z</t>
  </si>
  <si>
    <t>2023-10-15T14:00:00Z</t>
  </si>
  <si>
    <t>2023-10-15T14:15:00Z</t>
  </si>
  <si>
    <t>2023-10-15T14:30:00Z</t>
  </si>
  <si>
    <t>2023-10-15T14:45:00Z</t>
  </si>
  <si>
    <t>2023-10-15T15:00:00Z</t>
  </si>
  <si>
    <t>2023-10-15T15:15:00Z</t>
  </si>
  <si>
    <t>2023-10-15T15:30:00Z</t>
  </si>
  <si>
    <t>2023-10-15T15:45:00Z</t>
  </si>
  <si>
    <t>2023-10-15T16:00:00Z</t>
  </si>
  <si>
    <t>2023-10-15T16:15:00Z</t>
  </si>
  <si>
    <t>2023-10-15T16:30:00Z</t>
  </si>
  <si>
    <t>2023-10-15T16:45:00Z</t>
  </si>
  <si>
    <t>2023-10-15T17:00:00Z</t>
  </si>
  <si>
    <t>2023-10-15T17:15:00Z</t>
  </si>
  <si>
    <t>2023-10-15T17:30:00Z</t>
  </si>
  <si>
    <t>2023-10-15T17:45:00Z</t>
  </si>
  <si>
    <t>2023-10-15T18:00:00Z</t>
  </si>
  <si>
    <t>2023-10-15T18:15:00Z</t>
  </si>
  <si>
    <t>2023-10-15T18:30:00Z</t>
  </si>
  <si>
    <t>2023-10-15T18:45:00Z</t>
  </si>
  <si>
    <t>2023-10-15T19:00:00Z</t>
  </si>
  <si>
    <t>2023-10-15T19:15:00Z</t>
  </si>
  <si>
    <t>2023-10-15T19:30:00Z</t>
  </si>
  <si>
    <t>2023-10-15T19:45:00Z</t>
  </si>
  <si>
    <t>2023-10-15T20:00:00Z</t>
  </si>
  <si>
    <t>2023-10-15T20:15:00Z</t>
  </si>
  <si>
    <t>2023-10-15T20:30:00Z</t>
  </si>
  <si>
    <t>2023-10-15T20:45:00Z</t>
  </si>
  <si>
    <t>2023-10-15T21:00:00Z</t>
  </si>
  <si>
    <t>2023-10-15T21:15:00Z</t>
  </si>
  <si>
    <t>2023-10-15T21:30:00Z</t>
  </si>
  <si>
    <t>4.8340000000000005</t>
  </si>
  <si>
    <t>2023-10-15T21:45:00Z</t>
  </si>
  <si>
    <t>2023-10-15T22:00:00Z</t>
  </si>
  <si>
    <t>2023-10-15T22:15:00Z</t>
  </si>
  <si>
    <t>4.7940000000000005</t>
  </si>
  <si>
    <t>2023-10-15T22:30:00Z</t>
  </si>
  <si>
    <t>2023-10-15T22:45:00Z</t>
  </si>
  <si>
    <t>2023-10-15T23:00:00Z</t>
  </si>
  <si>
    <t>2023-10-15T23:15:00Z</t>
  </si>
  <si>
    <t>2023-10-15T23:30:00Z</t>
  </si>
  <si>
    <t>2023-10-15T23:45:00Z</t>
  </si>
  <si>
    <t>2023-10-16T00:00:00Z</t>
  </si>
  <si>
    <t>2023-10-16T00:15:00Z</t>
  </si>
  <si>
    <t>2023-10-16T00:30:00Z</t>
  </si>
  <si>
    <t>2023-10-16T00:45:00Z</t>
  </si>
  <si>
    <t>2023-10-16T01:00:00Z</t>
  </si>
  <si>
    <t>2023-10-16T01:15:00Z</t>
  </si>
  <si>
    <t>2023-10-16T01:30:00Z</t>
  </si>
  <si>
    <t>2023-10-16T01:45:00Z</t>
  </si>
  <si>
    <t>2023-10-16T02:00:00Z</t>
  </si>
  <si>
    <t>2023-10-16T02:15:00Z</t>
  </si>
  <si>
    <t>2023-10-16T02:30:00Z</t>
  </si>
  <si>
    <t>2023-10-16T02:45:00Z</t>
  </si>
  <si>
    <t>2023-10-16T03:00:00Z</t>
  </si>
  <si>
    <t>2023-10-16T03:15:00Z</t>
  </si>
  <si>
    <t>2023-10-16T03:30:00Z</t>
  </si>
  <si>
    <t>2023-10-16T03:45:00Z</t>
  </si>
  <si>
    <t>2023-10-16T04:00:00Z</t>
  </si>
  <si>
    <t>2023-10-16T04:15:00Z</t>
  </si>
  <si>
    <t>2023-10-16T04:30:00Z</t>
  </si>
  <si>
    <t>2023-10-16T04:45:00Z</t>
  </si>
  <si>
    <t>2023-10-16T05:00:00Z</t>
  </si>
  <si>
    <t>2023-10-16T05:15:00Z</t>
  </si>
  <si>
    <t>2023-10-16T05:30:00Z</t>
  </si>
  <si>
    <t>2023-10-16T05:45:00Z</t>
  </si>
  <si>
    <t>2023-10-16T06:00:00Z</t>
  </si>
  <si>
    <t>2023-10-16T06:15:00Z</t>
  </si>
  <si>
    <t>2023-10-16T06:30:00Z</t>
  </si>
  <si>
    <t>2023-10-16T06:45:00Z</t>
  </si>
  <si>
    <t>2023-10-16T07:00:00Z</t>
  </si>
  <si>
    <t>2023-10-16T07:15:00Z</t>
  </si>
  <si>
    <t>2023-10-16T07:30:00Z</t>
  </si>
  <si>
    <t>2023-10-16T07:45:00Z</t>
  </si>
  <si>
    <t>2023-10-16T08:00:00Z</t>
  </si>
  <si>
    <t>2023-10-16T08:15:00Z</t>
  </si>
  <si>
    <t>2023-10-16T08:30:00Z</t>
  </si>
  <si>
    <t>2023-10-16T08:45:00Z</t>
  </si>
  <si>
    <t>2023-10-16T09:00:00Z</t>
  </si>
  <si>
    <t>2023-10-16T09:15:00Z</t>
  </si>
  <si>
    <t>2023-10-16T09:30:00Z</t>
  </si>
  <si>
    <t>2023-10-16T09:45:00Z</t>
  </si>
  <si>
    <t>2023-10-16T10:00:00Z</t>
  </si>
  <si>
    <t>2023-10-16T10:15:00Z</t>
  </si>
  <si>
    <t>4.8149999999999995</t>
  </si>
  <si>
    <t>2023-10-16T10:30:00Z</t>
  </si>
  <si>
    <t>2023-10-16T10:45:00Z</t>
  </si>
  <si>
    <t>2023-10-16T11:00:00Z</t>
  </si>
  <si>
    <t>2023-10-16T11:15:00Z</t>
  </si>
  <si>
    <t>2023-10-16T11:30:00Z</t>
  </si>
  <si>
    <t>2023-10-16T11:45:00Z</t>
  </si>
  <si>
    <t>2023-10-16T12:00:00Z</t>
  </si>
  <si>
    <t>2023-10-16T12:15:00Z</t>
  </si>
  <si>
    <t>2023-10-16T12:30:00Z</t>
  </si>
  <si>
    <t>2023-10-16T12:45:00Z</t>
  </si>
  <si>
    <t>2023-10-16T13:00:00Z</t>
  </si>
  <si>
    <t>2023-10-16T13:15:00Z</t>
  </si>
  <si>
    <t>2023-10-16T13:30:00Z</t>
  </si>
  <si>
    <t>2023-10-16T13:45:00Z</t>
  </si>
  <si>
    <t>2023-10-16T14:00:00Z</t>
  </si>
  <si>
    <t>2023-10-16T14:15:00Z</t>
  </si>
  <si>
    <t>2023-10-16T14:30:00Z</t>
  </si>
  <si>
    <t>2023-10-16T14:45:00Z</t>
  </si>
  <si>
    <t>2023-10-16T15:00:00Z</t>
  </si>
  <si>
    <t>2023-10-16T15:15:00Z</t>
  </si>
  <si>
    <t>2023-10-16T15:30:00Z</t>
  </si>
  <si>
    <t>2023-10-16T15:45:00Z</t>
  </si>
  <si>
    <t>2023-10-16T16:00:00Z</t>
  </si>
  <si>
    <t>2023-10-16T16:15:00Z</t>
  </si>
  <si>
    <t>2023-10-16T16:30:00Z</t>
  </si>
  <si>
    <t>2023-10-16T16:45:00Z</t>
  </si>
  <si>
    <t>2023-10-16T17:00:00Z</t>
  </si>
  <si>
    <t>2023-10-16T17:15:00Z</t>
  </si>
  <si>
    <t>2023-10-16T17:30:00Z</t>
  </si>
  <si>
    <t>2023-10-16T17:45:00Z</t>
  </si>
  <si>
    <t>2023-10-16T18:00:00Z</t>
  </si>
  <si>
    <t>2023-10-16T18:15:00Z</t>
  </si>
  <si>
    <t>2023-10-16T18:30:00Z</t>
  </si>
  <si>
    <t>2023-10-16T18:45:00Z</t>
  </si>
  <si>
    <t>2023-10-16T19:00:00Z</t>
  </si>
  <si>
    <t>2023-10-16T19:15:00Z</t>
  </si>
  <si>
    <t>2023-10-16T19:30:00Z</t>
  </si>
  <si>
    <t>0.057354999999999996</t>
  </si>
  <si>
    <t>2023-10-16T19:45:00Z</t>
  </si>
  <si>
    <t>2023-10-16T20:00:00Z</t>
  </si>
  <si>
    <t>2023-10-16T20:15:00Z</t>
  </si>
  <si>
    <t>2023-10-16T20:30:00Z</t>
  </si>
  <si>
    <t>2023-10-16T20:45:00Z</t>
  </si>
  <si>
    <t>2023-10-16T21:00:00Z</t>
  </si>
  <si>
    <t>2023-10-16T21:15:00Z</t>
  </si>
  <si>
    <t>2023-10-16T21:30:00Z</t>
  </si>
  <si>
    <t>2023-10-16T21:45:00Z</t>
  </si>
  <si>
    <t>2023-10-16T22:00:00Z</t>
  </si>
  <si>
    <t>2023-10-16T22:15:00Z</t>
  </si>
  <si>
    <t>2023-10-16T22:30:00Z</t>
  </si>
  <si>
    <t>2023-10-16T22:45:00Z</t>
  </si>
  <si>
    <t>2023-10-16T23:00:00Z</t>
  </si>
  <si>
    <t>2023-10-16T23:15:00Z</t>
  </si>
  <si>
    <t>4.1899999999999995</t>
  </si>
  <si>
    <t>2023-10-16T23:30:00Z</t>
  </si>
  <si>
    <t>2023-10-16T23:45:00Z</t>
  </si>
  <si>
    <t>0.058249999999999996</t>
  </si>
  <si>
    <t>2023-10-17T00:00:00Z</t>
  </si>
  <si>
    <t>2023-10-17T00:15:00Z</t>
  </si>
  <si>
    <t>2023-10-17T00:30:00Z</t>
  </si>
  <si>
    <t>2023-10-17T00:45:00Z</t>
  </si>
  <si>
    <t>2023-10-17T01:00:00Z</t>
  </si>
  <si>
    <t>2023-10-17T01:15:00Z</t>
  </si>
  <si>
    <t>2023-10-17T01:30:00Z</t>
  </si>
  <si>
    <t>2023-10-17T01:45:00Z</t>
  </si>
  <si>
    <t>2023-10-17T02:00:00Z</t>
  </si>
  <si>
    <t>2023-10-17T02:15:00Z</t>
  </si>
  <si>
    <t>0.059895000000000004</t>
  </si>
  <si>
    <t>2023-10-17T02:30:00Z</t>
  </si>
  <si>
    <t>2023-10-17T02:45:00Z</t>
  </si>
  <si>
    <t>2023-10-17T03:00:00Z</t>
  </si>
  <si>
    <t>2023-10-17T03:15:00Z</t>
  </si>
  <si>
    <t>2023-10-17T03:30:00Z</t>
  </si>
  <si>
    <t>2023-10-17T03:45:00Z</t>
  </si>
  <si>
    <t>2023-10-17T04:00:00Z</t>
  </si>
  <si>
    <t>2023-10-17T04:15:00Z</t>
  </si>
  <si>
    <t>2023-10-17T04:30:00Z</t>
  </si>
  <si>
    <t>2023-10-17T04:45:00Z</t>
  </si>
  <si>
    <t>2023-10-17T05:00:00Z</t>
  </si>
  <si>
    <t>2023-10-17T05:15:00Z</t>
  </si>
  <si>
    <t>2023-10-17T05:30:00Z</t>
  </si>
  <si>
    <t>2023-10-17T05:45:00Z</t>
  </si>
  <si>
    <t>2023-10-17T06:00:00Z</t>
  </si>
  <si>
    <t>4.6450000000000005</t>
  </si>
  <si>
    <t>2023-10-17T06:15:00Z</t>
  </si>
  <si>
    <t>2023-10-17T06:30:00Z</t>
  </si>
  <si>
    <t>2023-10-17T06:45:00Z</t>
  </si>
  <si>
    <t>4.7155000000000005</t>
  </si>
  <si>
    <t>2023-10-17T07:00:00Z</t>
  </si>
  <si>
    <t>2023-10-17T07:15:00Z</t>
  </si>
  <si>
    <t>2023-10-17T07:30:00Z</t>
  </si>
  <si>
    <t>2023-10-17T07:45:00Z</t>
  </si>
  <si>
    <t>2023-10-17T08:00:00Z</t>
  </si>
  <si>
    <t>2023-10-17T08:15:00Z</t>
  </si>
  <si>
    <t>2023-10-17T08:30:00Z</t>
  </si>
  <si>
    <t>2023-10-17T08:45:00Z</t>
  </si>
  <si>
    <t>2023-10-17T09:00:00Z</t>
  </si>
  <si>
    <t>2023-10-17T09:15:00Z</t>
  </si>
  <si>
    <t>2023-10-17T09:30:00Z</t>
  </si>
  <si>
    <t>2023-10-17T09:45:00Z</t>
  </si>
  <si>
    <t>2023-10-17T10:00:00Z</t>
  </si>
  <si>
    <t>2023-10-17T10:15:00Z</t>
  </si>
  <si>
    <t>2023-10-17T10:30:00Z</t>
  </si>
  <si>
    <t>2023-10-17T10:45:00Z</t>
  </si>
  <si>
    <t>2023-10-17T11:00:00Z</t>
  </si>
  <si>
    <t>2023-10-17T11:15:00Z</t>
  </si>
  <si>
    <t>2023-10-17T11:30:00Z</t>
  </si>
  <si>
    <t>2023-10-17T11:45:00Z</t>
  </si>
  <si>
    <t>2023-10-17T12:00:00Z</t>
  </si>
  <si>
    <t>2023-10-17T12:15:00Z</t>
  </si>
  <si>
    <t>2023-10-17T12:30:00Z</t>
  </si>
  <si>
    <t>4.5809999999999995</t>
  </si>
  <si>
    <t>2023-10-17T12:45:00Z</t>
  </si>
  <si>
    <t>2023-10-17T13:00:00Z</t>
  </si>
  <si>
    <t>2023-10-17T13:15:00Z</t>
  </si>
  <si>
    <t>2023-10-17T13:30:00Z</t>
  </si>
  <si>
    <t>2023-10-17T13:45:00Z</t>
  </si>
  <si>
    <t>2023-10-17T14:00:00Z</t>
  </si>
  <si>
    <t>2023-10-17T14:15:00Z</t>
  </si>
  <si>
    <t>2023-10-17T14:30:00Z</t>
  </si>
  <si>
    <t>2023-10-17T14:45:00Z</t>
  </si>
  <si>
    <t>2023-10-17T15:00:00Z</t>
  </si>
  <si>
    <t>0.061970000000000004</t>
  </si>
  <si>
    <t>2023-10-17T15:15:00Z</t>
  </si>
  <si>
    <t>0.062240000000000004</t>
  </si>
  <si>
    <t>2023-10-17T15:30:00Z</t>
  </si>
  <si>
    <t>2023-10-17T15:45:00Z</t>
  </si>
  <si>
    <t>2023-10-17T16:00:00Z</t>
  </si>
  <si>
    <t>2023-10-17T16:15:00Z</t>
  </si>
  <si>
    <t>2023-10-17T16:30:00Z</t>
  </si>
  <si>
    <t>2023-10-17T16:45:00Z</t>
  </si>
  <si>
    <t>2023-10-17T17:00:00Z</t>
  </si>
  <si>
    <t>2023-10-17T17:15:00Z</t>
  </si>
  <si>
    <t>2023-10-17T17:30:00Z</t>
  </si>
  <si>
    <t>2023-10-17T17:45:00Z</t>
  </si>
  <si>
    <t>2023-10-17T18:00:00Z</t>
  </si>
  <si>
    <t>2023-10-17T18:15:00Z</t>
  </si>
  <si>
    <t>2023-10-17T18:30:00Z</t>
  </si>
  <si>
    <t>0.052790000000000004</t>
  </si>
  <si>
    <t>2023-10-17T18:45:00Z</t>
  </si>
  <si>
    <t>2023-10-17T19:00:00Z</t>
  </si>
  <si>
    <t>2023-10-17T19:15:00Z</t>
  </si>
  <si>
    <t>2023-10-17T19:30:00Z</t>
  </si>
  <si>
    <t>2023-10-17T19:45:00Z</t>
  </si>
  <si>
    <t>2023-10-17T20:00:00Z</t>
  </si>
  <si>
    <t>2023-10-17T20:15:00Z</t>
  </si>
  <si>
    <t>2023-10-17T20:30:00Z</t>
  </si>
  <si>
    <t>2023-10-17T20:45:00Z</t>
  </si>
  <si>
    <t>2023-10-17T21:00:00Z</t>
  </si>
  <si>
    <t>2023-10-17T21:15:00Z</t>
  </si>
  <si>
    <t>2023-10-17T21:30:00Z</t>
  </si>
  <si>
    <t>2023-10-17T21:45:00Z</t>
  </si>
  <si>
    <t>2023-10-17T22:00:00Z</t>
  </si>
  <si>
    <t>2023-10-17T22:15:00Z</t>
  </si>
  <si>
    <t>2023-10-17T22:30:00Z</t>
  </si>
  <si>
    <t>2023-10-17T22:45:00Z</t>
  </si>
  <si>
    <t>2023-10-17T23:00:00Z</t>
  </si>
  <si>
    <t>2023-10-17T23:15:00Z</t>
  </si>
  <si>
    <t>2023-10-17T23:30:00Z</t>
  </si>
  <si>
    <t>2023-10-17T23:45:00Z</t>
  </si>
  <si>
    <t>2023-10-18T00:00:00Z</t>
  </si>
  <si>
    <t>2023-10-18T00:15:00Z</t>
  </si>
  <si>
    <t>2023-10-18T00:30:00Z</t>
  </si>
  <si>
    <t>2023-10-18T00:45:00Z</t>
  </si>
  <si>
    <t>0.053434999999999996</t>
  </si>
  <si>
    <t>2023-10-18T01:00:00Z</t>
  </si>
  <si>
    <t>2023-10-18T01:15:00Z</t>
  </si>
  <si>
    <t>2023-10-18T01:30:00Z</t>
  </si>
  <si>
    <t>2023-10-18T01:45:00Z</t>
  </si>
  <si>
    <t>2023-10-18T02:00:00Z</t>
  </si>
  <si>
    <t>2023-10-18T02:15:00Z</t>
  </si>
  <si>
    <t>2023-10-18T02:30:00Z</t>
  </si>
  <si>
    <t>2023-10-18T02:45:00Z</t>
  </si>
  <si>
    <t>2023-10-18T03:00:00Z</t>
  </si>
  <si>
    <t>2023-10-18T03:15:00Z</t>
  </si>
  <si>
    <t>2023-10-18T03:30:00Z</t>
  </si>
  <si>
    <t>2023-10-18T03:45:00Z</t>
  </si>
  <si>
    <t>2023-10-18T04:00:00Z</t>
  </si>
  <si>
    <t>2023-10-18T04:15:00Z</t>
  </si>
  <si>
    <t>2023-10-18T04:30:00Z</t>
  </si>
  <si>
    <t>2023-10-18T04:45:00Z</t>
  </si>
  <si>
    <t>2023-10-18T05:00:00Z</t>
  </si>
  <si>
    <t>2023-10-18T05:15:00Z</t>
  </si>
  <si>
    <t>2023-10-18T05:30:00Z</t>
  </si>
  <si>
    <t>2023-10-18T05:45:00Z</t>
  </si>
  <si>
    <t>2023-10-18T06:00:00Z</t>
  </si>
  <si>
    <t>2023-10-18T06:15:00Z</t>
  </si>
  <si>
    <t>2023-10-18T06:30:00Z</t>
  </si>
  <si>
    <t>2023-10-18T06:45:00Z</t>
  </si>
  <si>
    <t>2023-10-18T07:00:00Z</t>
  </si>
  <si>
    <t>2023-10-18T07:15:00Z</t>
  </si>
  <si>
    <t>2023-10-18T07:30:00Z</t>
  </si>
  <si>
    <t>2023-10-18T07:45:00Z</t>
  </si>
  <si>
    <t>2023-10-18T08:00:00Z</t>
  </si>
  <si>
    <t>2023-10-18T08:15:00Z</t>
  </si>
  <si>
    <t>2023-10-18T08:30:00Z</t>
  </si>
  <si>
    <t>2023-10-18T08:45:00Z</t>
  </si>
  <si>
    <t>2023-10-18T09:00:00Z</t>
  </si>
  <si>
    <t>2023-10-18T09:15:00Z</t>
  </si>
  <si>
    <t>4.4704999999999995</t>
  </si>
  <si>
    <t>2023-10-18T09:30:00Z</t>
  </si>
  <si>
    <t>2023-10-18T09:45:00Z</t>
  </si>
  <si>
    <t>2023-10-18T10:00:00Z</t>
  </si>
  <si>
    <t>2023-10-18T10:15:00Z</t>
  </si>
  <si>
    <t>2023-10-18T10:30:00Z</t>
  </si>
  <si>
    <t>2023-10-18T10:45:00Z</t>
  </si>
  <si>
    <t>2023-10-18T11:00:00Z</t>
  </si>
  <si>
    <t>2023-10-18T11:15:00Z</t>
  </si>
  <si>
    <t>2023-10-18T11:30:00Z</t>
  </si>
  <si>
    <t>2023-10-18T11:45:00Z</t>
  </si>
  <si>
    <t>2023-10-18T12:00:00Z</t>
  </si>
  <si>
    <t>2023-10-18T12:15:00Z</t>
  </si>
  <si>
    <t>2023-10-18T12:30:00Z</t>
  </si>
  <si>
    <t>2023-10-18T12:45:00Z</t>
  </si>
  <si>
    <t>2023-10-18T13:00:00Z</t>
  </si>
  <si>
    <t>2023-10-18T13:15:00Z</t>
  </si>
  <si>
    <t>2023-10-18T13:30:00Z</t>
  </si>
  <si>
    <t>2023-10-18T13:45:00Z</t>
  </si>
  <si>
    <t>2023-10-18T14:00:00Z</t>
  </si>
  <si>
    <t>2023-10-18T14:15:00Z</t>
  </si>
  <si>
    <t>2023-10-18T14:30:00Z</t>
  </si>
  <si>
    <t>2023-10-18T14:45:00Z</t>
  </si>
  <si>
    <t>2023-10-18T15:00:00Z</t>
  </si>
  <si>
    <t>2023-10-18T15:15:00Z</t>
  </si>
  <si>
    <t>2023-10-18T15:30:00Z</t>
  </si>
  <si>
    <t>2023-10-18T15:45:00Z</t>
  </si>
  <si>
    <t>2023-10-18T16:00:00Z</t>
  </si>
  <si>
    <t>2023-10-18T16:15:00Z</t>
  </si>
  <si>
    <t>2023-10-18T16:30:00Z</t>
  </si>
  <si>
    <t>2023-10-18T16:45:00Z</t>
  </si>
  <si>
    <t>2023-10-18T17:00:00Z</t>
  </si>
  <si>
    <t>2023-10-18T17:15:00Z</t>
  </si>
  <si>
    <t>2023-10-18T17:30:00Z</t>
  </si>
  <si>
    <t>2023-10-18T17:45:00Z</t>
  </si>
  <si>
    <t>2023-10-18T18:00:00Z</t>
  </si>
  <si>
    <t>2023-10-18T18:15:00Z</t>
  </si>
  <si>
    <t>2023-10-18T18:30:00Z</t>
  </si>
  <si>
    <t>2023-10-18T18:45:00Z</t>
  </si>
  <si>
    <t>2023-10-18T19:00:00Z</t>
  </si>
  <si>
    <t>2023-10-18T19:15:00Z</t>
  </si>
  <si>
    <t>2023-10-18T19:30:00Z</t>
  </si>
  <si>
    <t>3.9435000000000002</t>
  </si>
  <si>
    <t>2023-10-18T19:45:00Z</t>
  </si>
  <si>
    <t>2023-10-18T20:00:00Z</t>
  </si>
  <si>
    <t>0.049514999999999997</t>
  </si>
  <si>
    <t>2023-10-18T20:15:00Z</t>
  </si>
  <si>
    <t>2023-10-18T20:30:00Z</t>
  </si>
  <si>
    <t>2023-10-18T20:45:00Z</t>
  </si>
  <si>
    <t>3.5949999999999998</t>
  </si>
  <si>
    <t>2023-10-18T21:00:00Z</t>
  </si>
  <si>
    <t>2023-10-18T21:15:00Z</t>
  </si>
  <si>
    <t>2023-10-18T21:30:00Z</t>
  </si>
  <si>
    <t>2023-10-18T21:45:00Z</t>
  </si>
  <si>
    <t>2023-10-18T22:00:00Z</t>
  </si>
  <si>
    <t>2023-10-18T22:15:00Z</t>
  </si>
  <si>
    <t>3.3529999999999998</t>
  </si>
  <si>
    <t>2023-10-18T22:30:00Z</t>
  </si>
  <si>
    <t>2023-10-18T22:45:00Z</t>
  </si>
  <si>
    <t>2023-10-18T23:00:00Z</t>
  </si>
  <si>
    <t>2023-10-18T23:15:00Z</t>
  </si>
  <si>
    <t>2023-10-18T23:30:00Z</t>
  </si>
  <si>
    <t>2023-10-18T23:45:00Z</t>
  </si>
  <si>
    <t>2023-10-19T00:00:00Z</t>
  </si>
  <si>
    <t>2023-10-19T00:15:00Z</t>
  </si>
  <si>
    <t>2023-10-19T00:30:00Z</t>
  </si>
  <si>
    <t>2023-10-19T00:45:00Z</t>
  </si>
  <si>
    <t>2023-10-19T01:00:00Z</t>
  </si>
  <si>
    <t>3.5060000000000002</t>
  </si>
  <si>
    <t>2023-10-19T01:15:00Z</t>
  </si>
  <si>
    <t>2023-10-19T01:30:00Z</t>
  </si>
  <si>
    <t>2023-10-19T01:45:00Z</t>
  </si>
  <si>
    <t>2023-10-19T02:00:00Z</t>
  </si>
  <si>
    <t>2023-10-19T02:15:00Z</t>
  </si>
  <si>
    <t>2023-10-19T02:30:00Z</t>
  </si>
  <si>
    <t>2023-10-19T02:45:00Z</t>
  </si>
  <si>
    <t>2023-10-19T03:00:00Z</t>
  </si>
  <si>
    <t>2023-10-19T03:15:00Z</t>
  </si>
  <si>
    <t>2023-10-19T03:30:00Z</t>
  </si>
  <si>
    <t>2023-10-19T03:45:00Z</t>
  </si>
  <si>
    <t>2023-10-19T04:00:00Z</t>
  </si>
  <si>
    <t>2023-10-19T04:15:00Z</t>
  </si>
  <si>
    <t>2023-10-19T04:30:00Z</t>
  </si>
  <si>
    <t>2023-10-19T04:45:00Z</t>
  </si>
  <si>
    <t>2023-10-19T05:00:00Z</t>
  </si>
  <si>
    <t>2023-10-19T05:15:00Z</t>
  </si>
  <si>
    <t>2023-10-19T05:30:00Z</t>
  </si>
  <si>
    <t>2023-10-19T05:45:00Z</t>
  </si>
  <si>
    <t>2023-10-19T06:00:00Z</t>
  </si>
  <si>
    <t>2023-10-19T06:15:00Z</t>
  </si>
  <si>
    <t>2023-10-19T06:30:00Z</t>
  </si>
  <si>
    <t>2023-10-19T06:45:00Z</t>
  </si>
  <si>
    <t>2023-10-19T07:00:00Z</t>
  </si>
  <si>
    <t>2023-10-19T07:15:00Z</t>
  </si>
  <si>
    <t>2023-10-19T07:30:00Z</t>
  </si>
  <si>
    <t>2023-10-19T07:45:00Z</t>
  </si>
  <si>
    <t>2023-10-19T08:00:00Z</t>
  </si>
  <si>
    <t>2023-10-19T08:15:00Z</t>
  </si>
  <si>
    <t>2023-10-19T08:30:00Z</t>
  </si>
  <si>
    <t>2023-10-19T08:45:00Z</t>
  </si>
  <si>
    <t>2023-10-19T09:00:00Z</t>
  </si>
  <si>
    <t>2023-10-19T09:15:00Z</t>
  </si>
  <si>
    <t>2023-10-19T09:30:00Z</t>
  </si>
  <si>
    <t>2023-10-19T09:45:00Z</t>
  </si>
  <si>
    <t>2023-10-19T10:00:00Z</t>
  </si>
  <si>
    <t>2023-10-19T10:15:00Z</t>
  </si>
  <si>
    <t>2023-10-19T10:30:00Z</t>
  </si>
  <si>
    <t>2023-10-19T10:45:00Z</t>
  </si>
  <si>
    <t>2023-10-19T11:00:00Z</t>
  </si>
  <si>
    <t>2023-10-19T11:15:00Z</t>
  </si>
  <si>
    <t>2023-10-19T11:30:00Z</t>
  </si>
  <si>
    <t>2023-10-19T11:45:00Z</t>
  </si>
  <si>
    <t>2023-10-19T12:00:00Z</t>
  </si>
  <si>
    <t>2023-10-19T12:15:00Z</t>
  </si>
  <si>
    <t>2023-10-19T12:30:00Z</t>
  </si>
  <si>
    <t>2023-10-19T12:45:00Z</t>
  </si>
  <si>
    <t>2023-10-19T13:00:00Z</t>
  </si>
  <si>
    <t>2023-10-19T13:15:00Z</t>
  </si>
  <si>
    <t>2023-10-19T13:30:00Z</t>
  </si>
  <si>
    <t>2023-10-19T13:45:00Z</t>
  </si>
  <si>
    <t>4.5184999999999995</t>
  </si>
  <si>
    <t>2023-10-19T14:00:00Z</t>
  </si>
  <si>
    <t>0.060055000000000004</t>
  </si>
  <si>
    <t>2023-10-19T14:15:00Z</t>
  </si>
  <si>
    <t>2023-10-19T14:30:00Z</t>
  </si>
  <si>
    <t>2023-10-19T14:45:00Z</t>
  </si>
  <si>
    <t>2023-10-19T15:00:00Z</t>
  </si>
  <si>
    <t>2023-10-19T15:15:00Z</t>
  </si>
  <si>
    <t>2023-10-19T15:30:00Z</t>
  </si>
  <si>
    <t>2023-10-19T15:45:00Z</t>
  </si>
  <si>
    <t>2023-10-19T16:00:00Z</t>
  </si>
  <si>
    <t>2023-10-19T16:15:00Z</t>
  </si>
  <si>
    <t>2023-10-19T16:30:00Z</t>
  </si>
  <si>
    <t>2023-10-19T16:45:00Z</t>
  </si>
  <si>
    <t>2023-10-19T17:00:00Z</t>
  </si>
  <si>
    <t>2023-10-19T17:15:00Z</t>
  </si>
  <si>
    <t>2023-10-19T17:30:00Z</t>
  </si>
  <si>
    <t>2023-10-19T17:45:00Z</t>
  </si>
  <si>
    <t>2023-10-19T18:00:00Z</t>
  </si>
  <si>
    <t>2023-10-19T18:15:00Z</t>
  </si>
  <si>
    <t>2023-10-19T18:30:00Z</t>
  </si>
  <si>
    <t>2023-10-19T18:45:00Z</t>
  </si>
  <si>
    <t>2023-10-19T19:00:00Z</t>
  </si>
  <si>
    <t>2023-10-19T19:15:00Z</t>
  </si>
  <si>
    <t>2023-10-19T19:30:00Z</t>
  </si>
  <si>
    <t>2023-10-19T19:45:00Z</t>
  </si>
  <si>
    <t>3.9395000000000002</t>
  </si>
  <si>
    <t>0.055205000000000004</t>
  </si>
  <si>
    <t>2023-10-19T20:00:00Z</t>
  </si>
  <si>
    <t>2023-10-19T20:15:00Z</t>
  </si>
  <si>
    <t>2023-10-19T20:30:00Z</t>
  </si>
  <si>
    <t>2023-10-19T20:45:00Z</t>
  </si>
  <si>
    <t>2023-10-19T21:00:00Z</t>
  </si>
  <si>
    <t>2023-10-19T21:15:00Z</t>
  </si>
  <si>
    <t>2023-10-19T21:30:00Z</t>
  </si>
  <si>
    <t>2023-10-19T21:45:00Z</t>
  </si>
  <si>
    <t>2023-10-19T22:00:00Z</t>
  </si>
  <si>
    <t>2023-10-19T22:15:00Z</t>
  </si>
  <si>
    <t>2023-10-19T22:30:00Z</t>
  </si>
  <si>
    <t>4.1690000000000005</t>
  </si>
  <si>
    <t>2023-10-19T22:45:00Z</t>
  </si>
  <si>
    <t>2023-10-19T23:00:00Z</t>
  </si>
  <si>
    <t>2023-10-19T23:15:00Z</t>
  </si>
  <si>
    <t>2023-10-19T23:30:00Z</t>
  </si>
  <si>
    <t>0.058179999999999996</t>
  </si>
  <si>
    <t>2023-10-19T23:45:00Z</t>
  </si>
  <si>
    <t>3.8209999999999997</t>
  </si>
  <si>
    <t>2023-10-20T00:00:00Z</t>
  </si>
  <si>
    <t>2023-10-20T00:15:00Z</t>
  </si>
  <si>
    <t>2023-10-20T00:30:00Z</t>
  </si>
  <si>
    <t>0.057964999999999996</t>
  </si>
  <si>
    <t>2023-10-20T00:45:00Z</t>
  </si>
  <si>
    <t>0.058750000000000004</t>
  </si>
  <si>
    <t>2023-10-20T01:00:00Z</t>
  </si>
  <si>
    <t>2023-10-20T01:15:00Z</t>
  </si>
  <si>
    <t>2023-10-20T01:30:00Z</t>
  </si>
  <si>
    <t>2023-10-20T01:45:00Z</t>
  </si>
  <si>
    <t>2023-10-20T02:00:00Z</t>
  </si>
  <si>
    <t>2023-10-20T02:15:00Z</t>
  </si>
  <si>
    <t>2023-10-20T02:30:00Z</t>
  </si>
  <si>
    <t>2023-10-20T02:45:00Z</t>
  </si>
  <si>
    <t>0.060325000000000004</t>
  </si>
  <si>
    <t>2023-10-20T03:00:00Z</t>
  </si>
  <si>
    <t>2023-10-20T03:15:00Z</t>
  </si>
  <si>
    <t>2023-10-20T03:30:00Z</t>
  </si>
  <si>
    <t>2023-10-20T03:45:00Z</t>
  </si>
  <si>
    <t>2023-10-20T04:00:00Z</t>
  </si>
  <si>
    <t>2023-10-20T04:15:00Z</t>
  </si>
  <si>
    <t>2023-10-20T04:30:00Z</t>
  </si>
  <si>
    <t>2023-10-20T04:45:00Z</t>
  </si>
  <si>
    <t>2023-10-20T05:00:00Z</t>
  </si>
  <si>
    <t>2023-10-20T05:15:00Z</t>
  </si>
  <si>
    <t>2023-10-20T05:30:00Z</t>
  </si>
  <si>
    <t>2023-10-20T05:45:00Z</t>
  </si>
  <si>
    <t>2023-10-20T06:00:00Z</t>
  </si>
  <si>
    <t>2023-10-20T06:15:00Z</t>
  </si>
  <si>
    <t>2023-10-20T06:30:00Z</t>
  </si>
  <si>
    <t>2023-10-20T06:45:00Z</t>
  </si>
  <si>
    <t>2023-10-20T07:00:00Z</t>
  </si>
  <si>
    <t>2023-10-20T07:15:00Z</t>
  </si>
  <si>
    <t>2023-10-20T07:30:00Z</t>
  </si>
  <si>
    <t>2023-10-20T07:45:00Z</t>
  </si>
  <si>
    <t>2023-10-20T08:00:00Z</t>
  </si>
  <si>
    <t>2023-10-20T08:15:00Z</t>
  </si>
  <si>
    <t>4.9254999999999995</t>
  </si>
  <si>
    <t>2023-10-20T08:30:00Z</t>
  </si>
  <si>
    <t>2023-10-20T08:45:00Z</t>
  </si>
  <si>
    <t>2023-10-20T09:00:00Z</t>
  </si>
  <si>
    <t>2023-10-20T09:15:00Z</t>
  </si>
  <si>
    <t>2023-10-20T09:30:00Z</t>
  </si>
  <si>
    <t>2023-10-20T09:45:00Z</t>
  </si>
  <si>
    <t>2023-10-20T10:00:00Z</t>
  </si>
  <si>
    <t>4.9079999999999995</t>
  </si>
  <si>
    <t>2023-10-20T10:15:00Z</t>
  </si>
  <si>
    <t>2023-10-20T10:30:00Z</t>
  </si>
  <si>
    <t>2023-10-20T10:45:00Z</t>
  </si>
  <si>
    <t>2023-10-20T11:00:00Z</t>
  </si>
  <si>
    <t>2023-10-20T11:15:00Z</t>
  </si>
  <si>
    <t>2023-10-20T11:30:00Z</t>
  </si>
  <si>
    <t>2023-10-20T11:45:00Z</t>
  </si>
  <si>
    <t>2023-10-20T12:00:00Z</t>
  </si>
  <si>
    <t>2023-10-20T12:15:00Z</t>
  </si>
  <si>
    <t>2023-10-20T12:30:00Z</t>
  </si>
  <si>
    <t>2023-10-20T12:45:00Z</t>
  </si>
  <si>
    <t>2023-10-20T13:00:00Z</t>
  </si>
  <si>
    <t>2023-10-20T13:15:00Z</t>
  </si>
  <si>
    <t>2023-10-20T13:30:00Z</t>
  </si>
  <si>
    <t>2023-10-20T13:45:00Z</t>
  </si>
  <si>
    <t>4.6754999999999995</t>
  </si>
  <si>
    <t>2023-10-20T14:00:00Z</t>
  </si>
  <si>
    <t>4.8645000000000005</t>
  </si>
  <si>
    <t>2023-10-20T14:15:00Z</t>
  </si>
  <si>
    <t>2023-10-20T14:30:00Z</t>
  </si>
  <si>
    <t>2023-10-20T14:45:00Z</t>
  </si>
  <si>
    <t>2023-10-20T15:00:00Z</t>
  </si>
  <si>
    <t>2023-10-20T15:15:00Z</t>
  </si>
  <si>
    <t>2023-10-20T15:30:00Z</t>
  </si>
  <si>
    <t>2023-10-20T15:45:00Z</t>
  </si>
  <si>
    <t>2023-10-20T16:00:00Z</t>
  </si>
  <si>
    <t>2023-10-20T16:15:00Z</t>
  </si>
  <si>
    <t>2023-10-20T16:30:00Z</t>
  </si>
  <si>
    <t>2023-10-20T16:45:00Z</t>
  </si>
  <si>
    <t>2023-10-20T17:00:00Z</t>
  </si>
  <si>
    <t>2023-10-20T17:15:00Z</t>
  </si>
  <si>
    <t>2023-10-20T17:30:00Z</t>
  </si>
  <si>
    <t>2023-10-20T17:45:00Z</t>
  </si>
  <si>
    <t>2023-10-20T18:00:00Z</t>
  </si>
  <si>
    <t>2023-10-20T18:15:00Z</t>
  </si>
  <si>
    <t>2023-10-20T18:30:00Z</t>
  </si>
  <si>
    <t>2023-10-20T18:45:00Z</t>
  </si>
  <si>
    <t>2023-10-20T19:00:00Z</t>
  </si>
  <si>
    <t>2023-10-20T19:15:00Z</t>
  </si>
  <si>
    <t>2023-10-20T19:30:00Z</t>
  </si>
  <si>
    <t>2023-10-20T19:45:00Z</t>
  </si>
  <si>
    <t>2023-10-20T20:00:00Z</t>
  </si>
  <si>
    <t>2023-10-20T20:15:00Z</t>
  </si>
  <si>
    <t>2023-10-20T20:30:00Z</t>
  </si>
  <si>
    <t>2023-10-20T20:45:00Z</t>
  </si>
  <si>
    <t>2023-10-20T21:00:00Z</t>
  </si>
  <si>
    <t>2023-10-20T21:15:00Z</t>
  </si>
  <si>
    <t>2023-10-20T21:30:00Z</t>
  </si>
  <si>
    <t>2023-10-20T21:45:00Z</t>
  </si>
  <si>
    <t>2023-10-20T22:00:00Z</t>
  </si>
  <si>
    <t>2023-10-20T22:15:00Z</t>
  </si>
  <si>
    <t>2023-10-20T22:30:00Z</t>
  </si>
  <si>
    <t>2023-10-20T22:45:00Z</t>
  </si>
  <si>
    <t>2023-10-20T23:00:00Z</t>
  </si>
  <si>
    <t>2023-10-20T23:15:00Z</t>
  </si>
  <si>
    <t>2023-10-20T23:30:00Z</t>
  </si>
  <si>
    <t>2023-10-20T23:45:00Z</t>
  </si>
  <si>
    <t>2023-10-21T00:00:00Z</t>
  </si>
  <si>
    <t>2023-10-21T00:15:00Z</t>
  </si>
  <si>
    <t>2023-10-21T00:30:00Z</t>
  </si>
  <si>
    <t>2023-10-21T00:45:00Z</t>
  </si>
  <si>
    <t>2023-10-21T01:00:00Z</t>
  </si>
  <si>
    <t>2023-10-21T01:15:00Z</t>
  </si>
  <si>
    <t>2023-10-21T01:30:00Z</t>
  </si>
  <si>
    <t>2023-10-21T01:45:00Z</t>
  </si>
  <si>
    <t>2023-10-21T02:00:00Z</t>
  </si>
  <si>
    <t>2023-10-21T02:15:00Z</t>
  </si>
  <si>
    <t>2023-10-21T02:30:00Z</t>
  </si>
  <si>
    <t>2023-10-21T02:45:00Z</t>
  </si>
  <si>
    <t>2023-10-21T03:00:00Z</t>
  </si>
  <si>
    <t>2023-10-21T03:15:00Z</t>
  </si>
  <si>
    <t>0.061810000000000004</t>
  </si>
  <si>
    <t>2023-10-21T03:30:00Z</t>
  </si>
  <si>
    <t>2023-10-21T03:45:00Z</t>
  </si>
  <si>
    <t>2023-10-21T04:00:00Z</t>
  </si>
  <si>
    <t>2023-10-21T04:15:00Z</t>
  </si>
  <si>
    <t>2023-10-21T04:30:00Z</t>
  </si>
  <si>
    <t>2023-10-21T04:45:00Z</t>
  </si>
  <si>
    <t>2023-10-21T05:00:00Z</t>
  </si>
  <si>
    <t>2023-10-21T05:15:00Z</t>
  </si>
  <si>
    <t>2023-10-21T05:30:00Z</t>
  </si>
  <si>
    <t>2023-10-21T05:45:00Z</t>
  </si>
  <si>
    <t>4.9495000000000005</t>
  </si>
  <si>
    <t>2023-10-21T06:00:00Z</t>
  </si>
  <si>
    <t>2023-10-21T06:15:00Z</t>
  </si>
  <si>
    <t>2023-10-21T06:30:00Z</t>
  </si>
  <si>
    <t>2023-10-21T06:45:00Z</t>
  </si>
  <si>
    <t>2023-10-21T07:00:00Z</t>
  </si>
  <si>
    <t>2023-10-21T07:15:00Z</t>
  </si>
  <si>
    <t>2023-10-21T07:30:00Z</t>
  </si>
  <si>
    <t>2023-10-21T07:45:00Z</t>
  </si>
  <si>
    <t>2023-10-21T08:00:00Z</t>
  </si>
  <si>
    <t>2023-10-21T08:15:00Z</t>
  </si>
  <si>
    <t>2023-10-21T08:30:00Z</t>
  </si>
  <si>
    <t>0.061454999999999996</t>
  </si>
  <si>
    <t>2023-10-21T08:45:00Z</t>
  </si>
  <si>
    <t>2023-10-21T09:00:00Z</t>
  </si>
  <si>
    <t>2023-10-21T09:15:00Z</t>
  </si>
  <si>
    <t>2023-10-21T09:30:00Z</t>
  </si>
  <si>
    <t>2023-10-21T09:45:00Z</t>
  </si>
  <si>
    <t>2023-10-21T10:00:00Z</t>
  </si>
  <si>
    <t>4.9704999999999995</t>
  </si>
  <si>
    <t>2023-10-21T10:15:00Z</t>
  </si>
  <si>
    <t>2023-10-21T10:30:00Z</t>
  </si>
  <si>
    <t>2023-10-21T10:45:00Z</t>
  </si>
  <si>
    <t>2023-10-21T11:00:00Z</t>
  </si>
  <si>
    <t>2023-10-21T11:15:00Z</t>
  </si>
  <si>
    <t>2023-10-21T11:30:00Z</t>
  </si>
  <si>
    <t>2023-10-21T11:45:00Z</t>
  </si>
  <si>
    <t>2023-10-21T12:00:00Z</t>
  </si>
  <si>
    <t>2023-10-21T12:15:00Z</t>
  </si>
  <si>
    <t>2023-10-21T12:30:00Z</t>
  </si>
  <si>
    <t>2023-10-21T12:45:00Z</t>
  </si>
  <si>
    <t>2023-10-21T13:00:00Z</t>
  </si>
  <si>
    <t>2023-10-21T13:15:00Z</t>
  </si>
  <si>
    <t>2023-10-21T13:30:00Z</t>
  </si>
  <si>
    <t>2023-10-21T13:45:00Z</t>
  </si>
  <si>
    <t>2023-10-21T14:00:00Z</t>
  </si>
  <si>
    <t>2023-10-21T14:15:00Z</t>
  </si>
  <si>
    <t>2023-10-21T14:30:00Z</t>
  </si>
  <si>
    <t>2023-10-21T14:45:00Z</t>
  </si>
  <si>
    <t>2023-10-21T15:00:00Z</t>
  </si>
  <si>
    <t>2023-10-21T15:15:00Z</t>
  </si>
  <si>
    <t>2023-10-21T15:30:00Z</t>
  </si>
  <si>
    <t>2023-10-21T15:45:00Z</t>
  </si>
  <si>
    <t>4.765000000000001</t>
  </si>
  <si>
    <t>2023-10-21T16:00:00Z</t>
  </si>
  <si>
    <t>2023-10-21T16:15:00Z</t>
  </si>
  <si>
    <t>2023-10-21T16:30:00Z</t>
  </si>
  <si>
    <t>2023-10-21T16:45:00Z</t>
  </si>
  <si>
    <t>2023-10-21T17:00:00Z</t>
  </si>
  <si>
    <t>2023-10-21T17:15:00Z</t>
  </si>
  <si>
    <t>2023-10-21T17:30:00Z</t>
  </si>
  <si>
    <t>2023-10-21T17:45:00Z</t>
  </si>
  <si>
    <t>2023-10-21T18:00:00Z</t>
  </si>
  <si>
    <t>2023-10-21T18:15:00Z</t>
  </si>
  <si>
    <t>3.8665000000000003</t>
  </si>
  <si>
    <t>2023-10-21T18:30:00Z</t>
  </si>
  <si>
    <t>2023-10-21T18:45:00Z</t>
  </si>
  <si>
    <t>2023-10-21T19:00:00Z</t>
  </si>
  <si>
    <t>2023-10-21T19:15:00Z</t>
  </si>
  <si>
    <t>0.20176470588235296</t>
  </si>
  <si>
    <t>2023-10-21T19:30:00Z</t>
  </si>
  <si>
    <t>time_local</t>
  </si>
  <si>
    <t>time_excel</t>
  </si>
  <si>
    <t>15 min in excel =&gt;</t>
  </si>
  <si>
    <t>integrating</t>
  </si>
  <si>
    <t>inverted no3</t>
  </si>
  <si>
    <t>uM per day</t>
  </si>
  <si>
    <t>~ 700 mg N/L/day</t>
  </si>
  <si>
    <t xml:space="preserve">divided by 96… the # of </t>
  </si>
  <si>
    <t>Avg uM /day uptake</t>
  </si>
  <si>
    <t>Oct 9 Q (m3/s)</t>
  </si>
  <si>
    <t>BC2</t>
  </si>
  <si>
    <t>BC1</t>
  </si>
  <si>
    <t xml:space="preserve">AVG: </t>
  </si>
  <si>
    <t>(many poor measurements)</t>
  </si>
  <si>
    <t>~ 0.5 m</t>
  </si>
  <si>
    <t>BC1 depth from X-section</t>
  </si>
  <si>
    <t>flipping graph</t>
  </si>
  <si>
    <t>average</t>
  </si>
  <si>
    <t>umol/L/day</t>
  </si>
  <si>
    <t>BC August</t>
  </si>
  <si>
    <t>NO3 uptake umol/L/day</t>
  </si>
  <si>
    <t>Comparing calculated uptake and stoichiometric demand</t>
  </si>
  <si>
    <t>BC October</t>
  </si>
  <si>
    <t>GPP - g/m2/day</t>
  </si>
  <si>
    <t>depth</t>
  </si>
  <si>
    <t>mw C</t>
  </si>
  <si>
    <t>assimilatory autotrophic demand (umol/L/day)</t>
  </si>
  <si>
    <t>mg/m3/day</t>
  </si>
  <si>
    <t>1 mg</t>
  </si>
  <si>
    <t>1m3</t>
  </si>
  <si>
    <t>1 m3</t>
  </si>
  <si>
    <t>1000 L</t>
  </si>
  <si>
    <t>12.01 mg</t>
  </si>
  <si>
    <t>1 mmol</t>
  </si>
  <si>
    <t>1000 umol</t>
  </si>
  <si>
    <t>g to mg</t>
  </si>
  <si>
    <t>sunrise</t>
  </si>
  <si>
    <t>sunset</t>
  </si>
  <si>
    <t>6:45-20:30</t>
  </si>
  <si>
    <t>7-8:30</t>
  </si>
  <si>
    <t>divided by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</si>
</sst>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0"/>
    <numFmt numFmtId="166" formatCode="0.0000;[Red]0.0000"/>
    <numFmt numFmtId="167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33" borderId="0" xfId="0" applyFill="1"/>
    <xf numFmtId="0" fontId="0" fillId="33" borderId="0" xfId="0" quotePrefix="1" applyFill="1"/>
    <xf numFmtId="14" fontId="0" fillId="33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33" borderId="0" xfId="0" applyNumberFormat="1" applyFill="1"/>
    <xf numFmtId="165" fontId="0" fillId="0" borderId="0" xfId="0" applyNumberFormat="1"/>
    <xf numFmtId="166" fontId="0" fillId="0" borderId="0" xfId="0" applyNumberFormat="1"/>
    <xf numFmtId="166" fontId="0" fillId="34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166" fontId="0" fillId="33" borderId="0" xfId="0" applyNumberFormat="1" applyFill="1"/>
    <xf numFmtId="166" fontId="0" fillId="35" borderId="0" xfId="0" applyNumberFormat="1" applyFill="1"/>
    <xf numFmtId="0" fontId="0" fillId="35" borderId="0" xfId="0" applyFill="1"/>
    <xf numFmtId="14" fontId="0" fillId="35" borderId="0" xfId="0" applyNumberFormat="1" applyFill="1"/>
    <xf numFmtId="164" fontId="0" fillId="35" borderId="0" xfId="0" applyNumberFormat="1" applyFill="1"/>
    <xf numFmtId="165" fontId="0" fillId="33" borderId="0" xfId="0" applyNumberFormat="1" applyFill="1"/>
    <xf numFmtId="165" fontId="0" fillId="34" borderId="0" xfId="0" applyNumberFormat="1" applyFill="1"/>
    <xf numFmtId="16" fontId="0" fillId="0" borderId="10" xfId="0" applyNumberFormat="1" applyBorder="1"/>
    <xf numFmtId="0" fontId="0" fillId="0" borderId="10" xfId="0" applyBorder="1"/>
    <xf numFmtId="2" fontId="18" fillId="0" borderId="0" xfId="0" applyNumberFormat="1" applyFont="1"/>
    <xf numFmtId="0" fontId="18" fillId="0" borderId="0" xfId="0" applyFont="1"/>
    <xf numFmtId="167" fontId="0" fillId="0" borderId="0" xfId="0" applyNumberFormat="1"/>
    <xf numFmtId="167" fontId="0" fillId="34" borderId="0" xfId="0" applyNumberFormat="1" applyFill="1"/>
    <xf numFmtId="2" fontId="0" fillId="34" borderId="0" xfId="0" applyNumberFormat="1" applyFill="1"/>
    <xf numFmtId="2" fontId="0" fillId="35" borderId="0" xfId="0" applyNumberFormat="1" applyFill="1"/>
    <xf numFmtId="167" fontId="0" fillId="35" borderId="0" xfId="0" applyNumberFormat="1" applyFill="1"/>
    <xf numFmtId="2" fontId="0" fillId="33" borderId="0" xfId="0" applyNumberFormat="1" applyFill="1"/>
    <xf numFmtId="167" fontId="0" fillId="33" borderId="0" xfId="0" applyNumberFormat="1" applyFill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Flipped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BC_Aug!$G$9:$G$105</c:f>
              <c:numCache>
                <c:formatCode>h:mm;@</c:formatCode>
                <c:ptCount val="97"/>
                <c:pt idx="0">
                  <c:v>6.072916666666706</c:v>
                </c:pt>
                <c:pt idx="1">
                  <c:v>6.083333333333373</c:v>
                </c:pt>
                <c:pt idx="2">
                  <c:v>6.09375000000004</c:v>
                </c:pt>
                <c:pt idx="3">
                  <c:v>6.1041666666667069</c:v>
                </c:pt>
                <c:pt idx="4">
                  <c:v>6.1145833333333739</c:v>
                </c:pt>
                <c:pt idx="5">
                  <c:v>6.1250000000000409</c:v>
                </c:pt>
                <c:pt idx="6">
                  <c:v>6.1354166666667078</c:v>
                </c:pt>
                <c:pt idx="7">
                  <c:v>6.1458333333333748</c:v>
                </c:pt>
                <c:pt idx="8">
                  <c:v>6.1562500000000417</c:v>
                </c:pt>
                <c:pt idx="9">
                  <c:v>6.1666666666667087</c:v>
                </c:pt>
                <c:pt idx="10">
                  <c:v>6.1770833333333757</c:v>
                </c:pt>
                <c:pt idx="11">
                  <c:v>6.1875000000000426</c:v>
                </c:pt>
                <c:pt idx="12">
                  <c:v>6.1979166666667096</c:v>
                </c:pt>
                <c:pt idx="13">
                  <c:v>6.2083333333333766</c:v>
                </c:pt>
                <c:pt idx="14">
                  <c:v>6.2187500000000435</c:v>
                </c:pt>
                <c:pt idx="15">
                  <c:v>6.2291666666667105</c:v>
                </c:pt>
                <c:pt idx="16">
                  <c:v>6.2395833333333774</c:v>
                </c:pt>
                <c:pt idx="17">
                  <c:v>6.2500000000000444</c:v>
                </c:pt>
                <c:pt idx="18">
                  <c:v>6.2604166666667114</c:v>
                </c:pt>
                <c:pt idx="19">
                  <c:v>6.2708333333333783</c:v>
                </c:pt>
                <c:pt idx="20">
                  <c:v>6.2812500000000453</c:v>
                </c:pt>
                <c:pt idx="21">
                  <c:v>6.2916666666667123</c:v>
                </c:pt>
                <c:pt idx="22">
                  <c:v>6.3020833333333792</c:v>
                </c:pt>
                <c:pt idx="23">
                  <c:v>6.3125000000000462</c:v>
                </c:pt>
                <c:pt idx="24">
                  <c:v>6.3229166666667131</c:v>
                </c:pt>
                <c:pt idx="25">
                  <c:v>6.3333333333333801</c:v>
                </c:pt>
                <c:pt idx="26">
                  <c:v>6.3437500000000471</c:v>
                </c:pt>
                <c:pt idx="27">
                  <c:v>6.354166666666714</c:v>
                </c:pt>
                <c:pt idx="28">
                  <c:v>6.364583333333381</c:v>
                </c:pt>
                <c:pt idx="29">
                  <c:v>6.375000000000048</c:v>
                </c:pt>
                <c:pt idx="30">
                  <c:v>6.3854166666667149</c:v>
                </c:pt>
                <c:pt idx="31">
                  <c:v>6.3958333333333819</c:v>
                </c:pt>
                <c:pt idx="32">
                  <c:v>6.4062500000000488</c:v>
                </c:pt>
                <c:pt idx="33">
                  <c:v>6.4166666666667158</c:v>
                </c:pt>
                <c:pt idx="34">
                  <c:v>6.4270833333333828</c:v>
                </c:pt>
                <c:pt idx="35">
                  <c:v>6.4375000000000497</c:v>
                </c:pt>
                <c:pt idx="36">
                  <c:v>6.4479166666667167</c:v>
                </c:pt>
                <c:pt idx="37">
                  <c:v>6.4583333333333837</c:v>
                </c:pt>
                <c:pt idx="38">
                  <c:v>6.4687500000000506</c:v>
                </c:pt>
                <c:pt idx="39">
                  <c:v>6.4791666666667176</c:v>
                </c:pt>
                <c:pt idx="40">
                  <c:v>6.4895833333333846</c:v>
                </c:pt>
                <c:pt idx="41">
                  <c:v>6.5000000000000515</c:v>
                </c:pt>
                <c:pt idx="42">
                  <c:v>6.5104166666667185</c:v>
                </c:pt>
                <c:pt idx="43">
                  <c:v>6.5208333333333854</c:v>
                </c:pt>
                <c:pt idx="44">
                  <c:v>6.5312500000000524</c:v>
                </c:pt>
                <c:pt idx="45">
                  <c:v>6.5416666666667194</c:v>
                </c:pt>
                <c:pt idx="46">
                  <c:v>6.5520833333333863</c:v>
                </c:pt>
                <c:pt idx="47">
                  <c:v>6.5625000000000533</c:v>
                </c:pt>
                <c:pt idx="48">
                  <c:v>6.5729166666667203</c:v>
                </c:pt>
                <c:pt idx="49">
                  <c:v>6.5833333333333872</c:v>
                </c:pt>
                <c:pt idx="50">
                  <c:v>6.5937500000000542</c:v>
                </c:pt>
                <c:pt idx="51">
                  <c:v>6.6041666666667211</c:v>
                </c:pt>
                <c:pt idx="52">
                  <c:v>6.6145833333333881</c:v>
                </c:pt>
                <c:pt idx="53">
                  <c:v>6.6250000000000551</c:v>
                </c:pt>
                <c:pt idx="54">
                  <c:v>6.635416666666722</c:v>
                </c:pt>
                <c:pt idx="55">
                  <c:v>6.645833333333389</c:v>
                </c:pt>
                <c:pt idx="56">
                  <c:v>6.656250000000056</c:v>
                </c:pt>
                <c:pt idx="57">
                  <c:v>6.6666666666667229</c:v>
                </c:pt>
                <c:pt idx="58">
                  <c:v>6.6770833333333899</c:v>
                </c:pt>
                <c:pt idx="59">
                  <c:v>6.6875000000000568</c:v>
                </c:pt>
                <c:pt idx="60">
                  <c:v>6.6979166666667238</c:v>
                </c:pt>
                <c:pt idx="61">
                  <c:v>6.7083333333333908</c:v>
                </c:pt>
                <c:pt idx="62">
                  <c:v>6.7187500000000577</c:v>
                </c:pt>
                <c:pt idx="63">
                  <c:v>6.7291666666667247</c:v>
                </c:pt>
                <c:pt idx="64">
                  <c:v>6.7395833333333917</c:v>
                </c:pt>
                <c:pt idx="65">
                  <c:v>6.7500000000000586</c:v>
                </c:pt>
                <c:pt idx="66">
                  <c:v>6.7604166666667256</c:v>
                </c:pt>
                <c:pt idx="67">
                  <c:v>6.7708333333333925</c:v>
                </c:pt>
                <c:pt idx="68">
                  <c:v>6.7812500000000595</c:v>
                </c:pt>
                <c:pt idx="69">
                  <c:v>6.7916666666667265</c:v>
                </c:pt>
                <c:pt idx="70">
                  <c:v>6.8020833333333934</c:v>
                </c:pt>
                <c:pt idx="71">
                  <c:v>6.8125000000000604</c:v>
                </c:pt>
                <c:pt idx="72">
                  <c:v>6.8229166666667274</c:v>
                </c:pt>
                <c:pt idx="73">
                  <c:v>6.8333333333333943</c:v>
                </c:pt>
                <c:pt idx="74">
                  <c:v>6.8437500000000613</c:v>
                </c:pt>
                <c:pt idx="75">
                  <c:v>6.8541666666667282</c:v>
                </c:pt>
                <c:pt idx="76">
                  <c:v>6.8645833333333952</c:v>
                </c:pt>
                <c:pt idx="77">
                  <c:v>6.8750000000000622</c:v>
                </c:pt>
                <c:pt idx="78">
                  <c:v>6.8854166666667291</c:v>
                </c:pt>
                <c:pt idx="79">
                  <c:v>6.8958333333333961</c:v>
                </c:pt>
                <c:pt idx="80">
                  <c:v>6.9062500000000631</c:v>
                </c:pt>
                <c:pt idx="81">
                  <c:v>6.91666666666673</c:v>
                </c:pt>
                <c:pt idx="82">
                  <c:v>6.927083333333397</c:v>
                </c:pt>
                <c:pt idx="83">
                  <c:v>6.9375000000000639</c:v>
                </c:pt>
                <c:pt idx="84">
                  <c:v>6.9479166666667309</c:v>
                </c:pt>
                <c:pt idx="85">
                  <c:v>6.9583333333333979</c:v>
                </c:pt>
                <c:pt idx="86">
                  <c:v>6.9687500000000648</c:v>
                </c:pt>
                <c:pt idx="87">
                  <c:v>6.9791666666667318</c:v>
                </c:pt>
                <c:pt idx="88">
                  <c:v>6.9895833333333988</c:v>
                </c:pt>
                <c:pt idx="89">
                  <c:v>7.0000000000000657</c:v>
                </c:pt>
                <c:pt idx="90">
                  <c:v>7.0104166666667327</c:v>
                </c:pt>
                <c:pt idx="91">
                  <c:v>7.0208333333333997</c:v>
                </c:pt>
                <c:pt idx="92">
                  <c:v>7.0312500000000666</c:v>
                </c:pt>
                <c:pt idx="93">
                  <c:v>7.0416666666667336</c:v>
                </c:pt>
                <c:pt idx="94">
                  <c:v>7.0520833333334005</c:v>
                </c:pt>
                <c:pt idx="95">
                  <c:v>7.0625000000000675</c:v>
                </c:pt>
                <c:pt idx="96">
                  <c:v>7.0729166666667345</c:v>
                </c:pt>
              </c:numCache>
            </c:numRef>
          </c:xVal>
          <c:yVal>
            <c:numRef>
              <c:f>BC_Aug!$J$9:$J$105</c:f>
              <c:numCache>
                <c:formatCode>0.0000</c:formatCode>
                <c:ptCount val="97"/>
                <c:pt idx="0">
                  <c:v>3.6500000000000199E-2</c:v>
                </c:pt>
                <c:pt idx="1">
                  <c:v>1.7000000000000348E-2</c:v>
                </c:pt>
                <c:pt idx="2">
                  <c:v>2.5500000000000078E-2</c:v>
                </c:pt>
                <c:pt idx="3">
                  <c:v>3.9500000000000313E-2</c:v>
                </c:pt>
                <c:pt idx="4">
                  <c:v>3.1000000000000583E-2</c:v>
                </c:pt>
                <c:pt idx="5">
                  <c:v>2.7000000000000135E-2</c:v>
                </c:pt>
                <c:pt idx="6">
                  <c:v>1.6500000000000625E-2</c:v>
                </c:pt>
                <c:pt idx="7">
                  <c:v>3.5500000000000753E-2</c:v>
                </c:pt>
                <c:pt idx="8">
                  <c:v>4.9000000000000377E-2</c:v>
                </c:pt>
                <c:pt idx="9">
                  <c:v>6.9500000000000561E-2</c:v>
                </c:pt>
                <c:pt idx="10">
                  <c:v>5.1499999999999879E-2</c:v>
                </c:pt>
                <c:pt idx="11">
                  <c:v>4.9500000000000099E-2</c:v>
                </c:pt>
                <c:pt idx="12">
                  <c:v>5.600000000000005E-2</c:v>
                </c:pt>
                <c:pt idx="13">
                  <c:v>7.4000000000000732E-2</c:v>
                </c:pt>
                <c:pt idx="14">
                  <c:v>7.8500000000000014E-2</c:v>
                </c:pt>
                <c:pt idx="15">
                  <c:v>5.400000000000027E-2</c:v>
                </c:pt>
                <c:pt idx="16">
                  <c:v>6.0000000000000497E-2</c:v>
                </c:pt>
                <c:pt idx="17">
                  <c:v>6.050000000000022E-2</c:v>
                </c:pt>
                <c:pt idx="18">
                  <c:v>7.4000000000000732E-2</c:v>
                </c:pt>
                <c:pt idx="19">
                  <c:v>6.050000000000022E-2</c:v>
                </c:pt>
                <c:pt idx="20">
                  <c:v>8.0500000000000682E-2</c:v>
                </c:pt>
                <c:pt idx="21">
                  <c:v>0.10000000000000053</c:v>
                </c:pt>
                <c:pt idx="22">
                  <c:v>8.0500000000000682E-2</c:v>
                </c:pt>
                <c:pt idx="23">
                  <c:v>0.11800000000000033</c:v>
                </c:pt>
                <c:pt idx="24">
                  <c:v>0.12850000000000072</c:v>
                </c:pt>
                <c:pt idx="25">
                  <c:v>0.14950000000000063</c:v>
                </c:pt>
                <c:pt idx="26">
                  <c:v>0.17400000000000038</c:v>
                </c:pt>
                <c:pt idx="27">
                  <c:v>0.20199999999999996</c:v>
                </c:pt>
                <c:pt idx="28">
                  <c:v>0.21750000000000025</c:v>
                </c:pt>
                <c:pt idx="29">
                  <c:v>0.24550000000000072</c:v>
                </c:pt>
                <c:pt idx="30">
                  <c:v>0.29800000000000004</c:v>
                </c:pt>
                <c:pt idx="31">
                  <c:v>0.36800000000000033</c:v>
                </c:pt>
                <c:pt idx="32">
                  <c:v>0.40600000000000014</c:v>
                </c:pt>
                <c:pt idx="33">
                  <c:v>0.49200000000000044</c:v>
                </c:pt>
                <c:pt idx="34">
                  <c:v>0.52250000000000041</c:v>
                </c:pt>
                <c:pt idx="35">
                  <c:v>0.55450000000000044</c:v>
                </c:pt>
                <c:pt idx="36">
                  <c:v>0.59350000000001035</c:v>
                </c:pt>
                <c:pt idx="37">
                  <c:v>0.69100000000000028</c:v>
                </c:pt>
                <c:pt idx="38">
                  <c:v>0.70950000000000024</c:v>
                </c:pt>
                <c:pt idx="39">
                  <c:v>0.76300000000000034</c:v>
                </c:pt>
                <c:pt idx="40">
                  <c:v>0.75700000000000012</c:v>
                </c:pt>
                <c:pt idx="41">
                  <c:v>0.78550000000000031</c:v>
                </c:pt>
                <c:pt idx="42">
                  <c:v>0.79200000000000026</c:v>
                </c:pt>
                <c:pt idx="43">
                  <c:v>0.84300000000000042</c:v>
                </c:pt>
                <c:pt idx="44">
                  <c:v>0.84150000000000036</c:v>
                </c:pt>
                <c:pt idx="45">
                  <c:v>0.86600000000001032</c:v>
                </c:pt>
                <c:pt idx="46">
                  <c:v>0.87950000000000017</c:v>
                </c:pt>
                <c:pt idx="47">
                  <c:v>0.88150000000000039</c:v>
                </c:pt>
                <c:pt idx="48">
                  <c:v>0.89000000000000012</c:v>
                </c:pt>
                <c:pt idx="49">
                  <c:v>0.93800000000000017</c:v>
                </c:pt>
                <c:pt idx="50">
                  <c:v>0.93100000000000049</c:v>
                </c:pt>
                <c:pt idx="51">
                  <c:v>0.94400000000000039</c:v>
                </c:pt>
                <c:pt idx="52">
                  <c:v>0.91900000000000048</c:v>
                </c:pt>
                <c:pt idx="53">
                  <c:v>0.92100000000000026</c:v>
                </c:pt>
                <c:pt idx="54">
                  <c:v>0.93550000000000022</c:v>
                </c:pt>
                <c:pt idx="55">
                  <c:v>0.91200000000000037</c:v>
                </c:pt>
                <c:pt idx="56">
                  <c:v>0.94100000000000028</c:v>
                </c:pt>
                <c:pt idx="57">
                  <c:v>0.94600000000000017</c:v>
                </c:pt>
                <c:pt idx="58">
                  <c:v>0.94250000000000034</c:v>
                </c:pt>
                <c:pt idx="59">
                  <c:v>0.9650000000000003</c:v>
                </c:pt>
                <c:pt idx="60">
                  <c:v>0.97500000000000053</c:v>
                </c:pt>
                <c:pt idx="61">
                  <c:v>0.95650000000000013</c:v>
                </c:pt>
                <c:pt idx="62">
                  <c:v>0.91200000000000037</c:v>
                </c:pt>
                <c:pt idx="63">
                  <c:v>0.97250000000000014</c:v>
                </c:pt>
                <c:pt idx="64">
                  <c:v>0.97200000000000042</c:v>
                </c:pt>
                <c:pt idx="65">
                  <c:v>0.94600000000000017</c:v>
                </c:pt>
                <c:pt idx="66">
                  <c:v>0.92500000000000027</c:v>
                </c:pt>
                <c:pt idx="67">
                  <c:v>0.91850000000000032</c:v>
                </c:pt>
                <c:pt idx="68">
                  <c:v>0.90150000000000041</c:v>
                </c:pt>
                <c:pt idx="69">
                  <c:v>0.93750000000000044</c:v>
                </c:pt>
                <c:pt idx="70">
                  <c:v>0.93450000000000033</c:v>
                </c:pt>
                <c:pt idx="71">
                  <c:v>0.91850000000000032</c:v>
                </c:pt>
                <c:pt idx="72">
                  <c:v>0.92950000000000044</c:v>
                </c:pt>
                <c:pt idx="73">
                  <c:v>0.93050000000000033</c:v>
                </c:pt>
                <c:pt idx="74">
                  <c:v>0.92100000000000026</c:v>
                </c:pt>
                <c:pt idx="75">
                  <c:v>0.91350000000000042</c:v>
                </c:pt>
                <c:pt idx="76">
                  <c:v>0.91250000000000053</c:v>
                </c:pt>
                <c:pt idx="77">
                  <c:v>0.88850000000000051</c:v>
                </c:pt>
                <c:pt idx="78">
                  <c:v>0.85200000000000031</c:v>
                </c:pt>
                <c:pt idx="79">
                  <c:v>0.83050000000000024</c:v>
                </c:pt>
                <c:pt idx="80">
                  <c:v>0.78000000000000025</c:v>
                </c:pt>
                <c:pt idx="81">
                  <c:v>0.74000000000000021</c:v>
                </c:pt>
                <c:pt idx="82">
                  <c:v>0.6745000000000001</c:v>
                </c:pt>
                <c:pt idx="83">
                  <c:v>0.64400000000000013</c:v>
                </c:pt>
                <c:pt idx="84">
                  <c:v>0.58200000000000029</c:v>
                </c:pt>
                <c:pt idx="85">
                  <c:v>0.52100000000000035</c:v>
                </c:pt>
                <c:pt idx="86">
                  <c:v>0.45350000000000046</c:v>
                </c:pt>
                <c:pt idx="87">
                  <c:v>0.46900000000000031</c:v>
                </c:pt>
                <c:pt idx="88">
                  <c:v>0.40050000000000052</c:v>
                </c:pt>
                <c:pt idx="89">
                  <c:v>0.40150000000000041</c:v>
                </c:pt>
                <c:pt idx="90">
                  <c:v>0.33100000000000041</c:v>
                </c:pt>
                <c:pt idx="91">
                  <c:v>0.30299999999999994</c:v>
                </c:pt>
                <c:pt idx="92">
                  <c:v>0.28000000000000025</c:v>
                </c:pt>
                <c:pt idx="93">
                  <c:v>0.25750000000000028</c:v>
                </c:pt>
                <c:pt idx="94">
                  <c:v>0.24650000000000016</c:v>
                </c:pt>
                <c:pt idx="95">
                  <c:v>0.24300000000000033</c:v>
                </c:pt>
                <c:pt idx="96">
                  <c:v>0.2370000000000001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5B-9E4D-8C50-77A4AD412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6335"/>
        <c:axId val="19730463"/>
      </c:scatterChart>
      <c:valAx>
        <c:axId val="1941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463"/>
        <c:crosses val="autoZero"/>
        <c:crossBetween val="midCat"/>
      </c:valAx>
      <c:valAx>
        <c:axId val="1973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501650</xdr:colOff>
      <xdr:row>8</xdr:row>
      <xdr:rowOff>57150</xdr:rowOff>
    </xdr:from>
    <xdr:to>
      <xdr:col>19</xdr:col>
      <xdr:colOff>482600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199D5-5459-2EA5-4646-7EB2DFA6F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19"/>
  <sheetViews>
    <sheetView topLeftCell="B1" zoomScale="200" workbookViewId="0">
      <selection activeCell="B1" sqref="A1:XFD1"/>
    </sheetView>
  </sheetViews>
  <sheetFormatPr baseColWidth="10" defaultRowHeight="16" x14ac:dyDescent="0.2"/>
  <cols>
    <col min="1" max="1" width="21.5" customWidth="1"/>
    <col min="5" max="5" width="21.1640625" customWidth="1"/>
    <col min="9" max="9" width="10.83203125" style="7"/>
    <col min="10" max="10" width="15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6416</v>
      </c>
      <c r="I1" s="7" t="s">
        <v>6415</v>
      </c>
      <c r="J1" t="s">
        <v>6417</v>
      </c>
      <c r="K1" s="6">
        <v>1.0416666666666701E-2</v>
      </c>
    </row>
    <row r="2" spans="1:12" x14ac:dyDescent="0.2">
      <c r="A2" t="s">
        <v>7</v>
      </c>
      <c r="B2">
        <v>2.85</v>
      </c>
      <c r="C2">
        <v>3.9910000000000001E-2</v>
      </c>
      <c r="D2">
        <v>229</v>
      </c>
      <c r="E2" t="s">
        <v>7</v>
      </c>
      <c r="F2">
        <v>229</v>
      </c>
      <c r="G2" s="1">
        <v>45155</v>
      </c>
      <c r="H2" s="6">
        <v>0.67708333333333337</v>
      </c>
      <c r="I2" s="7">
        <v>0.67708333333333337</v>
      </c>
      <c r="K2" s="6"/>
      <c r="L2" s="6"/>
    </row>
    <row r="3" spans="1:12" x14ac:dyDescent="0.2">
      <c r="A3" t="s">
        <v>8</v>
      </c>
      <c r="B3">
        <v>3.2155</v>
      </c>
      <c r="C3">
        <v>4.5045000000000002E-2</v>
      </c>
      <c r="D3">
        <v>229</v>
      </c>
      <c r="E3" t="s">
        <v>8</v>
      </c>
      <c r="F3">
        <v>229</v>
      </c>
      <c r="G3" s="1">
        <v>45155</v>
      </c>
      <c r="H3" s="6">
        <f t="shared" ref="H3:H66" si="0">H2+$K$1</f>
        <v>0.68750000000000011</v>
      </c>
      <c r="I3" s="7">
        <f t="shared" ref="I3:I66" si="1">I2+$K$1</f>
        <v>0.68750000000000011</v>
      </c>
      <c r="K3" s="6"/>
    </row>
    <row r="4" spans="1:12" x14ac:dyDescent="0.2">
      <c r="A4" t="s">
        <v>9</v>
      </c>
      <c r="B4">
        <v>3.4279999999999999</v>
      </c>
      <c r="C4">
        <v>4.8030000000000003E-2</v>
      </c>
      <c r="D4">
        <v>229</v>
      </c>
      <c r="E4" t="s">
        <v>9</v>
      </c>
      <c r="F4">
        <v>229</v>
      </c>
      <c r="G4" s="1">
        <v>45155</v>
      </c>
      <c r="H4" s="6">
        <f t="shared" si="0"/>
        <v>0.69791666666666685</v>
      </c>
      <c r="I4" s="7">
        <f t="shared" si="1"/>
        <v>0.69791666666666685</v>
      </c>
      <c r="K4" s="6"/>
    </row>
    <row r="5" spans="1:12" x14ac:dyDescent="0.2">
      <c r="A5" t="s">
        <v>10</v>
      </c>
      <c r="B5">
        <v>3.4380000000000002</v>
      </c>
      <c r="C5">
        <v>4.8160000000000001E-2</v>
      </c>
      <c r="D5">
        <v>229</v>
      </c>
      <c r="E5" t="s">
        <v>10</v>
      </c>
      <c r="F5">
        <v>229</v>
      </c>
      <c r="G5" s="1">
        <v>45155</v>
      </c>
      <c r="H5" s="6">
        <f t="shared" si="0"/>
        <v>0.70833333333333359</v>
      </c>
      <c r="I5" s="7">
        <f t="shared" si="1"/>
        <v>0.70833333333333359</v>
      </c>
    </row>
    <row r="6" spans="1:12" x14ac:dyDescent="0.2">
      <c r="A6" t="s">
        <v>11</v>
      </c>
      <c r="B6">
        <v>3.4</v>
      </c>
      <c r="C6">
        <v>4.7629999999999999E-2</v>
      </c>
      <c r="D6">
        <v>229</v>
      </c>
      <c r="E6" t="s">
        <v>11</v>
      </c>
      <c r="F6">
        <v>229</v>
      </c>
      <c r="G6" s="1">
        <v>45155</v>
      </c>
      <c r="H6" s="6">
        <f t="shared" si="0"/>
        <v>0.71875000000000033</v>
      </c>
      <c r="I6" s="7">
        <f t="shared" si="1"/>
        <v>0.71875000000000033</v>
      </c>
    </row>
    <row r="7" spans="1:12" x14ac:dyDescent="0.2">
      <c r="A7" t="s">
        <v>12</v>
      </c>
      <c r="B7">
        <v>3.37</v>
      </c>
      <c r="C7">
        <v>4.7175000000000002E-2</v>
      </c>
      <c r="D7">
        <v>229</v>
      </c>
      <c r="E7" t="s">
        <v>12</v>
      </c>
      <c r="F7">
        <v>229</v>
      </c>
      <c r="G7" s="1">
        <v>45155</v>
      </c>
      <c r="H7" s="6">
        <f t="shared" si="0"/>
        <v>0.72916666666666707</v>
      </c>
      <c r="I7" s="7">
        <f t="shared" si="1"/>
        <v>0.72916666666666707</v>
      </c>
    </row>
    <row r="8" spans="1:12" x14ac:dyDescent="0.2">
      <c r="A8" t="s">
        <v>13</v>
      </c>
      <c r="B8">
        <v>3.3090000000000002</v>
      </c>
      <c r="C8">
        <v>4.6344999999999997E-2</v>
      </c>
      <c r="D8">
        <v>229</v>
      </c>
      <c r="E8" t="s">
        <v>13</v>
      </c>
      <c r="F8">
        <v>229</v>
      </c>
      <c r="G8" s="1">
        <v>45155</v>
      </c>
      <c r="H8" s="6">
        <f t="shared" si="0"/>
        <v>0.73958333333333381</v>
      </c>
      <c r="I8" s="7">
        <f t="shared" si="1"/>
        <v>0.73958333333333381</v>
      </c>
    </row>
    <row r="9" spans="1:12" x14ac:dyDescent="0.2">
      <c r="A9" t="s">
        <v>14</v>
      </c>
      <c r="B9">
        <v>3.266</v>
      </c>
      <c r="C9">
        <v>4.5760000000000002E-2</v>
      </c>
      <c r="D9">
        <v>230</v>
      </c>
      <c r="E9" t="s">
        <v>14</v>
      </c>
      <c r="F9">
        <v>229</v>
      </c>
      <c r="G9" s="1">
        <v>45155</v>
      </c>
      <c r="H9" s="6">
        <f t="shared" si="0"/>
        <v>0.75000000000000056</v>
      </c>
      <c r="I9" s="7">
        <f t="shared" si="1"/>
        <v>0.75000000000000056</v>
      </c>
    </row>
    <row r="10" spans="1:12" x14ac:dyDescent="0.2">
      <c r="A10" t="s">
        <v>15</v>
      </c>
      <c r="B10">
        <v>3.2444999999999999</v>
      </c>
      <c r="C10">
        <v>4.546E-2</v>
      </c>
      <c r="D10">
        <v>230</v>
      </c>
      <c r="E10" t="s">
        <v>15</v>
      </c>
      <c r="F10">
        <v>229</v>
      </c>
      <c r="G10" s="1">
        <v>45155</v>
      </c>
      <c r="H10" s="6">
        <f t="shared" si="0"/>
        <v>0.7604166666666673</v>
      </c>
      <c r="I10" s="7">
        <f t="shared" si="1"/>
        <v>0.7604166666666673</v>
      </c>
    </row>
    <row r="11" spans="1:12" x14ac:dyDescent="0.2">
      <c r="A11" t="s">
        <v>16</v>
      </c>
      <c r="B11">
        <v>3.2425000000000002</v>
      </c>
      <c r="C11">
        <v>4.5414999999999997E-2</v>
      </c>
      <c r="D11">
        <v>230</v>
      </c>
      <c r="E11" t="s">
        <v>16</v>
      </c>
      <c r="F11">
        <v>229</v>
      </c>
      <c r="G11" s="1">
        <v>45155</v>
      </c>
      <c r="H11" s="6">
        <f t="shared" si="0"/>
        <v>0.77083333333333404</v>
      </c>
      <c r="I11" s="7">
        <f t="shared" si="1"/>
        <v>0.77083333333333404</v>
      </c>
    </row>
    <row r="12" spans="1:12" x14ac:dyDescent="0.2">
      <c r="A12" t="s">
        <v>17</v>
      </c>
      <c r="B12">
        <v>3.202</v>
      </c>
      <c r="C12">
        <v>4.4854999999999999E-2</v>
      </c>
      <c r="D12">
        <v>230</v>
      </c>
      <c r="E12" t="s">
        <v>17</v>
      </c>
      <c r="F12">
        <v>229</v>
      </c>
      <c r="G12" s="1">
        <v>45155</v>
      </c>
      <c r="H12" s="6">
        <f t="shared" si="0"/>
        <v>0.78125000000000078</v>
      </c>
      <c r="I12" s="7">
        <f t="shared" si="1"/>
        <v>0.78125000000000078</v>
      </c>
    </row>
    <row r="13" spans="1:12" x14ac:dyDescent="0.2">
      <c r="A13" t="s">
        <v>18</v>
      </c>
      <c r="B13">
        <v>3.2290000000000001</v>
      </c>
      <c r="C13">
        <v>4.5205000000000002E-2</v>
      </c>
      <c r="D13">
        <v>230</v>
      </c>
      <c r="E13" t="s">
        <v>18</v>
      </c>
      <c r="F13">
        <v>229</v>
      </c>
      <c r="G13" s="1">
        <v>45155</v>
      </c>
      <c r="H13" s="6">
        <f t="shared" si="0"/>
        <v>0.79166666666666752</v>
      </c>
      <c r="I13" s="7">
        <f t="shared" si="1"/>
        <v>0.79166666666666752</v>
      </c>
    </row>
    <row r="14" spans="1:12" x14ac:dyDescent="0.2">
      <c r="A14" t="s">
        <v>19</v>
      </c>
      <c r="B14">
        <v>3.2090000000000001</v>
      </c>
      <c r="C14">
        <v>4.4949999999999997E-2</v>
      </c>
      <c r="D14">
        <v>230</v>
      </c>
      <c r="E14" t="s">
        <v>19</v>
      </c>
      <c r="F14">
        <v>229</v>
      </c>
      <c r="G14" s="1">
        <v>45155</v>
      </c>
      <c r="H14" s="6">
        <f t="shared" si="0"/>
        <v>0.80208333333333426</v>
      </c>
      <c r="I14" s="7">
        <f t="shared" si="1"/>
        <v>0.80208333333333426</v>
      </c>
    </row>
    <row r="15" spans="1:12" x14ac:dyDescent="0.2">
      <c r="A15" t="s">
        <v>20</v>
      </c>
      <c r="B15">
        <v>3.2225000000000001</v>
      </c>
      <c r="C15">
        <v>4.5144999999999998E-2</v>
      </c>
      <c r="D15">
        <v>230</v>
      </c>
      <c r="E15" t="s">
        <v>20</v>
      </c>
      <c r="F15">
        <v>229</v>
      </c>
      <c r="G15" s="1">
        <v>45155</v>
      </c>
      <c r="H15" s="6">
        <f t="shared" si="0"/>
        <v>0.812500000000001</v>
      </c>
      <c r="I15" s="7">
        <f t="shared" si="1"/>
        <v>0.812500000000001</v>
      </c>
    </row>
    <row r="16" spans="1:12" x14ac:dyDescent="0.2">
      <c r="A16" t="s">
        <v>21</v>
      </c>
      <c r="B16" s="2" t="s">
        <v>22</v>
      </c>
      <c r="C16">
        <v>4.4740000000000002E-2</v>
      </c>
      <c r="D16">
        <v>230</v>
      </c>
      <c r="E16" t="s">
        <v>21</v>
      </c>
      <c r="F16">
        <v>229</v>
      </c>
      <c r="G16" s="1">
        <v>45155</v>
      </c>
      <c r="H16" s="6">
        <f t="shared" si="0"/>
        <v>0.82291666666666774</v>
      </c>
      <c r="I16" s="7">
        <f t="shared" si="1"/>
        <v>0.82291666666666774</v>
      </c>
    </row>
    <row r="17" spans="1:9" x14ac:dyDescent="0.2">
      <c r="A17" t="s">
        <v>23</v>
      </c>
      <c r="B17">
        <v>3.202</v>
      </c>
      <c r="C17">
        <v>4.487E-2</v>
      </c>
      <c r="D17">
        <v>230</v>
      </c>
      <c r="E17" t="s">
        <v>23</v>
      </c>
      <c r="F17">
        <v>229</v>
      </c>
      <c r="G17" s="1">
        <v>45155</v>
      </c>
      <c r="H17" s="6">
        <f t="shared" si="0"/>
        <v>0.83333333333333448</v>
      </c>
      <c r="I17" s="7">
        <f t="shared" si="1"/>
        <v>0.83333333333333448</v>
      </c>
    </row>
    <row r="18" spans="1:9" x14ac:dyDescent="0.2">
      <c r="A18" t="s">
        <v>24</v>
      </c>
      <c r="B18">
        <v>3.2124999999999999</v>
      </c>
      <c r="C18">
        <v>4.4979999999999999E-2</v>
      </c>
      <c r="D18">
        <v>230</v>
      </c>
      <c r="E18" t="s">
        <v>24</v>
      </c>
      <c r="F18">
        <v>229</v>
      </c>
      <c r="G18" s="1">
        <v>45155</v>
      </c>
      <c r="H18" s="6">
        <f t="shared" si="0"/>
        <v>0.84375000000000122</v>
      </c>
      <c r="I18" s="7">
        <f t="shared" si="1"/>
        <v>0.84375000000000122</v>
      </c>
    </row>
    <row r="19" spans="1:9" x14ac:dyDescent="0.2">
      <c r="A19" t="s">
        <v>25</v>
      </c>
      <c r="B19">
        <v>3.2515000000000001</v>
      </c>
      <c r="C19">
        <v>4.5545000000000002E-2</v>
      </c>
      <c r="D19">
        <v>230</v>
      </c>
      <c r="E19" t="s">
        <v>25</v>
      </c>
      <c r="F19">
        <v>229</v>
      </c>
      <c r="G19" s="1">
        <v>45155</v>
      </c>
      <c r="H19" s="6">
        <f t="shared" si="0"/>
        <v>0.85416666666666796</v>
      </c>
      <c r="I19" s="7">
        <f t="shared" si="1"/>
        <v>0.85416666666666796</v>
      </c>
    </row>
    <row r="20" spans="1:9" x14ac:dyDescent="0.2">
      <c r="A20" t="s">
        <v>26</v>
      </c>
      <c r="B20">
        <v>3.3205</v>
      </c>
      <c r="C20">
        <v>4.6510000000000003E-2</v>
      </c>
      <c r="D20">
        <v>230</v>
      </c>
      <c r="E20" t="s">
        <v>26</v>
      </c>
      <c r="F20">
        <v>229</v>
      </c>
      <c r="G20" s="1">
        <v>45155</v>
      </c>
      <c r="H20" s="6">
        <f t="shared" si="0"/>
        <v>0.8645833333333347</v>
      </c>
      <c r="I20" s="7">
        <f t="shared" si="1"/>
        <v>0.8645833333333347</v>
      </c>
    </row>
    <row r="21" spans="1:9" x14ac:dyDescent="0.2">
      <c r="A21" t="s">
        <v>27</v>
      </c>
      <c r="B21">
        <v>3.3355000000000001</v>
      </c>
      <c r="C21">
        <v>4.6725000000000003E-2</v>
      </c>
      <c r="D21">
        <v>230</v>
      </c>
      <c r="E21" t="s">
        <v>27</v>
      </c>
      <c r="F21">
        <v>229</v>
      </c>
      <c r="G21" s="1">
        <v>45155</v>
      </c>
      <c r="H21" s="6">
        <f t="shared" si="0"/>
        <v>0.87500000000000144</v>
      </c>
      <c r="I21" s="7">
        <f t="shared" si="1"/>
        <v>0.87500000000000144</v>
      </c>
    </row>
    <row r="22" spans="1:9" x14ac:dyDescent="0.2">
      <c r="A22" t="s">
        <v>28</v>
      </c>
      <c r="B22">
        <v>3.3864999999999998</v>
      </c>
      <c r="C22">
        <v>4.7445000000000001E-2</v>
      </c>
      <c r="D22">
        <v>230</v>
      </c>
      <c r="E22" t="s">
        <v>28</v>
      </c>
      <c r="F22">
        <v>229</v>
      </c>
      <c r="G22" s="1">
        <v>45155</v>
      </c>
      <c r="H22" s="6">
        <f t="shared" si="0"/>
        <v>0.88541666666666818</v>
      </c>
      <c r="I22" s="7">
        <f t="shared" si="1"/>
        <v>0.88541666666666818</v>
      </c>
    </row>
    <row r="23" spans="1:9" x14ac:dyDescent="0.2">
      <c r="A23" t="s">
        <v>29</v>
      </c>
      <c r="B23">
        <v>3.3515000000000001</v>
      </c>
      <c r="C23">
        <v>4.6925000000000001E-2</v>
      </c>
      <c r="D23">
        <v>230</v>
      </c>
      <c r="E23" t="s">
        <v>29</v>
      </c>
      <c r="F23">
        <v>229</v>
      </c>
      <c r="G23" s="1">
        <v>45155</v>
      </c>
      <c r="H23" s="6">
        <f t="shared" si="0"/>
        <v>0.89583333333333492</v>
      </c>
      <c r="I23" s="7">
        <f t="shared" si="1"/>
        <v>0.89583333333333492</v>
      </c>
    </row>
    <row r="24" spans="1:9" x14ac:dyDescent="0.2">
      <c r="A24" t="s">
        <v>30</v>
      </c>
      <c r="B24">
        <v>3.4144999999999999</v>
      </c>
      <c r="C24">
        <v>4.7820000000000001E-2</v>
      </c>
      <c r="D24">
        <v>230</v>
      </c>
      <c r="E24" t="s">
        <v>30</v>
      </c>
      <c r="F24">
        <v>229</v>
      </c>
      <c r="G24" s="1">
        <v>45155</v>
      </c>
      <c r="H24" s="6">
        <f t="shared" si="0"/>
        <v>0.90625000000000167</v>
      </c>
      <c r="I24" s="7">
        <f t="shared" si="1"/>
        <v>0.90625000000000167</v>
      </c>
    </row>
    <row r="25" spans="1:9" x14ac:dyDescent="0.2">
      <c r="A25" t="s">
        <v>31</v>
      </c>
      <c r="B25">
        <v>3.4655</v>
      </c>
      <c r="C25">
        <v>4.8544999999999998E-2</v>
      </c>
      <c r="D25">
        <v>230</v>
      </c>
      <c r="E25" t="s">
        <v>31</v>
      </c>
      <c r="F25">
        <v>229</v>
      </c>
      <c r="G25" s="1">
        <v>45155</v>
      </c>
      <c r="H25" s="6">
        <f t="shared" si="0"/>
        <v>0.91666666666666841</v>
      </c>
      <c r="I25" s="7">
        <f t="shared" si="1"/>
        <v>0.91666666666666841</v>
      </c>
    </row>
    <row r="26" spans="1:9" x14ac:dyDescent="0.2">
      <c r="A26" t="s">
        <v>32</v>
      </c>
      <c r="B26">
        <v>3.5385</v>
      </c>
      <c r="C26">
        <v>4.9575000000000001E-2</v>
      </c>
      <c r="D26">
        <v>230</v>
      </c>
      <c r="E26" t="s">
        <v>32</v>
      </c>
      <c r="F26">
        <v>229</v>
      </c>
      <c r="G26" s="1">
        <v>45155</v>
      </c>
      <c r="H26" s="6">
        <f t="shared" si="0"/>
        <v>0.92708333333333515</v>
      </c>
      <c r="I26" s="7">
        <f t="shared" si="1"/>
        <v>0.92708333333333515</v>
      </c>
    </row>
    <row r="27" spans="1:9" x14ac:dyDescent="0.2">
      <c r="A27" t="s">
        <v>33</v>
      </c>
      <c r="B27">
        <v>3.5590000000000002</v>
      </c>
      <c r="C27">
        <v>4.9880000000000001E-2</v>
      </c>
      <c r="D27">
        <v>230</v>
      </c>
      <c r="E27" t="s">
        <v>33</v>
      </c>
      <c r="F27">
        <v>229</v>
      </c>
      <c r="G27" s="1">
        <v>45155</v>
      </c>
      <c r="H27" s="6">
        <f t="shared" si="0"/>
        <v>0.93750000000000189</v>
      </c>
      <c r="I27" s="7">
        <f t="shared" si="1"/>
        <v>0.93750000000000189</v>
      </c>
    </row>
    <row r="28" spans="1:9" x14ac:dyDescent="0.2">
      <c r="A28" t="s">
        <v>34</v>
      </c>
      <c r="B28">
        <v>3.6080000000000001</v>
      </c>
      <c r="C28">
        <v>5.0540000000000002E-2</v>
      </c>
      <c r="D28">
        <v>230</v>
      </c>
      <c r="E28" t="s">
        <v>34</v>
      </c>
      <c r="F28">
        <v>229</v>
      </c>
      <c r="G28" s="1">
        <v>45155</v>
      </c>
      <c r="H28" s="6">
        <f t="shared" si="0"/>
        <v>0.94791666666666863</v>
      </c>
      <c r="I28" s="7">
        <f t="shared" si="1"/>
        <v>0.94791666666666863</v>
      </c>
    </row>
    <row r="29" spans="1:9" x14ac:dyDescent="0.2">
      <c r="A29" t="s">
        <v>35</v>
      </c>
      <c r="B29">
        <v>3.665</v>
      </c>
      <c r="C29">
        <v>5.1334999999999999E-2</v>
      </c>
      <c r="D29">
        <v>230</v>
      </c>
      <c r="E29" t="s">
        <v>35</v>
      </c>
      <c r="F29">
        <v>229</v>
      </c>
      <c r="G29" s="1">
        <v>45155</v>
      </c>
      <c r="H29" s="6">
        <f t="shared" si="0"/>
        <v>0.95833333333333537</v>
      </c>
      <c r="I29" s="7">
        <f t="shared" si="1"/>
        <v>0.95833333333333537</v>
      </c>
    </row>
    <row r="30" spans="1:9" x14ac:dyDescent="0.2">
      <c r="A30" t="s">
        <v>36</v>
      </c>
      <c r="B30">
        <v>3.71</v>
      </c>
      <c r="C30">
        <v>5.1970000000000002E-2</v>
      </c>
      <c r="D30">
        <v>230</v>
      </c>
      <c r="E30" t="s">
        <v>36</v>
      </c>
      <c r="F30">
        <v>229</v>
      </c>
      <c r="G30" s="1">
        <v>45155</v>
      </c>
      <c r="H30" s="6">
        <f t="shared" si="0"/>
        <v>0.96875000000000211</v>
      </c>
      <c r="I30" s="7">
        <f t="shared" si="1"/>
        <v>0.96875000000000211</v>
      </c>
    </row>
    <row r="31" spans="1:9" x14ac:dyDescent="0.2">
      <c r="A31" t="s">
        <v>37</v>
      </c>
      <c r="B31">
        <v>3.7494999999999998</v>
      </c>
      <c r="C31">
        <v>5.2514999999999999E-2</v>
      </c>
      <c r="D31">
        <v>230</v>
      </c>
      <c r="E31" t="s">
        <v>37</v>
      </c>
      <c r="F31">
        <v>229</v>
      </c>
      <c r="G31" s="1">
        <v>45155</v>
      </c>
      <c r="H31" s="6">
        <f t="shared" si="0"/>
        <v>0.97916666666666885</v>
      </c>
      <c r="I31" s="7">
        <f t="shared" si="1"/>
        <v>0.97916666666666885</v>
      </c>
    </row>
    <row r="32" spans="1:9" x14ac:dyDescent="0.2">
      <c r="A32" t="s">
        <v>38</v>
      </c>
      <c r="B32">
        <v>3.7995000000000001</v>
      </c>
      <c r="C32">
        <v>5.3220000000000003E-2</v>
      </c>
      <c r="D32">
        <v>230</v>
      </c>
      <c r="E32" t="s">
        <v>38</v>
      </c>
      <c r="F32">
        <v>229</v>
      </c>
      <c r="G32" s="1">
        <v>45155</v>
      </c>
      <c r="H32" s="6">
        <f t="shared" si="0"/>
        <v>0.98958333333333559</v>
      </c>
      <c r="I32" s="7">
        <f t="shared" si="1"/>
        <v>0.98958333333333559</v>
      </c>
    </row>
    <row r="33" spans="1:9" x14ac:dyDescent="0.2">
      <c r="A33" t="s">
        <v>39</v>
      </c>
      <c r="B33">
        <v>3.8580000000000001</v>
      </c>
      <c r="C33">
        <v>5.4050000000000001E-2</v>
      </c>
      <c r="D33">
        <v>230</v>
      </c>
      <c r="E33" t="s">
        <v>39</v>
      </c>
      <c r="F33">
        <v>230</v>
      </c>
      <c r="G33" s="1">
        <v>45156</v>
      </c>
      <c r="H33" s="6">
        <f t="shared" si="0"/>
        <v>1.0000000000000022</v>
      </c>
      <c r="I33" s="7">
        <f t="shared" si="1"/>
        <v>1.0000000000000022</v>
      </c>
    </row>
    <row r="34" spans="1:9" x14ac:dyDescent="0.2">
      <c r="A34" t="s">
        <v>40</v>
      </c>
      <c r="B34">
        <v>3.8929999999999998</v>
      </c>
      <c r="C34">
        <v>5.4539999999999998E-2</v>
      </c>
      <c r="D34">
        <v>230</v>
      </c>
      <c r="E34" t="s">
        <v>40</v>
      </c>
      <c r="F34">
        <v>230</v>
      </c>
      <c r="G34" s="1">
        <v>45156</v>
      </c>
      <c r="H34" s="6">
        <f t="shared" si="0"/>
        <v>1.010416666666669</v>
      </c>
      <c r="I34" s="7">
        <f t="shared" si="1"/>
        <v>1.010416666666669</v>
      </c>
    </row>
    <row r="35" spans="1:9" x14ac:dyDescent="0.2">
      <c r="A35" t="s">
        <v>41</v>
      </c>
      <c r="B35">
        <v>3.9295</v>
      </c>
      <c r="C35">
        <v>5.5039999999999999E-2</v>
      </c>
      <c r="D35">
        <v>230</v>
      </c>
      <c r="E35" t="s">
        <v>41</v>
      </c>
      <c r="F35">
        <v>230</v>
      </c>
      <c r="G35" s="1">
        <v>45156</v>
      </c>
      <c r="H35" s="6">
        <f t="shared" si="0"/>
        <v>1.0208333333333357</v>
      </c>
      <c r="I35" s="7">
        <f t="shared" si="1"/>
        <v>1.0208333333333357</v>
      </c>
    </row>
    <row r="36" spans="1:9" x14ac:dyDescent="0.2">
      <c r="A36" t="s">
        <v>42</v>
      </c>
      <c r="B36">
        <v>3.95</v>
      </c>
      <c r="C36">
        <v>5.534E-2</v>
      </c>
      <c r="D36">
        <v>230</v>
      </c>
      <c r="E36" t="s">
        <v>42</v>
      </c>
      <c r="F36">
        <v>230</v>
      </c>
      <c r="G36" s="1">
        <v>45156</v>
      </c>
      <c r="H36" s="6">
        <f t="shared" si="0"/>
        <v>1.0312500000000024</v>
      </c>
      <c r="I36" s="7">
        <f t="shared" si="1"/>
        <v>1.0312500000000024</v>
      </c>
    </row>
    <row r="37" spans="1:9" x14ac:dyDescent="0.2">
      <c r="A37" t="s">
        <v>43</v>
      </c>
      <c r="B37">
        <v>3.9464999999999999</v>
      </c>
      <c r="C37">
        <v>5.527E-2</v>
      </c>
      <c r="D37">
        <v>230</v>
      </c>
      <c r="E37" t="s">
        <v>43</v>
      </c>
      <c r="F37">
        <v>230</v>
      </c>
      <c r="G37" s="1">
        <v>45156</v>
      </c>
      <c r="H37" s="6">
        <f t="shared" si="0"/>
        <v>1.0416666666666692</v>
      </c>
      <c r="I37" s="7">
        <f t="shared" si="1"/>
        <v>1.0416666666666692</v>
      </c>
    </row>
    <row r="38" spans="1:9" x14ac:dyDescent="0.2">
      <c r="A38" t="s">
        <v>44</v>
      </c>
      <c r="B38">
        <v>3.972</v>
      </c>
      <c r="C38">
        <v>5.5629999999999999E-2</v>
      </c>
      <c r="D38">
        <v>230</v>
      </c>
      <c r="E38" t="s">
        <v>44</v>
      </c>
      <c r="F38">
        <v>230</v>
      </c>
      <c r="G38" s="1">
        <v>45156</v>
      </c>
      <c r="H38" s="6">
        <f t="shared" si="0"/>
        <v>1.0520833333333359</v>
      </c>
      <c r="I38" s="7">
        <f t="shared" si="1"/>
        <v>1.0520833333333359</v>
      </c>
    </row>
    <row r="39" spans="1:9" x14ac:dyDescent="0.2">
      <c r="A39" t="s">
        <v>45</v>
      </c>
      <c r="B39">
        <v>4.0095000000000001</v>
      </c>
      <c r="C39">
        <v>5.6175000000000003E-2</v>
      </c>
      <c r="D39">
        <v>230</v>
      </c>
      <c r="E39" t="s">
        <v>45</v>
      </c>
      <c r="F39">
        <v>230</v>
      </c>
      <c r="G39" s="1">
        <v>45156</v>
      </c>
      <c r="H39" s="6">
        <f t="shared" si="0"/>
        <v>1.0625000000000027</v>
      </c>
      <c r="I39" s="7">
        <f t="shared" si="1"/>
        <v>1.0625000000000027</v>
      </c>
    </row>
    <row r="40" spans="1:9" x14ac:dyDescent="0.2">
      <c r="A40" t="s">
        <v>46</v>
      </c>
      <c r="B40">
        <v>4.0205000000000002</v>
      </c>
      <c r="C40">
        <v>5.6325E-2</v>
      </c>
      <c r="D40">
        <v>230</v>
      </c>
      <c r="E40" t="s">
        <v>46</v>
      </c>
      <c r="F40">
        <v>230</v>
      </c>
      <c r="G40" s="1">
        <v>45156</v>
      </c>
      <c r="H40" s="6">
        <f t="shared" si="0"/>
        <v>1.0729166666666694</v>
      </c>
      <c r="I40" s="7">
        <f t="shared" si="1"/>
        <v>1.0729166666666694</v>
      </c>
    </row>
    <row r="41" spans="1:9" x14ac:dyDescent="0.2">
      <c r="A41" t="s">
        <v>47</v>
      </c>
      <c r="B41">
        <v>3.9754999999999998</v>
      </c>
      <c r="C41">
        <v>5.5704999999999998E-2</v>
      </c>
      <c r="D41">
        <v>230</v>
      </c>
      <c r="E41" t="s">
        <v>47</v>
      </c>
      <c r="F41">
        <v>230</v>
      </c>
      <c r="G41" s="1">
        <v>45156</v>
      </c>
      <c r="H41" s="6">
        <f t="shared" si="0"/>
        <v>1.0833333333333361</v>
      </c>
      <c r="I41" s="7">
        <f t="shared" si="1"/>
        <v>1.0833333333333361</v>
      </c>
    </row>
    <row r="42" spans="1:9" x14ac:dyDescent="0.2">
      <c r="A42" t="s">
        <v>48</v>
      </c>
      <c r="B42">
        <v>3.988</v>
      </c>
      <c r="C42">
        <v>5.5855000000000002E-2</v>
      </c>
      <c r="D42">
        <v>230</v>
      </c>
      <c r="E42" t="s">
        <v>48</v>
      </c>
      <c r="F42">
        <v>230</v>
      </c>
      <c r="G42" s="1">
        <v>45156</v>
      </c>
      <c r="H42" s="6">
        <f t="shared" si="0"/>
        <v>1.0937500000000029</v>
      </c>
      <c r="I42" s="7">
        <f t="shared" si="1"/>
        <v>1.0937500000000029</v>
      </c>
    </row>
    <row r="43" spans="1:9" x14ac:dyDescent="0.2">
      <c r="A43" t="s">
        <v>49</v>
      </c>
      <c r="B43">
        <v>4.0250000000000004</v>
      </c>
      <c r="C43">
        <v>5.638E-2</v>
      </c>
      <c r="D43">
        <v>230</v>
      </c>
      <c r="E43" t="s">
        <v>49</v>
      </c>
      <c r="F43">
        <v>230</v>
      </c>
      <c r="G43" s="1">
        <v>45156</v>
      </c>
      <c r="H43" s="6">
        <f t="shared" si="0"/>
        <v>1.1041666666666696</v>
      </c>
      <c r="I43" s="7">
        <f t="shared" si="1"/>
        <v>1.1041666666666696</v>
      </c>
    </row>
    <row r="44" spans="1:9" x14ac:dyDescent="0.2">
      <c r="A44" t="s">
        <v>50</v>
      </c>
      <c r="B44">
        <v>4.0419999999999998</v>
      </c>
      <c r="C44">
        <v>5.6614999999999999E-2</v>
      </c>
      <c r="D44">
        <v>230</v>
      </c>
      <c r="E44" t="s">
        <v>50</v>
      </c>
      <c r="F44">
        <v>230</v>
      </c>
      <c r="G44" s="1">
        <v>45156</v>
      </c>
      <c r="H44" s="6">
        <f t="shared" si="0"/>
        <v>1.1145833333333364</v>
      </c>
      <c r="I44" s="7">
        <f t="shared" si="1"/>
        <v>1.1145833333333364</v>
      </c>
    </row>
    <row r="45" spans="1:9" x14ac:dyDescent="0.2">
      <c r="A45" t="s">
        <v>51</v>
      </c>
      <c r="B45">
        <v>4.0434999999999999</v>
      </c>
      <c r="C45">
        <v>5.6614999999999999E-2</v>
      </c>
      <c r="D45">
        <v>230</v>
      </c>
      <c r="E45" t="s">
        <v>51</v>
      </c>
      <c r="F45">
        <v>230</v>
      </c>
      <c r="G45" s="1">
        <v>45156</v>
      </c>
      <c r="H45" s="6">
        <f t="shared" si="0"/>
        <v>1.1250000000000031</v>
      </c>
      <c r="I45" s="7">
        <f t="shared" si="1"/>
        <v>1.1250000000000031</v>
      </c>
    </row>
    <row r="46" spans="1:9" x14ac:dyDescent="0.2">
      <c r="A46" t="s">
        <v>52</v>
      </c>
      <c r="B46">
        <v>4.0075000000000003</v>
      </c>
      <c r="C46">
        <v>5.6149999999999999E-2</v>
      </c>
      <c r="D46">
        <v>230</v>
      </c>
      <c r="E46" t="s">
        <v>52</v>
      </c>
      <c r="F46">
        <v>230</v>
      </c>
      <c r="G46" s="1">
        <v>45156</v>
      </c>
      <c r="H46" s="6">
        <f t="shared" si="0"/>
        <v>1.1354166666666698</v>
      </c>
      <c r="I46" s="7">
        <f t="shared" si="1"/>
        <v>1.1354166666666698</v>
      </c>
    </row>
    <row r="47" spans="1:9" x14ac:dyDescent="0.2">
      <c r="A47" t="s">
        <v>53</v>
      </c>
      <c r="B47">
        <v>4.0054999999999996</v>
      </c>
      <c r="C47">
        <v>5.6099999999999997E-2</v>
      </c>
      <c r="D47">
        <v>230</v>
      </c>
      <c r="E47" t="s">
        <v>53</v>
      </c>
      <c r="F47">
        <v>230</v>
      </c>
      <c r="G47" s="1">
        <v>45156</v>
      </c>
      <c r="H47" s="6">
        <f t="shared" si="0"/>
        <v>1.1458333333333366</v>
      </c>
      <c r="I47" s="7">
        <f t="shared" si="1"/>
        <v>1.1458333333333366</v>
      </c>
    </row>
    <row r="48" spans="1:9" x14ac:dyDescent="0.2">
      <c r="A48" t="s">
        <v>54</v>
      </c>
      <c r="B48">
        <v>4.0350000000000001</v>
      </c>
      <c r="C48">
        <v>5.6524999999999999E-2</v>
      </c>
      <c r="D48">
        <v>230</v>
      </c>
      <c r="E48" t="s">
        <v>54</v>
      </c>
      <c r="F48">
        <v>230</v>
      </c>
      <c r="G48" s="1">
        <v>45156</v>
      </c>
      <c r="H48" s="6">
        <f t="shared" si="0"/>
        <v>1.1562500000000033</v>
      </c>
      <c r="I48" s="7">
        <f t="shared" si="1"/>
        <v>1.1562500000000033</v>
      </c>
    </row>
    <row r="49" spans="1:9" x14ac:dyDescent="0.2">
      <c r="A49" t="s">
        <v>55</v>
      </c>
      <c r="B49">
        <v>3.9910000000000001</v>
      </c>
      <c r="C49">
        <v>5.5914999999999999E-2</v>
      </c>
      <c r="D49">
        <v>230</v>
      </c>
      <c r="E49" t="s">
        <v>55</v>
      </c>
      <c r="F49">
        <v>230</v>
      </c>
      <c r="G49" s="1">
        <v>45156</v>
      </c>
      <c r="H49" s="6">
        <f t="shared" si="0"/>
        <v>1.1666666666666701</v>
      </c>
      <c r="I49" s="7">
        <f t="shared" si="1"/>
        <v>1.1666666666666701</v>
      </c>
    </row>
    <row r="50" spans="1:9" x14ac:dyDescent="0.2">
      <c r="A50" t="s">
        <v>56</v>
      </c>
      <c r="B50">
        <v>4.0134999999999996</v>
      </c>
      <c r="C50">
        <v>5.6215000000000001E-2</v>
      </c>
      <c r="D50">
        <v>230</v>
      </c>
      <c r="E50" t="s">
        <v>56</v>
      </c>
      <c r="F50">
        <v>230</v>
      </c>
      <c r="G50" s="1">
        <v>45156</v>
      </c>
      <c r="H50" s="6">
        <f t="shared" si="0"/>
        <v>1.1770833333333368</v>
      </c>
      <c r="I50" s="7">
        <f t="shared" si="1"/>
        <v>1.1770833333333368</v>
      </c>
    </row>
    <row r="51" spans="1:9" x14ac:dyDescent="0.2">
      <c r="A51" t="s">
        <v>57</v>
      </c>
      <c r="B51">
        <v>4.01</v>
      </c>
      <c r="C51">
        <v>5.6165E-2</v>
      </c>
      <c r="D51">
        <v>230</v>
      </c>
      <c r="E51" t="s">
        <v>57</v>
      </c>
      <c r="F51">
        <v>230</v>
      </c>
      <c r="G51" s="1">
        <v>45156</v>
      </c>
      <c r="H51" s="6">
        <f t="shared" si="0"/>
        <v>1.1875000000000036</v>
      </c>
      <c r="I51" s="7">
        <f t="shared" si="1"/>
        <v>1.1875000000000036</v>
      </c>
    </row>
    <row r="52" spans="1:9" x14ac:dyDescent="0.2">
      <c r="A52" t="s">
        <v>58</v>
      </c>
      <c r="B52">
        <v>4.0134999999999996</v>
      </c>
      <c r="C52" s="2" t="s">
        <v>59</v>
      </c>
      <c r="D52">
        <v>230</v>
      </c>
      <c r="E52" t="s">
        <v>58</v>
      </c>
      <c r="F52">
        <v>230</v>
      </c>
      <c r="G52" s="1">
        <v>45156</v>
      </c>
      <c r="H52" s="6">
        <f t="shared" si="0"/>
        <v>1.1979166666666703</v>
      </c>
      <c r="I52" s="7">
        <f t="shared" si="1"/>
        <v>1.1979166666666703</v>
      </c>
    </row>
    <row r="53" spans="1:9" x14ac:dyDescent="0.2">
      <c r="A53" t="s">
        <v>60</v>
      </c>
      <c r="B53">
        <v>4.0140000000000002</v>
      </c>
      <c r="C53">
        <v>5.6224999999999997E-2</v>
      </c>
      <c r="D53">
        <v>230</v>
      </c>
      <c r="E53" t="s">
        <v>60</v>
      </c>
      <c r="F53">
        <v>230</v>
      </c>
      <c r="G53" s="1">
        <v>45156</v>
      </c>
      <c r="H53" s="6">
        <f t="shared" si="0"/>
        <v>1.208333333333337</v>
      </c>
      <c r="I53" s="7">
        <f t="shared" si="1"/>
        <v>1.208333333333337</v>
      </c>
    </row>
    <row r="54" spans="1:9" x14ac:dyDescent="0.2">
      <c r="A54" t="s">
        <v>61</v>
      </c>
      <c r="B54">
        <v>4.0194999999999999</v>
      </c>
      <c r="C54">
        <v>5.6300000000000003E-2</v>
      </c>
      <c r="D54">
        <v>230</v>
      </c>
      <c r="E54" t="s">
        <v>61</v>
      </c>
      <c r="F54">
        <v>230</v>
      </c>
      <c r="G54" s="1">
        <v>45156</v>
      </c>
      <c r="H54" s="6">
        <f t="shared" si="0"/>
        <v>1.2187500000000038</v>
      </c>
      <c r="I54" s="7">
        <f t="shared" si="1"/>
        <v>1.2187500000000038</v>
      </c>
    </row>
    <row r="55" spans="1:9" x14ac:dyDescent="0.2">
      <c r="A55" t="s">
        <v>62</v>
      </c>
      <c r="B55">
        <v>4.0045000000000002</v>
      </c>
      <c r="C55">
        <v>5.6094999999999999E-2</v>
      </c>
      <c r="D55">
        <v>230</v>
      </c>
      <c r="E55" t="s">
        <v>62</v>
      </c>
      <c r="F55">
        <v>230</v>
      </c>
      <c r="G55" s="1">
        <v>45156</v>
      </c>
      <c r="H55" s="6">
        <f t="shared" si="0"/>
        <v>1.2291666666666705</v>
      </c>
      <c r="I55" s="7">
        <f t="shared" si="1"/>
        <v>1.2291666666666705</v>
      </c>
    </row>
    <row r="56" spans="1:9" x14ac:dyDescent="0.2">
      <c r="A56" t="s">
        <v>63</v>
      </c>
      <c r="B56">
        <v>3.9984999999999999</v>
      </c>
      <c r="C56">
        <v>5.6009999999999997E-2</v>
      </c>
      <c r="D56">
        <v>230</v>
      </c>
      <c r="E56" t="s">
        <v>63</v>
      </c>
      <c r="F56">
        <v>230</v>
      </c>
      <c r="G56" s="1">
        <v>45156</v>
      </c>
      <c r="H56" s="6">
        <f t="shared" si="0"/>
        <v>1.2395833333333373</v>
      </c>
      <c r="I56" s="7">
        <f t="shared" si="1"/>
        <v>1.2395833333333373</v>
      </c>
    </row>
    <row r="57" spans="1:9" x14ac:dyDescent="0.2">
      <c r="A57" t="s">
        <v>64</v>
      </c>
      <c r="B57">
        <v>4.0114999999999998</v>
      </c>
      <c r="C57">
        <v>5.6184999999999999E-2</v>
      </c>
      <c r="D57">
        <v>230</v>
      </c>
      <c r="E57" t="s">
        <v>64</v>
      </c>
      <c r="F57">
        <v>230</v>
      </c>
      <c r="G57" s="1">
        <v>45156</v>
      </c>
      <c r="H57" s="6">
        <f t="shared" si="0"/>
        <v>1.250000000000004</v>
      </c>
      <c r="I57" s="7">
        <f t="shared" si="1"/>
        <v>1.250000000000004</v>
      </c>
    </row>
    <row r="58" spans="1:9" x14ac:dyDescent="0.2">
      <c r="A58" t="s">
        <v>65</v>
      </c>
      <c r="B58">
        <v>4.0060000000000002</v>
      </c>
      <c r="C58">
        <v>5.611E-2</v>
      </c>
      <c r="D58">
        <v>230</v>
      </c>
      <c r="E58" t="s">
        <v>65</v>
      </c>
      <c r="F58">
        <v>230</v>
      </c>
      <c r="G58" s="1">
        <v>45156</v>
      </c>
      <c r="H58" s="6">
        <f t="shared" si="0"/>
        <v>1.2604166666666707</v>
      </c>
      <c r="I58" s="7">
        <f t="shared" si="1"/>
        <v>1.2604166666666707</v>
      </c>
    </row>
    <row r="59" spans="1:9" x14ac:dyDescent="0.2">
      <c r="A59" t="s">
        <v>66</v>
      </c>
      <c r="B59">
        <v>4.0125000000000002</v>
      </c>
      <c r="C59">
        <v>5.6204999999999998E-2</v>
      </c>
      <c r="D59">
        <v>230</v>
      </c>
      <c r="E59" t="s">
        <v>66</v>
      </c>
      <c r="F59">
        <v>230</v>
      </c>
      <c r="G59" s="1">
        <v>45156</v>
      </c>
      <c r="H59" s="6">
        <f t="shared" si="0"/>
        <v>1.2708333333333375</v>
      </c>
      <c r="I59" s="7">
        <f t="shared" si="1"/>
        <v>1.2708333333333375</v>
      </c>
    </row>
    <row r="60" spans="1:9" x14ac:dyDescent="0.2">
      <c r="A60" t="s">
        <v>67</v>
      </c>
      <c r="B60">
        <v>3.9794999999999998</v>
      </c>
      <c r="C60">
        <v>5.5745000000000003E-2</v>
      </c>
      <c r="D60">
        <v>230</v>
      </c>
      <c r="E60" t="s">
        <v>67</v>
      </c>
      <c r="F60">
        <v>230</v>
      </c>
      <c r="G60" s="1">
        <v>45156</v>
      </c>
      <c r="H60" s="6">
        <f t="shared" si="0"/>
        <v>1.2812500000000042</v>
      </c>
      <c r="I60" s="7">
        <f t="shared" si="1"/>
        <v>1.2812500000000042</v>
      </c>
    </row>
    <row r="61" spans="1:9" x14ac:dyDescent="0.2">
      <c r="A61" t="s">
        <v>68</v>
      </c>
      <c r="B61">
        <v>3.9809999999999999</v>
      </c>
      <c r="C61">
        <v>5.5754999999999999E-2</v>
      </c>
      <c r="D61">
        <v>230</v>
      </c>
      <c r="E61" t="s">
        <v>68</v>
      </c>
      <c r="F61">
        <v>230</v>
      </c>
      <c r="G61" s="1">
        <v>45156</v>
      </c>
      <c r="H61" s="6">
        <f t="shared" si="0"/>
        <v>1.291666666666671</v>
      </c>
      <c r="I61" s="7">
        <f t="shared" si="1"/>
        <v>1.291666666666671</v>
      </c>
    </row>
    <row r="62" spans="1:9" x14ac:dyDescent="0.2">
      <c r="A62" t="s">
        <v>69</v>
      </c>
      <c r="B62">
        <v>3.9605000000000001</v>
      </c>
      <c r="C62">
        <v>5.5480000000000002E-2</v>
      </c>
      <c r="D62">
        <v>230</v>
      </c>
      <c r="E62" t="s">
        <v>69</v>
      </c>
      <c r="F62">
        <v>230</v>
      </c>
      <c r="G62" s="1">
        <v>45156</v>
      </c>
      <c r="H62" s="6">
        <f t="shared" si="0"/>
        <v>1.3020833333333377</v>
      </c>
      <c r="I62" s="7">
        <f t="shared" si="1"/>
        <v>1.3020833333333377</v>
      </c>
    </row>
    <row r="63" spans="1:9" x14ac:dyDescent="0.2">
      <c r="A63" t="s">
        <v>70</v>
      </c>
      <c r="B63">
        <v>3.9765000000000001</v>
      </c>
      <c r="C63">
        <v>5.5704999999999998E-2</v>
      </c>
      <c r="D63">
        <v>230</v>
      </c>
      <c r="E63" t="s">
        <v>70</v>
      </c>
      <c r="F63">
        <v>230</v>
      </c>
      <c r="G63" s="1">
        <v>45156</v>
      </c>
      <c r="H63" s="6">
        <f t="shared" si="0"/>
        <v>1.3125000000000044</v>
      </c>
      <c r="I63" s="7">
        <f t="shared" si="1"/>
        <v>1.3125000000000044</v>
      </c>
    </row>
    <row r="64" spans="1:9" x14ac:dyDescent="0.2">
      <c r="A64" t="s">
        <v>71</v>
      </c>
      <c r="B64">
        <v>3.9460000000000002</v>
      </c>
      <c r="C64">
        <v>5.5280000000000003E-2</v>
      </c>
      <c r="D64">
        <v>230</v>
      </c>
      <c r="E64" t="s">
        <v>71</v>
      </c>
      <c r="F64">
        <v>230</v>
      </c>
      <c r="G64" s="1">
        <v>45156</v>
      </c>
      <c r="H64" s="6">
        <f t="shared" si="0"/>
        <v>1.3229166666666712</v>
      </c>
      <c r="I64" s="7">
        <f t="shared" si="1"/>
        <v>1.3229166666666712</v>
      </c>
    </row>
    <row r="65" spans="1:9" x14ac:dyDescent="0.2">
      <c r="A65" t="s">
        <v>72</v>
      </c>
      <c r="B65">
        <v>3.9430000000000001</v>
      </c>
      <c r="C65">
        <v>5.5215E-2</v>
      </c>
      <c r="D65">
        <v>230</v>
      </c>
      <c r="E65" t="s">
        <v>72</v>
      </c>
      <c r="F65">
        <v>230</v>
      </c>
      <c r="G65" s="1">
        <v>45156</v>
      </c>
      <c r="H65" s="6">
        <f t="shared" si="0"/>
        <v>1.3333333333333379</v>
      </c>
      <c r="I65" s="7">
        <f t="shared" si="1"/>
        <v>1.3333333333333379</v>
      </c>
    </row>
    <row r="66" spans="1:9" x14ac:dyDescent="0.2">
      <c r="A66" t="s">
        <v>73</v>
      </c>
      <c r="B66">
        <v>3.9350000000000001</v>
      </c>
      <c r="C66">
        <v>5.5135000000000003E-2</v>
      </c>
      <c r="D66">
        <v>230</v>
      </c>
      <c r="E66" t="s">
        <v>73</v>
      </c>
      <c r="F66">
        <v>230</v>
      </c>
      <c r="G66" s="1">
        <v>45156</v>
      </c>
      <c r="H66" s="6">
        <f t="shared" si="0"/>
        <v>1.3437500000000047</v>
      </c>
      <c r="I66" s="7">
        <f t="shared" si="1"/>
        <v>1.3437500000000047</v>
      </c>
    </row>
    <row r="67" spans="1:9" x14ac:dyDescent="0.2">
      <c r="A67" t="s">
        <v>74</v>
      </c>
      <c r="B67">
        <v>3.9359999999999999</v>
      </c>
      <c r="C67">
        <v>5.5114999999999997E-2</v>
      </c>
      <c r="D67">
        <v>230</v>
      </c>
      <c r="E67" t="s">
        <v>74</v>
      </c>
      <c r="F67">
        <v>230</v>
      </c>
      <c r="G67" s="1">
        <v>45156</v>
      </c>
      <c r="H67" s="6">
        <f t="shared" ref="H67:H130" si="2">H66+$K$1</f>
        <v>1.3541666666666714</v>
      </c>
      <c r="I67" s="7">
        <f t="shared" ref="I67:I130" si="3">I66+$K$1</f>
        <v>1.3541666666666714</v>
      </c>
    </row>
    <row r="68" spans="1:9" x14ac:dyDescent="0.2">
      <c r="A68" t="s">
        <v>75</v>
      </c>
      <c r="B68">
        <v>3.9485000000000001</v>
      </c>
      <c r="C68">
        <v>5.5320000000000001E-2</v>
      </c>
      <c r="D68">
        <v>230</v>
      </c>
      <c r="E68" t="s">
        <v>75</v>
      </c>
      <c r="F68">
        <v>230</v>
      </c>
      <c r="G68" s="1">
        <v>45156</v>
      </c>
      <c r="H68" s="6">
        <f t="shared" si="2"/>
        <v>1.3645833333333381</v>
      </c>
      <c r="I68" s="7">
        <f t="shared" si="3"/>
        <v>1.3645833333333381</v>
      </c>
    </row>
    <row r="69" spans="1:9" x14ac:dyDescent="0.2">
      <c r="A69" t="s">
        <v>76</v>
      </c>
      <c r="B69">
        <v>3.9544999999999999</v>
      </c>
      <c r="C69">
        <v>5.5384999999999997E-2</v>
      </c>
      <c r="D69">
        <v>230</v>
      </c>
      <c r="E69" t="s">
        <v>76</v>
      </c>
      <c r="F69">
        <v>230</v>
      </c>
      <c r="G69" s="1">
        <v>45156</v>
      </c>
      <c r="H69" s="6">
        <f t="shared" si="2"/>
        <v>1.3750000000000049</v>
      </c>
      <c r="I69" s="7">
        <f t="shared" si="3"/>
        <v>1.3750000000000049</v>
      </c>
    </row>
    <row r="70" spans="1:9" x14ac:dyDescent="0.2">
      <c r="A70" t="s">
        <v>77</v>
      </c>
      <c r="B70">
        <v>3.9095</v>
      </c>
      <c r="C70">
        <v>5.4780000000000002E-2</v>
      </c>
      <c r="D70">
        <v>230</v>
      </c>
      <c r="E70" t="s">
        <v>77</v>
      </c>
      <c r="F70">
        <v>230</v>
      </c>
      <c r="G70" s="1">
        <v>45156</v>
      </c>
      <c r="H70" s="6">
        <f t="shared" si="2"/>
        <v>1.3854166666666716</v>
      </c>
      <c r="I70" s="7">
        <f t="shared" si="3"/>
        <v>1.3854166666666716</v>
      </c>
    </row>
    <row r="71" spans="1:9" x14ac:dyDescent="0.2">
      <c r="A71" t="s">
        <v>78</v>
      </c>
      <c r="B71">
        <v>3.9249999999999998</v>
      </c>
      <c r="C71">
        <v>5.4980000000000001E-2</v>
      </c>
      <c r="D71">
        <v>230</v>
      </c>
      <c r="E71" t="s">
        <v>78</v>
      </c>
      <c r="F71">
        <v>230</v>
      </c>
      <c r="G71" s="1">
        <v>45156</v>
      </c>
      <c r="H71" s="6">
        <f t="shared" si="2"/>
        <v>1.3958333333333384</v>
      </c>
      <c r="I71" s="7">
        <f t="shared" si="3"/>
        <v>1.3958333333333384</v>
      </c>
    </row>
    <row r="72" spans="1:9" x14ac:dyDescent="0.2">
      <c r="A72" t="s">
        <v>79</v>
      </c>
      <c r="B72">
        <v>3.879</v>
      </c>
      <c r="C72">
        <v>5.4330000000000003E-2</v>
      </c>
      <c r="D72">
        <v>230</v>
      </c>
      <c r="E72" t="s">
        <v>79</v>
      </c>
      <c r="F72">
        <v>230</v>
      </c>
      <c r="G72" s="1">
        <v>45156</v>
      </c>
      <c r="H72" s="6">
        <f t="shared" si="2"/>
        <v>1.4062500000000051</v>
      </c>
      <c r="I72" s="7">
        <f t="shared" si="3"/>
        <v>1.4062500000000051</v>
      </c>
    </row>
    <row r="73" spans="1:9" x14ac:dyDescent="0.2">
      <c r="A73" t="s">
        <v>80</v>
      </c>
      <c r="B73">
        <v>3.8925000000000001</v>
      </c>
      <c r="C73">
        <v>5.4519999999999999E-2</v>
      </c>
      <c r="D73">
        <v>230</v>
      </c>
      <c r="E73" t="s">
        <v>80</v>
      </c>
      <c r="F73">
        <v>230</v>
      </c>
      <c r="G73" s="1">
        <v>45156</v>
      </c>
      <c r="H73" s="6">
        <f t="shared" si="2"/>
        <v>1.4166666666666718</v>
      </c>
      <c r="I73" s="7">
        <f t="shared" si="3"/>
        <v>1.4166666666666718</v>
      </c>
    </row>
    <row r="74" spans="1:9" x14ac:dyDescent="0.2">
      <c r="A74" t="s">
        <v>81</v>
      </c>
      <c r="B74" s="2" t="s">
        <v>82</v>
      </c>
      <c r="C74">
        <v>5.4089999999999999E-2</v>
      </c>
      <c r="D74">
        <v>230</v>
      </c>
      <c r="E74" t="s">
        <v>81</v>
      </c>
      <c r="F74">
        <v>230</v>
      </c>
      <c r="G74" s="1">
        <v>45156</v>
      </c>
      <c r="H74" s="6">
        <f t="shared" si="2"/>
        <v>1.4270833333333386</v>
      </c>
      <c r="I74" s="7">
        <f t="shared" si="3"/>
        <v>1.4270833333333386</v>
      </c>
    </row>
    <row r="75" spans="1:9" x14ac:dyDescent="0.2">
      <c r="A75" t="s">
        <v>83</v>
      </c>
      <c r="B75">
        <v>3.8454999999999999</v>
      </c>
      <c r="C75">
        <v>5.3855E-2</v>
      </c>
      <c r="D75">
        <v>230</v>
      </c>
      <c r="E75" t="s">
        <v>83</v>
      </c>
      <c r="F75">
        <v>230</v>
      </c>
      <c r="G75" s="1">
        <v>45156</v>
      </c>
      <c r="H75" s="6">
        <f t="shared" si="2"/>
        <v>1.4375000000000053</v>
      </c>
      <c r="I75" s="7">
        <f t="shared" si="3"/>
        <v>1.4375000000000053</v>
      </c>
    </row>
    <row r="76" spans="1:9" x14ac:dyDescent="0.2">
      <c r="A76" t="s">
        <v>84</v>
      </c>
      <c r="B76">
        <v>3.86</v>
      </c>
      <c r="C76">
        <v>5.407E-2</v>
      </c>
      <c r="D76">
        <v>230</v>
      </c>
      <c r="E76" t="s">
        <v>84</v>
      </c>
      <c r="F76">
        <v>230</v>
      </c>
      <c r="G76" s="1">
        <v>45156</v>
      </c>
      <c r="H76" s="6">
        <f t="shared" si="2"/>
        <v>1.4479166666666721</v>
      </c>
      <c r="I76" s="7">
        <f t="shared" si="3"/>
        <v>1.4479166666666721</v>
      </c>
    </row>
    <row r="77" spans="1:9" x14ac:dyDescent="0.2">
      <c r="A77" t="s">
        <v>85</v>
      </c>
      <c r="B77">
        <v>3.8555000000000001</v>
      </c>
      <c r="C77">
        <v>5.3999999999999999E-2</v>
      </c>
      <c r="D77">
        <v>230</v>
      </c>
      <c r="E77" t="s">
        <v>85</v>
      </c>
      <c r="F77">
        <v>230</v>
      </c>
      <c r="G77" s="1">
        <v>45156</v>
      </c>
      <c r="H77" s="6">
        <f t="shared" si="2"/>
        <v>1.4583333333333388</v>
      </c>
      <c r="I77" s="7">
        <f t="shared" si="3"/>
        <v>1.4583333333333388</v>
      </c>
    </row>
    <row r="78" spans="1:9" x14ac:dyDescent="0.2">
      <c r="A78" t="s">
        <v>86</v>
      </c>
      <c r="B78">
        <v>3.8035000000000001</v>
      </c>
      <c r="C78">
        <v>5.3275000000000003E-2</v>
      </c>
      <c r="D78">
        <v>230</v>
      </c>
      <c r="E78" t="s">
        <v>86</v>
      </c>
      <c r="F78">
        <v>230</v>
      </c>
      <c r="G78" s="1">
        <v>45156</v>
      </c>
      <c r="H78" s="6">
        <f t="shared" si="2"/>
        <v>1.4687500000000056</v>
      </c>
      <c r="I78" s="7">
        <f t="shared" si="3"/>
        <v>1.4687500000000056</v>
      </c>
    </row>
    <row r="79" spans="1:9" x14ac:dyDescent="0.2">
      <c r="A79" t="s">
        <v>87</v>
      </c>
      <c r="B79">
        <v>3.6815000000000002</v>
      </c>
      <c r="C79">
        <v>5.1589999999999997E-2</v>
      </c>
      <c r="D79">
        <v>230</v>
      </c>
      <c r="E79" t="s">
        <v>87</v>
      </c>
      <c r="F79">
        <v>230</v>
      </c>
      <c r="G79" s="1">
        <v>45156</v>
      </c>
      <c r="H79" s="6">
        <f t="shared" si="2"/>
        <v>1.4791666666666723</v>
      </c>
      <c r="I79" s="7">
        <f t="shared" si="3"/>
        <v>1.4791666666666723</v>
      </c>
    </row>
    <row r="80" spans="1:9" x14ac:dyDescent="0.2">
      <c r="A80" t="s">
        <v>88</v>
      </c>
      <c r="B80">
        <v>3.6480000000000001</v>
      </c>
      <c r="C80">
        <v>5.108E-2</v>
      </c>
      <c r="D80">
        <v>230</v>
      </c>
      <c r="E80" t="s">
        <v>88</v>
      </c>
      <c r="F80">
        <v>230</v>
      </c>
      <c r="G80" s="1">
        <v>45156</v>
      </c>
      <c r="H80" s="6">
        <f t="shared" si="2"/>
        <v>1.489583333333339</v>
      </c>
      <c r="I80" s="7">
        <f t="shared" si="3"/>
        <v>1.489583333333339</v>
      </c>
    </row>
    <row r="81" spans="1:9" x14ac:dyDescent="0.2">
      <c r="A81" t="s">
        <v>89</v>
      </c>
      <c r="B81">
        <v>3.5960000000000001</v>
      </c>
      <c r="C81">
        <v>5.0395000000000002E-2</v>
      </c>
      <c r="D81">
        <v>230</v>
      </c>
      <c r="E81" t="s">
        <v>89</v>
      </c>
      <c r="F81">
        <v>230</v>
      </c>
      <c r="G81" s="1">
        <v>45156</v>
      </c>
      <c r="H81" s="6">
        <f t="shared" si="2"/>
        <v>1.5000000000000058</v>
      </c>
      <c r="I81" s="7">
        <f t="shared" si="3"/>
        <v>1.5000000000000058</v>
      </c>
    </row>
    <row r="82" spans="1:9" x14ac:dyDescent="0.2">
      <c r="A82" t="s">
        <v>90</v>
      </c>
      <c r="B82">
        <v>3.5489999999999999</v>
      </c>
      <c r="C82">
        <v>4.972E-2</v>
      </c>
      <c r="D82">
        <v>230</v>
      </c>
      <c r="E82" t="s">
        <v>90</v>
      </c>
      <c r="F82">
        <v>230</v>
      </c>
      <c r="G82" s="1">
        <v>45156</v>
      </c>
      <c r="H82" s="6">
        <f t="shared" si="2"/>
        <v>1.5104166666666725</v>
      </c>
      <c r="I82" s="7">
        <f t="shared" si="3"/>
        <v>1.5104166666666725</v>
      </c>
    </row>
    <row r="83" spans="1:9" x14ac:dyDescent="0.2">
      <c r="A83" t="s">
        <v>91</v>
      </c>
      <c r="B83">
        <v>3.5165000000000002</v>
      </c>
      <c r="C83">
        <v>4.9259999999999998E-2</v>
      </c>
      <c r="D83">
        <v>230</v>
      </c>
      <c r="E83" t="s">
        <v>91</v>
      </c>
      <c r="F83">
        <v>230</v>
      </c>
      <c r="G83" s="1">
        <v>45156</v>
      </c>
      <c r="H83" s="6">
        <f t="shared" si="2"/>
        <v>1.5208333333333393</v>
      </c>
      <c r="I83" s="7">
        <f t="shared" si="3"/>
        <v>1.5208333333333393</v>
      </c>
    </row>
    <row r="84" spans="1:9" x14ac:dyDescent="0.2">
      <c r="A84" t="s">
        <v>92</v>
      </c>
      <c r="B84">
        <v>3.456</v>
      </c>
      <c r="C84">
        <v>4.8415E-2</v>
      </c>
      <c r="D84">
        <v>230</v>
      </c>
      <c r="E84" t="s">
        <v>92</v>
      </c>
      <c r="F84">
        <v>230</v>
      </c>
      <c r="G84" s="1">
        <v>45156</v>
      </c>
      <c r="H84" s="6">
        <f t="shared" si="2"/>
        <v>1.531250000000006</v>
      </c>
      <c r="I84" s="7">
        <f t="shared" si="3"/>
        <v>1.531250000000006</v>
      </c>
    </row>
    <row r="85" spans="1:9" x14ac:dyDescent="0.2">
      <c r="A85" t="s">
        <v>93</v>
      </c>
      <c r="B85">
        <v>3.4409999999999998</v>
      </c>
      <c r="C85">
        <v>4.8184999999999999E-2</v>
      </c>
      <c r="D85">
        <v>230</v>
      </c>
      <c r="E85" t="s">
        <v>93</v>
      </c>
      <c r="F85">
        <v>230</v>
      </c>
      <c r="G85" s="1">
        <v>45156</v>
      </c>
      <c r="H85" s="6">
        <f t="shared" si="2"/>
        <v>1.5416666666666727</v>
      </c>
      <c r="I85" s="7">
        <f t="shared" si="3"/>
        <v>1.5416666666666727</v>
      </c>
    </row>
    <row r="86" spans="1:9" x14ac:dyDescent="0.2">
      <c r="A86" t="s">
        <v>94</v>
      </c>
      <c r="B86">
        <v>3.3980000000000001</v>
      </c>
      <c r="C86">
        <v>4.7594999999999998E-2</v>
      </c>
      <c r="D86">
        <v>230</v>
      </c>
      <c r="E86" t="s">
        <v>94</v>
      </c>
      <c r="F86">
        <v>230</v>
      </c>
      <c r="G86" s="1">
        <v>45156</v>
      </c>
      <c r="H86" s="6">
        <f t="shared" si="2"/>
        <v>1.5520833333333395</v>
      </c>
      <c r="I86" s="7">
        <f t="shared" si="3"/>
        <v>1.5520833333333395</v>
      </c>
    </row>
    <row r="87" spans="1:9" x14ac:dyDescent="0.2">
      <c r="A87" t="s">
        <v>95</v>
      </c>
      <c r="B87">
        <v>3.3965000000000001</v>
      </c>
      <c r="C87">
        <v>4.7555E-2</v>
      </c>
      <c r="D87">
        <v>230</v>
      </c>
      <c r="E87" t="s">
        <v>95</v>
      </c>
      <c r="F87">
        <v>230</v>
      </c>
      <c r="G87" s="1">
        <v>45156</v>
      </c>
      <c r="H87" s="6">
        <f t="shared" si="2"/>
        <v>1.5625000000000062</v>
      </c>
      <c r="I87" s="7">
        <f t="shared" si="3"/>
        <v>1.5625000000000062</v>
      </c>
    </row>
    <row r="88" spans="1:9" x14ac:dyDescent="0.2">
      <c r="A88" t="s">
        <v>96</v>
      </c>
      <c r="B88">
        <v>3.3645</v>
      </c>
      <c r="C88" s="2" t="s">
        <v>97</v>
      </c>
      <c r="D88">
        <v>230</v>
      </c>
      <c r="E88" t="s">
        <v>96</v>
      </c>
      <c r="F88">
        <v>230</v>
      </c>
      <c r="G88" s="1">
        <v>45156</v>
      </c>
      <c r="H88" s="6">
        <f t="shared" si="2"/>
        <v>1.572916666666673</v>
      </c>
      <c r="I88" s="7">
        <f t="shared" si="3"/>
        <v>1.572916666666673</v>
      </c>
    </row>
    <row r="89" spans="1:9" x14ac:dyDescent="0.2">
      <c r="A89" t="s">
        <v>98</v>
      </c>
      <c r="B89">
        <v>3.3224999999999998</v>
      </c>
      <c r="C89">
        <v>4.6530000000000002E-2</v>
      </c>
      <c r="D89">
        <v>230</v>
      </c>
      <c r="E89" t="s">
        <v>98</v>
      </c>
      <c r="F89">
        <v>230</v>
      </c>
      <c r="G89" s="1">
        <v>45156</v>
      </c>
      <c r="H89" s="6">
        <f t="shared" si="2"/>
        <v>1.5833333333333397</v>
      </c>
      <c r="I89" s="7">
        <f t="shared" si="3"/>
        <v>1.5833333333333397</v>
      </c>
    </row>
    <row r="90" spans="1:9" x14ac:dyDescent="0.2">
      <c r="A90" t="s">
        <v>99</v>
      </c>
      <c r="B90" s="2" t="s">
        <v>100</v>
      </c>
      <c r="C90">
        <v>4.6734999999999999E-2</v>
      </c>
      <c r="D90">
        <v>230</v>
      </c>
      <c r="E90" t="s">
        <v>99</v>
      </c>
      <c r="F90">
        <v>230</v>
      </c>
      <c r="G90" s="1">
        <v>45156</v>
      </c>
      <c r="H90" s="6">
        <f t="shared" si="2"/>
        <v>1.5937500000000064</v>
      </c>
      <c r="I90" s="7">
        <f t="shared" si="3"/>
        <v>1.5937500000000064</v>
      </c>
    </row>
    <row r="91" spans="1:9" x14ac:dyDescent="0.2">
      <c r="A91" t="s">
        <v>101</v>
      </c>
      <c r="B91">
        <v>3.331</v>
      </c>
      <c r="C91">
        <v>4.6655000000000002E-2</v>
      </c>
      <c r="D91">
        <v>230</v>
      </c>
      <c r="E91" t="s">
        <v>101</v>
      </c>
      <c r="F91">
        <v>230</v>
      </c>
      <c r="G91" s="1">
        <v>45156</v>
      </c>
      <c r="H91" s="6">
        <f t="shared" si="2"/>
        <v>1.6041666666666732</v>
      </c>
      <c r="I91" s="7">
        <f t="shared" si="3"/>
        <v>1.6041666666666732</v>
      </c>
    </row>
    <row r="92" spans="1:9" x14ac:dyDescent="0.2">
      <c r="A92" t="s">
        <v>102</v>
      </c>
      <c r="B92">
        <v>3.3144999999999998</v>
      </c>
      <c r="C92">
        <v>4.6414999999999998E-2</v>
      </c>
      <c r="D92">
        <v>230</v>
      </c>
      <c r="E92" t="s">
        <v>102</v>
      </c>
      <c r="F92">
        <v>230</v>
      </c>
      <c r="G92" s="1">
        <v>45156</v>
      </c>
      <c r="H92" s="6">
        <f t="shared" si="2"/>
        <v>1.6145833333333399</v>
      </c>
      <c r="I92" s="7">
        <f t="shared" si="3"/>
        <v>1.6145833333333399</v>
      </c>
    </row>
    <row r="93" spans="1:9" x14ac:dyDescent="0.2">
      <c r="A93" t="s">
        <v>103</v>
      </c>
      <c r="B93">
        <v>3.294</v>
      </c>
      <c r="C93">
        <v>4.6129999999999997E-2</v>
      </c>
      <c r="D93">
        <v>230</v>
      </c>
      <c r="E93" t="s">
        <v>103</v>
      </c>
      <c r="F93">
        <v>230</v>
      </c>
      <c r="G93" s="1">
        <v>45156</v>
      </c>
      <c r="H93" s="6">
        <f t="shared" si="2"/>
        <v>1.6250000000000067</v>
      </c>
      <c r="I93" s="7">
        <f t="shared" si="3"/>
        <v>1.6250000000000067</v>
      </c>
    </row>
    <row r="94" spans="1:9" x14ac:dyDescent="0.2">
      <c r="A94" t="s">
        <v>104</v>
      </c>
      <c r="B94">
        <v>3.2949999999999999</v>
      </c>
      <c r="C94">
        <v>4.616E-2</v>
      </c>
      <c r="D94">
        <v>230</v>
      </c>
      <c r="E94" t="s">
        <v>104</v>
      </c>
      <c r="F94">
        <v>230</v>
      </c>
      <c r="G94" s="1">
        <v>45156</v>
      </c>
      <c r="H94" s="6">
        <f t="shared" si="2"/>
        <v>1.6354166666666734</v>
      </c>
      <c r="I94" s="7">
        <f t="shared" si="3"/>
        <v>1.6354166666666734</v>
      </c>
    </row>
    <row r="95" spans="1:9" x14ac:dyDescent="0.2">
      <c r="A95" t="s">
        <v>105</v>
      </c>
      <c r="B95">
        <v>3.2589999999999999</v>
      </c>
      <c r="C95">
        <v>4.5644999999999998E-2</v>
      </c>
      <c r="D95">
        <v>230</v>
      </c>
      <c r="E95" t="s">
        <v>105</v>
      </c>
      <c r="F95">
        <v>230</v>
      </c>
      <c r="G95" s="1">
        <v>45156</v>
      </c>
      <c r="H95" s="6">
        <f t="shared" si="2"/>
        <v>1.6458333333333401</v>
      </c>
      <c r="I95" s="7">
        <f t="shared" si="3"/>
        <v>1.6458333333333401</v>
      </c>
    </row>
    <row r="96" spans="1:9" x14ac:dyDescent="0.2">
      <c r="A96" t="s">
        <v>106</v>
      </c>
      <c r="B96">
        <v>3.28</v>
      </c>
      <c r="C96">
        <v>4.5940000000000002E-2</v>
      </c>
      <c r="D96">
        <v>230</v>
      </c>
      <c r="E96" t="s">
        <v>106</v>
      </c>
      <c r="F96">
        <v>230</v>
      </c>
      <c r="G96" s="1">
        <v>45156</v>
      </c>
      <c r="H96" s="6">
        <f t="shared" si="2"/>
        <v>1.6562500000000069</v>
      </c>
      <c r="I96" s="7">
        <f t="shared" si="3"/>
        <v>1.6562500000000069</v>
      </c>
    </row>
    <row r="97" spans="1:9" x14ac:dyDescent="0.2">
      <c r="A97" t="s">
        <v>107</v>
      </c>
      <c r="B97">
        <v>3.2645</v>
      </c>
      <c r="C97">
        <v>4.5710000000000001E-2</v>
      </c>
      <c r="D97">
        <v>230</v>
      </c>
      <c r="E97" t="s">
        <v>107</v>
      </c>
      <c r="F97">
        <v>230</v>
      </c>
      <c r="G97" s="1">
        <v>45156</v>
      </c>
      <c r="H97" s="6">
        <f t="shared" si="2"/>
        <v>1.6666666666666736</v>
      </c>
      <c r="I97" s="7">
        <f t="shared" si="3"/>
        <v>1.6666666666666736</v>
      </c>
    </row>
    <row r="98" spans="1:9" x14ac:dyDescent="0.2">
      <c r="A98" t="s">
        <v>108</v>
      </c>
      <c r="B98">
        <v>3.2585000000000002</v>
      </c>
      <c r="C98">
        <v>4.5629999999999997E-2</v>
      </c>
      <c r="D98">
        <v>230</v>
      </c>
      <c r="E98" t="s">
        <v>108</v>
      </c>
      <c r="F98">
        <v>230</v>
      </c>
      <c r="G98" s="1">
        <v>45156</v>
      </c>
      <c r="H98" s="6">
        <f t="shared" si="2"/>
        <v>1.6770833333333404</v>
      </c>
      <c r="I98" s="7">
        <f t="shared" si="3"/>
        <v>1.6770833333333404</v>
      </c>
    </row>
    <row r="99" spans="1:9" x14ac:dyDescent="0.2">
      <c r="A99" t="s">
        <v>109</v>
      </c>
      <c r="B99">
        <v>3.282</v>
      </c>
      <c r="C99">
        <v>4.598E-2</v>
      </c>
      <c r="D99">
        <v>230</v>
      </c>
      <c r="E99" t="s">
        <v>109</v>
      </c>
      <c r="F99">
        <v>230</v>
      </c>
      <c r="G99" s="1">
        <v>45156</v>
      </c>
      <c r="H99" s="6">
        <f t="shared" si="2"/>
        <v>1.6875000000000071</v>
      </c>
      <c r="I99" s="7">
        <f t="shared" si="3"/>
        <v>1.6875000000000071</v>
      </c>
    </row>
    <row r="100" spans="1:9" x14ac:dyDescent="0.2">
      <c r="A100" t="s">
        <v>110</v>
      </c>
      <c r="B100">
        <v>3.2425000000000002</v>
      </c>
      <c r="C100">
        <v>4.5414999999999997E-2</v>
      </c>
      <c r="D100">
        <v>230</v>
      </c>
      <c r="E100" t="s">
        <v>110</v>
      </c>
      <c r="F100">
        <v>230</v>
      </c>
      <c r="G100" s="1">
        <v>45156</v>
      </c>
      <c r="H100" s="6">
        <f t="shared" si="2"/>
        <v>1.6979166666666738</v>
      </c>
      <c r="I100" s="7">
        <f t="shared" si="3"/>
        <v>1.6979166666666738</v>
      </c>
    </row>
    <row r="101" spans="1:9" x14ac:dyDescent="0.2">
      <c r="A101" t="s">
        <v>111</v>
      </c>
      <c r="B101" s="2" t="s">
        <v>112</v>
      </c>
      <c r="C101">
        <v>4.5975000000000002E-2</v>
      </c>
      <c r="D101">
        <v>230</v>
      </c>
      <c r="E101" t="s">
        <v>111</v>
      </c>
      <c r="F101">
        <v>230</v>
      </c>
      <c r="G101" s="1">
        <v>45156</v>
      </c>
      <c r="H101" s="6">
        <f t="shared" si="2"/>
        <v>1.7083333333333406</v>
      </c>
      <c r="I101" s="7">
        <f t="shared" si="3"/>
        <v>1.7083333333333406</v>
      </c>
    </row>
    <row r="102" spans="1:9" x14ac:dyDescent="0.2">
      <c r="A102" t="s">
        <v>113</v>
      </c>
      <c r="B102">
        <v>3.3014999999999999</v>
      </c>
      <c r="C102">
        <v>4.6240000000000003E-2</v>
      </c>
      <c r="D102">
        <v>230</v>
      </c>
      <c r="E102" t="s">
        <v>113</v>
      </c>
      <c r="F102">
        <v>230</v>
      </c>
      <c r="G102" s="1">
        <v>45156</v>
      </c>
      <c r="H102" s="6">
        <f t="shared" si="2"/>
        <v>1.7187500000000073</v>
      </c>
      <c r="I102" s="7">
        <f t="shared" si="3"/>
        <v>1.7187500000000073</v>
      </c>
    </row>
    <row r="103" spans="1:9" x14ac:dyDescent="0.2">
      <c r="A103" t="s">
        <v>114</v>
      </c>
      <c r="B103">
        <v>3.2915000000000001</v>
      </c>
      <c r="C103">
        <v>4.6115000000000003E-2</v>
      </c>
      <c r="D103">
        <v>230</v>
      </c>
      <c r="E103" t="s">
        <v>114</v>
      </c>
      <c r="F103">
        <v>230</v>
      </c>
      <c r="G103" s="1">
        <v>45156</v>
      </c>
      <c r="H103" s="6">
        <f t="shared" si="2"/>
        <v>1.7291666666666741</v>
      </c>
      <c r="I103" s="7">
        <f t="shared" si="3"/>
        <v>1.7291666666666741</v>
      </c>
    </row>
    <row r="104" spans="1:9" x14ac:dyDescent="0.2">
      <c r="A104" t="s">
        <v>115</v>
      </c>
      <c r="B104">
        <v>3.2885</v>
      </c>
      <c r="C104">
        <v>4.6039999999999998E-2</v>
      </c>
      <c r="D104">
        <v>230</v>
      </c>
      <c r="E104" t="s">
        <v>115</v>
      </c>
      <c r="F104">
        <v>230</v>
      </c>
      <c r="G104" s="1">
        <v>45156</v>
      </c>
      <c r="H104" s="6">
        <f t="shared" si="2"/>
        <v>1.7395833333333408</v>
      </c>
      <c r="I104" s="7">
        <f t="shared" si="3"/>
        <v>1.7395833333333408</v>
      </c>
    </row>
    <row r="105" spans="1:9" x14ac:dyDescent="0.2">
      <c r="A105" t="s">
        <v>116</v>
      </c>
      <c r="B105">
        <v>3.2759999999999998</v>
      </c>
      <c r="C105">
        <v>4.589E-2</v>
      </c>
      <c r="D105">
        <v>231</v>
      </c>
      <c r="E105" t="s">
        <v>116</v>
      </c>
      <c r="F105">
        <v>230</v>
      </c>
      <c r="G105" s="1">
        <v>45156</v>
      </c>
      <c r="H105" s="6">
        <f t="shared" si="2"/>
        <v>1.7500000000000075</v>
      </c>
      <c r="I105" s="7">
        <f t="shared" si="3"/>
        <v>1.7500000000000075</v>
      </c>
    </row>
    <row r="106" spans="1:9" x14ac:dyDescent="0.2">
      <c r="A106" t="s">
        <v>117</v>
      </c>
      <c r="B106">
        <v>3.3405</v>
      </c>
      <c r="C106">
        <v>4.6785E-2</v>
      </c>
      <c r="D106">
        <v>231</v>
      </c>
      <c r="E106" t="s">
        <v>117</v>
      </c>
      <c r="F106">
        <v>230</v>
      </c>
      <c r="G106" s="1">
        <v>45156</v>
      </c>
      <c r="H106" s="6">
        <f t="shared" si="2"/>
        <v>1.7604166666666743</v>
      </c>
      <c r="I106" s="7">
        <f t="shared" si="3"/>
        <v>1.7604166666666743</v>
      </c>
    </row>
    <row r="107" spans="1:9" x14ac:dyDescent="0.2">
      <c r="A107" t="s">
        <v>118</v>
      </c>
      <c r="B107">
        <v>3.335</v>
      </c>
      <c r="C107">
        <v>4.6725000000000003E-2</v>
      </c>
      <c r="D107">
        <v>231</v>
      </c>
      <c r="E107" t="s">
        <v>118</v>
      </c>
      <c r="F107">
        <v>230</v>
      </c>
      <c r="G107" s="1">
        <v>45156</v>
      </c>
      <c r="H107" s="6">
        <f t="shared" si="2"/>
        <v>1.770833333333341</v>
      </c>
      <c r="I107" s="7">
        <f t="shared" si="3"/>
        <v>1.770833333333341</v>
      </c>
    </row>
    <row r="108" spans="1:9" x14ac:dyDescent="0.2">
      <c r="A108" t="s">
        <v>119</v>
      </c>
      <c r="B108" s="2" t="s">
        <v>120</v>
      </c>
      <c r="C108">
        <v>4.7160000000000001E-2</v>
      </c>
      <c r="D108">
        <v>231</v>
      </c>
      <c r="E108" t="s">
        <v>119</v>
      </c>
      <c r="F108">
        <v>230</v>
      </c>
      <c r="G108" s="1">
        <v>45156</v>
      </c>
      <c r="H108" s="6">
        <f t="shared" si="2"/>
        <v>1.7812500000000078</v>
      </c>
      <c r="I108" s="7">
        <f t="shared" si="3"/>
        <v>1.7812500000000078</v>
      </c>
    </row>
    <row r="109" spans="1:9" x14ac:dyDescent="0.2">
      <c r="A109" t="s">
        <v>121</v>
      </c>
      <c r="B109">
        <v>3.375</v>
      </c>
      <c r="C109">
        <v>4.7274999999999998E-2</v>
      </c>
      <c r="D109">
        <v>231</v>
      </c>
      <c r="E109" t="s">
        <v>121</v>
      </c>
      <c r="F109">
        <v>230</v>
      </c>
      <c r="G109" s="1">
        <v>45156</v>
      </c>
      <c r="H109" s="6">
        <f t="shared" si="2"/>
        <v>1.7916666666666745</v>
      </c>
      <c r="I109" s="7">
        <f t="shared" si="3"/>
        <v>1.7916666666666745</v>
      </c>
    </row>
    <row r="110" spans="1:9" x14ac:dyDescent="0.2">
      <c r="A110" t="s">
        <v>122</v>
      </c>
      <c r="B110">
        <v>3.4024999999999999</v>
      </c>
      <c r="C110">
        <v>4.7684999999999998E-2</v>
      </c>
      <c r="D110">
        <v>231</v>
      </c>
      <c r="E110" t="s">
        <v>122</v>
      </c>
      <c r="F110">
        <v>230</v>
      </c>
      <c r="G110" s="1">
        <v>45156</v>
      </c>
      <c r="H110" s="6">
        <f t="shared" si="2"/>
        <v>1.8020833333333413</v>
      </c>
      <c r="I110" s="7">
        <f t="shared" si="3"/>
        <v>1.8020833333333413</v>
      </c>
    </row>
    <row r="111" spans="1:9" x14ac:dyDescent="0.2">
      <c r="A111" t="s">
        <v>123</v>
      </c>
      <c r="B111">
        <v>3.4045000000000001</v>
      </c>
      <c r="C111">
        <v>4.768E-2</v>
      </c>
      <c r="D111">
        <v>231</v>
      </c>
      <c r="E111" t="s">
        <v>123</v>
      </c>
      <c r="F111">
        <v>230</v>
      </c>
      <c r="G111" s="1">
        <v>45156</v>
      </c>
      <c r="H111" s="6">
        <f t="shared" si="2"/>
        <v>1.812500000000008</v>
      </c>
      <c r="I111" s="7">
        <f t="shared" si="3"/>
        <v>1.812500000000008</v>
      </c>
    </row>
    <row r="112" spans="1:9" x14ac:dyDescent="0.2">
      <c r="A112" t="s">
        <v>124</v>
      </c>
      <c r="B112">
        <v>3.4135</v>
      </c>
      <c r="C112">
        <v>4.7809999999999998E-2</v>
      </c>
      <c r="D112">
        <v>231</v>
      </c>
      <c r="E112" t="s">
        <v>124</v>
      </c>
      <c r="F112">
        <v>230</v>
      </c>
      <c r="G112" s="1">
        <v>45156</v>
      </c>
      <c r="H112" s="6">
        <f t="shared" si="2"/>
        <v>1.8229166666666747</v>
      </c>
      <c r="I112" s="7">
        <f t="shared" si="3"/>
        <v>1.8229166666666747</v>
      </c>
    </row>
    <row r="113" spans="1:9" x14ac:dyDescent="0.2">
      <c r="A113" t="s">
        <v>125</v>
      </c>
      <c r="B113">
        <v>3.4319999999999999</v>
      </c>
      <c r="C113">
        <v>4.8070000000000002E-2</v>
      </c>
      <c r="D113">
        <v>231</v>
      </c>
      <c r="E113" t="s">
        <v>125</v>
      </c>
      <c r="F113">
        <v>230</v>
      </c>
      <c r="G113" s="1">
        <v>45156</v>
      </c>
      <c r="H113" s="6">
        <f t="shared" si="2"/>
        <v>1.8333333333333415</v>
      </c>
      <c r="I113" s="7">
        <f t="shared" si="3"/>
        <v>1.8333333333333415</v>
      </c>
    </row>
    <row r="114" spans="1:9" x14ac:dyDescent="0.2">
      <c r="A114" t="s">
        <v>126</v>
      </c>
      <c r="B114" s="2" t="s">
        <v>127</v>
      </c>
      <c r="C114">
        <v>4.8460000000000003E-2</v>
      </c>
      <c r="D114">
        <v>231</v>
      </c>
      <c r="E114" t="s">
        <v>126</v>
      </c>
      <c r="F114">
        <v>230</v>
      </c>
      <c r="G114" s="1">
        <v>45156</v>
      </c>
      <c r="H114" s="6">
        <f t="shared" si="2"/>
        <v>1.8437500000000082</v>
      </c>
      <c r="I114" s="7">
        <f t="shared" si="3"/>
        <v>1.8437500000000082</v>
      </c>
    </row>
    <row r="115" spans="1:9" x14ac:dyDescent="0.2">
      <c r="A115" t="s">
        <v>128</v>
      </c>
      <c r="B115">
        <v>3.4485000000000001</v>
      </c>
      <c r="C115">
        <v>4.8329999999999998E-2</v>
      </c>
      <c r="D115">
        <v>231</v>
      </c>
      <c r="E115" t="s">
        <v>128</v>
      </c>
      <c r="F115">
        <v>230</v>
      </c>
      <c r="G115" s="1">
        <v>45156</v>
      </c>
      <c r="H115" s="6">
        <f t="shared" si="2"/>
        <v>1.854166666666675</v>
      </c>
      <c r="I115" s="7">
        <f t="shared" si="3"/>
        <v>1.854166666666675</v>
      </c>
    </row>
    <row r="116" spans="1:9" x14ac:dyDescent="0.2">
      <c r="A116" t="s">
        <v>129</v>
      </c>
      <c r="B116">
        <v>3.4575</v>
      </c>
      <c r="C116">
        <v>4.8425000000000003E-2</v>
      </c>
      <c r="D116">
        <v>231</v>
      </c>
      <c r="E116" t="s">
        <v>129</v>
      </c>
      <c r="F116">
        <v>230</v>
      </c>
      <c r="G116" s="1">
        <v>45156</v>
      </c>
      <c r="H116" s="6">
        <f t="shared" si="2"/>
        <v>1.8645833333333417</v>
      </c>
      <c r="I116" s="7">
        <f t="shared" si="3"/>
        <v>1.8645833333333417</v>
      </c>
    </row>
    <row r="117" spans="1:9" x14ac:dyDescent="0.2">
      <c r="A117" t="s">
        <v>130</v>
      </c>
      <c r="B117">
        <v>3.4630000000000001</v>
      </c>
      <c r="C117">
        <v>4.8515000000000003E-2</v>
      </c>
      <c r="D117">
        <v>231</v>
      </c>
      <c r="E117" t="s">
        <v>130</v>
      </c>
      <c r="F117">
        <v>230</v>
      </c>
      <c r="G117" s="1">
        <v>45156</v>
      </c>
      <c r="H117" s="6">
        <f t="shared" si="2"/>
        <v>1.8750000000000084</v>
      </c>
      <c r="I117" s="7">
        <f t="shared" si="3"/>
        <v>1.8750000000000084</v>
      </c>
    </row>
    <row r="118" spans="1:9" x14ac:dyDescent="0.2">
      <c r="A118" t="s">
        <v>131</v>
      </c>
      <c r="B118">
        <v>3.5135000000000001</v>
      </c>
      <c r="C118">
        <v>4.9215000000000002E-2</v>
      </c>
      <c r="D118">
        <v>231</v>
      </c>
      <c r="E118" t="s">
        <v>131</v>
      </c>
      <c r="F118">
        <v>230</v>
      </c>
      <c r="G118" s="1">
        <v>45156</v>
      </c>
      <c r="H118" s="6">
        <f t="shared" si="2"/>
        <v>1.8854166666666752</v>
      </c>
      <c r="I118" s="7">
        <f t="shared" si="3"/>
        <v>1.8854166666666752</v>
      </c>
    </row>
    <row r="119" spans="1:9" x14ac:dyDescent="0.2">
      <c r="A119" t="s">
        <v>132</v>
      </c>
      <c r="B119">
        <v>3.5095000000000001</v>
      </c>
      <c r="C119">
        <v>4.9160000000000002E-2</v>
      </c>
      <c r="D119">
        <v>231</v>
      </c>
      <c r="E119" t="s">
        <v>132</v>
      </c>
      <c r="F119">
        <v>230</v>
      </c>
      <c r="G119" s="1">
        <v>45156</v>
      </c>
      <c r="H119" s="6">
        <f t="shared" si="2"/>
        <v>1.8958333333333419</v>
      </c>
      <c r="I119" s="7">
        <f t="shared" si="3"/>
        <v>1.8958333333333419</v>
      </c>
    </row>
    <row r="120" spans="1:9" x14ac:dyDescent="0.2">
      <c r="A120" t="s">
        <v>133</v>
      </c>
      <c r="B120">
        <v>3.5505</v>
      </c>
      <c r="C120">
        <v>4.9704999999999999E-2</v>
      </c>
      <c r="D120">
        <v>231</v>
      </c>
      <c r="E120" t="s">
        <v>133</v>
      </c>
      <c r="F120">
        <v>230</v>
      </c>
      <c r="G120" s="1">
        <v>45156</v>
      </c>
      <c r="H120" s="6">
        <f t="shared" si="2"/>
        <v>1.9062500000000087</v>
      </c>
      <c r="I120" s="7">
        <f t="shared" si="3"/>
        <v>1.9062500000000087</v>
      </c>
    </row>
    <row r="121" spans="1:9" x14ac:dyDescent="0.2">
      <c r="A121" t="s">
        <v>134</v>
      </c>
      <c r="B121">
        <v>3.5945</v>
      </c>
      <c r="C121">
        <v>5.0340000000000003E-2</v>
      </c>
      <c r="D121">
        <v>231</v>
      </c>
      <c r="E121" t="s">
        <v>134</v>
      </c>
      <c r="F121">
        <v>230</v>
      </c>
      <c r="G121" s="1">
        <v>45156</v>
      </c>
      <c r="H121" s="6">
        <f t="shared" si="2"/>
        <v>1.9166666666666754</v>
      </c>
      <c r="I121" s="7">
        <f t="shared" si="3"/>
        <v>1.9166666666666754</v>
      </c>
    </row>
    <row r="122" spans="1:9" x14ac:dyDescent="0.2">
      <c r="A122" t="s">
        <v>135</v>
      </c>
      <c r="B122">
        <v>3.6484999999999999</v>
      </c>
      <c r="C122">
        <v>5.1115000000000001E-2</v>
      </c>
      <c r="D122">
        <v>231</v>
      </c>
      <c r="E122" t="s">
        <v>135</v>
      </c>
      <c r="F122">
        <v>230</v>
      </c>
      <c r="G122" s="1">
        <v>45156</v>
      </c>
      <c r="H122" s="6">
        <f t="shared" si="2"/>
        <v>1.9270833333333421</v>
      </c>
      <c r="I122" s="7">
        <f t="shared" si="3"/>
        <v>1.9270833333333421</v>
      </c>
    </row>
    <row r="123" spans="1:9" x14ac:dyDescent="0.2">
      <c r="A123" t="s">
        <v>136</v>
      </c>
      <c r="B123">
        <v>3.6404999999999998</v>
      </c>
      <c r="C123">
        <v>5.0979999999999998E-2</v>
      </c>
      <c r="D123">
        <v>231</v>
      </c>
      <c r="E123" t="s">
        <v>136</v>
      </c>
      <c r="F123">
        <v>230</v>
      </c>
      <c r="G123" s="1">
        <v>45156</v>
      </c>
      <c r="H123" s="6">
        <f t="shared" si="2"/>
        <v>1.9375000000000089</v>
      </c>
      <c r="I123" s="7">
        <f t="shared" si="3"/>
        <v>1.9375000000000089</v>
      </c>
    </row>
    <row r="124" spans="1:9" x14ac:dyDescent="0.2">
      <c r="A124" t="s">
        <v>137</v>
      </c>
      <c r="B124">
        <v>3.7244999999999999</v>
      </c>
      <c r="C124">
        <v>5.2170000000000001E-2</v>
      </c>
      <c r="D124">
        <v>231</v>
      </c>
      <c r="E124" t="s">
        <v>137</v>
      </c>
      <c r="F124">
        <v>230</v>
      </c>
      <c r="G124" s="1">
        <v>45156</v>
      </c>
      <c r="H124" s="6">
        <f t="shared" si="2"/>
        <v>1.9479166666666756</v>
      </c>
      <c r="I124" s="7">
        <f t="shared" si="3"/>
        <v>1.9479166666666756</v>
      </c>
    </row>
    <row r="125" spans="1:9" x14ac:dyDescent="0.2">
      <c r="A125" t="s">
        <v>138</v>
      </c>
      <c r="B125">
        <v>3.7585000000000002</v>
      </c>
      <c r="C125" s="2" t="s">
        <v>139</v>
      </c>
      <c r="D125">
        <v>231</v>
      </c>
      <c r="E125" t="s">
        <v>138</v>
      </c>
      <c r="F125">
        <v>230</v>
      </c>
      <c r="G125" s="1">
        <v>45156</v>
      </c>
      <c r="H125" s="6">
        <f t="shared" si="2"/>
        <v>1.9583333333333424</v>
      </c>
      <c r="I125" s="7">
        <f t="shared" si="3"/>
        <v>1.9583333333333424</v>
      </c>
    </row>
    <row r="126" spans="1:9" x14ac:dyDescent="0.2">
      <c r="A126" t="s">
        <v>140</v>
      </c>
      <c r="B126">
        <v>3.8224999999999998</v>
      </c>
      <c r="C126" s="2" t="s">
        <v>141</v>
      </c>
      <c r="D126">
        <v>231</v>
      </c>
      <c r="E126" t="s">
        <v>140</v>
      </c>
      <c r="F126">
        <v>230</v>
      </c>
      <c r="G126" s="1">
        <v>45156</v>
      </c>
      <c r="H126" s="6">
        <f t="shared" si="2"/>
        <v>1.9687500000000091</v>
      </c>
      <c r="I126" s="7">
        <f t="shared" si="3"/>
        <v>1.9687500000000091</v>
      </c>
    </row>
    <row r="127" spans="1:9" x14ac:dyDescent="0.2">
      <c r="A127" t="s">
        <v>142</v>
      </c>
      <c r="B127" s="2" t="s">
        <v>143</v>
      </c>
      <c r="C127">
        <v>5.4199999999999998E-2</v>
      </c>
      <c r="D127">
        <v>231</v>
      </c>
      <c r="E127" t="s">
        <v>142</v>
      </c>
      <c r="F127">
        <v>230</v>
      </c>
      <c r="G127" s="1">
        <v>45156</v>
      </c>
      <c r="H127" s="6">
        <f t="shared" si="2"/>
        <v>1.9791666666666758</v>
      </c>
      <c r="I127" s="7">
        <f t="shared" si="3"/>
        <v>1.9791666666666758</v>
      </c>
    </row>
    <row r="128" spans="1:9" x14ac:dyDescent="0.2">
      <c r="A128" t="s">
        <v>144</v>
      </c>
      <c r="B128">
        <v>3.9085000000000001</v>
      </c>
      <c r="C128">
        <v>5.4734999999999999E-2</v>
      </c>
      <c r="D128">
        <v>231</v>
      </c>
      <c r="E128" t="s">
        <v>144</v>
      </c>
      <c r="F128">
        <v>230</v>
      </c>
      <c r="G128" s="1">
        <v>45156</v>
      </c>
      <c r="H128" s="6">
        <f t="shared" si="2"/>
        <v>1.9895833333333426</v>
      </c>
      <c r="I128" s="7">
        <f t="shared" si="3"/>
        <v>1.9895833333333426</v>
      </c>
    </row>
    <row r="129" spans="1:9" x14ac:dyDescent="0.2">
      <c r="A129" t="s">
        <v>145</v>
      </c>
      <c r="B129">
        <v>3.9689999999999999</v>
      </c>
      <c r="C129">
        <v>5.5599999999999997E-2</v>
      </c>
      <c r="D129">
        <v>231</v>
      </c>
      <c r="E129" t="s">
        <v>145</v>
      </c>
      <c r="F129">
        <v>231</v>
      </c>
      <c r="G129" s="1">
        <v>45157</v>
      </c>
      <c r="H129" s="6">
        <f t="shared" si="2"/>
        <v>2.0000000000000093</v>
      </c>
      <c r="I129" s="7">
        <f t="shared" si="3"/>
        <v>2.0000000000000093</v>
      </c>
    </row>
    <row r="130" spans="1:9" x14ac:dyDescent="0.2">
      <c r="A130" t="s">
        <v>146</v>
      </c>
      <c r="B130">
        <v>3.9965000000000002</v>
      </c>
      <c r="C130">
        <v>5.5980000000000002E-2</v>
      </c>
      <c r="D130">
        <v>231</v>
      </c>
      <c r="E130" t="s">
        <v>146</v>
      </c>
      <c r="F130">
        <v>231</v>
      </c>
      <c r="G130" s="1">
        <v>45157</v>
      </c>
      <c r="H130" s="6">
        <f t="shared" si="2"/>
        <v>2.0104166666666758</v>
      </c>
      <c r="I130" s="7">
        <f t="shared" si="3"/>
        <v>2.0104166666666758</v>
      </c>
    </row>
    <row r="131" spans="1:9" x14ac:dyDescent="0.2">
      <c r="A131" t="s">
        <v>147</v>
      </c>
      <c r="B131">
        <v>4.032</v>
      </c>
      <c r="C131">
        <v>5.6489999999999999E-2</v>
      </c>
      <c r="D131">
        <v>231</v>
      </c>
      <c r="E131" t="s">
        <v>147</v>
      </c>
      <c r="F131">
        <v>231</v>
      </c>
      <c r="G131" s="1">
        <v>45157</v>
      </c>
      <c r="H131" s="6">
        <f t="shared" ref="H131:H194" si="4">H130+$K$1</f>
        <v>2.0208333333333424</v>
      </c>
      <c r="I131" s="7">
        <f t="shared" ref="I131:I194" si="5">I130+$K$1</f>
        <v>2.0208333333333424</v>
      </c>
    </row>
    <row r="132" spans="1:9" x14ac:dyDescent="0.2">
      <c r="A132" t="s">
        <v>148</v>
      </c>
      <c r="B132">
        <v>4.0570000000000004</v>
      </c>
      <c r="C132">
        <v>5.6814999999999997E-2</v>
      </c>
      <c r="D132">
        <v>231</v>
      </c>
      <c r="E132" t="s">
        <v>148</v>
      </c>
      <c r="F132">
        <v>231</v>
      </c>
      <c r="G132" s="1">
        <v>45157</v>
      </c>
      <c r="H132" s="6">
        <f t="shared" si="4"/>
        <v>2.0312500000000089</v>
      </c>
      <c r="I132" s="7">
        <f t="shared" si="5"/>
        <v>2.0312500000000089</v>
      </c>
    </row>
    <row r="133" spans="1:9" x14ac:dyDescent="0.2">
      <c r="A133" t="s">
        <v>149</v>
      </c>
      <c r="B133">
        <v>4.0964999999999998</v>
      </c>
      <c r="C133">
        <v>5.7375000000000002E-2</v>
      </c>
      <c r="D133">
        <v>231</v>
      </c>
      <c r="E133" t="s">
        <v>149</v>
      </c>
      <c r="F133">
        <v>231</v>
      </c>
      <c r="G133" s="1">
        <v>45157</v>
      </c>
      <c r="H133" s="6">
        <f t="shared" si="4"/>
        <v>2.0416666666666754</v>
      </c>
      <c r="I133" s="7">
        <f t="shared" si="5"/>
        <v>2.0416666666666754</v>
      </c>
    </row>
    <row r="134" spans="1:9" x14ac:dyDescent="0.2">
      <c r="A134" t="s">
        <v>150</v>
      </c>
      <c r="B134">
        <v>4.12</v>
      </c>
      <c r="C134">
        <v>5.772E-2</v>
      </c>
      <c r="D134">
        <v>231</v>
      </c>
      <c r="E134" t="s">
        <v>150</v>
      </c>
      <c r="F134">
        <v>231</v>
      </c>
      <c r="G134" s="1">
        <v>45157</v>
      </c>
      <c r="H134" s="6">
        <f t="shared" si="4"/>
        <v>2.0520833333333419</v>
      </c>
      <c r="I134" s="7">
        <f t="shared" si="5"/>
        <v>2.0520833333333419</v>
      </c>
    </row>
    <row r="135" spans="1:9" x14ac:dyDescent="0.2">
      <c r="A135" t="s">
        <v>151</v>
      </c>
      <c r="B135">
        <v>4.1280000000000001</v>
      </c>
      <c r="C135">
        <v>5.781E-2</v>
      </c>
      <c r="D135">
        <v>231</v>
      </c>
      <c r="E135" t="s">
        <v>151</v>
      </c>
      <c r="F135">
        <v>231</v>
      </c>
      <c r="G135" s="1">
        <v>45157</v>
      </c>
      <c r="H135" s="6">
        <f t="shared" si="4"/>
        <v>2.0625000000000084</v>
      </c>
      <c r="I135" s="7">
        <f t="shared" si="5"/>
        <v>2.0625000000000084</v>
      </c>
    </row>
    <row r="136" spans="1:9" x14ac:dyDescent="0.2">
      <c r="A136" t="s">
        <v>152</v>
      </c>
      <c r="B136">
        <v>4.1239999999999997</v>
      </c>
      <c r="C136">
        <v>5.7759999999999999E-2</v>
      </c>
      <c r="D136">
        <v>231</v>
      </c>
      <c r="E136" t="s">
        <v>152</v>
      </c>
      <c r="F136">
        <v>231</v>
      </c>
      <c r="G136" s="1">
        <v>45157</v>
      </c>
      <c r="H136" s="6">
        <f t="shared" si="4"/>
        <v>2.072916666666675</v>
      </c>
      <c r="I136" s="7">
        <f t="shared" si="5"/>
        <v>2.072916666666675</v>
      </c>
    </row>
    <row r="137" spans="1:9" x14ac:dyDescent="0.2">
      <c r="A137" t="s">
        <v>153</v>
      </c>
      <c r="B137">
        <v>4.1414999999999997</v>
      </c>
      <c r="C137">
        <v>5.8005000000000001E-2</v>
      </c>
      <c r="D137">
        <v>231</v>
      </c>
      <c r="E137" t="s">
        <v>153</v>
      </c>
      <c r="F137">
        <v>231</v>
      </c>
      <c r="G137" s="1">
        <v>45157</v>
      </c>
      <c r="H137" s="6">
        <f t="shared" si="4"/>
        <v>2.0833333333333415</v>
      </c>
      <c r="I137" s="7">
        <f t="shared" si="5"/>
        <v>2.0833333333333415</v>
      </c>
    </row>
    <row r="138" spans="1:9" x14ac:dyDescent="0.2">
      <c r="A138" t="s">
        <v>154</v>
      </c>
      <c r="B138">
        <v>4.1435000000000004</v>
      </c>
      <c r="C138">
        <v>5.8035000000000003E-2</v>
      </c>
      <c r="D138">
        <v>231</v>
      </c>
      <c r="E138" t="s">
        <v>154</v>
      </c>
      <c r="F138">
        <v>231</v>
      </c>
      <c r="G138" s="1">
        <v>45157</v>
      </c>
      <c r="H138" s="6">
        <f t="shared" si="4"/>
        <v>2.093750000000008</v>
      </c>
      <c r="I138" s="7">
        <f t="shared" si="5"/>
        <v>2.093750000000008</v>
      </c>
    </row>
    <row r="139" spans="1:9" x14ac:dyDescent="0.2">
      <c r="A139" t="s">
        <v>155</v>
      </c>
      <c r="B139">
        <v>4.1515000000000004</v>
      </c>
      <c r="C139">
        <v>5.8154999999999998E-2</v>
      </c>
      <c r="D139">
        <v>231</v>
      </c>
      <c r="E139" t="s">
        <v>155</v>
      </c>
      <c r="F139">
        <v>231</v>
      </c>
      <c r="G139" s="1">
        <v>45157</v>
      </c>
      <c r="H139" s="6">
        <f t="shared" si="4"/>
        <v>2.1041666666666745</v>
      </c>
      <c r="I139" s="7">
        <f t="shared" si="5"/>
        <v>2.1041666666666745</v>
      </c>
    </row>
    <row r="140" spans="1:9" x14ac:dyDescent="0.2">
      <c r="A140" t="s">
        <v>156</v>
      </c>
      <c r="B140">
        <v>4.141</v>
      </c>
      <c r="C140">
        <v>5.8005000000000001E-2</v>
      </c>
      <c r="D140">
        <v>231</v>
      </c>
      <c r="E140" t="s">
        <v>156</v>
      </c>
      <c r="F140">
        <v>231</v>
      </c>
      <c r="G140" s="1">
        <v>45157</v>
      </c>
      <c r="H140" s="6">
        <f t="shared" si="4"/>
        <v>2.114583333333341</v>
      </c>
      <c r="I140" s="7">
        <f t="shared" si="5"/>
        <v>2.114583333333341</v>
      </c>
    </row>
    <row r="141" spans="1:9" x14ac:dyDescent="0.2">
      <c r="A141" t="s">
        <v>157</v>
      </c>
      <c r="B141">
        <v>4.1745000000000001</v>
      </c>
      <c r="C141">
        <v>5.8479999999999997E-2</v>
      </c>
      <c r="D141">
        <v>231</v>
      </c>
      <c r="E141" t="s">
        <v>157</v>
      </c>
      <c r="F141">
        <v>231</v>
      </c>
      <c r="G141" s="1">
        <v>45157</v>
      </c>
      <c r="H141" s="6">
        <f t="shared" si="4"/>
        <v>2.1250000000000075</v>
      </c>
      <c r="I141" s="7">
        <f t="shared" si="5"/>
        <v>2.1250000000000075</v>
      </c>
    </row>
    <row r="142" spans="1:9" x14ac:dyDescent="0.2">
      <c r="A142" t="s">
        <v>158</v>
      </c>
      <c r="B142">
        <v>4.1745000000000001</v>
      </c>
      <c r="C142">
        <v>5.8485000000000002E-2</v>
      </c>
      <c r="D142">
        <v>231</v>
      </c>
      <c r="E142" t="s">
        <v>158</v>
      </c>
      <c r="F142">
        <v>231</v>
      </c>
      <c r="G142" s="1">
        <v>45157</v>
      </c>
      <c r="H142" s="6">
        <f t="shared" si="4"/>
        <v>2.1354166666666741</v>
      </c>
      <c r="I142" s="7">
        <f t="shared" si="5"/>
        <v>2.1354166666666741</v>
      </c>
    </row>
    <row r="143" spans="1:9" x14ac:dyDescent="0.2">
      <c r="A143" t="s">
        <v>159</v>
      </c>
      <c r="B143">
        <v>4.1505000000000001</v>
      </c>
      <c r="C143">
        <v>5.8119999999999998E-2</v>
      </c>
      <c r="D143">
        <v>231</v>
      </c>
      <c r="E143" t="s">
        <v>159</v>
      </c>
      <c r="F143">
        <v>231</v>
      </c>
      <c r="G143" s="1">
        <v>45157</v>
      </c>
      <c r="H143" s="6">
        <f t="shared" si="4"/>
        <v>2.1458333333333406</v>
      </c>
      <c r="I143" s="7">
        <f t="shared" si="5"/>
        <v>2.1458333333333406</v>
      </c>
    </row>
    <row r="144" spans="1:9" x14ac:dyDescent="0.2">
      <c r="A144" t="s">
        <v>160</v>
      </c>
      <c r="B144">
        <v>4.1619999999999999</v>
      </c>
      <c r="C144" s="2" t="s">
        <v>161</v>
      </c>
      <c r="D144">
        <v>231</v>
      </c>
      <c r="E144" t="s">
        <v>160</v>
      </c>
      <c r="F144">
        <v>231</v>
      </c>
      <c r="G144" s="1">
        <v>45157</v>
      </c>
      <c r="H144" s="6">
        <f t="shared" si="4"/>
        <v>2.1562500000000071</v>
      </c>
      <c r="I144" s="7">
        <f t="shared" si="5"/>
        <v>2.1562500000000071</v>
      </c>
    </row>
    <row r="145" spans="1:9" x14ac:dyDescent="0.2">
      <c r="A145" t="s">
        <v>162</v>
      </c>
      <c r="B145">
        <v>4.1654999999999998</v>
      </c>
      <c r="C145">
        <v>5.8340000000000003E-2</v>
      </c>
      <c r="D145">
        <v>231</v>
      </c>
      <c r="E145" t="s">
        <v>162</v>
      </c>
      <c r="F145">
        <v>231</v>
      </c>
      <c r="G145" s="1">
        <v>45157</v>
      </c>
      <c r="H145" s="6">
        <f t="shared" si="4"/>
        <v>2.1666666666666736</v>
      </c>
      <c r="I145" s="7">
        <f t="shared" si="5"/>
        <v>2.1666666666666736</v>
      </c>
    </row>
    <row r="146" spans="1:9" x14ac:dyDescent="0.2">
      <c r="A146" t="s">
        <v>163</v>
      </c>
      <c r="B146">
        <v>4.1890000000000001</v>
      </c>
      <c r="C146">
        <v>5.8659999999999997E-2</v>
      </c>
      <c r="D146">
        <v>231</v>
      </c>
      <c r="E146" t="s">
        <v>163</v>
      </c>
      <c r="F146">
        <v>231</v>
      </c>
      <c r="G146" s="1">
        <v>45157</v>
      </c>
      <c r="H146" s="6">
        <f t="shared" si="4"/>
        <v>2.1770833333333401</v>
      </c>
      <c r="I146" s="7">
        <f t="shared" si="5"/>
        <v>2.1770833333333401</v>
      </c>
    </row>
    <row r="147" spans="1:9" x14ac:dyDescent="0.2">
      <c r="A147" t="s">
        <v>164</v>
      </c>
      <c r="B147">
        <v>4.1355000000000004</v>
      </c>
      <c r="C147">
        <v>5.7924999999999997E-2</v>
      </c>
      <c r="D147">
        <v>231</v>
      </c>
      <c r="E147" t="s">
        <v>164</v>
      </c>
      <c r="F147">
        <v>231</v>
      </c>
      <c r="G147" s="1">
        <v>45157</v>
      </c>
      <c r="H147" s="6">
        <f t="shared" si="4"/>
        <v>2.1875000000000067</v>
      </c>
      <c r="I147" s="7">
        <f t="shared" si="5"/>
        <v>2.1875000000000067</v>
      </c>
    </row>
    <row r="148" spans="1:9" x14ac:dyDescent="0.2">
      <c r="A148" t="s">
        <v>165</v>
      </c>
      <c r="B148">
        <v>4.1509999999999998</v>
      </c>
      <c r="C148">
        <v>5.815E-2</v>
      </c>
      <c r="D148">
        <v>231</v>
      </c>
      <c r="E148" t="s">
        <v>165</v>
      </c>
      <c r="F148">
        <v>231</v>
      </c>
      <c r="G148" s="1">
        <v>45157</v>
      </c>
      <c r="H148" s="6">
        <f t="shared" si="4"/>
        <v>2.1979166666666732</v>
      </c>
      <c r="I148" s="7">
        <f t="shared" si="5"/>
        <v>2.1979166666666732</v>
      </c>
    </row>
    <row r="149" spans="1:9" x14ac:dyDescent="0.2">
      <c r="A149" t="s">
        <v>166</v>
      </c>
      <c r="B149">
        <v>4.1355000000000004</v>
      </c>
      <c r="C149">
        <v>5.7924999999999997E-2</v>
      </c>
      <c r="D149">
        <v>231</v>
      </c>
      <c r="E149" t="s">
        <v>166</v>
      </c>
      <c r="F149">
        <v>231</v>
      </c>
      <c r="G149" s="1">
        <v>45157</v>
      </c>
      <c r="H149" s="6">
        <f t="shared" si="4"/>
        <v>2.2083333333333397</v>
      </c>
      <c r="I149" s="7">
        <f t="shared" si="5"/>
        <v>2.2083333333333397</v>
      </c>
    </row>
    <row r="150" spans="1:9" x14ac:dyDescent="0.2">
      <c r="A150" t="s">
        <v>167</v>
      </c>
      <c r="B150">
        <v>4.1675000000000004</v>
      </c>
      <c r="C150">
        <v>5.8360000000000002E-2</v>
      </c>
      <c r="D150">
        <v>231</v>
      </c>
      <c r="E150" t="s">
        <v>167</v>
      </c>
      <c r="F150">
        <v>231</v>
      </c>
      <c r="G150" s="1">
        <v>45157</v>
      </c>
      <c r="H150" s="6">
        <f t="shared" si="4"/>
        <v>2.2187500000000062</v>
      </c>
      <c r="I150" s="7">
        <f t="shared" si="5"/>
        <v>2.2187500000000062</v>
      </c>
    </row>
    <row r="151" spans="1:9" x14ac:dyDescent="0.2">
      <c r="A151" t="s">
        <v>168</v>
      </c>
      <c r="B151">
        <v>4.1580000000000004</v>
      </c>
      <c r="C151">
        <v>5.824E-2</v>
      </c>
      <c r="D151">
        <v>231</v>
      </c>
      <c r="E151" t="s">
        <v>168</v>
      </c>
      <c r="F151">
        <v>231</v>
      </c>
      <c r="G151" s="1">
        <v>45157</v>
      </c>
      <c r="H151" s="6">
        <f t="shared" si="4"/>
        <v>2.2291666666666727</v>
      </c>
      <c r="I151" s="7">
        <f t="shared" si="5"/>
        <v>2.2291666666666727</v>
      </c>
    </row>
    <row r="152" spans="1:9" x14ac:dyDescent="0.2">
      <c r="A152" t="s">
        <v>169</v>
      </c>
      <c r="B152">
        <v>4.1630000000000003</v>
      </c>
      <c r="C152">
        <v>5.833E-2</v>
      </c>
      <c r="D152">
        <v>231</v>
      </c>
      <c r="E152" t="s">
        <v>169</v>
      </c>
      <c r="F152">
        <v>231</v>
      </c>
      <c r="G152" s="1">
        <v>45157</v>
      </c>
      <c r="H152" s="6">
        <f t="shared" si="4"/>
        <v>2.2395833333333393</v>
      </c>
      <c r="I152" s="7">
        <f t="shared" si="5"/>
        <v>2.2395833333333393</v>
      </c>
    </row>
    <row r="153" spans="1:9" x14ac:dyDescent="0.2">
      <c r="A153" t="s">
        <v>170</v>
      </c>
      <c r="B153">
        <v>4.1559999999999997</v>
      </c>
      <c r="C153">
        <v>5.8215000000000003E-2</v>
      </c>
      <c r="D153">
        <v>231</v>
      </c>
      <c r="E153" t="s">
        <v>170</v>
      </c>
      <c r="F153">
        <v>231</v>
      </c>
      <c r="G153" s="1">
        <v>45157</v>
      </c>
      <c r="H153" s="6">
        <f t="shared" si="4"/>
        <v>2.2500000000000058</v>
      </c>
      <c r="I153" s="7">
        <f t="shared" si="5"/>
        <v>2.2500000000000058</v>
      </c>
    </row>
    <row r="154" spans="1:9" x14ac:dyDescent="0.2">
      <c r="A154" t="s">
        <v>171</v>
      </c>
      <c r="B154">
        <v>4.1535000000000002</v>
      </c>
      <c r="C154">
        <v>5.8169999999999999E-2</v>
      </c>
      <c r="D154">
        <v>231</v>
      </c>
      <c r="E154" t="s">
        <v>171</v>
      </c>
      <c r="F154">
        <v>231</v>
      </c>
      <c r="G154" s="1">
        <v>45157</v>
      </c>
      <c r="H154" s="6">
        <f t="shared" si="4"/>
        <v>2.2604166666666723</v>
      </c>
      <c r="I154" s="7">
        <f t="shared" si="5"/>
        <v>2.2604166666666723</v>
      </c>
    </row>
    <row r="155" spans="1:9" x14ac:dyDescent="0.2">
      <c r="A155" t="s">
        <v>172</v>
      </c>
      <c r="B155">
        <v>4.1295000000000002</v>
      </c>
      <c r="C155">
        <v>5.7840000000000003E-2</v>
      </c>
      <c r="D155">
        <v>231</v>
      </c>
      <c r="E155" t="s">
        <v>172</v>
      </c>
      <c r="F155">
        <v>231</v>
      </c>
      <c r="G155" s="1">
        <v>45157</v>
      </c>
      <c r="H155" s="6">
        <f t="shared" si="4"/>
        <v>2.2708333333333388</v>
      </c>
      <c r="I155" s="7">
        <f t="shared" si="5"/>
        <v>2.2708333333333388</v>
      </c>
    </row>
    <row r="156" spans="1:9" x14ac:dyDescent="0.2">
      <c r="A156" t="s">
        <v>173</v>
      </c>
      <c r="B156">
        <v>4.1165000000000003</v>
      </c>
      <c r="C156">
        <v>5.7660000000000003E-2</v>
      </c>
      <c r="D156">
        <v>231</v>
      </c>
      <c r="E156" t="s">
        <v>173</v>
      </c>
      <c r="F156">
        <v>231</v>
      </c>
      <c r="G156" s="1">
        <v>45157</v>
      </c>
      <c r="H156" s="6">
        <f t="shared" si="4"/>
        <v>2.2812500000000053</v>
      </c>
      <c r="I156" s="7">
        <f t="shared" si="5"/>
        <v>2.2812500000000053</v>
      </c>
    </row>
    <row r="157" spans="1:9" x14ac:dyDescent="0.2">
      <c r="A157" t="s">
        <v>174</v>
      </c>
      <c r="B157">
        <v>4.1224999999999996</v>
      </c>
      <c r="C157">
        <v>5.7750000000000003E-2</v>
      </c>
      <c r="D157">
        <v>231</v>
      </c>
      <c r="E157" t="s">
        <v>174</v>
      </c>
      <c r="F157">
        <v>231</v>
      </c>
      <c r="G157" s="1">
        <v>45157</v>
      </c>
      <c r="H157" s="6">
        <f t="shared" si="4"/>
        <v>2.2916666666666718</v>
      </c>
      <c r="I157" s="7">
        <f t="shared" si="5"/>
        <v>2.2916666666666718</v>
      </c>
    </row>
    <row r="158" spans="1:9" x14ac:dyDescent="0.2">
      <c r="A158" t="s">
        <v>175</v>
      </c>
      <c r="B158">
        <v>4.1079999999999997</v>
      </c>
      <c r="C158">
        <v>5.7555000000000002E-2</v>
      </c>
      <c r="D158">
        <v>231</v>
      </c>
      <c r="E158" t="s">
        <v>175</v>
      </c>
      <c r="F158">
        <v>231</v>
      </c>
      <c r="G158" s="1">
        <v>45157</v>
      </c>
      <c r="H158" s="6">
        <f t="shared" si="4"/>
        <v>2.3020833333333384</v>
      </c>
      <c r="I158" s="7">
        <f t="shared" si="5"/>
        <v>2.3020833333333384</v>
      </c>
    </row>
    <row r="159" spans="1:9" x14ac:dyDescent="0.2">
      <c r="A159" t="s">
        <v>176</v>
      </c>
      <c r="B159" s="2" t="s">
        <v>177</v>
      </c>
      <c r="C159">
        <v>5.7180000000000002E-2</v>
      </c>
      <c r="D159">
        <v>231</v>
      </c>
      <c r="E159" t="s">
        <v>176</v>
      </c>
      <c r="F159">
        <v>231</v>
      </c>
      <c r="G159" s="1">
        <v>45157</v>
      </c>
      <c r="H159" s="6">
        <f t="shared" si="4"/>
        <v>2.3125000000000049</v>
      </c>
      <c r="I159" s="7">
        <f t="shared" si="5"/>
        <v>2.3125000000000049</v>
      </c>
    </row>
    <row r="160" spans="1:9" x14ac:dyDescent="0.2">
      <c r="A160" t="s">
        <v>178</v>
      </c>
      <c r="B160">
        <v>4.0979999999999999</v>
      </c>
      <c r="C160">
        <v>5.7395000000000002E-2</v>
      </c>
      <c r="D160">
        <v>231</v>
      </c>
      <c r="E160" t="s">
        <v>178</v>
      </c>
      <c r="F160">
        <v>231</v>
      </c>
      <c r="G160" s="1">
        <v>45157</v>
      </c>
      <c r="H160" s="6">
        <f t="shared" si="4"/>
        <v>2.3229166666666714</v>
      </c>
      <c r="I160" s="7">
        <f t="shared" si="5"/>
        <v>2.3229166666666714</v>
      </c>
    </row>
    <row r="161" spans="1:9" x14ac:dyDescent="0.2">
      <c r="A161" t="s">
        <v>179</v>
      </c>
      <c r="B161">
        <v>4.0754999999999999</v>
      </c>
      <c r="C161">
        <v>5.7084999999999997E-2</v>
      </c>
      <c r="D161">
        <v>231</v>
      </c>
      <c r="E161" t="s">
        <v>179</v>
      </c>
      <c r="F161">
        <v>231</v>
      </c>
      <c r="G161" s="1">
        <v>45157</v>
      </c>
      <c r="H161" s="6">
        <f t="shared" si="4"/>
        <v>2.3333333333333379</v>
      </c>
      <c r="I161" s="7">
        <f t="shared" si="5"/>
        <v>2.3333333333333379</v>
      </c>
    </row>
    <row r="162" spans="1:9" x14ac:dyDescent="0.2">
      <c r="A162" t="s">
        <v>180</v>
      </c>
      <c r="B162">
        <v>4.0445000000000002</v>
      </c>
      <c r="C162">
        <v>5.6654999999999997E-2</v>
      </c>
      <c r="D162">
        <v>231</v>
      </c>
      <c r="E162" t="s">
        <v>180</v>
      </c>
      <c r="F162">
        <v>231</v>
      </c>
      <c r="G162" s="1">
        <v>45157</v>
      </c>
      <c r="H162" s="6">
        <f t="shared" si="4"/>
        <v>2.3437500000000044</v>
      </c>
      <c r="I162" s="7">
        <f t="shared" si="5"/>
        <v>2.3437500000000044</v>
      </c>
    </row>
    <row r="163" spans="1:9" x14ac:dyDescent="0.2">
      <c r="A163" t="s">
        <v>181</v>
      </c>
      <c r="B163">
        <v>4.0030000000000001</v>
      </c>
      <c r="C163">
        <v>5.6090000000000001E-2</v>
      </c>
      <c r="D163">
        <v>231</v>
      </c>
      <c r="E163" t="s">
        <v>181</v>
      </c>
      <c r="F163">
        <v>231</v>
      </c>
      <c r="G163" s="1">
        <v>45157</v>
      </c>
      <c r="H163" s="6">
        <f t="shared" si="4"/>
        <v>2.354166666666671</v>
      </c>
      <c r="I163" s="7">
        <f t="shared" si="5"/>
        <v>2.354166666666671</v>
      </c>
    </row>
    <row r="164" spans="1:9" x14ac:dyDescent="0.2">
      <c r="A164" t="s">
        <v>182</v>
      </c>
      <c r="B164">
        <v>3.9794999999999998</v>
      </c>
      <c r="C164">
        <v>5.5739999999999998E-2</v>
      </c>
      <c r="D164">
        <v>231</v>
      </c>
      <c r="E164" t="s">
        <v>182</v>
      </c>
      <c r="F164">
        <v>231</v>
      </c>
      <c r="G164" s="1">
        <v>45157</v>
      </c>
      <c r="H164" s="6">
        <f t="shared" si="4"/>
        <v>2.3645833333333375</v>
      </c>
      <c r="I164" s="7">
        <f t="shared" si="5"/>
        <v>2.3645833333333375</v>
      </c>
    </row>
    <row r="165" spans="1:9" x14ac:dyDescent="0.2">
      <c r="A165" t="s">
        <v>183</v>
      </c>
      <c r="B165">
        <v>3.94</v>
      </c>
      <c r="C165">
        <v>5.5175000000000002E-2</v>
      </c>
      <c r="D165">
        <v>231</v>
      </c>
      <c r="E165" t="s">
        <v>183</v>
      </c>
      <c r="F165">
        <v>231</v>
      </c>
      <c r="G165" s="1">
        <v>45157</v>
      </c>
      <c r="H165" s="6">
        <f t="shared" si="4"/>
        <v>2.375000000000004</v>
      </c>
      <c r="I165" s="7">
        <f t="shared" si="5"/>
        <v>2.375000000000004</v>
      </c>
    </row>
    <row r="166" spans="1:9" x14ac:dyDescent="0.2">
      <c r="A166" t="s">
        <v>184</v>
      </c>
      <c r="B166">
        <v>3.9024999999999999</v>
      </c>
      <c r="C166">
        <v>5.4679999999999999E-2</v>
      </c>
      <c r="D166">
        <v>231</v>
      </c>
      <c r="E166" t="s">
        <v>184</v>
      </c>
      <c r="F166">
        <v>231</v>
      </c>
      <c r="G166" s="1">
        <v>45157</v>
      </c>
      <c r="H166" s="6">
        <f t="shared" si="4"/>
        <v>2.3854166666666705</v>
      </c>
      <c r="I166" s="7">
        <f t="shared" si="5"/>
        <v>2.3854166666666705</v>
      </c>
    </row>
    <row r="167" spans="1:9" x14ac:dyDescent="0.2">
      <c r="A167" t="s">
        <v>185</v>
      </c>
      <c r="B167">
        <v>3.8279999999999998</v>
      </c>
      <c r="C167">
        <v>5.3620000000000001E-2</v>
      </c>
      <c r="D167">
        <v>231</v>
      </c>
      <c r="E167" t="s">
        <v>185</v>
      </c>
      <c r="F167">
        <v>231</v>
      </c>
      <c r="G167" s="1">
        <v>45157</v>
      </c>
      <c r="H167" s="6">
        <f t="shared" si="4"/>
        <v>2.395833333333337</v>
      </c>
      <c r="I167" s="7">
        <f t="shared" si="5"/>
        <v>2.395833333333337</v>
      </c>
    </row>
    <row r="168" spans="1:9" x14ac:dyDescent="0.2">
      <c r="A168" t="s">
        <v>186</v>
      </c>
      <c r="B168">
        <v>3.8014999999999999</v>
      </c>
      <c r="C168">
        <v>5.3245000000000001E-2</v>
      </c>
      <c r="D168">
        <v>231</v>
      </c>
      <c r="E168" t="s">
        <v>186</v>
      </c>
      <c r="F168">
        <v>231</v>
      </c>
      <c r="G168" s="1">
        <v>45157</v>
      </c>
      <c r="H168" s="6">
        <f t="shared" si="4"/>
        <v>2.4062500000000036</v>
      </c>
      <c r="I168" s="7">
        <f t="shared" si="5"/>
        <v>2.4062500000000036</v>
      </c>
    </row>
    <row r="169" spans="1:9" x14ac:dyDescent="0.2">
      <c r="A169" t="s">
        <v>187</v>
      </c>
      <c r="B169">
        <v>3.7444999999999999</v>
      </c>
      <c r="C169">
        <v>5.2470000000000003E-2</v>
      </c>
      <c r="D169">
        <v>231</v>
      </c>
      <c r="E169" t="s">
        <v>187</v>
      </c>
      <c r="F169">
        <v>231</v>
      </c>
      <c r="G169" s="1">
        <v>45157</v>
      </c>
      <c r="H169" s="6">
        <f t="shared" si="4"/>
        <v>2.4166666666666701</v>
      </c>
      <c r="I169" s="7">
        <f t="shared" si="5"/>
        <v>2.4166666666666701</v>
      </c>
    </row>
    <row r="170" spans="1:9" x14ac:dyDescent="0.2">
      <c r="A170" t="s">
        <v>188</v>
      </c>
      <c r="B170">
        <v>3.722</v>
      </c>
      <c r="C170">
        <v>5.2139999999999999E-2</v>
      </c>
      <c r="D170">
        <v>231</v>
      </c>
      <c r="E170" t="s">
        <v>188</v>
      </c>
      <c r="F170">
        <v>231</v>
      </c>
      <c r="G170" s="1">
        <v>45157</v>
      </c>
      <c r="H170" s="6">
        <f t="shared" si="4"/>
        <v>2.4270833333333366</v>
      </c>
      <c r="I170" s="7">
        <f t="shared" si="5"/>
        <v>2.4270833333333366</v>
      </c>
    </row>
    <row r="171" spans="1:9" x14ac:dyDescent="0.2">
      <c r="A171" t="s">
        <v>189</v>
      </c>
      <c r="B171">
        <v>3.6324999999999998</v>
      </c>
      <c r="C171">
        <v>5.0869999999999999E-2</v>
      </c>
      <c r="D171">
        <v>231</v>
      </c>
      <c r="E171" t="s">
        <v>189</v>
      </c>
      <c r="F171">
        <v>231</v>
      </c>
      <c r="G171" s="1">
        <v>45157</v>
      </c>
      <c r="H171" s="6">
        <f t="shared" si="4"/>
        <v>2.4375000000000031</v>
      </c>
      <c r="I171" s="7">
        <f t="shared" si="5"/>
        <v>2.4375000000000031</v>
      </c>
    </row>
    <row r="172" spans="1:9" x14ac:dyDescent="0.2">
      <c r="A172" t="s">
        <v>190</v>
      </c>
      <c r="B172">
        <v>3.609</v>
      </c>
      <c r="C172">
        <v>5.0545E-2</v>
      </c>
      <c r="D172">
        <v>231</v>
      </c>
      <c r="E172" t="s">
        <v>190</v>
      </c>
      <c r="F172">
        <v>231</v>
      </c>
      <c r="G172" s="1">
        <v>45157</v>
      </c>
      <c r="H172" s="6">
        <f t="shared" si="4"/>
        <v>2.4479166666666696</v>
      </c>
      <c r="I172" s="7">
        <f t="shared" si="5"/>
        <v>2.4479166666666696</v>
      </c>
    </row>
    <row r="173" spans="1:9" x14ac:dyDescent="0.2">
      <c r="A173" t="s">
        <v>191</v>
      </c>
      <c r="B173">
        <v>3.5840000000000001</v>
      </c>
      <c r="C173">
        <v>5.0205E-2</v>
      </c>
      <c r="D173">
        <v>231</v>
      </c>
      <c r="E173" t="s">
        <v>191</v>
      </c>
      <c r="F173">
        <v>231</v>
      </c>
      <c r="G173" s="1">
        <v>45157</v>
      </c>
      <c r="H173" s="6">
        <f t="shared" si="4"/>
        <v>2.4583333333333361</v>
      </c>
      <c r="I173" s="7">
        <f t="shared" si="5"/>
        <v>2.4583333333333361</v>
      </c>
    </row>
    <row r="174" spans="1:9" x14ac:dyDescent="0.2">
      <c r="A174" t="s">
        <v>192</v>
      </c>
      <c r="B174">
        <v>3.5310000000000001</v>
      </c>
      <c r="C174" s="2" t="s">
        <v>193</v>
      </c>
      <c r="D174">
        <v>231</v>
      </c>
      <c r="E174" t="s">
        <v>192</v>
      </c>
      <c r="F174">
        <v>231</v>
      </c>
      <c r="G174" s="1">
        <v>45157</v>
      </c>
      <c r="H174" s="6">
        <f t="shared" si="4"/>
        <v>2.4687500000000027</v>
      </c>
      <c r="I174" s="7">
        <f t="shared" si="5"/>
        <v>2.4687500000000027</v>
      </c>
    </row>
    <row r="175" spans="1:9" x14ac:dyDescent="0.2">
      <c r="A175" t="s">
        <v>194</v>
      </c>
      <c r="B175">
        <v>3.524</v>
      </c>
      <c r="C175">
        <v>4.9355000000000003E-2</v>
      </c>
      <c r="D175">
        <v>231</v>
      </c>
      <c r="E175" t="s">
        <v>194</v>
      </c>
      <c r="F175">
        <v>231</v>
      </c>
      <c r="G175" s="1">
        <v>45157</v>
      </c>
      <c r="H175" s="6">
        <f t="shared" si="4"/>
        <v>2.4791666666666692</v>
      </c>
      <c r="I175" s="7">
        <f t="shared" si="5"/>
        <v>2.4791666666666692</v>
      </c>
    </row>
    <row r="176" spans="1:9" x14ac:dyDescent="0.2">
      <c r="A176" t="s">
        <v>195</v>
      </c>
      <c r="B176">
        <v>3.4704999999999999</v>
      </c>
      <c r="C176">
        <v>4.861E-2</v>
      </c>
      <c r="D176">
        <v>231</v>
      </c>
      <c r="E176" t="s">
        <v>195</v>
      </c>
      <c r="F176">
        <v>231</v>
      </c>
      <c r="G176" s="1">
        <v>45157</v>
      </c>
      <c r="H176" s="6">
        <f t="shared" si="4"/>
        <v>2.4895833333333357</v>
      </c>
      <c r="I176" s="7">
        <f t="shared" si="5"/>
        <v>2.4895833333333357</v>
      </c>
    </row>
    <row r="177" spans="1:9" x14ac:dyDescent="0.2">
      <c r="A177" t="s">
        <v>196</v>
      </c>
      <c r="B177">
        <v>3.452</v>
      </c>
      <c r="C177">
        <v>4.8370000000000003E-2</v>
      </c>
      <c r="D177">
        <v>231</v>
      </c>
      <c r="E177" t="s">
        <v>196</v>
      </c>
      <c r="F177">
        <v>231</v>
      </c>
      <c r="G177" s="1">
        <v>45157</v>
      </c>
      <c r="H177" s="6">
        <f t="shared" si="4"/>
        <v>2.5000000000000022</v>
      </c>
      <c r="I177" s="7">
        <f t="shared" si="5"/>
        <v>2.5000000000000022</v>
      </c>
    </row>
    <row r="178" spans="1:9" x14ac:dyDescent="0.2">
      <c r="A178" t="s">
        <v>197</v>
      </c>
      <c r="B178">
        <v>3.431</v>
      </c>
      <c r="C178">
        <v>4.8064999999999997E-2</v>
      </c>
      <c r="D178">
        <v>231</v>
      </c>
      <c r="E178" t="s">
        <v>197</v>
      </c>
      <c r="F178">
        <v>231</v>
      </c>
      <c r="G178" s="1">
        <v>45157</v>
      </c>
      <c r="H178" s="6">
        <f t="shared" si="4"/>
        <v>2.5104166666666687</v>
      </c>
      <c r="I178" s="7">
        <f t="shared" si="5"/>
        <v>2.5104166666666687</v>
      </c>
    </row>
    <row r="179" spans="1:9" x14ac:dyDescent="0.2">
      <c r="A179" t="s">
        <v>198</v>
      </c>
      <c r="B179">
        <v>3.4289999999999998</v>
      </c>
      <c r="C179">
        <v>4.8039999999999999E-2</v>
      </c>
      <c r="D179">
        <v>231</v>
      </c>
      <c r="E179" t="s">
        <v>198</v>
      </c>
      <c r="F179">
        <v>231</v>
      </c>
      <c r="G179" s="1">
        <v>45157</v>
      </c>
      <c r="H179" s="6">
        <f t="shared" si="4"/>
        <v>2.5208333333333353</v>
      </c>
      <c r="I179" s="7">
        <f t="shared" si="5"/>
        <v>2.5208333333333353</v>
      </c>
    </row>
    <row r="180" spans="1:9" x14ac:dyDescent="0.2">
      <c r="A180" t="s">
        <v>199</v>
      </c>
      <c r="B180">
        <v>3.4175</v>
      </c>
      <c r="C180">
        <v>4.7879999999999999E-2</v>
      </c>
      <c r="D180">
        <v>231</v>
      </c>
      <c r="E180" t="s">
        <v>199</v>
      </c>
      <c r="F180">
        <v>231</v>
      </c>
      <c r="G180" s="1">
        <v>45157</v>
      </c>
      <c r="H180" s="6">
        <f t="shared" si="4"/>
        <v>2.5312500000000018</v>
      </c>
      <c r="I180" s="7">
        <f t="shared" si="5"/>
        <v>2.5312500000000018</v>
      </c>
    </row>
    <row r="181" spans="1:9" x14ac:dyDescent="0.2">
      <c r="A181" t="s">
        <v>200</v>
      </c>
      <c r="B181">
        <v>3.4009999999999998</v>
      </c>
      <c r="C181">
        <v>4.7640000000000002E-2</v>
      </c>
      <c r="D181">
        <v>231</v>
      </c>
      <c r="E181" t="s">
        <v>200</v>
      </c>
      <c r="F181">
        <v>231</v>
      </c>
      <c r="G181" s="1">
        <v>45157</v>
      </c>
      <c r="H181" s="6">
        <f t="shared" si="4"/>
        <v>2.5416666666666683</v>
      </c>
      <c r="I181" s="7">
        <f t="shared" si="5"/>
        <v>2.5416666666666683</v>
      </c>
    </row>
    <row r="182" spans="1:9" x14ac:dyDescent="0.2">
      <c r="A182" t="s">
        <v>201</v>
      </c>
      <c r="B182">
        <v>3.3620000000000001</v>
      </c>
      <c r="C182">
        <v>4.7074999999999999E-2</v>
      </c>
      <c r="D182">
        <v>231</v>
      </c>
      <c r="E182" t="s">
        <v>201</v>
      </c>
      <c r="F182">
        <v>231</v>
      </c>
      <c r="G182" s="1">
        <v>45157</v>
      </c>
      <c r="H182" s="6">
        <f t="shared" si="4"/>
        <v>2.5520833333333348</v>
      </c>
      <c r="I182" s="7">
        <f t="shared" si="5"/>
        <v>2.5520833333333348</v>
      </c>
    </row>
    <row r="183" spans="1:9" x14ac:dyDescent="0.2">
      <c r="A183" t="s">
        <v>202</v>
      </c>
      <c r="B183">
        <v>3.3544999999999998</v>
      </c>
      <c r="C183">
        <v>4.7E-2</v>
      </c>
      <c r="D183">
        <v>231</v>
      </c>
      <c r="E183" t="s">
        <v>202</v>
      </c>
      <c r="F183">
        <v>231</v>
      </c>
      <c r="G183" s="1">
        <v>45157</v>
      </c>
      <c r="H183" s="6">
        <f t="shared" si="4"/>
        <v>2.5625000000000013</v>
      </c>
      <c r="I183" s="7">
        <f t="shared" si="5"/>
        <v>2.5625000000000013</v>
      </c>
    </row>
    <row r="184" spans="1:9" x14ac:dyDescent="0.2">
      <c r="A184" t="s">
        <v>203</v>
      </c>
      <c r="B184">
        <v>3.3340000000000001</v>
      </c>
      <c r="C184">
        <v>4.6710000000000002E-2</v>
      </c>
      <c r="D184">
        <v>231</v>
      </c>
      <c r="E184" t="s">
        <v>203</v>
      </c>
      <c r="F184">
        <v>231</v>
      </c>
      <c r="G184" s="1">
        <v>45157</v>
      </c>
      <c r="H184" s="6">
        <f t="shared" si="4"/>
        <v>2.5729166666666679</v>
      </c>
      <c r="I184" s="7">
        <f t="shared" si="5"/>
        <v>2.5729166666666679</v>
      </c>
    </row>
    <row r="185" spans="1:9" x14ac:dyDescent="0.2">
      <c r="A185" t="s">
        <v>204</v>
      </c>
      <c r="B185" s="2" t="s">
        <v>205</v>
      </c>
      <c r="C185">
        <v>4.632E-2</v>
      </c>
      <c r="D185">
        <v>231</v>
      </c>
      <c r="E185" t="s">
        <v>204</v>
      </c>
      <c r="F185">
        <v>231</v>
      </c>
      <c r="G185" s="1">
        <v>45157</v>
      </c>
      <c r="H185" s="6">
        <f t="shared" si="4"/>
        <v>2.5833333333333344</v>
      </c>
      <c r="I185" s="7">
        <f t="shared" si="5"/>
        <v>2.5833333333333344</v>
      </c>
    </row>
    <row r="186" spans="1:9" x14ac:dyDescent="0.2">
      <c r="A186" t="s">
        <v>206</v>
      </c>
      <c r="B186">
        <v>3.3</v>
      </c>
      <c r="C186">
        <v>4.6219999999999997E-2</v>
      </c>
      <c r="D186">
        <v>231</v>
      </c>
      <c r="E186" t="s">
        <v>206</v>
      </c>
      <c r="F186">
        <v>231</v>
      </c>
      <c r="G186" s="1">
        <v>45157</v>
      </c>
      <c r="H186" s="6">
        <f t="shared" si="4"/>
        <v>2.5937500000000009</v>
      </c>
      <c r="I186" s="7">
        <f t="shared" si="5"/>
        <v>2.5937500000000009</v>
      </c>
    </row>
    <row r="187" spans="1:9" x14ac:dyDescent="0.2">
      <c r="A187" t="s">
        <v>207</v>
      </c>
      <c r="B187">
        <v>3.2795000000000001</v>
      </c>
      <c r="C187" s="2" t="s">
        <v>208</v>
      </c>
      <c r="D187">
        <v>231</v>
      </c>
      <c r="E187" t="s">
        <v>207</v>
      </c>
      <c r="F187">
        <v>231</v>
      </c>
      <c r="G187" s="1">
        <v>45157</v>
      </c>
      <c r="H187" s="6">
        <f t="shared" si="4"/>
        <v>2.6041666666666674</v>
      </c>
      <c r="I187" s="7">
        <f t="shared" si="5"/>
        <v>2.6041666666666674</v>
      </c>
    </row>
    <row r="188" spans="1:9" x14ac:dyDescent="0.2">
      <c r="A188" t="s">
        <v>209</v>
      </c>
      <c r="B188">
        <v>3.2894999999999999</v>
      </c>
      <c r="C188">
        <v>4.6080000000000003E-2</v>
      </c>
      <c r="D188">
        <v>231</v>
      </c>
      <c r="E188" t="s">
        <v>209</v>
      </c>
      <c r="F188">
        <v>231</v>
      </c>
      <c r="G188" s="1">
        <v>45157</v>
      </c>
      <c r="H188" s="6">
        <f t="shared" si="4"/>
        <v>2.6145833333333339</v>
      </c>
      <c r="I188" s="7">
        <f t="shared" si="5"/>
        <v>2.6145833333333339</v>
      </c>
    </row>
    <row r="189" spans="1:9" x14ac:dyDescent="0.2">
      <c r="A189" t="s">
        <v>210</v>
      </c>
      <c r="B189">
        <v>3.2570000000000001</v>
      </c>
      <c r="C189">
        <v>4.5615000000000003E-2</v>
      </c>
      <c r="D189">
        <v>231</v>
      </c>
      <c r="E189" t="s">
        <v>210</v>
      </c>
      <c r="F189">
        <v>231</v>
      </c>
      <c r="G189" s="1">
        <v>45157</v>
      </c>
      <c r="H189" s="6">
        <f t="shared" si="4"/>
        <v>2.6250000000000004</v>
      </c>
      <c r="I189" s="7">
        <f t="shared" si="5"/>
        <v>2.6250000000000004</v>
      </c>
    </row>
    <row r="190" spans="1:9" x14ac:dyDescent="0.2">
      <c r="A190" t="s">
        <v>211</v>
      </c>
      <c r="B190">
        <v>3.222</v>
      </c>
      <c r="C190">
        <v>4.5130000000000003E-2</v>
      </c>
      <c r="D190">
        <v>231</v>
      </c>
      <c r="E190" t="s">
        <v>211</v>
      </c>
      <c r="F190">
        <v>231</v>
      </c>
      <c r="G190" s="1">
        <v>45157</v>
      </c>
      <c r="H190" s="6">
        <f t="shared" si="4"/>
        <v>2.635416666666667</v>
      </c>
      <c r="I190" s="7">
        <f t="shared" si="5"/>
        <v>2.635416666666667</v>
      </c>
    </row>
    <row r="191" spans="1:9" x14ac:dyDescent="0.2">
      <c r="A191" t="s">
        <v>212</v>
      </c>
      <c r="B191">
        <v>3.2330000000000001</v>
      </c>
      <c r="C191">
        <v>4.5295000000000002E-2</v>
      </c>
      <c r="D191">
        <v>231</v>
      </c>
      <c r="E191" t="s">
        <v>212</v>
      </c>
      <c r="F191">
        <v>231</v>
      </c>
      <c r="G191" s="1">
        <v>45157</v>
      </c>
      <c r="H191" s="6">
        <f t="shared" si="4"/>
        <v>2.6458333333333335</v>
      </c>
      <c r="I191" s="7">
        <f t="shared" si="5"/>
        <v>2.6458333333333335</v>
      </c>
    </row>
    <row r="192" spans="1:9" x14ac:dyDescent="0.2">
      <c r="A192" t="s">
        <v>213</v>
      </c>
      <c r="B192">
        <v>3.2204999999999999</v>
      </c>
      <c r="C192">
        <v>4.5089999999999998E-2</v>
      </c>
      <c r="D192">
        <v>231</v>
      </c>
      <c r="E192" t="s">
        <v>213</v>
      </c>
      <c r="F192">
        <v>231</v>
      </c>
      <c r="G192" s="1">
        <v>45157</v>
      </c>
      <c r="H192" s="6">
        <f t="shared" si="4"/>
        <v>2.65625</v>
      </c>
      <c r="I192" s="7">
        <f t="shared" si="5"/>
        <v>2.65625</v>
      </c>
    </row>
    <row r="193" spans="1:9" x14ac:dyDescent="0.2">
      <c r="A193" t="s">
        <v>214</v>
      </c>
      <c r="B193">
        <v>3.1960000000000002</v>
      </c>
      <c r="C193">
        <v>4.478E-2</v>
      </c>
      <c r="D193">
        <v>231</v>
      </c>
      <c r="E193" t="s">
        <v>214</v>
      </c>
      <c r="F193">
        <v>231</v>
      </c>
      <c r="G193" s="1">
        <v>45157</v>
      </c>
      <c r="H193" s="6">
        <f t="shared" si="4"/>
        <v>2.6666666666666665</v>
      </c>
      <c r="I193" s="7">
        <f t="shared" si="5"/>
        <v>2.6666666666666665</v>
      </c>
    </row>
    <row r="194" spans="1:9" x14ac:dyDescent="0.2">
      <c r="A194" t="s">
        <v>215</v>
      </c>
      <c r="B194">
        <v>3.2225000000000001</v>
      </c>
      <c r="C194">
        <v>4.5144999999999998E-2</v>
      </c>
      <c r="D194">
        <v>231</v>
      </c>
      <c r="E194" t="s">
        <v>215</v>
      </c>
      <c r="F194">
        <v>231</v>
      </c>
      <c r="G194" s="1">
        <v>45157</v>
      </c>
      <c r="H194" s="6">
        <f t="shared" si="4"/>
        <v>2.677083333333333</v>
      </c>
      <c r="I194" s="7">
        <f t="shared" si="5"/>
        <v>2.677083333333333</v>
      </c>
    </row>
    <row r="195" spans="1:9" x14ac:dyDescent="0.2">
      <c r="A195" t="s">
        <v>216</v>
      </c>
      <c r="B195">
        <v>3.2065000000000001</v>
      </c>
      <c r="C195">
        <v>4.4920000000000002E-2</v>
      </c>
      <c r="D195">
        <v>231</v>
      </c>
      <c r="E195" t="s">
        <v>216</v>
      </c>
      <c r="F195">
        <v>231</v>
      </c>
      <c r="G195" s="1">
        <v>45157</v>
      </c>
      <c r="H195" s="6">
        <f t="shared" ref="H195:H258" si="6">H194+$K$1</f>
        <v>2.6874999999999996</v>
      </c>
      <c r="I195" s="7">
        <f t="shared" ref="I195:I258" si="7">I194+$K$1</f>
        <v>2.6874999999999996</v>
      </c>
    </row>
    <row r="196" spans="1:9" x14ac:dyDescent="0.2">
      <c r="A196" t="s">
        <v>217</v>
      </c>
      <c r="B196">
        <v>3.2160000000000002</v>
      </c>
      <c r="C196">
        <v>4.505E-2</v>
      </c>
      <c r="D196">
        <v>231</v>
      </c>
      <c r="E196" t="s">
        <v>217</v>
      </c>
      <c r="F196">
        <v>231</v>
      </c>
      <c r="G196" s="1">
        <v>45157</v>
      </c>
      <c r="H196" s="6">
        <f t="shared" si="6"/>
        <v>2.6979166666666661</v>
      </c>
      <c r="I196" s="7">
        <f t="shared" si="7"/>
        <v>2.6979166666666661</v>
      </c>
    </row>
    <row r="197" spans="1:9" x14ac:dyDescent="0.2">
      <c r="A197" t="s">
        <v>218</v>
      </c>
      <c r="B197">
        <v>3.2164999999999999</v>
      </c>
      <c r="C197">
        <v>4.505E-2</v>
      </c>
      <c r="D197">
        <v>231</v>
      </c>
      <c r="E197" t="s">
        <v>218</v>
      </c>
      <c r="F197">
        <v>231</v>
      </c>
      <c r="G197" s="1">
        <v>45157</v>
      </c>
      <c r="H197" s="6">
        <f t="shared" si="6"/>
        <v>2.7083333333333326</v>
      </c>
      <c r="I197" s="7">
        <f t="shared" si="7"/>
        <v>2.7083333333333326</v>
      </c>
    </row>
    <row r="198" spans="1:9" x14ac:dyDescent="0.2">
      <c r="A198" t="s">
        <v>219</v>
      </c>
      <c r="B198">
        <v>3.2240000000000002</v>
      </c>
      <c r="C198">
        <v>4.5150000000000003E-2</v>
      </c>
      <c r="D198">
        <v>231</v>
      </c>
      <c r="E198" t="s">
        <v>219</v>
      </c>
      <c r="F198">
        <v>231</v>
      </c>
      <c r="G198" s="1">
        <v>45157</v>
      </c>
      <c r="H198" s="6">
        <f t="shared" si="6"/>
        <v>2.7187499999999991</v>
      </c>
      <c r="I198" s="7">
        <f t="shared" si="7"/>
        <v>2.7187499999999991</v>
      </c>
    </row>
    <row r="199" spans="1:9" x14ac:dyDescent="0.2">
      <c r="A199" t="s">
        <v>220</v>
      </c>
      <c r="B199">
        <v>3.2035</v>
      </c>
      <c r="C199">
        <v>4.4880000000000003E-2</v>
      </c>
      <c r="D199">
        <v>231</v>
      </c>
      <c r="E199" t="s">
        <v>220</v>
      </c>
      <c r="F199">
        <v>231</v>
      </c>
      <c r="G199" s="1">
        <v>45157</v>
      </c>
      <c r="H199" s="6">
        <f t="shared" si="6"/>
        <v>2.7291666666666656</v>
      </c>
      <c r="I199" s="7">
        <f t="shared" si="7"/>
        <v>2.7291666666666656</v>
      </c>
    </row>
    <row r="200" spans="1:9" x14ac:dyDescent="0.2">
      <c r="A200" t="s">
        <v>221</v>
      </c>
      <c r="B200">
        <v>3.2004999999999999</v>
      </c>
      <c r="C200">
        <v>4.4830000000000002E-2</v>
      </c>
      <c r="D200">
        <v>231</v>
      </c>
      <c r="E200" t="s">
        <v>221</v>
      </c>
      <c r="F200">
        <v>231</v>
      </c>
      <c r="G200" s="1">
        <v>45157</v>
      </c>
      <c r="H200" s="6">
        <f t="shared" si="6"/>
        <v>2.7395833333333321</v>
      </c>
      <c r="I200" s="7">
        <f t="shared" si="7"/>
        <v>2.7395833333333321</v>
      </c>
    </row>
    <row r="201" spans="1:9" x14ac:dyDescent="0.2">
      <c r="A201" t="s">
        <v>222</v>
      </c>
      <c r="B201">
        <v>3.2130000000000001</v>
      </c>
      <c r="C201">
        <v>4.4984999999999997E-2</v>
      </c>
      <c r="D201">
        <v>232</v>
      </c>
      <c r="E201" t="s">
        <v>222</v>
      </c>
      <c r="F201">
        <v>231</v>
      </c>
      <c r="G201" s="1">
        <v>45157</v>
      </c>
      <c r="H201" s="6">
        <f t="shared" si="6"/>
        <v>2.7499999999999987</v>
      </c>
      <c r="I201" s="7">
        <f t="shared" si="7"/>
        <v>2.7499999999999987</v>
      </c>
    </row>
    <row r="202" spans="1:9" x14ac:dyDescent="0.2">
      <c r="A202" t="s">
        <v>223</v>
      </c>
      <c r="B202">
        <v>3.2130000000000001</v>
      </c>
      <c r="C202">
        <v>4.4999999999999998E-2</v>
      </c>
      <c r="D202">
        <v>232</v>
      </c>
      <c r="E202" t="s">
        <v>223</v>
      </c>
      <c r="F202">
        <v>231</v>
      </c>
      <c r="G202" s="1">
        <v>45157</v>
      </c>
      <c r="H202" s="6">
        <f t="shared" si="6"/>
        <v>2.7604166666666652</v>
      </c>
      <c r="I202" s="7">
        <f t="shared" si="7"/>
        <v>2.7604166666666652</v>
      </c>
    </row>
    <row r="203" spans="1:9" x14ac:dyDescent="0.2">
      <c r="A203" t="s">
        <v>224</v>
      </c>
      <c r="B203">
        <v>3.222</v>
      </c>
      <c r="C203">
        <v>4.5115000000000002E-2</v>
      </c>
      <c r="D203">
        <v>232</v>
      </c>
      <c r="E203" t="s">
        <v>224</v>
      </c>
      <c r="F203">
        <v>231</v>
      </c>
      <c r="G203" s="1">
        <v>45157</v>
      </c>
      <c r="H203" s="6">
        <f t="shared" si="6"/>
        <v>2.7708333333333317</v>
      </c>
      <c r="I203" s="7">
        <f t="shared" si="7"/>
        <v>2.7708333333333317</v>
      </c>
    </row>
    <row r="204" spans="1:9" x14ac:dyDescent="0.2">
      <c r="A204" t="s">
        <v>225</v>
      </c>
      <c r="B204">
        <v>3.2345000000000002</v>
      </c>
      <c r="C204">
        <v>4.5280000000000001E-2</v>
      </c>
      <c r="D204">
        <v>232</v>
      </c>
      <c r="E204" t="s">
        <v>225</v>
      </c>
      <c r="F204">
        <v>231</v>
      </c>
      <c r="G204" s="1">
        <v>45157</v>
      </c>
      <c r="H204" s="6">
        <f t="shared" si="6"/>
        <v>2.7812499999999982</v>
      </c>
      <c r="I204" s="7">
        <f t="shared" si="7"/>
        <v>2.7812499999999982</v>
      </c>
    </row>
    <row r="205" spans="1:9" x14ac:dyDescent="0.2">
      <c r="A205" t="s">
        <v>226</v>
      </c>
      <c r="B205">
        <v>3.2185000000000001</v>
      </c>
      <c r="C205">
        <v>4.5089999999999998E-2</v>
      </c>
      <c r="D205">
        <v>232</v>
      </c>
      <c r="E205" t="s">
        <v>226</v>
      </c>
      <c r="F205">
        <v>231</v>
      </c>
      <c r="G205" s="1">
        <v>45157</v>
      </c>
      <c r="H205" s="6">
        <f t="shared" si="6"/>
        <v>2.7916666666666647</v>
      </c>
      <c r="I205" s="7">
        <f t="shared" si="7"/>
        <v>2.7916666666666647</v>
      </c>
    </row>
    <row r="206" spans="1:9" x14ac:dyDescent="0.2">
      <c r="A206" t="s">
        <v>227</v>
      </c>
      <c r="B206">
        <v>3.2315</v>
      </c>
      <c r="C206">
        <v>4.5280000000000001E-2</v>
      </c>
      <c r="D206">
        <v>232</v>
      </c>
      <c r="E206" t="s">
        <v>227</v>
      </c>
      <c r="F206">
        <v>231</v>
      </c>
      <c r="G206" s="1">
        <v>45157</v>
      </c>
      <c r="H206" s="6">
        <f t="shared" si="6"/>
        <v>2.8020833333333313</v>
      </c>
      <c r="I206" s="7">
        <f t="shared" si="7"/>
        <v>2.8020833333333313</v>
      </c>
    </row>
    <row r="207" spans="1:9" x14ac:dyDescent="0.2">
      <c r="A207" t="s">
        <v>228</v>
      </c>
      <c r="B207">
        <v>3.258</v>
      </c>
      <c r="C207">
        <v>4.5655000000000001E-2</v>
      </c>
      <c r="D207">
        <v>232</v>
      </c>
      <c r="E207" t="s">
        <v>228</v>
      </c>
      <c r="F207">
        <v>231</v>
      </c>
      <c r="G207" s="1">
        <v>45157</v>
      </c>
      <c r="H207" s="6">
        <f t="shared" si="6"/>
        <v>2.8124999999999978</v>
      </c>
      <c r="I207" s="7">
        <f t="shared" si="7"/>
        <v>2.8124999999999978</v>
      </c>
    </row>
    <row r="208" spans="1:9" x14ac:dyDescent="0.2">
      <c r="A208" t="s">
        <v>229</v>
      </c>
      <c r="B208">
        <v>3.2614999999999998</v>
      </c>
      <c r="C208">
        <v>4.5695E-2</v>
      </c>
      <c r="D208">
        <v>232</v>
      </c>
      <c r="E208" t="s">
        <v>229</v>
      </c>
      <c r="F208">
        <v>231</v>
      </c>
      <c r="G208" s="1">
        <v>45157</v>
      </c>
      <c r="H208" s="6">
        <f t="shared" si="6"/>
        <v>2.8229166666666643</v>
      </c>
      <c r="I208" s="7">
        <f t="shared" si="7"/>
        <v>2.8229166666666643</v>
      </c>
    </row>
    <row r="209" spans="1:9" x14ac:dyDescent="0.2">
      <c r="A209" t="s">
        <v>230</v>
      </c>
      <c r="B209">
        <v>3.2845</v>
      </c>
      <c r="C209">
        <v>4.6015E-2</v>
      </c>
      <c r="D209">
        <v>232</v>
      </c>
      <c r="E209" t="s">
        <v>230</v>
      </c>
      <c r="F209">
        <v>231</v>
      </c>
      <c r="G209" s="1">
        <v>45157</v>
      </c>
      <c r="H209" s="6">
        <f t="shared" si="6"/>
        <v>2.8333333333333308</v>
      </c>
      <c r="I209" s="7">
        <f t="shared" si="7"/>
        <v>2.8333333333333308</v>
      </c>
    </row>
    <row r="210" spans="1:9" x14ac:dyDescent="0.2">
      <c r="A210" t="s">
        <v>231</v>
      </c>
      <c r="B210">
        <v>3.286</v>
      </c>
      <c r="C210">
        <v>4.6004999999999997E-2</v>
      </c>
      <c r="D210">
        <v>232</v>
      </c>
      <c r="E210" t="s">
        <v>231</v>
      </c>
      <c r="F210">
        <v>231</v>
      </c>
      <c r="G210" s="1">
        <v>45157</v>
      </c>
      <c r="H210" s="6">
        <f t="shared" si="6"/>
        <v>2.8437499999999973</v>
      </c>
      <c r="I210" s="7">
        <f t="shared" si="7"/>
        <v>2.8437499999999973</v>
      </c>
    </row>
    <row r="211" spans="1:9" x14ac:dyDescent="0.2">
      <c r="A211" t="s">
        <v>232</v>
      </c>
      <c r="B211">
        <v>3.3054999999999999</v>
      </c>
      <c r="C211">
        <v>4.6285E-2</v>
      </c>
      <c r="D211">
        <v>232</v>
      </c>
      <c r="E211" t="s">
        <v>232</v>
      </c>
      <c r="F211">
        <v>231</v>
      </c>
      <c r="G211" s="1">
        <v>45157</v>
      </c>
      <c r="H211" s="6">
        <f t="shared" si="6"/>
        <v>2.8541666666666639</v>
      </c>
      <c r="I211" s="7">
        <f t="shared" si="7"/>
        <v>2.8541666666666639</v>
      </c>
    </row>
    <row r="212" spans="1:9" x14ac:dyDescent="0.2">
      <c r="A212" t="s">
        <v>233</v>
      </c>
      <c r="B212">
        <v>3.3134999999999999</v>
      </c>
      <c r="C212">
        <v>4.641E-2</v>
      </c>
      <c r="D212">
        <v>232</v>
      </c>
      <c r="E212" t="s">
        <v>233</v>
      </c>
      <c r="F212">
        <v>231</v>
      </c>
      <c r="G212" s="1">
        <v>45157</v>
      </c>
      <c r="H212" s="6">
        <f t="shared" si="6"/>
        <v>2.8645833333333304</v>
      </c>
      <c r="I212" s="7">
        <f t="shared" si="7"/>
        <v>2.8645833333333304</v>
      </c>
    </row>
    <row r="213" spans="1:9" x14ac:dyDescent="0.2">
      <c r="A213" t="s">
        <v>234</v>
      </c>
      <c r="B213">
        <v>3.3439999999999999</v>
      </c>
      <c r="C213">
        <v>4.684E-2</v>
      </c>
      <c r="D213">
        <v>232</v>
      </c>
      <c r="E213" t="s">
        <v>234</v>
      </c>
      <c r="F213">
        <v>231</v>
      </c>
      <c r="G213" s="1">
        <v>45157</v>
      </c>
      <c r="H213" s="6">
        <f t="shared" si="6"/>
        <v>2.8749999999999969</v>
      </c>
      <c r="I213" s="7">
        <f t="shared" si="7"/>
        <v>2.8749999999999969</v>
      </c>
    </row>
    <row r="214" spans="1:9" x14ac:dyDescent="0.2">
      <c r="A214" t="s">
        <v>235</v>
      </c>
      <c r="B214">
        <v>3.3679999999999999</v>
      </c>
      <c r="C214" s="2" t="s">
        <v>236</v>
      </c>
      <c r="D214">
        <v>232</v>
      </c>
      <c r="E214" t="s">
        <v>235</v>
      </c>
      <c r="F214">
        <v>231</v>
      </c>
      <c r="G214" s="1">
        <v>45157</v>
      </c>
      <c r="H214" s="6">
        <f t="shared" si="6"/>
        <v>2.8854166666666634</v>
      </c>
      <c r="I214" s="7">
        <f t="shared" si="7"/>
        <v>2.8854166666666634</v>
      </c>
    </row>
    <row r="215" spans="1:9" x14ac:dyDescent="0.2">
      <c r="A215" t="s">
        <v>237</v>
      </c>
      <c r="B215">
        <v>3.3925000000000001</v>
      </c>
      <c r="C215">
        <v>4.7509999999999997E-2</v>
      </c>
      <c r="D215">
        <v>232</v>
      </c>
      <c r="E215" t="s">
        <v>237</v>
      </c>
      <c r="F215">
        <v>231</v>
      </c>
      <c r="G215" s="1">
        <v>45157</v>
      </c>
      <c r="H215" s="6">
        <f t="shared" si="6"/>
        <v>2.8958333333333299</v>
      </c>
      <c r="I215" s="7">
        <f t="shared" si="7"/>
        <v>2.8958333333333299</v>
      </c>
    </row>
    <row r="216" spans="1:9" x14ac:dyDescent="0.2">
      <c r="A216" t="s">
        <v>238</v>
      </c>
      <c r="B216">
        <v>3.4260000000000002</v>
      </c>
      <c r="C216">
        <v>4.7974999999999997E-2</v>
      </c>
      <c r="D216">
        <v>232</v>
      </c>
      <c r="E216" t="s">
        <v>238</v>
      </c>
      <c r="F216">
        <v>231</v>
      </c>
      <c r="G216" s="1">
        <v>45157</v>
      </c>
      <c r="H216" s="6">
        <f t="shared" si="6"/>
        <v>2.9062499999999964</v>
      </c>
      <c r="I216" s="7">
        <f t="shared" si="7"/>
        <v>2.9062499999999964</v>
      </c>
    </row>
    <row r="217" spans="1:9" x14ac:dyDescent="0.2">
      <c r="A217" t="s">
        <v>239</v>
      </c>
      <c r="B217">
        <v>3.4535</v>
      </c>
      <c r="C217">
        <v>4.8375000000000001E-2</v>
      </c>
      <c r="D217">
        <v>232</v>
      </c>
      <c r="E217" t="s">
        <v>239</v>
      </c>
      <c r="F217">
        <v>231</v>
      </c>
      <c r="G217" s="1">
        <v>45157</v>
      </c>
      <c r="H217" s="6">
        <f t="shared" si="6"/>
        <v>2.916666666666663</v>
      </c>
      <c r="I217" s="7">
        <f t="shared" si="7"/>
        <v>2.916666666666663</v>
      </c>
    </row>
    <row r="218" spans="1:9" x14ac:dyDescent="0.2">
      <c r="A218" t="s">
        <v>240</v>
      </c>
      <c r="B218">
        <v>3.5</v>
      </c>
      <c r="C218">
        <v>4.9015000000000003E-2</v>
      </c>
      <c r="D218">
        <v>232</v>
      </c>
      <c r="E218" t="s">
        <v>240</v>
      </c>
      <c r="F218">
        <v>231</v>
      </c>
      <c r="G218" s="1">
        <v>45157</v>
      </c>
      <c r="H218" s="6">
        <f t="shared" si="6"/>
        <v>2.9270833333333295</v>
      </c>
      <c r="I218" s="7">
        <f t="shared" si="7"/>
        <v>2.9270833333333295</v>
      </c>
    </row>
    <row r="219" spans="1:9" x14ac:dyDescent="0.2">
      <c r="A219" t="s">
        <v>241</v>
      </c>
      <c r="B219">
        <v>3.544</v>
      </c>
      <c r="C219">
        <v>4.9634999999999999E-2</v>
      </c>
      <c r="D219">
        <v>232</v>
      </c>
      <c r="E219" t="s">
        <v>241</v>
      </c>
      <c r="F219">
        <v>231</v>
      </c>
      <c r="G219" s="1">
        <v>45157</v>
      </c>
      <c r="H219" s="6">
        <f t="shared" si="6"/>
        <v>2.937499999999996</v>
      </c>
      <c r="I219" s="7">
        <f t="shared" si="7"/>
        <v>2.937499999999996</v>
      </c>
    </row>
    <row r="220" spans="1:9" x14ac:dyDescent="0.2">
      <c r="A220" t="s">
        <v>242</v>
      </c>
      <c r="B220">
        <v>3.59</v>
      </c>
      <c r="C220">
        <v>5.0285000000000003E-2</v>
      </c>
      <c r="D220">
        <v>232</v>
      </c>
      <c r="E220" t="s">
        <v>242</v>
      </c>
      <c r="F220">
        <v>231</v>
      </c>
      <c r="G220" s="1">
        <v>45157</v>
      </c>
      <c r="H220" s="6">
        <f t="shared" si="6"/>
        <v>2.9479166666666625</v>
      </c>
      <c r="I220" s="7">
        <f t="shared" si="7"/>
        <v>2.9479166666666625</v>
      </c>
    </row>
    <row r="221" spans="1:9" x14ac:dyDescent="0.2">
      <c r="A221" t="s">
        <v>243</v>
      </c>
      <c r="B221" s="2" t="s">
        <v>244</v>
      </c>
      <c r="C221">
        <v>5.0869999999999999E-2</v>
      </c>
      <c r="D221">
        <v>232</v>
      </c>
      <c r="E221" t="s">
        <v>243</v>
      </c>
      <c r="F221">
        <v>231</v>
      </c>
      <c r="G221" s="1">
        <v>45157</v>
      </c>
      <c r="H221" s="6">
        <f t="shared" si="6"/>
        <v>2.958333333333329</v>
      </c>
      <c r="I221" s="7">
        <f t="shared" si="7"/>
        <v>2.958333333333329</v>
      </c>
    </row>
    <row r="222" spans="1:9" x14ac:dyDescent="0.2">
      <c r="A222" t="s">
        <v>245</v>
      </c>
      <c r="B222" s="2" t="s">
        <v>246</v>
      </c>
      <c r="C222">
        <v>5.1685000000000002E-2</v>
      </c>
      <c r="D222">
        <v>232</v>
      </c>
      <c r="E222" t="s">
        <v>245</v>
      </c>
      <c r="F222">
        <v>231</v>
      </c>
      <c r="G222" s="1">
        <v>45157</v>
      </c>
      <c r="H222" s="6">
        <f t="shared" si="6"/>
        <v>2.9687499999999956</v>
      </c>
      <c r="I222" s="7">
        <f t="shared" si="7"/>
        <v>2.9687499999999956</v>
      </c>
    </row>
    <row r="223" spans="1:9" x14ac:dyDescent="0.2">
      <c r="A223" t="s">
        <v>247</v>
      </c>
      <c r="B223">
        <v>3.714</v>
      </c>
      <c r="C223">
        <v>5.2010000000000001E-2</v>
      </c>
      <c r="D223">
        <v>232</v>
      </c>
      <c r="E223" t="s">
        <v>247</v>
      </c>
      <c r="F223">
        <v>231</v>
      </c>
      <c r="G223" s="1">
        <v>45157</v>
      </c>
      <c r="H223" s="6">
        <f t="shared" si="6"/>
        <v>2.9791666666666621</v>
      </c>
      <c r="I223" s="7">
        <f t="shared" si="7"/>
        <v>2.9791666666666621</v>
      </c>
    </row>
    <row r="224" spans="1:9" x14ac:dyDescent="0.2">
      <c r="A224" t="s">
        <v>248</v>
      </c>
      <c r="B224">
        <v>3.7635000000000001</v>
      </c>
      <c r="C224">
        <v>5.2714999999999998E-2</v>
      </c>
      <c r="D224">
        <v>232</v>
      </c>
      <c r="E224" t="s">
        <v>248</v>
      </c>
      <c r="F224">
        <v>231</v>
      </c>
      <c r="G224" s="1">
        <v>45157</v>
      </c>
      <c r="H224" s="6">
        <f t="shared" si="6"/>
        <v>2.9895833333333286</v>
      </c>
      <c r="I224" s="7">
        <f t="shared" si="7"/>
        <v>2.9895833333333286</v>
      </c>
    </row>
    <row r="225" spans="1:9" x14ac:dyDescent="0.2">
      <c r="A225" t="s">
        <v>249</v>
      </c>
      <c r="B225">
        <v>3.8075000000000001</v>
      </c>
      <c r="C225">
        <v>5.3324999999999997E-2</v>
      </c>
      <c r="D225">
        <v>232</v>
      </c>
      <c r="E225" t="s">
        <v>249</v>
      </c>
      <c r="F225">
        <v>232</v>
      </c>
      <c r="G225" s="1">
        <v>45158</v>
      </c>
      <c r="H225" s="6">
        <f t="shared" si="6"/>
        <v>2.9999999999999951</v>
      </c>
      <c r="I225" s="7">
        <f t="shared" si="7"/>
        <v>2.9999999999999951</v>
      </c>
    </row>
    <row r="226" spans="1:9" x14ac:dyDescent="0.2">
      <c r="A226" t="s">
        <v>250</v>
      </c>
      <c r="B226">
        <v>3.8765000000000001</v>
      </c>
      <c r="C226" s="2" t="s">
        <v>251</v>
      </c>
      <c r="D226">
        <v>232</v>
      </c>
      <c r="E226" t="s">
        <v>250</v>
      </c>
      <c r="F226">
        <v>232</v>
      </c>
      <c r="G226" s="1">
        <v>45158</v>
      </c>
      <c r="H226" s="6">
        <f t="shared" si="6"/>
        <v>3.0104166666666616</v>
      </c>
      <c r="I226" s="7">
        <f t="shared" si="7"/>
        <v>3.0104166666666616</v>
      </c>
    </row>
    <row r="227" spans="1:9" x14ac:dyDescent="0.2">
      <c r="A227" t="s">
        <v>252</v>
      </c>
      <c r="B227">
        <v>3.9</v>
      </c>
      <c r="C227">
        <v>5.4614999999999997E-2</v>
      </c>
      <c r="D227">
        <v>232</v>
      </c>
      <c r="E227" t="s">
        <v>252</v>
      </c>
      <c r="F227">
        <v>232</v>
      </c>
      <c r="G227" s="1">
        <v>45158</v>
      </c>
      <c r="H227" s="6">
        <f t="shared" si="6"/>
        <v>3.0208333333333282</v>
      </c>
      <c r="I227" s="7">
        <f t="shared" si="7"/>
        <v>3.0208333333333282</v>
      </c>
    </row>
    <row r="228" spans="1:9" x14ac:dyDescent="0.2">
      <c r="A228" t="s">
        <v>253</v>
      </c>
      <c r="B228">
        <v>3.9169999999999998</v>
      </c>
      <c r="C228">
        <v>5.4875E-2</v>
      </c>
      <c r="D228">
        <v>232</v>
      </c>
      <c r="E228" t="s">
        <v>253</v>
      </c>
      <c r="F228">
        <v>232</v>
      </c>
      <c r="G228" s="1">
        <v>45158</v>
      </c>
      <c r="H228" s="6">
        <f t="shared" si="6"/>
        <v>3.0312499999999947</v>
      </c>
      <c r="I228" s="7">
        <f t="shared" si="7"/>
        <v>3.0312499999999947</v>
      </c>
    </row>
    <row r="229" spans="1:9" x14ac:dyDescent="0.2">
      <c r="A229" t="s">
        <v>254</v>
      </c>
      <c r="B229">
        <v>3.948</v>
      </c>
      <c r="C229">
        <v>5.5289999999999999E-2</v>
      </c>
      <c r="D229">
        <v>232</v>
      </c>
      <c r="E229" t="s">
        <v>254</v>
      </c>
      <c r="F229">
        <v>232</v>
      </c>
      <c r="G229" s="1">
        <v>45158</v>
      </c>
      <c r="H229" s="6">
        <f t="shared" si="6"/>
        <v>3.0416666666666612</v>
      </c>
      <c r="I229" s="7">
        <f t="shared" si="7"/>
        <v>3.0416666666666612</v>
      </c>
    </row>
    <row r="230" spans="1:9" x14ac:dyDescent="0.2">
      <c r="A230" t="s">
        <v>255</v>
      </c>
      <c r="B230">
        <v>3.9485000000000001</v>
      </c>
      <c r="C230">
        <v>5.5309999999999998E-2</v>
      </c>
      <c r="D230">
        <v>232</v>
      </c>
      <c r="E230" t="s">
        <v>255</v>
      </c>
      <c r="F230">
        <v>232</v>
      </c>
      <c r="G230" s="1">
        <v>45158</v>
      </c>
      <c r="H230" s="6">
        <f t="shared" si="6"/>
        <v>3.0520833333333277</v>
      </c>
      <c r="I230" s="7">
        <f t="shared" si="7"/>
        <v>3.0520833333333277</v>
      </c>
    </row>
    <row r="231" spans="1:9" x14ac:dyDescent="0.2">
      <c r="A231" t="s">
        <v>256</v>
      </c>
      <c r="B231">
        <v>3.988</v>
      </c>
      <c r="C231">
        <v>5.5840000000000001E-2</v>
      </c>
      <c r="D231">
        <v>232</v>
      </c>
      <c r="E231" t="s">
        <v>256</v>
      </c>
      <c r="F231">
        <v>232</v>
      </c>
      <c r="G231" s="1">
        <v>45158</v>
      </c>
      <c r="H231" s="6">
        <f t="shared" si="6"/>
        <v>3.0624999999999942</v>
      </c>
      <c r="I231" s="7">
        <f t="shared" si="7"/>
        <v>3.0624999999999942</v>
      </c>
    </row>
    <row r="232" spans="1:9" x14ac:dyDescent="0.2">
      <c r="A232" t="s">
        <v>257</v>
      </c>
      <c r="B232">
        <v>3.9849999999999999</v>
      </c>
      <c r="C232">
        <v>5.5829999999999998E-2</v>
      </c>
      <c r="D232">
        <v>232</v>
      </c>
      <c r="E232" t="s">
        <v>257</v>
      </c>
      <c r="F232">
        <v>232</v>
      </c>
      <c r="G232" s="1">
        <v>45158</v>
      </c>
      <c r="H232" s="6">
        <f t="shared" si="6"/>
        <v>3.0729166666666607</v>
      </c>
      <c r="I232" s="7">
        <f t="shared" si="7"/>
        <v>3.0729166666666607</v>
      </c>
    </row>
    <row r="233" spans="1:9" x14ac:dyDescent="0.2">
      <c r="A233" t="s">
        <v>258</v>
      </c>
      <c r="B233" s="2" t="s">
        <v>259</v>
      </c>
      <c r="C233">
        <v>5.6024999999999998E-2</v>
      </c>
      <c r="D233">
        <v>232</v>
      </c>
      <c r="E233" t="s">
        <v>258</v>
      </c>
      <c r="F233">
        <v>232</v>
      </c>
      <c r="G233" s="1">
        <v>45158</v>
      </c>
      <c r="H233" s="6">
        <f t="shared" si="6"/>
        <v>3.0833333333333273</v>
      </c>
      <c r="I233" s="7">
        <f t="shared" si="7"/>
        <v>3.0833333333333273</v>
      </c>
    </row>
    <row r="234" spans="1:9" x14ac:dyDescent="0.2">
      <c r="A234" t="s">
        <v>260</v>
      </c>
      <c r="B234">
        <v>4.0235000000000003</v>
      </c>
      <c r="C234">
        <v>5.6349999999999997E-2</v>
      </c>
      <c r="D234">
        <v>232</v>
      </c>
      <c r="E234" t="s">
        <v>260</v>
      </c>
      <c r="F234">
        <v>232</v>
      </c>
      <c r="G234" s="1">
        <v>45158</v>
      </c>
      <c r="H234" s="6">
        <f t="shared" si="6"/>
        <v>3.0937499999999938</v>
      </c>
      <c r="I234" s="7">
        <f t="shared" si="7"/>
        <v>3.0937499999999938</v>
      </c>
    </row>
    <row r="235" spans="1:9" x14ac:dyDescent="0.2">
      <c r="A235" t="s">
        <v>261</v>
      </c>
      <c r="B235">
        <v>4.0119999999999996</v>
      </c>
      <c r="C235">
        <v>5.6189999999999997E-2</v>
      </c>
      <c r="D235">
        <v>232</v>
      </c>
      <c r="E235" t="s">
        <v>261</v>
      </c>
      <c r="F235">
        <v>232</v>
      </c>
      <c r="G235" s="1">
        <v>45158</v>
      </c>
      <c r="H235" s="6">
        <f t="shared" si="6"/>
        <v>3.1041666666666603</v>
      </c>
      <c r="I235" s="7">
        <f t="shared" si="7"/>
        <v>3.1041666666666603</v>
      </c>
    </row>
    <row r="236" spans="1:9" x14ac:dyDescent="0.2">
      <c r="A236" t="s">
        <v>262</v>
      </c>
      <c r="B236">
        <v>3.9929999999999999</v>
      </c>
      <c r="C236">
        <v>5.5919999999999997E-2</v>
      </c>
      <c r="D236">
        <v>232</v>
      </c>
      <c r="E236" t="s">
        <v>262</v>
      </c>
      <c r="F236">
        <v>232</v>
      </c>
      <c r="G236" s="1">
        <v>45158</v>
      </c>
      <c r="H236" s="6">
        <f t="shared" si="6"/>
        <v>3.1145833333333268</v>
      </c>
      <c r="I236" s="7">
        <f t="shared" si="7"/>
        <v>3.1145833333333268</v>
      </c>
    </row>
    <row r="237" spans="1:9" x14ac:dyDescent="0.2">
      <c r="A237" t="s">
        <v>263</v>
      </c>
      <c r="B237">
        <v>4.0155000000000003</v>
      </c>
      <c r="C237">
        <v>5.6254999999999999E-2</v>
      </c>
      <c r="D237">
        <v>232</v>
      </c>
      <c r="E237" t="s">
        <v>263</v>
      </c>
      <c r="F237">
        <v>232</v>
      </c>
      <c r="G237" s="1">
        <v>45158</v>
      </c>
      <c r="H237" s="6">
        <f t="shared" si="6"/>
        <v>3.1249999999999933</v>
      </c>
      <c r="I237" s="7">
        <f t="shared" si="7"/>
        <v>3.1249999999999933</v>
      </c>
    </row>
    <row r="238" spans="1:9" x14ac:dyDescent="0.2">
      <c r="A238" t="s">
        <v>264</v>
      </c>
      <c r="B238">
        <v>4.008</v>
      </c>
      <c r="C238">
        <v>5.6149999999999999E-2</v>
      </c>
      <c r="D238">
        <v>232</v>
      </c>
      <c r="E238" t="s">
        <v>264</v>
      </c>
      <c r="F238">
        <v>232</v>
      </c>
      <c r="G238" s="1">
        <v>45158</v>
      </c>
      <c r="H238" s="6">
        <f t="shared" si="6"/>
        <v>3.1354166666666599</v>
      </c>
      <c r="I238" s="7">
        <f t="shared" si="7"/>
        <v>3.1354166666666599</v>
      </c>
    </row>
    <row r="239" spans="1:9" x14ac:dyDescent="0.2">
      <c r="A239" t="s">
        <v>265</v>
      </c>
      <c r="B239">
        <v>4.0114999999999998</v>
      </c>
      <c r="C239" s="2" t="s">
        <v>266</v>
      </c>
      <c r="D239">
        <v>232</v>
      </c>
      <c r="E239" t="s">
        <v>265</v>
      </c>
      <c r="F239">
        <v>232</v>
      </c>
      <c r="G239" s="1">
        <v>45158</v>
      </c>
      <c r="H239" s="6">
        <f t="shared" si="6"/>
        <v>3.1458333333333264</v>
      </c>
      <c r="I239" s="7">
        <f t="shared" si="7"/>
        <v>3.1458333333333264</v>
      </c>
    </row>
    <row r="240" spans="1:9" x14ac:dyDescent="0.2">
      <c r="A240" t="s">
        <v>267</v>
      </c>
      <c r="B240" s="2" t="s">
        <v>268</v>
      </c>
      <c r="C240">
        <v>5.602E-2</v>
      </c>
      <c r="D240">
        <v>232</v>
      </c>
      <c r="E240" t="s">
        <v>267</v>
      </c>
      <c r="F240">
        <v>232</v>
      </c>
      <c r="G240" s="1">
        <v>45158</v>
      </c>
      <c r="H240" s="6">
        <f t="shared" si="6"/>
        <v>3.1562499999999929</v>
      </c>
      <c r="I240" s="7">
        <f t="shared" si="7"/>
        <v>3.1562499999999929</v>
      </c>
    </row>
    <row r="241" spans="1:9" x14ac:dyDescent="0.2">
      <c r="A241" t="s">
        <v>269</v>
      </c>
      <c r="B241">
        <v>4.0105000000000004</v>
      </c>
      <c r="C241">
        <v>5.6175000000000003E-2</v>
      </c>
      <c r="D241">
        <v>232</v>
      </c>
      <c r="E241" t="s">
        <v>269</v>
      </c>
      <c r="F241">
        <v>232</v>
      </c>
      <c r="G241" s="1">
        <v>45158</v>
      </c>
      <c r="H241" s="6">
        <f t="shared" si="6"/>
        <v>3.1666666666666594</v>
      </c>
      <c r="I241" s="7">
        <f t="shared" si="7"/>
        <v>3.1666666666666594</v>
      </c>
    </row>
    <row r="242" spans="1:9" x14ac:dyDescent="0.2">
      <c r="A242" t="s">
        <v>270</v>
      </c>
      <c r="B242">
        <v>3.9855</v>
      </c>
      <c r="C242">
        <v>5.5809999999999998E-2</v>
      </c>
      <c r="D242">
        <v>232</v>
      </c>
      <c r="E242" t="s">
        <v>270</v>
      </c>
      <c r="F242">
        <v>232</v>
      </c>
      <c r="G242" s="1">
        <v>45158</v>
      </c>
      <c r="H242" s="6">
        <f t="shared" si="6"/>
        <v>3.1770833333333259</v>
      </c>
      <c r="I242" s="7">
        <f t="shared" si="7"/>
        <v>3.1770833333333259</v>
      </c>
    </row>
    <row r="243" spans="1:9" x14ac:dyDescent="0.2">
      <c r="A243" t="s">
        <v>271</v>
      </c>
      <c r="B243">
        <v>4.0105000000000004</v>
      </c>
      <c r="C243">
        <v>5.6169999999999998E-2</v>
      </c>
      <c r="D243">
        <v>232</v>
      </c>
      <c r="E243" t="s">
        <v>271</v>
      </c>
      <c r="F243">
        <v>232</v>
      </c>
      <c r="G243" s="1">
        <v>45158</v>
      </c>
      <c r="H243" s="6">
        <f t="shared" si="6"/>
        <v>3.1874999999999925</v>
      </c>
      <c r="I243" s="7">
        <f t="shared" si="7"/>
        <v>3.1874999999999925</v>
      </c>
    </row>
    <row r="244" spans="1:9" x14ac:dyDescent="0.2">
      <c r="A244" t="s">
        <v>272</v>
      </c>
      <c r="B244">
        <v>4.0015000000000001</v>
      </c>
      <c r="C244">
        <v>5.604E-2</v>
      </c>
      <c r="D244">
        <v>232</v>
      </c>
      <c r="E244" t="s">
        <v>272</v>
      </c>
      <c r="F244">
        <v>232</v>
      </c>
      <c r="G244" s="1">
        <v>45158</v>
      </c>
      <c r="H244" s="6">
        <f t="shared" si="6"/>
        <v>3.197916666666659</v>
      </c>
      <c r="I244" s="7">
        <f t="shared" si="7"/>
        <v>3.197916666666659</v>
      </c>
    </row>
    <row r="245" spans="1:9" x14ac:dyDescent="0.2">
      <c r="A245" t="s">
        <v>273</v>
      </c>
      <c r="B245">
        <v>4.0039999999999996</v>
      </c>
      <c r="C245">
        <v>5.6075E-2</v>
      </c>
      <c r="D245">
        <v>232</v>
      </c>
      <c r="E245" t="s">
        <v>273</v>
      </c>
      <c r="F245">
        <v>232</v>
      </c>
      <c r="G245" s="1">
        <v>45158</v>
      </c>
      <c r="H245" s="6">
        <f t="shared" si="6"/>
        <v>3.2083333333333255</v>
      </c>
      <c r="I245" s="7">
        <f t="shared" si="7"/>
        <v>3.2083333333333255</v>
      </c>
    </row>
    <row r="246" spans="1:9" x14ac:dyDescent="0.2">
      <c r="A246" t="s">
        <v>274</v>
      </c>
      <c r="B246">
        <v>3.988</v>
      </c>
      <c r="C246">
        <v>5.5840000000000001E-2</v>
      </c>
      <c r="D246">
        <v>232</v>
      </c>
      <c r="E246" t="s">
        <v>274</v>
      </c>
      <c r="F246">
        <v>232</v>
      </c>
      <c r="G246" s="1">
        <v>45158</v>
      </c>
      <c r="H246" s="6">
        <f t="shared" si="6"/>
        <v>3.218749999999992</v>
      </c>
      <c r="I246" s="7">
        <f t="shared" si="7"/>
        <v>3.218749999999992</v>
      </c>
    </row>
    <row r="247" spans="1:9" x14ac:dyDescent="0.2">
      <c r="A247" t="s">
        <v>275</v>
      </c>
      <c r="B247">
        <v>4.0339999999999998</v>
      </c>
      <c r="C247">
        <v>5.6485E-2</v>
      </c>
      <c r="D247">
        <v>232</v>
      </c>
      <c r="E247" t="s">
        <v>275</v>
      </c>
      <c r="F247">
        <v>232</v>
      </c>
      <c r="G247" s="1">
        <v>45158</v>
      </c>
      <c r="H247" s="6">
        <f t="shared" si="6"/>
        <v>3.2291666666666585</v>
      </c>
      <c r="I247" s="7">
        <f t="shared" si="7"/>
        <v>3.2291666666666585</v>
      </c>
    </row>
    <row r="248" spans="1:9" x14ac:dyDescent="0.2">
      <c r="A248" t="s">
        <v>276</v>
      </c>
      <c r="B248">
        <v>3.9969999999999999</v>
      </c>
      <c r="C248">
        <v>5.5985E-2</v>
      </c>
      <c r="D248">
        <v>232</v>
      </c>
      <c r="E248" t="s">
        <v>276</v>
      </c>
      <c r="F248">
        <v>232</v>
      </c>
      <c r="G248" s="1">
        <v>45158</v>
      </c>
      <c r="H248" s="6">
        <f t="shared" si="6"/>
        <v>3.239583333333325</v>
      </c>
      <c r="I248" s="7">
        <f t="shared" si="7"/>
        <v>3.239583333333325</v>
      </c>
    </row>
    <row r="249" spans="1:9" x14ac:dyDescent="0.2">
      <c r="A249" t="s">
        <v>277</v>
      </c>
      <c r="B249">
        <v>4.0065</v>
      </c>
      <c r="C249">
        <v>5.6094999999999999E-2</v>
      </c>
      <c r="D249">
        <v>232</v>
      </c>
      <c r="E249" t="s">
        <v>277</v>
      </c>
      <c r="F249">
        <v>232</v>
      </c>
      <c r="G249" s="1">
        <v>45158</v>
      </c>
      <c r="H249" s="6">
        <f t="shared" si="6"/>
        <v>3.2499999999999916</v>
      </c>
      <c r="I249" s="7">
        <f t="shared" si="7"/>
        <v>3.2499999999999916</v>
      </c>
    </row>
    <row r="250" spans="1:9" x14ac:dyDescent="0.2">
      <c r="A250" t="s">
        <v>278</v>
      </c>
      <c r="B250">
        <v>3.9984999999999999</v>
      </c>
      <c r="C250">
        <v>5.6009999999999997E-2</v>
      </c>
      <c r="D250">
        <v>232</v>
      </c>
      <c r="E250" t="s">
        <v>278</v>
      </c>
      <c r="F250">
        <v>232</v>
      </c>
      <c r="G250" s="1">
        <v>45158</v>
      </c>
      <c r="H250" s="6">
        <f t="shared" si="6"/>
        <v>3.2604166666666581</v>
      </c>
      <c r="I250" s="7">
        <f t="shared" si="7"/>
        <v>3.2604166666666581</v>
      </c>
    </row>
    <row r="251" spans="1:9" x14ac:dyDescent="0.2">
      <c r="A251" t="s">
        <v>279</v>
      </c>
      <c r="B251">
        <v>4.0125000000000002</v>
      </c>
      <c r="C251" s="2" t="s">
        <v>266</v>
      </c>
      <c r="D251">
        <v>232</v>
      </c>
      <c r="E251" t="s">
        <v>279</v>
      </c>
      <c r="F251">
        <v>232</v>
      </c>
      <c r="G251" s="1">
        <v>45158</v>
      </c>
      <c r="H251" s="6">
        <f t="shared" si="6"/>
        <v>3.2708333333333246</v>
      </c>
      <c r="I251" s="7">
        <f t="shared" si="7"/>
        <v>3.2708333333333246</v>
      </c>
    </row>
    <row r="252" spans="1:9" x14ac:dyDescent="0.2">
      <c r="A252" t="s">
        <v>280</v>
      </c>
      <c r="B252">
        <v>3.9609999999999999</v>
      </c>
      <c r="C252">
        <v>5.5469999999999998E-2</v>
      </c>
      <c r="D252">
        <v>232</v>
      </c>
      <c r="E252" t="s">
        <v>280</v>
      </c>
      <c r="F252">
        <v>232</v>
      </c>
      <c r="G252" s="1">
        <v>45158</v>
      </c>
      <c r="H252" s="6">
        <f t="shared" si="6"/>
        <v>3.2812499999999911</v>
      </c>
      <c r="I252" s="7">
        <f t="shared" si="7"/>
        <v>3.2812499999999911</v>
      </c>
    </row>
    <row r="253" spans="1:9" x14ac:dyDescent="0.2">
      <c r="A253" t="s">
        <v>281</v>
      </c>
      <c r="B253">
        <v>3.9670000000000001</v>
      </c>
      <c r="C253">
        <v>5.5585000000000002E-2</v>
      </c>
      <c r="D253">
        <v>232</v>
      </c>
      <c r="E253" t="s">
        <v>281</v>
      </c>
      <c r="F253">
        <v>232</v>
      </c>
      <c r="G253" s="1">
        <v>45158</v>
      </c>
      <c r="H253" s="6">
        <f t="shared" si="6"/>
        <v>3.2916666666666576</v>
      </c>
      <c r="I253" s="7">
        <f t="shared" si="7"/>
        <v>3.2916666666666576</v>
      </c>
    </row>
    <row r="254" spans="1:9" x14ac:dyDescent="0.2">
      <c r="A254" t="s">
        <v>282</v>
      </c>
      <c r="B254">
        <v>3.9384999999999999</v>
      </c>
      <c r="C254">
        <v>5.5184999999999998E-2</v>
      </c>
      <c r="D254">
        <v>232</v>
      </c>
      <c r="E254" t="s">
        <v>282</v>
      </c>
      <c r="F254">
        <v>232</v>
      </c>
      <c r="G254" s="1">
        <v>45158</v>
      </c>
      <c r="H254" s="6">
        <f t="shared" si="6"/>
        <v>3.3020833333333242</v>
      </c>
      <c r="I254" s="7">
        <f t="shared" si="7"/>
        <v>3.3020833333333242</v>
      </c>
    </row>
    <row r="255" spans="1:9" x14ac:dyDescent="0.2">
      <c r="A255" t="s">
        <v>283</v>
      </c>
      <c r="B255">
        <v>3.927</v>
      </c>
      <c r="C255">
        <v>5.4995000000000002E-2</v>
      </c>
      <c r="D255">
        <v>232</v>
      </c>
      <c r="E255" t="s">
        <v>283</v>
      </c>
      <c r="F255">
        <v>232</v>
      </c>
      <c r="G255" s="1">
        <v>45158</v>
      </c>
      <c r="H255" s="6">
        <f t="shared" si="6"/>
        <v>3.3124999999999907</v>
      </c>
      <c r="I255" s="7">
        <f t="shared" si="7"/>
        <v>3.3124999999999907</v>
      </c>
    </row>
    <row r="256" spans="1:9" x14ac:dyDescent="0.2">
      <c r="A256" t="s">
        <v>284</v>
      </c>
      <c r="B256">
        <v>3.9390000000000001</v>
      </c>
      <c r="C256">
        <v>5.5145E-2</v>
      </c>
      <c r="D256">
        <v>232</v>
      </c>
      <c r="E256" t="s">
        <v>284</v>
      </c>
      <c r="F256">
        <v>232</v>
      </c>
      <c r="G256" s="1">
        <v>45158</v>
      </c>
      <c r="H256" s="6">
        <f t="shared" si="6"/>
        <v>3.3229166666666572</v>
      </c>
      <c r="I256" s="7">
        <f t="shared" si="7"/>
        <v>3.3229166666666572</v>
      </c>
    </row>
    <row r="257" spans="1:9" x14ac:dyDescent="0.2">
      <c r="A257" t="s">
        <v>285</v>
      </c>
      <c r="B257" s="2" t="s">
        <v>286</v>
      </c>
      <c r="C257">
        <v>5.4594999999999998E-2</v>
      </c>
      <c r="D257">
        <v>232</v>
      </c>
      <c r="E257" t="s">
        <v>285</v>
      </c>
      <c r="F257">
        <v>232</v>
      </c>
      <c r="G257" s="1">
        <v>45158</v>
      </c>
      <c r="H257" s="6">
        <f t="shared" si="6"/>
        <v>3.3333333333333237</v>
      </c>
      <c r="I257" s="7">
        <f t="shared" si="7"/>
        <v>3.3333333333333237</v>
      </c>
    </row>
    <row r="258" spans="1:9" x14ac:dyDescent="0.2">
      <c r="A258" t="s">
        <v>287</v>
      </c>
      <c r="B258">
        <v>3.8704999999999998</v>
      </c>
      <c r="C258">
        <v>5.4214999999999999E-2</v>
      </c>
      <c r="D258">
        <v>232</v>
      </c>
      <c r="E258" t="s">
        <v>287</v>
      </c>
      <c r="F258">
        <v>232</v>
      </c>
      <c r="G258" s="1">
        <v>45158</v>
      </c>
      <c r="H258" s="6">
        <f t="shared" si="6"/>
        <v>3.3437499999999902</v>
      </c>
      <c r="I258" s="7">
        <f t="shared" si="7"/>
        <v>3.3437499999999902</v>
      </c>
    </row>
    <row r="259" spans="1:9" x14ac:dyDescent="0.2">
      <c r="A259" t="s">
        <v>288</v>
      </c>
      <c r="B259">
        <v>3.855</v>
      </c>
      <c r="C259">
        <v>5.3999999999999999E-2</v>
      </c>
      <c r="D259">
        <v>232</v>
      </c>
      <c r="E259" t="s">
        <v>288</v>
      </c>
      <c r="F259">
        <v>232</v>
      </c>
      <c r="G259" s="1">
        <v>45158</v>
      </c>
      <c r="H259" s="6">
        <f t="shared" ref="H259:H322" si="8">H258+$K$1</f>
        <v>3.3541666666666567</v>
      </c>
      <c r="I259" s="7">
        <f t="shared" ref="I259:I322" si="9">I258+$K$1</f>
        <v>3.3541666666666567</v>
      </c>
    </row>
    <row r="260" spans="1:9" x14ac:dyDescent="0.2">
      <c r="A260" t="s">
        <v>289</v>
      </c>
      <c r="B260">
        <v>3.8170000000000002</v>
      </c>
      <c r="C260">
        <v>5.348E-2</v>
      </c>
      <c r="D260">
        <v>232</v>
      </c>
      <c r="E260" t="s">
        <v>289</v>
      </c>
      <c r="F260">
        <v>232</v>
      </c>
      <c r="G260" s="1">
        <v>45158</v>
      </c>
      <c r="H260" s="6">
        <f t="shared" si="8"/>
        <v>3.3645833333333233</v>
      </c>
      <c r="I260" s="7">
        <f t="shared" si="9"/>
        <v>3.3645833333333233</v>
      </c>
    </row>
    <row r="261" spans="1:9" x14ac:dyDescent="0.2">
      <c r="A261" t="s">
        <v>290</v>
      </c>
      <c r="B261">
        <v>3.7715000000000001</v>
      </c>
      <c r="C261">
        <v>5.2835E-2</v>
      </c>
      <c r="D261">
        <v>232</v>
      </c>
      <c r="E261" t="s">
        <v>290</v>
      </c>
      <c r="F261">
        <v>232</v>
      </c>
      <c r="G261" s="1">
        <v>45158</v>
      </c>
      <c r="H261" s="6">
        <f t="shared" si="8"/>
        <v>3.3749999999999898</v>
      </c>
      <c r="I261" s="7">
        <f t="shared" si="9"/>
        <v>3.3749999999999898</v>
      </c>
    </row>
    <row r="262" spans="1:9" x14ac:dyDescent="0.2">
      <c r="A262" t="s">
        <v>291</v>
      </c>
      <c r="B262">
        <v>3.7749999999999999</v>
      </c>
      <c r="C262">
        <v>5.2905000000000001E-2</v>
      </c>
      <c r="D262">
        <v>232</v>
      </c>
      <c r="E262" t="s">
        <v>291</v>
      </c>
      <c r="F262">
        <v>232</v>
      </c>
      <c r="G262" s="1">
        <v>45158</v>
      </c>
      <c r="H262" s="6">
        <f t="shared" si="8"/>
        <v>3.3854166666666563</v>
      </c>
      <c r="I262" s="7">
        <f t="shared" si="9"/>
        <v>3.3854166666666563</v>
      </c>
    </row>
    <row r="263" spans="1:9" x14ac:dyDescent="0.2">
      <c r="A263" t="s">
        <v>292</v>
      </c>
      <c r="B263">
        <v>3.7164999999999999</v>
      </c>
      <c r="C263">
        <v>5.2054999999999997E-2</v>
      </c>
      <c r="D263">
        <v>232</v>
      </c>
      <c r="E263" t="s">
        <v>292</v>
      </c>
      <c r="F263">
        <v>232</v>
      </c>
      <c r="G263" s="1">
        <v>45158</v>
      </c>
      <c r="H263" s="6">
        <f t="shared" si="8"/>
        <v>3.3958333333333228</v>
      </c>
      <c r="I263" s="7">
        <f t="shared" si="9"/>
        <v>3.3958333333333228</v>
      </c>
    </row>
    <row r="264" spans="1:9" x14ac:dyDescent="0.2">
      <c r="A264" t="s">
        <v>293</v>
      </c>
      <c r="B264">
        <v>3.6509999999999998</v>
      </c>
      <c r="C264">
        <v>5.1165000000000002E-2</v>
      </c>
      <c r="D264">
        <v>232</v>
      </c>
      <c r="E264" t="s">
        <v>293</v>
      </c>
      <c r="F264">
        <v>232</v>
      </c>
      <c r="G264" s="1">
        <v>45158</v>
      </c>
      <c r="H264" s="6">
        <f t="shared" si="8"/>
        <v>3.4062499999999893</v>
      </c>
      <c r="I264" s="7">
        <f t="shared" si="9"/>
        <v>3.4062499999999893</v>
      </c>
    </row>
    <row r="265" spans="1:9" x14ac:dyDescent="0.2">
      <c r="A265" t="s">
        <v>294</v>
      </c>
      <c r="B265">
        <v>3.6339999999999999</v>
      </c>
      <c r="C265">
        <v>5.0909999999999997E-2</v>
      </c>
      <c r="D265">
        <v>232</v>
      </c>
      <c r="E265" t="s">
        <v>294</v>
      </c>
      <c r="F265">
        <v>232</v>
      </c>
      <c r="G265" s="1">
        <v>45158</v>
      </c>
      <c r="H265" s="6">
        <f t="shared" si="8"/>
        <v>3.4166666666666559</v>
      </c>
      <c r="I265" s="7">
        <f t="shared" si="9"/>
        <v>3.4166666666666559</v>
      </c>
    </row>
    <row r="266" spans="1:9" x14ac:dyDescent="0.2">
      <c r="A266" t="s">
        <v>295</v>
      </c>
      <c r="B266" s="2" t="s">
        <v>296</v>
      </c>
      <c r="C266">
        <v>5.0070000000000003E-2</v>
      </c>
      <c r="D266">
        <v>232</v>
      </c>
      <c r="E266" t="s">
        <v>295</v>
      </c>
      <c r="F266">
        <v>232</v>
      </c>
      <c r="G266" s="1">
        <v>45158</v>
      </c>
      <c r="H266" s="6">
        <f t="shared" si="8"/>
        <v>3.4270833333333224</v>
      </c>
      <c r="I266" s="7">
        <f t="shared" si="9"/>
        <v>3.4270833333333224</v>
      </c>
    </row>
    <row r="267" spans="1:9" x14ac:dyDescent="0.2">
      <c r="A267" t="s">
        <v>297</v>
      </c>
      <c r="B267">
        <v>3.5390000000000001</v>
      </c>
      <c r="C267">
        <v>4.9555000000000002E-2</v>
      </c>
      <c r="D267">
        <v>232</v>
      </c>
      <c r="E267" t="s">
        <v>297</v>
      </c>
      <c r="F267">
        <v>232</v>
      </c>
      <c r="G267" s="1">
        <v>45158</v>
      </c>
      <c r="H267" s="6">
        <f t="shared" si="8"/>
        <v>3.4374999999999889</v>
      </c>
      <c r="I267" s="7">
        <f t="shared" si="9"/>
        <v>3.4374999999999889</v>
      </c>
    </row>
    <row r="268" spans="1:9" x14ac:dyDescent="0.2">
      <c r="A268" t="s">
        <v>298</v>
      </c>
      <c r="B268">
        <v>3.4990000000000001</v>
      </c>
      <c r="C268">
        <v>4.9009999999999998E-2</v>
      </c>
      <c r="D268">
        <v>232</v>
      </c>
      <c r="E268" t="s">
        <v>298</v>
      </c>
      <c r="F268">
        <v>232</v>
      </c>
      <c r="G268" s="1">
        <v>45158</v>
      </c>
      <c r="H268" s="6">
        <f t="shared" si="8"/>
        <v>3.4479166666666554</v>
      </c>
      <c r="I268" s="7">
        <f t="shared" si="9"/>
        <v>3.4479166666666554</v>
      </c>
    </row>
    <row r="269" spans="1:9" x14ac:dyDescent="0.2">
      <c r="A269" t="s">
        <v>299</v>
      </c>
      <c r="B269">
        <v>3.4765000000000001</v>
      </c>
      <c r="C269">
        <v>4.8710000000000003E-2</v>
      </c>
      <c r="D269">
        <v>232</v>
      </c>
      <c r="E269" t="s">
        <v>299</v>
      </c>
      <c r="F269">
        <v>232</v>
      </c>
      <c r="G269" s="1">
        <v>45158</v>
      </c>
      <c r="H269" s="6">
        <f t="shared" si="8"/>
        <v>3.4583333333333219</v>
      </c>
      <c r="I269" s="7">
        <f t="shared" si="9"/>
        <v>3.4583333333333219</v>
      </c>
    </row>
    <row r="270" spans="1:9" x14ac:dyDescent="0.2">
      <c r="A270" t="s">
        <v>300</v>
      </c>
      <c r="B270" s="2" t="s">
        <v>301</v>
      </c>
      <c r="C270">
        <v>4.7914999999999999E-2</v>
      </c>
      <c r="D270">
        <v>232</v>
      </c>
      <c r="E270" t="s">
        <v>300</v>
      </c>
      <c r="F270">
        <v>232</v>
      </c>
      <c r="G270" s="1">
        <v>45158</v>
      </c>
      <c r="H270" s="6">
        <f t="shared" si="8"/>
        <v>3.4687499999999885</v>
      </c>
      <c r="I270" s="7">
        <f t="shared" si="9"/>
        <v>3.4687499999999885</v>
      </c>
    </row>
    <row r="271" spans="1:9" x14ac:dyDescent="0.2">
      <c r="A271" t="s">
        <v>302</v>
      </c>
      <c r="B271">
        <v>3.3975</v>
      </c>
      <c r="C271" s="2" t="s">
        <v>303</v>
      </c>
      <c r="D271">
        <v>232</v>
      </c>
      <c r="E271" t="s">
        <v>302</v>
      </c>
      <c r="F271">
        <v>232</v>
      </c>
      <c r="G271" s="1">
        <v>45158</v>
      </c>
      <c r="H271" s="6">
        <f t="shared" si="8"/>
        <v>3.479166666666655</v>
      </c>
      <c r="I271" s="7">
        <f t="shared" si="9"/>
        <v>3.479166666666655</v>
      </c>
    </row>
    <row r="272" spans="1:9" x14ac:dyDescent="0.2">
      <c r="A272" t="s">
        <v>304</v>
      </c>
      <c r="B272">
        <v>3.4009999999999998</v>
      </c>
      <c r="C272">
        <v>4.7645E-2</v>
      </c>
      <c r="D272">
        <v>232</v>
      </c>
      <c r="E272" t="s">
        <v>304</v>
      </c>
      <c r="F272">
        <v>232</v>
      </c>
      <c r="G272" s="1">
        <v>45158</v>
      </c>
      <c r="H272" s="6">
        <f t="shared" si="8"/>
        <v>3.4895833333333215</v>
      </c>
      <c r="I272" s="7">
        <f t="shared" si="9"/>
        <v>3.4895833333333215</v>
      </c>
    </row>
    <row r="273" spans="1:9" x14ac:dyDescent="0.2">
      <c r="A273" t="s">
        <v>305</v>
      </c>
      <c r="B273">
        <v>3.3494999999999999</v>
      </c>
      <c r="C273">
        <v>4.691E-2</v>
      </c>
      <c r="D273">
        <v>232</v>
      </c>
      <c r="E273" t="s">
        <v>305</v>
      </c>
      <c r="F273">
        <v>232</v>
      </c>
      <c r="G273" s="1">
        <v>45158</v>
      </c>
      <c r="H273" s="6">
        <f t="shared" si="8"/>
        <v>3.499999999999988</v>
      </c>
      <c r="I273" s="7">
        <f t="shared" si="9"/>
        <v>3.499999999999988</v>
      </c>
    </row>
    <row r="274" spans="1:9" x14ac:dyDescent="0.2">
      <c r="A274" t="s">
        <v>306</v>
      </c>
      <c r="B274">
        <v>3.3479999999999999</v>
      </c>
      <c r="C274">
        <v>4.6885000000000003E-2</v>
      </c>
      <c r="D274">
        <v>232</v>
      </c>
      <c r="E274" t="s">
        <v>306</v>
      </c>
      <c r="F274">
        <v>232</v>
      </c>
      <c r="G274" s="1">
        <v>45158</v>
      </c>
      <c r="H274" s="6">
        <f t="shared" si="8"/>
        <v>3.5104166666666545</v>
      </c>
      <c r="I274" s="7">
        <f t="shared" si="9"/>
        <v>3.5104166666666545</v>
      </c>
    </row>
    <row r="275" spans="1:9" x14ac:dyDescent="0.2">
      <c r="A275" t="s">
        <v>307</v>
      </c>
      <c r="B275">
        <v>3.3285</v>
      </c>
      <c r="C275">
        <v>4.6644999999999999E-2</v>
      </c>
      <c r="D275">
        <v>232</v>
      </c>
      <c r="E275" t="s">
        <v>307</v>
      </c>
      <c r="F275">
        <v>232</v>
      </c>
      <c r="G275" s="1">
        <v>45158</v>
      </c>
      <c r="H275" s="6">
        <f t="shared" si="8"/>
        <v>3.520833333333321</v>
      </c>
      <c r="I275" s="7">
        <f t="shared" si="9"/>
        <v>3.520833333333321</v>
      </c>
    </row>
    <row r="276" spans="1:9" x14ac:dyDescent="0.2">
      <c r="A276" t="s">
        <v>308</v>
      </c>
      <c r="B276">
        <v>3.3460000000000001</v>
      </c>
      <c r="C276">
        <v>4.6864999999999997E-2</v>
      </c>
      <c r="D276">
        <v>232</v>
      </c>
      <c r="E276" t="s">
        <v>308</v>
      </c>
      <c r="F276">
        <v>232</v>
      </c>
      <c r="G276" s="1">
        <v>45158</v>
      </c>
      <c r="H276" s="6">
        <f t="shared" si="8"/>
        <v>3.5312499999999876</v>
      </c>
      <c r="I276" s="7">
        <f t="shared" si="9"/>
        <v>3.5312499999999876</v>
      </c>
    </row>
    <row r="277" spans="1:9" x14ac:dyDescent="0.2">
      <c r="A277" t="s">
        <v>309</v>
      </c>
      <c r="B277">
        <v>3.3330000000000002</v>
      </c>
      <c r="C277">
        <v>4.6690000000000002E-2</v>
      </c>
      <c r="D277">
        <v>232</v>
      </c>
      <c r="E277" t="s">
        <v>309</v>
      </c>
      <c r="F277">
        <v>232</v>
      </c>
      <c r="G277" s="1">
        <v>45158</v>
      </c>
      <c r="H277" s="6">
        <f t="shared" si="8"/>
        <v>3.5416666666666541</v>
      </c>
      <c r="I277" s="7">
        <f t="shared" si="9"/>
        <v>3.5416666666666541</v>
      </c>
    </row>
    <row r="278" spans="1:9" x14ac:dyDescent="0.2">
      <c r="A278" t="s">
        <v>310</v>
      </c>
      <c r="B278">
        <v>3.3075000000000001</v>
      </c>
      <c r="C278">
        <v>4.632E-2</v>
      </c>
      <c r="D278">
        <v>232</v>
      </c>
      <c r="E278" t="s">
        <v>310</v>
      </c>
      <c r="F278">
        <v>232</v>
      </c>
      <c r="G278" s="1">
        <v>45158</v>
      </c>
      <c r="H278" s="6">
        <f t="shared" si="8"/>
        <v>3.5520833333333206</v>
      </c>
      <c r="I278" s="7">
        <f t="shared" si="9"/>
        <v>3.5520833333333206</v>
      </c>
    </row>
    <row r="279" spans="1:9" x14ac:dyDescent="0.2">
      <c r="A279" t="s">
        <v>311</v>
      </c>
      <c r="B279">
        <v>3.3005</v>
      </c>
      <c r="C279">
        <v>4.6219999999999997E-2</v>
      </c>
      <c r="D279">
        <v>232</v>
      </c>
      <c r="E279" t="s">
        <v>311</v>
      </c>
      <c r="F279">
        <v>232</v>
      </c>
      <c r="G279" s="1">
        <v>45158</v>
      </c>
      <c r="H279" s="6">
        <f t="shared" si="8"/>
        <v>3.5624999999999871</v>
      </c>
      <c r="I279" s="7">
        <f t="shared" si="9"/>
        <v>3.5624999999999871</v>
      </c>
    </row>
    <row r="280" spans="1:9" x14ac:dyDescent="0.2">
      <c r="A280" t="s">
        <v>312</v>
      </c>
      <c r="B280">
        <v>3.2705000000000002</v>
      </c>
      <c r="C280">
        <v>4.5795000000000002E-2</v>
      </c>
      <c r="D280">
        <v>232</v>
      </c>
      <c r="E280" t="s">
        <v>312</v>
      </c>
      <c r="F280">
        <v>232</v>
      </c>
      <c r="G280" s="1">
        <v>45158</v>
      </c>
      <c r="H280" s="6">
        <f t="shared" si="8"/>
        <v>3.5729166666666536</v>
      </c>
      <c r="I280" s="7">
        <f t="shared" si="9"/>
        <v>3.5729166666666536</v>
      </c>
    </row>
    <row r="281" spans="1:9" x14ac:dyDescent="0.2">
      <c r="A281" t="s">
        <v>313</v>
      </c>
      <c r="B281">
        <v>3.2789999999999999</v>
      </c>
      <c r="C281">
        <v>4.5940000000000002E-2</v>
      </c>
      <c r="D281">
        <v>232</v>
      </c>
      <c r="E281" t="s">
        <v>313</v>
      </c>
      <c r="F281">
        <v>232</v>
      </c>
      <c r="G281" s="1">
        <v>45158</v>
      </c>
      <c r="H281" s="6">
        <f t="shared" si="8"/>
        <v>3.5833333333333202</v>
      </c>
      <c r="I281" s="7">
        <f t="shared" si="9"/>
        <v>3.5833333333333202</v>
      </c>
    </row>
    <row r="282" spans="1:9" x14ac:dyDescent="0.2">
      <c r="A282" t="s">
        <v>314</v>
      </c>
      <c r="B282">
        <v>3.3045</v>
      </c>
      <c r="C282">
        <v>4.6285E-2</v>
      </c>
      <c r="D282">
        <v>232</v>
      </c>
      <c r="E282" t="s">
        <v>314</v>
      </c>
      <c r="F282">
        <v>232</v>
      </c>
      <c r="G282" s="1">
        <v>45158</v>
      </c>
      <c r="H282" s="6">
        <f t="shared" si="8"/>
        <v>3.5937499999999867</v>
      </c>
      <c r="I282" s="7">
        <f t="shared" si="9"/>
        <v>3.5937499999999867</v>
      </c>
    </row>
    <row r="283" spans="1:9" x14ac:dyDescent="0.2">
      <c r="A283" t="s">
        <v>315</v>
      </c>
      <c r="B283">
        <v>3.258</v>
      </c>
      <c r="C283">
        <v>4.5624999999999999E-2</v>
      </c>
      <c r="D283">
        <v>232</v>
      </c>
      <c r="E283" t="s">
        <v>315</v>
      </c>
      <c r="F283">
        <v>232</v>
      </c>
      <c r="G283" s="1">
        <v>45158</v>
      </c>
      <c r="H283" s="6">
        <f t="shared" si="8"/>
        <v>3.6041666666666532</v>
      </c>
      <c r="I283" s="7">
        <f t="shared" si="9"/>
        <v>3.6041666666666532</v>
      </c>
    </row>
    <row r="284" spans="1:9" x14ac:dyDescent="0.2">
      <c r="A284" t="s">
        <v>316</v>
      </c>
      <c r="B284">
        <v>3.2574999999999998</v>
      </c>
      <c r="C284">
        <v>4.5624999999999999E-2</v>
      </c>
      <c r="D284">
        <v>232</v>
      </c>
      <c r="E284" t="s">
        <v>316</v>
      </c>
      <c r="F284">
        <v>232</v>
      </c>
      <c r="G284" s="1">
        <v>45158</v>
      </c>
      <c r="H284" s="6">
        <f t="shared" si="8"/>
        <v>3.6145833333333197</v>
      </c>
      <c r="I284" s="7">
        <f t="shared" si="9"/>
        <v>3.6145833333333197</v>
      </c>
    </row>
    <row r="285" spans="1:9" x14ac:dyDescent="0.2">
      <c r="A285" t="s">
        <v>317</v>
      </c>
      <c r="B285">
        <v>3.2524999999999999</v>
      </c>
      <c r="C285">
        <v>4.5539999999999997E-2</v>
      </c>
      <c r="D285">
        <v>232</v>
      </c>
      <c r="E285" t="s">
        <v>317</v>
      </c>
      <c r="F285">
        <v>232</v>
      </c>
      <c r="G285" s="1">
        <v>45158</v>
      </c>
      <c r="H285" s="6">
        <f t="shared" si="8"/>
        <v>3.6249999999999862</v>
      </c>
      <c r="I285" s="7">
        <f t="shared" si="9"/>
        <v>3.6249999999999862</v>
      </c>
    </row>
    <row r="286" spans="1:9" x14ac:dyDescent="0.2">
      <c r="A286" t="s">
        <v>318</v>
      </c>
      <c r="B286">
        <v>3.2324999999999999</v>
      </c>
      <c r="C286">
        <v>4.5284999999999999E-2</v>
      </c>
      <c r="D286">
        <v>232</v>
      </c>
      <c r="E286" t="s">
        <v>318</v>
      </c>
      <c r="F286">
        <v>232</v>
      </c>
      <c r="G286" s="1">
        <v>45158</v>
      </c>
      <c r="H286" s="6">
        <f t="shared" si="8"/>
        <v>3.6354166666666528</v>
      </c>
      <c r="I286" s="7">
        <f t="shared" si="9"/>
        <v>3.6354166666666528</v>
      </c>
    </row>
    <row r="287" spans="1:9" x14ac:dyDescent="0.2">
      <c r="A287" t="s">
        <v>319</v>
      </c>
      <c r="B287">
        <v>3.2475000000000001</v>
      </c>
      <c r="C287">
        <v>4.5499999999999999E-2</v>
      </c>
      <c r="D287">
        <v>232</v>
      </c>
      <c r="E287" t="s">
        <v>319</v>
      </c>
      <c r="F287">
        <v>232</v>
      </c>
      <c r="G287" s="1">
        <v>45158</v>
      </c>
      <c r="H287" s="6">
        <f t="shared" si="8"/>
        <v>3.6458333333333193</v>
      </c>
      <c r="I287" s="7">
        <f t="shared" si="9"/>
        <v>3.6458333333333193</v>
      </c>
    </row>
    <row r="288" spans="1:9" x14ac:dyDescent="0.2">
      <c r="A288" t="s">
        <v>320</v>
      </c>
      <c r="B288" s="2" t="s">
        <v>321</v>
      </c>
      <c r="C288">
        <v>4.5100000000000001E-2</v>
      </c>
      <c r="D288">
        <v>232</v>
      </c>
      <c r="E288" t="s">
        <v>320</v>
      </c>
      <c r="F288">
        <v>232</v>
      </c>
      <c r="G288" s="1">
        <v>45158</v>
      </c>
      <c r="H288" s="6">
        <f t="shared" si="8"/>
        <v>3.6562499999999858</v>
      </c>
      <c r="I288" s="7">
        <f t="shared" si="9"/>
        <v>3.6562499999999858</v>
      </c>
    </row>
    <row r="289" spans="1:9" x14ac:dyDescent="0.2">
      <c r="A289" t="s">
        <v>322</v>
      </c>
      <c r="B289">
        <v>3.2324999999999999</v>
      </c>
      <c r="C289">
        <v>4.5289999999999997E-2</v>
      </c>
      <c r="D289">
        <v>232</v>
      </c>
      <c r="E289" t="s">
        <v>322</v>
      </c>
      <c r="F289">
        <v>232</v>
      </c>
      <c r="G289" s="1">
        <v>45158</v>
      </c>
      <c r="H289" s="6">
        <f t="shared" si="8"/>
        <v>3.6666666666666523</v>
      </c>
      <c r="I289" s="7">
        <f t="shared" si="9"/>
        <v>3.6666666666666523</v>
      </c>
    </row>
    <row r="290" spans="1:9" x14ac:dyDescent="0.2">
      <c r="A290" t="s">
        <v>323</v>
      </c>
      <c r="B290">
        <v>3.2334999999999998</v>
      </c>
      <c r="C290">
        <v>4.5265E-2</v>
      </c>
      <c r="D290">
        <v>232</v>
      </c>
      <c r="E290" t="s">
        <v>323</v>
      </c>
      <c r="F290">
        <v>232</v>
      </c>
      <c r="G290" s="1">
        <v>45158</v>
      </c>
      <c r="H290" s="6">
        <f t="shared" si="8"/>
        <v>3.6770833333333188</v>
      </c>
      <c r="I290" s="7">
        <f t="shared" si="9"/>
        <v>3.6770833333333188</v>
      </c>
    </row>
    <row r="291" spans="1:9" x14ac:dyDescent="0.2">
      <c r="A291" t="s">
        <v>324</v>
      </c>
      <c r="B291">
        <v>3.2370000000000001</v>
      </c>
      <c r="C291">
        <v>4.5339999999999998E-2</v>
      </c>
      <c r="D291">
        <v>232</v>
      </c>
      <c r="E291" t="s">
        <v>324</v>
      </c>
      <c r="F291">
        <v>232</v>
      </c>
      <c r="G291" s="1">
        <v>45158</v>
      </c>
      <c r="H291" s="6">
        <f t="shared" si="8"/>
        <v>3.6874999999999853</v>
      </c>
      <c r="I291" s="7">
        <f t="shared" si="9"/>
        <v>3.6874999999999853</v>
      </c>
    </row>
    <row r="292" spans="1:9" x14ac:dyDescent="0.2">
      <c r="A292" t="s">
        <v>325</v>
      </c>
      <c r="B292">
        <v>3.2484999999999999</v>
      </c>
      <c r="C292">
        <v>4.5499999999999999E-2</v>
      </c>
      <c r="D292">
        <v>232</v>
      </c>
      <c r="E292" t="s">
        <v>325</v>
      </c>
      <c r="F292">
        <v>232</v>
      </c>
      <c r="G292" s="1">
        <v>45158</v>
      </c>
      <c r="H292" s="6">
        <f t="shared" si="8"/>
        <v>3.6979166666666519</v>
      </c>
      <c r="I292" s="7">
        <f t="shared" si="9"/>
        <v>3.6979166666666519</v>
      </c>
    </row>
    <row r="293" spans="1:9" x14ac:dyDescent="0.2">
      <c r="A293" t="s">
        <v>326</v>
      </c>
      <c r="B293">
        <v>3.242</v>
      </c>
      <c r="C293">
        <v>4.5394999999999998E-2</v>
      </c>
      <c r="D293">
        <v>232</v>
      </c>
      <c r="E293" t="s">
        <v>326</v>
      </c>
      <c r="F293">
        <v>232</v>
      </c>
      <c r="G293" s="1">
        <v>45158</v>
      </c>
      <c r="H293" s="6">
        <f t="shared" si="8"/>
        <v>3.7083333333333184</v>
      </c>
      <c r="I293" s="7">
        <f t="shared" si="9"/>
        <v>3.7083333333333184</v>
      </c>
    </row>
    <row r="294" spans="1:9" x14ac:dyDescent="0.2">
      <c r="A294" t="s">
        <v>327</v>
      </c>
      <c r="B294">
        <v>3.2210000000000001</v>
      </c>
      <c r="C294">
        <v>4.512E-2</v>
      </c>
      <c r="D294">
        <v>232</v>
      </c>
      <c r="E294" t="s">
        <v>327</v>
      </c>
      <c r="F294">
        <v>232</v>
      </c>
      <c r="G294" s="1">
        <v>45158</v>
      </c>
      <c r="H294" s="6">
        <f t="shared" si="8"/>
        <v>3.7187499999999849</v>
      </c>
      <c r="I294" s="7">
        <f t="shared" si="9"/>
        <v>3.7187499999999849</v>
      </c>
    </row>
    <row r="295" spans="1:9" x14ac:dyDescent="0.2">
      <c r="A295" t="s">
        <v>328</v>
      </c>
      <c r="B295">
        <v>3.21</v>
      </c>
      <c r="C295">
        <v>4.4935000000000003E-2</v>
      </c>
      <c r="D295">
        <v>232</v>
      </c>
      <c r="E295" t="s">
        <v>328</v>
      </c>
      <c r="F295">
        <v>232</v>
      </c>
      <c r="G295" s="1">
        <v>45158</v>
      </c>
      <c r="H295" s="6">
        <f t="shared" si="8"/>
        <v>3.7291666666666514</v>
      </c>
      <c r="I295" s="7">
        <f t="shared" si="9"/>
        <v>3.7291666666666514</v>
      </c>
    </row>
    <row r="296" spans="1:9" x14ac:dyDescent="0.2">
      <c r="A296" t="s">
        <v>329</v>
      </c>
      <c r="B296">
        <v>3.234</v>
      </c>
      <c r="C296">
        <v>4.5315000000000001E-2</v>
      </c>
      <c r="D296">
        <v>232</v>
      </c>
      <c r="E296" t="s">
        <v>329</v>
      </c>
      <c r="F296">
        <v>232</v>
      </c>
      <c r="G296" s="1">
        <v>45158</v>
      </c>
      <c r="H296" s="6">
        <f t="shared" si="8"/>
        <v>3.7395833333333179</v>
      </c>
      <c r="I296" s="7">
        <f t="shared" si="9"/>
        <v>3.7395833333333179</v>
      </c>
    </row>
    <row r="297" spans="1:9" x14ac:dyDescent="0.2">
      <c r="A297" t="s">
        <v>330</v>
      </c>
      <c r="B297">
        <v>3.2294999999999998</v>
      </c>
      <c r="C297">
        <v>4.5234999999999997E-2</v>
      </c>
      <c r="D297">
        <v>233</v>
      </c>
      <c r="E297" t="s">
        <v>330</v>
      </c>
      <c r="F297">
        <v>232</v>
      </c>
      <c r="G297" s="1">
        <v>45158</v>
      </c>
      <c r="H297" s="6">
        <f t="shared" si="8"/>
        <v>3.7499999999999845</v>
      </c>
      <c r="I297" s="7">
        <f t="shared" si="9"/>
        <v>3.7499999999999845</v>
      </c>
    </row>
    <row r="298" spans="1:9" x14ac:dyDescent="0.2">
      <c r="A298" t="s">
        <v>331</v>
      </c>
      <c r="B298">
        <v>3.258</v>
      </c>
      <c r="C298" s="2" t="s">
        <v>332</v>
      </c>
      <c r="D298">
        <v>233</v>
      </c>
      <c r="E298" t="s">
        <v>331</v>
      </c>
      <c r="F298">
        <v>232</v>
      </c>
      <c r="G298" s="1">
        <v>45158</v>
      </c>
      <c r="H298" s="6">
        <f t="shared" si="8"/>
        <v>3.760416666666651</v>
      </c>
      <c r="I298" s="7">
        <f t="shared" si="9"/>
        <v>3.760416666666651</v>
      </c>
    </row>
    <row r="299" spans="1:9" x14ac:dyDescent="0.2">
      <c r="A299" t="s">
        <v>333</v>
      </c>
      <c r="B299">
        <v>3.2275</v>
      </c>
      <c r="C299">
        <v>4.5205000000000002E-2</v>
      </c>
      <c r="D299">
        <v>233</v>
      </c>
      <c r="E299" t="s">
        <v>333</v>
      </c>
      <c r="F299">
        <v>232</v>
      </c>
      <c r="G299" s="1">
        <v>45158</v>
      </c>
      <c r="H299" s="6">
        <f t="shared" si="8"/>
        <v>3.7708333333333175</v>
      </c>
      <c r="I299" s="7">
        <f t="shared" si="9"/>
        <v>3.7708333333333175</v>
      </c>
    </row>
    <row r="300" spans="1:9" x14ac:dyDescent="0.2">
      <c r="A300" t="s">
        <v>334</v>
      </c>
      <c r="B300">
        <v>3.2294999999999998</v>
      </c>
      <c r="C300">
        <v>4.5234999999999997E-2</v>
      </c>
      <c r="D300">
        <v>233</v>
      </c>
      <c r="E300" t="s">
        <v>334</v>
      </c>
      <c r="F300">
        <v>232</v>
      </c>
      <c r="G300" s="1">
        <v>45158</v>
      </c>
      <c r="H300" s="6">
        <f t="shared" si="8"/>
        <v>3.781249999999984</v>
      </c>
      <c r="I300" s="7">
        <f t="shared" si="9"/>
        <v>3.781249999999984</v>
      </c>
    </row>
    <row r="301" spans="1:9" x14ac:dyDescent="0.2">
      <c r="A301" t="s">
        <v>335</v>
      </c>
      <c r="B301">
        <v>3.26</v>
      </c>
      <c r="C301" s="2" t="s">
        <v>332</v>
      </c>
      <c r="D301">
        <v>233</v>
      </c>
      <c r="E301" t="s">
        <v>335</v>
      </c>
      <c r="F301">
        <v>232</v>
      </c>
      <c r="G301" s="1">
        <v>45158</v>
      </c>
      <c r="H301" s="6">
        <f t="shared" si="8"/>
        <v>3.7916666666666505</v>
      </c>
      <c r="I301" s="7">
        <f t="shared" si="9"/>
        <v>3.7916666666666505</v>
      </c>
    </row>
    <row r="302" spans="1:9" x14ac:dyDescent="0.2">
      <c r="A302" t="s">
        <v>336</v>
      </c>
      <c r="B302">
        <v>3.2549999999999999</v>
      </c>
      <c r="C302">
        <v>4.5585000000000001E-2</v>
      </c>
      <c r="D302">
        <v>233</v>
      </c>
      <c r="E302" t="s">
        <v>336</v>
      </c>
      <c r="F302">
        <v>232</v>
      </c>
      <c r="G302" s="1">
        <v>45158</v>
      </c>
      <c r="H302" s="6">
        <f t="shared" si="8"/>
        <v>3.8020833333333171</v>
      </c>
      <c r="I302" s="7">
        <f t="shared" si="9"/>
        <v>3.8020833333333171</v>
      </c>
    </row>
    <row r="303" spans="1:9" x14ac:dyDescent="0.2">
      <c r="A303" t="s">
        <v>337</v>
      </c>
      <c r="B303">
        <v>3.2675000000000001</v>
      </c>
      <c r="C303">
        <v>4.5765E-2</v>
      </c>
      <c r="D303">
        <v>233</v>
      </c>
      <c r="E303" t="s">
        <v>337</v>
      </c>
      <c r="F303">
        <v>232</v>
      </c>
      <c r="G303" s="1">
        <v>45158</v>
      </c>
      <c r="H303" s="6">
        <f t="shared" si="8"/>
        <v>3.8124999999999836</v>
      </c>
      <c r="I303" s="7">
        <f t="shared" si="9"/>
        <v>3.8124999999999836</v>
      </c>
    </row>
    <row r="304" spans="1:9" x14ac:dyDescent="0.2">
      <c r="A304" t="s">
        <v>338</v>
      </c>
      <c r="B304">
        <v>3.2709999999999999</v>
      </c>
      <c r="C304">
        <v>4.5804999999999998E-2</v>
      </c>
      <c r="D304">
        <v>233</v>
      </c>
      <c r="E304" t="s">
        <v>338</v>
      </c>
      <c r="F304">
        <v>232</v>
      </c>
      <c r="G304" s="1">
        <v>45158</v>
      </c>
      <c r="H304" s="6">
        <f t="shared" si="8"/>
        <v>3.8229166666666501</v>
      </c>
      <c r="I304" s="7">
        <f t="shared" si="9"/>
        <v>3.8229166666666501</v>
      </c>
    </row>
    <row r="305" spans="1:9" x14ac:dyDescent="0.2">
      <c r="A305" t="s">
        <v>339</v>
      </c>
      <c r="B305">
        <v>3.2665000000000002</v>
      </c>
      <c r="C305">
        <v>4.5749999999999999E-2</v>
      </c>
      <c r="D305">
        <v>233</v>
      </c>
      <c r="E305" t="s">
        <v>339</v>
      </c>
      <c r="F305">
        <v>232</v>
      </c>
      <c r="G305" s="1">
        <v>45158</v>
      </c>
      <c r="H305" s="6">
        <f t="shared" si="8"/>
        <v>3.8333333333333166</v>
      </c>
      <c r="I305" s="7">
        <f t="shared" si="9"/>
        <v>3.8333333333333166</v>
      </c>
    </row>
    <row r="306" spans="1:9" x14ac:dyDescent="0.2">
      <c r="A306" t="s">
        <v>340</v>
      </c>
      <c r="B306">
        <v>3.2490000000000001</v>
      </c>
      <c r="C306">
        <v>4.5504999999999997E-2</v>
      </c>
      <c r="D306">
        <v>233</v>
      </c>
      <c r="E306" t="s">
        <v>340</v>
      </c>
      <c r="F306">
        <v>232</v>
      </c>
      <c r="G306" s="1">
        <v>45158</v>
      </c>
      <c r="H306" s="6">
        <f t="shared" si="8"/>
        <v>3.8437499999999831</v>
      </c>
      <c r="I306" s="7">
        <f t="shared" si="9"/>
        <v>3.8437499999999831</v>
      </c>
    </row>
    <row r="307" spans="1:9" x14ac:dyDescent="0.2">
      <c r="A307" t="s">
        <v>341</v>
      </c>
      <c r="B307">
        <v>3.2875000000000001</v>
      </c>
      <c r="C307">
        <v>4.6065000000000002E-2</v>
      </c>
      <c r="D307">
        <v>233</v>
      </c>
      <c r="E307" t="s">
        <v>341</v>
      </c>
      <c r="F307">
        <v>232</v>
      </c>
      <c r="G307" s="1">
        <v>45158</v>
      </c>
      <c r="H307" s="6">
        <f t="shared" si="8"/>
        <v>3.8541666666666496</v>
      </c>
      <c r="I307" s="7">
        <f t="shared" si="9"/>
        <v>3.8541666666666496</v>
      </c>
    </row>
    <row r="308" spans="1:9" x14ac:dyDescent="0.2">
      <c r="A308" t="s">
        <v>342</v>
      </c>
      <c r="B308">
        <v>3.2934999999999999</v>
      </c>
      <c r="C308">
        <v>4.614E-2</v>
      </c>
      <c r="D308">
        <v>233</v>
      </c>
      <c r="E308" t="s">
        <v>342</v>
      </c>
      <c r="F308">
        <v>232</v>
      </c>
      <c r="G308" s="1">
        <v>45158</v>
      </c>
      <c r="H308" s="6">
        <f t="shared" si="8"/>
        <v>3.8645833333333162</v>
      </c>
      <c r="I308" s="7">
        <f t="shared" si="9"/>
        <v>3.8645833333333162</v>
      </c>
    </row>
    <row r="309" spans="1:9" x14ac:dyDescent="0.2">
      <c r="A309" t="s">
        <v>343</v>
      </c>
      <c r="B309">
        <v>3.2995000000000001</v>
      </c>
      <c r="C309">
        <v>4.6219999999999997E-2</v>
      </c>
      <c r="D309">
        <v>233</v>
      </c>
      <c r="E309" t="s">
        <v>343</v>
      </c>
      <c r="F309">
        <v>232</v>
      </c>
      <c r="G309" s="1">
        <v>45158</v>
      </c>
      <c r="H309" s="6">
        <f t="shared" si="8"/>
        <v>3.8749999999999827</v>
      </c>
      <c r="I309" s="7">
        <f t="shared" si="9"/>
        <v>3.8749999999999827</v>
      </c>
    </row>
    <row r="310" spans="1:9" x14ac:dyDescent="0.2">
      <c r="A310" t="s">
        <v>344</v>
      </c>
      <c r="B310">
        <v>3.3355000000000001</v>
      </c>
      <c r="C310">
        <v>4.6710000000000002E-2</v>
      </c>
      <c r="D310">
        <v>233</v>
      </c>
      <c r="E310" t="s">
        <v>344</v>
      </c>
      <c r="F310">
        <v>232</v>
      </c>
      <c r="G310" s="1">
        <v>45158</v>
      </c>
      <c r="H310" s="6">
        <f t="shared" si="8"/>
        <v>3.8854166666666492</v>
      </c>
      <c r="I310" s="7">
        <f t="shared" si="9"/>
        <v>3.8854166666666492</v>
      </c>
    </row>
    <row r="311" spans="1:9" x14ac:dyDescent="0.2">
      <c r="A311" t="s">
        <v>345</v>
      </c>
      <c r="B311">
        <v>3.3534999999999999</v>
      </c>
      <c r="C311">
        <v>4.6969999999999998E-2</v>
      </c>
      <c r="D311">
        <v>233</v>
      </c>
      <c r="E311" t="s">
        <v>345</v>
      </c>
      <c r="F311">
        <v>232</v>
      </c>
      <c r="G311" s="1">
        <v>45158</v>
      </c>
      <c r="H311" s="6">
        <f t="shared" si="8"/>
        <v>3.8958333333333157</v>
      </c>
      <c r="I311" s="7">
        <f t="shared" si="9"/>
        <v>3.8958333333333157</v>
      </c>
    </row>
    <row r="312" spans="1:9" x14ac:dyDescent="0.2">
      <c r="A312" t="s">
        <v>346</v>
      </c>
      <c r="B312">
        <v>3.4055</v>
      </c>
      <c r="C312">
        <v>4.7710000000000002E-2</v>
      </c>
      <c r="D312">
        <v>233</v>
      </c>
      <c r="E312" t="s">
        <v>346</v>
      </c>
      <c r="F312">
        <v>232</v>
      </c>
      <c r="G312" s="1">
        <v>45158</v>
      </c>
      <c r="H312" s="6">
        <f t="shared" si="8"/>
        <v>3.9062499999999822</v>
      </c>
      <c r="I312" s="7">
        <f t="shared" si="9"/>
        <v>3.9062499999999822</v>
      </c>
    </row>
    <row r="313" spans="1:9" x14ac:dyDescent="0.2">
      <c r="A313" t="s">
        <v>347</v>
      </c>
      <c r="B313">
        <v>3.4590000000000001</v>
      </c>
      <c r="C313">
        <v>4.8445000000000002E-2</v>
      </c>
      <c r="D313">
        <v>233</v>
      </c>
      <c r="E313" t="s">
        <v>347</v>
      </c>
      <c r="F313">
        <v>232</v>
      </c>
      <c r="G313" s="1">
        <v>45158</v>
      </c>
      <c r="H313" s="6">
        <f t="shared" si="8"/>
        <v>3.9166666666666488</v>
      </c>
      <c r="I313" s="7">
        <f t="shared" si="9"/>
        <v>3.9166666666666488</v>
      </c>
    </row>
    <row r="314" spans="1:9" x14ac:dyDescent="0.2">
      <c r="A314" t="s">
        <v>348</v>
      </c>
      <c r="B314">
        <v>3.4975000000000001</v>
      </c>
      <c r="C314">
        <v>4.8994999999999997E-2</v>
      </c>
      <c r="D314">
        <v>233</v>
      </c>
      <c r="E314" t="s">
        <v>348</v>
      </c>
      <c r="F314">
        <v>232</v>
      </c>
      <c r="G314" s="1">
        <v>45158</v>
      </c>
      <c r="H314" s="6">
        <f t="shared" si="8"/>
        <v>3.9270833333333153</v>
      </c>
      <c r="I314" s="7">
        <f t="shared" si="9"/>
        <v>3.9270833333333153</v>
      </c>
    </row>
    <row r="315" spans="1:9" x14ac:dyDescent="0.2">
      <c r="A315" t="s">
        <v>349</v>
      </c>
      <c r="B315">
        <v>3.5510000000000002</v>
      </c>
      <c r="C315">
        <v>4.9735000000000001E-2</v>
      </c>
      <c r="D315">
        <v>233</v>
      </c>
      <c r="E315" t="s">
        <v>349</v>
      </c>
      <c r="F315">
        <v>232</v>
      </c>
      <c r="G315" s="1">
        <v>45158</v>
      </c>
      <c r="H315" s="6">
        <f t="shared" si="8"/>
        <v>3.9374999999999818</v>
      </c>
      <c r="I315" s="7">
        <f t="shared" si="9"/>
        <v>3.9374999999999818</v>
      </c>
    </row>
    <row r="316" spans="1:9" x14ac:dyDescent="0.2">
      <c r="A316" t="s">
        <v>350</v>
      </c>
      <c r="B316">
        <v>3.58</v>
      </c>
      <c r="C316">
        <v>5.015E-2</v>
      </c>
      <c r="D316">
        <v>233</v>
      </c>
      <c r="E316" t="s">
        <v>350</v>
      </c>
      <c r="F316">
        <v>232</v>
      </c>
      <c r="G316" s="1">
        <v>45158</v>
      </c>
      <c r="H316" s="6">
        <f t="shared" si="8"/>
        <v>3.9479166666666483</v>
      </c>
      <c r="I316" s="7">
        <f t="shared" si="9"/>
        <v>3.9479166666666483</v>
      </c>
    </row>
    <row r="317" spans="1:9" x14ac:dyDescent="0.2">
      <c r="A317" t="s">
        <v>351</v>
      </c>
      <c r="B317">
        <v>3.653</v>
      </c>
      <c r="C317">
        <v>5.1145000000000003E-2</v>
      </c>
      <c r="D317">
        <v>233</v>
      </c>
      <c r="E317" t="s">
        <v>351</v>
      </c>
      <c r="F317">
        <v>232</v>
      </c>
      <c r="G317" s="1">
        <v>45158</v>
      </c>
      <c r="H317" s="6">
        <f t="shared" si="8"/>
        <v>3.9583333333333148</v>
      </c>
      <c r="I317" s="7">
        <f t="shared" si="9"/>
        <v>3.9583333333333148</v>
      </c>
    </row>
    <row r="318" spans="1:9" x14ac:dyDescent="0.2">
      <c r="A318" t="s">
        <v>352</v>
      </c>
      <c r="B318">
        <v>3.7210000000000001</v>
      </c>
      <c r="C318">
        <v>5.212E-2</v>
      </c>
      <c r="D318">
        <v>233</v>
      </c>
      <c r="E318" t="s">
        <v>352</v>
      </c>
      <c r="F318">
        <v>232</v>
      </c>
      <c r="G318" s="1">
        <v>45158</v>
      </c>
      <c r="H318" s="6">
        <f t="shared" si="8"/>
        <v>3.9687499999999813</v>
      </c>
      <c r="I318" s="7">
        <f t="shared" si="9"/>
        <v>3.9687499999999813</v>
      </c>
    </row>
    <row r="319" spans="1:9" x14ac:dyDescent="0.2">
      <c r="A319" t="s">
        <v>353</v>
      </c>
      <c r="B319">
        <v>3.7549999999999999</v>
      </c>
      <c r="C319">
        <v>5.2585E-2</v>
      </c>
      <c r="D319">
        <v>233</v>
      </c>
      <c r="E319" t="s">
        <v>353</v>
      </c>
      <c r="F319">
        <v>232</v>
      </c>
      <c r="G319" s="1">
        <v>45158</v>
      </c>
      <c r="H319" s="6">
        <f t="shared" si="8"/>
        <v>3.9791666666666479</v>
      </c>
      <c r="I319" s="7">
        <f t="shared" si="9"/>
        <v>3.9791666666666479</v>
      </c>
    </row>
    <row r="320" spans="1:9" x14ac:dyDescent="0.2">
      <c r="A320" t="s">
        <v>354</v>
      </c>
      <c r="B320">
        <v>3.8315000000000001</v>
      </c>
      <c r="C320">
        <v>5.3670000000000002E-2</v>
      </c>
      <c r="D320">
        <v>233</v>
      </c>
      <c r="E320" t="s">
        <v>354</v>
      </c>
      <c r="F320">
        <v>232</v>
      </c>
      <c r="G320" s="1">
        <v>45158</v>
      </c>
      <c r="H320" s="6">
        <f t="shared" si="8"/>
        <v>3.9895833333333144</v>
      </c>
      <c r="I320" s="7">
        <f t="shared" si="9"/>
        <v>3.9895833333333144</v>
      </c>
    </row>
    <row r="321" spans="1:9" x14ac:dyDescent="0.2">
      <c r="A321" t="s">
        <v>355</v>
      </c>
      <c r="B321">
        <v>3.8624999999999998</v>
      </c>
      <c r="C321">
        <v>5.4089999999999999E-2</v>
      </c>
      <c r="D321">
        <v>233</v>
      </c>
      <c r="E321" t="s">
        <v>355</v>
      </c>
      <c r="F321">
        <v>233</v>
      </c>
      <c r="G321" s="1">
        <v>45159</v>
      </c>
      <c r="H321" s="6">
        <f t="shared" si="8"/>
        <v>3.9999999999999809</v>
      </c>
      <c r="I321" s="7">
        <f t="shared" si="9"/>
        <v>3.9999999999999809</v>
      </c>
    </row>
    <row r="322" spans="1:9" x14ac:dyDescent="0.2">
      <c r="A322" t="s">
        <v>356</v>
      </c>
      <c r="B322">
        <v>3.879</v>
      </c>
      <c r="C322">
        <v>5.4339999999999999E-2</v>
      </c>
      <c r="D322">
        <v>233</v>
      </c>
      <c r="E322" t="s">
        <v>356</v>
      </c>
      <c r="F322">
        <v>233</v>
      </c>
      <c r="G322" s="1">
        <v>45159</v>
      </c>
      <c r="H322" s="6">
        <f t="shared" si="8"/>
        <v>4.0104166666666474</v>
      </c>
      <c r="I322" s="7">
        <f t="shared" si="9"/>
        <v>4.0104166666666474</v>
      </c>
    </row>
    <row r="323" spans="1:9" x14ac:dyDescent="0.2">
      <c r="A323" t="s">
        <v>357</v>
      </c>
      <c r="B323">
        <v>3.89</v>
      </c>
      <c r="C323">
        <v>5.4475000000000003E-2</v>
      </c>
      <c r="D323">
        <v>233</v>
      </c>
      <c r="E323" t="s">
        <v>357</v>
      </c>
      <c r="F323">
        <v>233</v>
      </c>
      <c r="G323" s="1">
        <v>45159</v>
      </c>
      <c r="H323" s="6">
        <f t="shared" ref="H323:H386" si="10">H322+$K$1</f>
        <v>4.0208333333333144</v>
      </c>
      <c r="I323" s="7">
        <f t="shared" ref="I323:I386" si="11">I322+$K$1</f>
        <v>4.0208333333333144</v>
      </c>
    </row>
    <row r="324" spans="1:9" x14ac:dyDescent="0.2">
      <c r="A324" t="s">
        <v>358</v>
      </c>
      <c r="B324" s="2" t="s">
        <v>359</v>
      </c>
      <c r="C324">
        <v>5.5044999999999997E-2</v>
      </c>
      <c r="D324">
        <v>233</v>
      </c>
      <c r="E324" t="s">
        <v>358</v>
      </c>
      <c r="F324">
        <v>233</v>
      </c>
      <c r="G324" s="1">
        <v>45159</v>
      </c>
      <c r="H324" s="6">
        <f t="shared" si="10"/>
        <v>4.0312499999999813</v>
      </c>
      <c r="I324" s="7">
        <f t="shared" si="11"/>
        <v>4.0312499999999813</v>
      </c>
    </row>
    <row r="325" spans="1:9" x14ac:dyDescent="0.2">
      <c r="A325" t="s">
        <v>360</v>
      </c>
      <c r="B325">
        <v>3.9470000000000001</v>
      </c>
      <c r="C325">
        <v>5.5300000000000002E-2</v>
      </c>
      <c r="D325">
        <v>233</v>
      </c>
      <c r="E325" t="s">
        <v>360</v>
      </c>
      <c r="F325">
        <v>233</v>
      </c>
      <c r="G325" s="1">
        <v>45159</v>
      </c>
      <c r="H325" s="6">
        <f t="shared" si="10"/>
        <v>4.0416666666666483</v>
      </c>
      <c r="I325" s="7">
        <f t="shared" si="11"/>
        <v>4.0416666666666483</v>
      </c>
    </row>
    <row r="326" spans="1:9" x14ac:dyDescent="0.2">
      <c r="A326" t="s">
        <v>361</v>
      </c>
      <c r="B326">
        <v>3.9664999999999999</v>
      </c>
      <c r="C326">
        <v>5.5539999999999999E-2</v>
      </c>
      <c r="D326">
        <v>233</v>
      </c>
      <c r="E326" t="s">
        <v>361</v>
      </c>
      <c r="F326">
        <v>233</v>
      </c>
      <c r="G326" s="1">
        <v>45159</v>
      </c>
      <c r="H326" s="6">
        <f t="shared" si="10"/>
        <v>4.0520833333333153</v>
      </c>
      <c r="I326" s="7">
        <f t="shared" si="11"/>
        <v>4.0520833333333153</v>
      </c>
    </row>
    <row r="327" spans="1:9" x14ac:dyDescent="0.2">
      <c r="A327" t="s">
        <v>362</v>
      </c>
      <c r="B327">
        <v>3.9609999999999999</v>
      </c>
      <c r="C327" s="2" t="s">
        <v>363</v>
      </c>
      <c r="D327">
        <v>233</v>
      </c>
      <c r="E327" t="s">
        <v>362</v>
      </c>
      <c r="F327">
        <v>233</v>
      </c>
      <c r="G327" s="1">
        <v>45159</v>
      </c>
      <c r="H327" s="6">
        <f t="shared" si="10"/>
        <v>4.0624999999999822</v>
      </c>
      <c r="I327" s="7">
        <f t="shared" si="11"/>
        <v>4.0624999999999822</v>
      </c>
    </row>
    <row r="328" spans="1:9" x14ac:dyDescent="0.2">
      <c r="A328" t="s">
        <v>364</v>
      </c>
      <c r="B328">
        <v>3.9849999999999999</v>
      </c>
      <c r="C328">
        <v>5.5820000000000002E-2</v>
      </c>
      <c r="D328">
        <v>233</v>
      </c>
      <c r="E328" t="s">
        <v>364</v>
      </c>
      <c r="F328">
        <v>233</v>
      </c>
      <c r="G328" s="1">
        <v>45159</v>
      </c>
      <c r="H328" s="6">
        <f t="shared" si="10"/>
        <v>4.0729166666666492</v>
      </c>
      <c r="I328" s="7">
        <f t="shared" si="11"/>
        <v>4.0729166666666492</v>
      </c>
    </row>
    <row r="329" spans="1:9" x14ac:dyDescent="0.2">
      <c r="A329" t="s">
        <v>365</v>
      </c>
      <c r="B329">
        <v>3.9634999999999998</v>
      </c>
      <c r="C329">
        <v>5.5530000000000003E-2</v>
      </c>
      <c r="D329">
        <v>233</v>
      </c>
      <c r="E329" t="s">
        <v>365</v>
      </c>
      <c r="F329">
        <v>233</v>
      </c>
      <c r="G329" s="1">
        <v>45159</v>
      </c>
      <c r="H329" s="6">
        <f t="shared" si="10"/>
        <v>4.0833333333333162</v>
      </c>
      <c r="I329" s="7">
        <f t="shared" si="11"/>
        <v>4.0833333333333162</v>
      </c>
    </row>
    <row r="330" spans="1:9" x14ac:dyDescent="0.2">
      <c r="A330" t="s">
        <v>366</v>
      </c>
      <c r="B330">
        <v>3.956</v>
      </c>
      <c r="C330">
        <v>5.5419999999999997E-2</v>
      </c>
      <c r="D330">
        <v>233</v>
      </c>
      <c r="E330" t="s">
        <v>366</v>
      </c>
      <c r="F330">
        <v>233</v>
      </c>
      <c r="G330" s="1">
        <v>45159</v>
      </c>
      <c r="H330" s="6">
        <f t="shared" si="10"/>
        <v>4.0937499999999831</v>
      </c>
      <c r="I330" s="7">
        <f t="shared" si="11"/>
        <v>4.0937499999999831</v>
      </c>
    </row>
    <row r="331" spans="1:9" x14ac:dyDescent="0.2">
      <c r="A331" t="s">
        <v>367</v>
      </c>
      <c r="B331">
        <v>3.9685000000000001</v>
      </c>
      <c r="C331">
        <v>5.5579999999999997E-2</v>
      </c>
      <c r="D331">
        <v>233</v>
      </c>
      <c r="E331" t="s">
        <v>367</v>
      </c>
      <c r="F331">
        <v>233</v>
      </c>
      <c r="G331" s="1">
        <v>45159</v>
      </c>
      <c r="H331" s="6">
        <f t="shared" si="10"/>
        <v>4.1041666666666501</v>
      </c>
      <c r="I331" s="7">
        <f t="shared" si="11"/>
        <v>4.1041666666666501</v>
      </c>
    </row>
    <row r="332" spans="1:9" x14ac:dyDescent="0.2">
      <c r="A332" t="s">
        <v>368</v>
      </c>
      <c r="B332">
        <v>3.9914999999999998</v>
      </c>
      <c r="C332">
        <v>5.5914999999999999E-2</v>
      </c>
      <c r="D332">
        <v>233</v>
      </c>
      <c r="E332" t="s">
        <v>368</v>
      </c>
      <c r="F332">
        <v>233</v>
      </c>
      <c r="G332" s="1">
        <v>45159</v>
      </c>
      <c r="H332" s="6">
        <f t="shared" si="10"/>
        <v>4.1145833333333171</v>
      </c>
      <c r="I332" s="7">
        <f t="shared" si="11"/>
        <v>4.1145833333333171</v>
      </c>
    </row>
    <row r="333" spans="1:9" x14ac:dyDescent="0.2">
      <c r="A333" t="s">
        <v>369</v>
      </c>
      <c r="B333" s="2" t="s">
        <v>370</v>
      </c>
      <c r="C333">
        <v>5.5840000000000001E-2</v>
      </c>
      <c r="D333">
        <v>233</v>
      </c>
      <c r="E333" t="s">
        <v>369</v>
      </c>
      <c r="F333">
        <v>233</v>
      </c>
      <c r="G333" s="1">
        <v>45159</v>
      </c>
      <c r="H333" s="6">
        <f t="shared" si="10"/>
        <v>4.124999999999984</v>
      </c>
      <c r="I333" s="7">
        <f t="shared" si="11"/>
        <v>4.124999999999984</v>
      </c>
    </row>
    <row r="334" spans="1:9" x14ac:dyDescent="0.2">
      <c r="A334" t="s">
        <v>371</v>
      </c>
      <c r="B334">
        <v>4.0019999999999998</v>
      </c>
      <c r="C334">
        <v>5.6070000000000002E-2</v>
      </c>
      <c r="D334">
        <v>233</v>
      </c>
      <c r="E334" t="s">
        <v>371</v>
      </c>
      <c r="F334">
        <v>233</v>
      </c>
      <c r="G334" s="1">
        <v>45159</v>
      </c>
      <c r="H334" s="6">
        <f t="shared" si="10"/>
        <v>4.135416666666651</v>
      </c>
      <c r="I334" s="7">
        <f t="shared" si="11"/>
        <v>4.135416666666651</v>
      </c>
    </row>
    <row r="335" spans="1:9" x14ac:dyDescent="0.2">
      <c r="A335" t="s">
        <v>372</v>
      </c>
      <c r="B335">
        <v>3.9975000000000001</v>
      </c>
      <c r="C335">
        <v>5.5995000000000003E-2</v>
      </c>
      <c r="D335">
        <v>233</v>
      </c>
      <c r="E335" t="s">
        <v>372</v>
      </c>
      <c r="F335">
        <v>233</v>
      </c>
      <c r="G335" s="1">
        <v>45159</v>
      </c>
      <c r="H335" s="6">
        <f t="shared" si="10"/>
        <v>4.1458333333333179</v>
      </c>
      <c r="I335" s="7">
        <f t="shared" si="11"/>
        <v>4.1458333333333179</v>
      </c>
    </row>
    <row r="336" spans="1:9" x14ac:dyDescent="0.2">
      <c r="A336" t="s">
        <v>373</v>
      </c>
      <c r="B336">
        <v>4.0075000000000003</v>
      </c>
      <c r="C336">
        <v>5.6129999999999999E-2</v>
      </c>
      <c r="D336">
        <v>233</v>
      </c>
      <c r="E336" t="s">
        <v>373</v>
      </c>
      <c r="F336">
        <v>233</v>
      </c>
      <c r="G336" s="1">
        <v>45159</v>
      </c>
      <c r="H336" s="6">
        <f t="shared" si="10"/>
        <v>4.1562499999999849</v>
      </c>
      <c r="I336" s="7">
        <f t="shared" si="11"/>
        <v>4.1562499999999849</v>
      </c>
    </row>
    <row r="337" spans="1:9" x14ac:dyDescent="0.2">
      <c r="A337" t="s">
        <v>374</v>
      </c>
      <c r="B337" s="2" t="s">
        <v>375</v>
      </c>
      <c r="C337">
        <v>5.6024999999999998E-2</v>
      </c>
      <c r="D337">
        <v>233</v>
      </c>
      <c r="E337" t="s">
        <v>374</v>
      </c>
      <c r="F337">
        <v>233</v>
      </c>
      <c r="G337" s="1">
        <v>45159</v>
      </c>
      <c r="H337" s="6">
        <f t="shared" si="10"/>
        <v>4.1666666666666519</v>
      </c>
      <c r="I337" s="7">
        <f t="shared" si="11"/>
        <v>4.1666666666666519</v>
      </c>
    </row>
    <row r="338" spans="1:9" x14ac:dyDescent="0.2">
      <c r="A338" t="s">
        <v>376</v>
      </c>
      <c r="B338">
        <v>3.9950000000000001</v>
      </c>
      <c r="C338">
        <v>5.5945000000000002E-2</v>
      </c>
      <c r="D338">
        <v>233</v>
      </c>
      <c r="E338" t="s">
        <v>376</v>
      </c>
      <c r="F338">
        <v>233</v>
      </c>
      <c r="G338" s="1">
        <v>45159</v>
      </c>
      <c r="H338" s="6">
        <f t="shared" si="10"/>
        <v>4.1770833333333188</v>
      </c>
      <c r="I338" s="7">
        <f t="shared" si="11"/>
        <v>4.1770833333333188</v>
      </c>
    </row>
    <row r="339" spans="1:9" x14ac:dyDescent="0.2">
      <c r="A339" t="s">
        <v>377</v>
      </c>
      <c r="B339">
        <v>4.0140000000000002</v>
      </c>
      <c r="C339">
        <v>5.6219999999999999E-2</v>
      </c>
      <c r="D339">
        <v>233</v>
      </c>
      <c r="E339" t="s">
        <v>377</v>
      </c>
      <c r="F339">
        <v>233</v>
      </c>
      <c r="G339" s="1">
        <v>45159</v>
      </c>
      <c r="H339" s="6">
        <f t="shared" si="10"/>
        <v>4.1874999999999858</v>
      </c>
      <c r="I339" s="7">
        <f t="shared" si="11"/>
        <v>4.1874999999999858</v>
      </c>
    </row>
    <row r="340" spans="1:9" x14ac:dyDescent="0.2">
      <c r="A340" t="s">
        <v>378</v>
      </c>
      <c r="B340">
        <v>3.9994999999999998</v>
      </c>
      <c r="C340">
        <v>5.6024999999999998E-2</v>
      </c>
      <c r="D340">
        <v>233</v>
      </c>
      <c r="E340" t="s">
        <v>378</v>
      </c>
      <c r="F340">
        <v>233</v>
      </c>
      <c r="G340" s="1">
        <v>45159</v>
      </c>
      <c r="H340" s="6">
        <f t="shared" si="10"/>
        <v>4.1979166666666528</v>
      </c>
      <c r="I340" s="7">
        <f t="shared" si="11"/>
        <v>4.1979166666666528</v>
      </c>
    </row>
    <row r="341" spans="1:9" x14ac:dyDescent="0.2">
      <c r="A341" t="s">
        <v>379</v>
      </c>
      <c r="B341">
        <v>4.0045000000000002</v>
      </c>
      <c r="C341">
        <v>5.6094999999999999E-2</v>
      </c>
      <c r="D341">
        <v>233</v>
      </c>
      <c r="E341" t="s">
        <v>379</v>
      </c>
      <c r="F341">
        <v>233</v>
      </c>
      <c r="G341" s="1">
        <v>45159</v>
      </c>
      <c r="H341" s="6">
        <f t="shared" si="10"/>
        <v>4.2083333333333197</v>
      </c>
      <c r="I341" s="7">
        <f t="shared" si="11"/>
        <v>4.2083333333333197</v>
      </c>
    </row>
    <row r="342" spans="1:9" x14ac:dyDescent="0.2">
      <c r="A342" t="s">
        <v>380</v>
      </c>
      <c r="B342">
        <v>4.0049999999999999</v>
      </c>
      <c r="C342">
        <v>5.6090000000000001E-2</v>
      </c>
      <c r="D342">
        <v>233</v>
      </c>
      <c r="E342" t="s">
        <v>380</v>
      </c>
      <c r="F342">
        <v>233</v>
      </c>
      <c r="G342" s="1">
        <v>45159</v>
      </c>
      <c r="H342" s="6">
        <f t="shared" si="10"/>
        <v>4.2187499999999867</v>
      </c>
      <c r="I342" s="7">
        <f t="shared" si="11"/>
        <v>4.2187499999999867</v>
      </c>
    </row>
    <row r="343" spans="1:9" x14ac:dyDescent="0.2">
      <c r="A343" t="s">
        <v>381</v>
      </c>
      <c r="B343">
        <v>3.9954999999999998</v>
      </c>
      <c r="C343">
        <v>5.5965000000000001E-2</v>
      </c>
      <c r="D343">
        <v>233</v>
      </c>
      <c r="E343" t="s">
        <v>381</v>
      </c>
      <c r="F343">
        <v>233</v>
      </c>
      <c r="G343" s="1">
        <v>45159</v>
      </c>
      <c r="H343" s="6">
        <f t="shared" si="10"/>
        <v>4.2291666666666536</v>
      </c>
      <c r="I343" s="7">
        <f t="shared" si="11"/>
        <v>4.2291666666666536</v>
      </c>
    </row>
    <row r="344" spans="1:9" x14ac:dyDescent="0.2">
      <c r="A344" t="s">
        <v>382</v>
      </c>
      <c r="B344">
        <v>3.9990000000000001</v>
      </c>
      <c r="C344">
        <v>5.6009999999999997E-2</v>
      </c>
      <c r="D344">
        <v>233</v>
      </c>
      <c r="E344" t="s">
        <v>382</v>
      </c>
      <c r="F344">
        <v>233</v>
      </c>
      <c r="G344" s="1">
        <v>45159</v>
      </c>
      <c r="H344" s="6">
        <f t="shared" si="10"/>
        <v>4.2395833333333206</v>
      </c>
      <c r="I344" s="7">
        <f t="shared" si="11"/>
        <v>4.2395833333333206</v>
      </c>
    </row>
    <row r="345" spans="1:9" x14ac:dyDescent="0.2">
      <c r="A345" t="s">
        <v>383</v>
      </c>
      <c r="B345">
        <v>4.0045000000000002</v>
      </c>
      <c r="C345" s="2" t="s">
        <v>384</v>
      </c>
      <c r="D345">
        <v>233</v>
      </c>
      <c r="E345" t="s">
        <v>383</v>
      </c>
      <c r="F345">
        <v>233</v>
      </c>
      <c r="G345" s="1">
        <v>45159</v>
      </c>
      <c r="H345" s="6">
        <f t="shared" si="10"/>
        <v>4.2499999999999876</v>
      </c>
      <c r="I345" s="7">
        <f t="shared" si="11"/>
        <v>4.2499999999999876</v>
      </c>
    </row>
    <row r="346" spans="1:9" x14ac:dyDescent="0.2">
      <c r="A346" t="s">
        <v>385</v>
      </c>
      <c r="B346">
        <v>4.0110000000000001</v>
      </c>
      <c r="C346">
        <v>5.6180000000000001E-2</v>
      </c>
      <c r="D346">
        <v>233</v>
      </c>
      <c r="E346" t="s">
        <v>385</v>
      </c>
      <c r="F346">
        <v>233</v>
      </c>
      <c r="G346" s="1">
        <v>45159</v>
      </c>
      <c r="H346" s="6">
        <f t="shared" si="10"/>
        <v>4.2604166666666545</v>
      </c>
      <c r="I346" s="7">
        <f t="shared" si="11"/>
        <v>4.2604166666666545</v>
      </c>
    </row>
    <row r="347" spans="1:9" x14ac:dyDescent="0.2">
      <c r="A347" t="s">
        <v>386</v>
      </c>
      <c r="B347">
        <v>4.0069999999999997</v>
      </c>
      <c r="C347">
        <v>5.6134999999999997E-2</v>
      </c>
      <c r="D347">
        <v>233</v>
      </c>
      <c r="E347" t="s">
        <v>386</v>
      </c>
      <c r="F347">
        <v>233</v>
      </c>
      <c r="G347" s="1">
        <v>45159</v>
      </c>
      <c r="H347" s="6">
        <f t="shared" si="10"/>
        <v>4.2708333333333215</v>
      </c>
      <c r="I347" s="7">
        <f t="shared" si="11"/>
        <v>4.2708333333333215</v>
      </c>
    </row>
    <row r="348" spans="1:9" x14ac:dyDescent="0.2">
      <c r="A348" t="s">
        <v>387</v>
      </c>
      <c r="B348">
        <v>3.9940000000000002</v>
      </c>
      <c r="C348">
        <v>5.5960000000000003E-2</v>
      </c>
      <c r="D348">
        <v>233</v>
      </c>
      <c r="E348" t="s">
        <v>387</v>
      </c>
      <c r="F348">
        <v>233</v>
      </c>
      <c r="G348" s="1">
        <v>45159</v>
      </c>
      <c r="H348" s="6">
        <f t="shared" si="10"/>
        <v>4.2812499999999885</v>
      </c>
      <c r="I348" s="7">
        <f t="shared" si="11"/>
        <v>4.2812499999999885</v>
      </c>
    </row>
    <row r="349" spans="1:9" x14ac:dyDescent="0.2">
      <c r="A349" t="s">
        <v>388</v>
      </c>
      <c r="B349">
        <v>3.9925000000000002</v>
      </c>
      <c r="C349" s="2" t="s">
        <v>389</v>
      </c>
      <c r="D349">
        <v>233</v>
      </c>
      <c r="E349" t="s">
        <v>388</v>
      </c>
      <c r="F349">
        <v>233</v>
      </c>
      <c r="G349" s="1">
        <v>45159</v>
      </c>
      <c r="H349" s="6">
        <f t="shared" si="10"/>
        <v>4.2916666666666554</v>
      </c>
      <c r="I349" s="7">
        <f t="shared" si="11"/>
        <v>4.2916666666666554</v>
      </c>
    </row>
    <row r="350" spans="1:9" x14ac:dyDescent="0.2">
      <c r="A350" t="s">
        <v>390</v>
      </c>
      <c r="B350">
        <v>3.9775</v>
      </c>
      <c r="C350">
        <v>5.5704999999999998E-2</v>
      </c>
      <c r="D350">
        <v>233</v>
      </c>
      <c r="E350" t="s">
        <v>390</v>
      </c>
      <c r="F350">
        <v>233</v>
      </c>
      <c r="G350" s="1">
        <v>45159</v>
      </c>
      <c r="H350" s="6">
        <f t="shared" si="10"/>
        <v>4.3020833333333224</v>
      </c>
      <c r="I350" s="7">
        <f t="shared" si="11"/>
        <v>4.3020833333333224</v>
      </c>
    </row>
    <row r="351" spans="1:9" x14ac:dyDescent="0.2">
      <c r="A351" t="s">
        <v>391</v>
      </c>
      <c r="B351">
        <v>3.9754999999999998</v>
      </c>
      <c r="C351" s="2" t="s">
        <v>392</v>
      </c>
      <c r="D351">
        <v>233</v>
      </c>
      <c r="E351" t="s">
        <v>391</v>
      </c>
      <c r="F351">
        <v>233</v>
      </c>
      <c r="G351" s="1">
        <v>45159</v>
      </c>
      <c r="H351" s="6">
        <f t="shared" si="10"/>
        <v>4.3124999999999893</v>
      </c>
      <c r="I351" s="7">
        <f t="shared" si="11"/>
        <v>4.3124999999999893</v>
      </c>
    </row>
    <row r="352" spans="1:9" x14ac:dyDescent="0.2">
      <c r="A352" t="s">
        <v>393</v>
      </c>
      <c r="B352">
        <v>3.9714999999999998</v>
      </c>
      <c r="C352" s="2" t="s">
        <v>394</v>
      </c>
      <c r="D352">
        <v>233</v>
      </c>
      <c r="E352" t="s">
        <v>393</v>
      </c>
      <c r="F352">
        <v>233</v>
      </c>
      <c r="G352" s="1">
        <v>45159</v>
      </c>
      <c r="H352" s="6">
        <f t="shared" si="10"/>
        <v>4.3229166666666563</v>
      </c>
      <c r="I352" s="7">
        <f t="shared" si="11"/>
        <v>4.3229166666666563</v>
      </c>
    </row>
    <row r="353" spans="1:9" x14ac:dyDescent="0.2">
      <c r="A353" t="s">
        <v>395</v>
      </c>
      <c r="B353">
        <v>3.9740000000000002</v>
      </c>
      <c r="C353">
        <v>5.5649999999999998E-2</v>
      </c>
      <c r="D353">
        <v>233</v>
      </c>
      <c r="E353" t="s">
        <v>395</v>
      </c>
      <c r="F353">
        <v>233</v>
      </c>
      <c r="G353" s="1">
        <v>45159</v>
      </c>
      <c r="H353" s="6">
        <f t="shared" si="10"/>
        <v>4.3333333333333233</v>
      </c>
      <c r="I353" s="7">
        <f t="shared" si="11"/>
        <v>4.3333333333333233</v>
      </c>
    </row>
    <row r="354" spans="1:9" x14ac:dyDescent="0.2">
      <c r="A354" t="s">
        <v>396</v>
      </c>
      <c r="B354">
        <v>3.9455</v>
      </c>
      <c r="C354">
        <v>5.525E-2</v>
      </c>
      <c r="D354">
        <v>233</v>
      </c>
      <c r="E354" t="s">
        <v>396</v>
      </c>
      <c r="F354">
        <v>233</v>
      </c>
      <c r="G354" s="1">
        <v>45159</v>
      </c>
      <c r="H354" s="6">
        <f t="shared" si="10"/>
        <v>4.3437499999999902</v>
      </c>
      <c r="I354" s="7">
        <f t="shared" si="11"/>
        <v>4.3437499999999902</v>
      </c>
    </row>
    <row r="355" spans="1:9" x14ac:dyDescent="0.2">
      <c r="A355" t="s">
        <v>397</v>
      </c>
      <c r="B355">
        <v>3.9275000000000002</v>
      </c>
      <c r="C355">
        <v>5.5E-2</v>
      </c>
      <c r="D355">
        <v>233</v>
      </c>
      <c r="E355" t="s">
        <v>397</v>
      </c>
      <c r="F355">
        <v>233</v>
      </c>
      <c r="G355" s="1">
        <v>45159</v>
      </c>
      <c r="H355" s="6">
        <f t="shared" si="10"/>
        <v>4.3541666666666572</v>
      </c>
      <c r="I355" s="7">
        <f t="shared" si="11"/>
        <v>4.3541666666666572</v>
      </c>
    </row>
    <row r="356" spans="1:9" x14ac:dyDescent="0.2">
      <c r="A356" t="s">
        <v>398</v>
      </c>
      <c r="B356">
        <v>3.9115000000000002</v>
      </c>
      <c r="C356">
        <v>5.4769999999999999E-2</v>
      </c>
      <c r="D356">
        <v>233</v>
      </c>
      <c r="E356" t="s">
        <v>398</v>
      </c>
      <c r="F356">
        <v>233</v>
      </c>
      <c r="G356" s="1">
        <v>45159</v>
      </c>
      <c r="H356" s="6">
        <f t="shared" si="10"/>
        <v>4.3645833333333242</v>
      </c>
      <c r="I356" s="7">
        <f t="shared" si="11"/>
        <v>4.3645833333333242</v>
      </c>
    </row>
    <row r="357" spans="1:9" x14ac:dyDescent="0.2">
      <c r="A357" t="s">
        <v>399</v>
      </c>
      <c r="B357">
        <v>3.907</v>
      </c>
      <c r="C357">
        <v>5.4710000000000002E-2</v>
      </c>
      <c r="D357">
        <v>233</v>
      </c>
      <c r="E357" t="s">
        <v>399</v>
      </c>
      <c r="F357">
        <v>233</v>
      </c>
      <c r="G357" s="1">
        <v>45159</v>
      </c>
      <c r="H357" s="6">
        <f t="shared" si="10"/>
        <v>4.3749999999999911</v>
      </c>
      <c r="I357" s="7">
        <f t="shared" si="11"/>
        <v>4.3749999999999911</v>
      </c>
    </row>
    <row r="358" spans="1:9" x14ac:dyDescent="0.2">
      <c r="A358" t="s">
        <v>400</v>
      </c>
      <c r="B358">
        <v>3.8530000000000002</v>
      </c>
      <c r="C358">
        <v>5.398E-2</v>
      </c>
      <c r="D358">
        <v>233</v>
      </c>
      <c r="E358" t="s">
        <v>400</v>
      </c>
      <c r="F358">
        <v>233</v>
      </c>
      <c r="G358" s="1">
        <v>45159</v>
      </c>
      <c r="H358" s="6">
        <f t="shared" si="10"/>
        <v>4.3854166666666581</v>
      </c>
      <c r="I358" s="7">
        <f t="shared" si="11"/>
        <v>4.3854166666666581</v>
      </c>
    </row>
    <row r="359" spans="1:9" x14ac:dyDescent="0.2">
      <c r="A359" t="s">
        <v>401</v>
      </c>
      <c r="B359">
        <v>3.8245</v>
      </c>
      <c r="C359" s="2" t="s">
        <v>402</v>
      </c>
      <c r="D359">
        <v>233</v>
      </c>
      <c r="E359" t="s">
        <v>401</v>
      </c>
      <c r="F359">
        <v>233</v>
      </c>
      <c r="G359" s="1">
        <v>45159</v>
      </c>
      <c r="H359" s="6">
        <f t="shared" si="10"/>
        <v>4.395833333333325</v>
      </c>
      <c r="I359" s="7">
        <f t="shared" si="11"/>
        <v>4.395833333333325</v>
      </c>
    </row>
    <row r="360" spans="1:9" x14ac:dyDescent="0.2">
      <c r="A360" t="s">
        <v>403</v>
      </c>
      <c r="B360">
        <v>3.7795000000000001</v>
      </c>
      <c r="C360" s="2" t="s">
        <v>404</v>
      </c>
      <c r="D360">
        <v>233</v>
      </c>
      <c r="E360" t="s">
        <v>403</v>
      </c>
      <c r="F360">
        <v>233</v>
      </c>
      <c r="G360" s="1">
        <v>45159</v>
      </c>
      <c r="H360" s="6">
        <f t="shared" si="10"/>
        <v>4.406249999999992</v>
      </c>
      <c r="I360" s="7">
        <f t="shared" si="11"/>
        <v>4.406249999999992</v>
      </c>
    </row>
    <row r="361" spans="1:9" x14ac:dyDescent="0.2">
      <c r="A361" t="s">
        <v>405</v>
      </c>
      <c r="B361">
        <v>3.7145000000000001</v>
      </c>
      <c r="C361">
        <v>5.203E-2</v>
      </c>
      <c r="D361">
        <v>233</v>
      </c>
      <c r="E361" t="s">
        <v>405</v>
      </c>
      <c r="F361">
        <v>233</v>
      </c>
      <c r="G361" s="1">
        <v>45159</v>
      </c>
      <c r="H361" s="6">
        <f t="shared" si="10"/>
        <v>4.416666666666659</v>
      </c>
      <c r="I361" s="7">
        <f t="shared" si="11"/>
        <v>4.416666666666659</v>
      </c>
    </row>
    <row r="362" spans="1:9" x14ac:dyDescent="0.2">
      <c r="A362" t="s">
        <v>406</v>
      </c>
      <c r="B362">
        <v>3.6894999999999998</v>
      </c>
      <c r="C362">
        <v>5.1685000000000002E-2</v>
      </c>
      <c r="D362">
        <v>233</v>
      </c>
      <c r="E362" t="s">
        <v>406</v>
      </c>
      <c r="F362">
        <v>233</v>
      </c>
      <c r="G362" s="1">
        <v>45159</v>
      </c>
      <c r="H362" s="6">
        <f t="shared" si="10"/>
        <v>4.4270833333333259</v>
      </c>
      <c r="I362" s="7">
        <f t="shared" si="11"/>
        <v>4.4270833333333259</v>
      </c>
    </row>
    <row r="363" spans="1:9" x14ac:dyDescent="0.2">
      <c r="A363" t="s">
        <v>407</v>
      </c>
      <c r="B363">
        <v>3.6459999999999999</v>
      </c>
      <c r="C363">
        <v>5.1064999999999999E-2</v>
      </c>
      <c r="D363">
        <v>233</v>
      </c>
      <c r="E363" t="s">
        <v>407</v>
      </c>
      <c r="F363">
        <v>233</v>
      </c>
      <c r="G363" s="1">
        <v>45159</v>
      </c>
      <c r="H363" s="6">
        <f t="shared" si="10"/>
        <v>4.4374999999999929</v>
      </c>
      <c r="I363" s="7">
        <f t="shared" si="11"/>
        <v>4.4374999999999929</v>
      </c>
    </row>
    <row r="364" spans="1:9" x14ac:dyDescent="0.2">
      <c r="A364" t="s">
        <v>408</v>
      </c>
      <c r="B364">
        <v>3.5865</v>
      </c>
      <c r="C364">
        <v>5.0224999999999999E-2</v>
      </c>
      <c r="D364">
        <v>233</v>
      </c>
      <c r="E364" t="s">
        <v>408</v>
      </c>
      <c r="F364">
        <v>233</v>
      </c>
      <c r="G364" s="1">
        <v>45159</v>
      </c>
      <c r="H364" s="6">
        <f t="shared" si="10"/>
        <v>4.4479166666666599</v>
      </c>
      <c r="I364" s="7">
        <f t="shared" si="11"/>
        <v>4.4479166666666599</v>
      </c>
    </row>
    <row r="365" spans="1:9" x14ac:dyDescent="0.2">
      <c r="A365" t="s">
        <v>409</v>
      </c>
      <c r="B365">
        <v>3.5720000000000001</v>
      </c>
      <c r="C365" s="2" t="s">
        <v>410</v>
      </c>
      <c r="D365">
        <v>233</v>
      </c>
      <c r="E365" t="s">
        <v>409</v>
      </c>
      <c r="F365">
        <v>233</v>
      </c>
      <c r="G365" s="1">
        <v>45159</v>
      </c>
      <c r="H365" s="6">
        <f t="shared" si="10"/>
        <v>4.4583333333333268</v>
      </c>
      <c r="I365" s="7">
        <f t="shared" si="11"/>
        <v>4.4583333333333268</v>
      </c>
    </row>
    <row r="366" spans="1:9" x14ac:dyDescent="0.2">
      <c r="A366" t="s">
        <v>411</v>
      </c>
      <c r="B366">
        <v>3.5310000000000001</v>
      </c>
      <c r="C366">
        <v>4.9435E-2</v>
      </c>
      <c r="D366">
        <v>233</v>
      </c>
      <c r="E366" t="s">
        <v>411</v>
      </c>
      <c r="F366">
        <v>233</v>
      </c>
      <c r="G366" s="1">
        <v>45159</v>
      </c>
      <c r="H366" s="6">
        <f t="shared" si="10"/>
        <v>4.4687499999999938</v>
      </c>
      <c r="I366" s="7">
        <f t="shared" si="11"/>
        <v>4.4687499999999938</v>
      </c>
    </row>
    <row r="367" spans="1:9" x14ac:dyDescent="0.2">
      <c r="A367" t="s">
        <v>412</v>
      </c>
      <c r="B367">
        <v>3.5190000000000001</v>
      </c>
      <c r="C367">
        <v>4.929E-2</v>
      </c>
      <c r="D367">
        <v>233</v>
      </c>
      <c r="E367" t="s">
        <v>412</v>
      </c>
      <c r="F367">
        <v>233</v>
      </c>
      <c r="G367" s="1">
        <v>45159</v>
      </c>
      <c r="H367" s="6">
        <f t="shared" si="10"/>
        <v>4.4791666666666607</v>
      </c>
      <c r="I367" s="7">
        <f t="shared" si="11"/>
        <v>4.4791666666666607</v>
      </c>
    </row>
    <row r="368" spans="1:9" x14ac:dyDescent="0.2">
      <c r="A368" t="s">
        <v>413</v>
      </c>
      <c r="B368">
        <v>3.4935</v>
      </c>
      <c r="C368">
        <v>4.8925000000000003E-2</v>
      </c>
      <c r="D368">
        <v>233</v>
      </c>
      <c r="E368" t="s">
        <v>413</v>
      </c>
      <c r="F368">
        <v>233</v>
      </c>
      <c r="G368" s="1">
        <v>45159</v>
      </c>
      <c r="H368" s="6">
        <f t="shared" si="10"/>
        <v>4.4895833333333277</v>
      </c>
      <c r="I368" s="7">
        <f t="shared" si="11"/>
        <v>4.4895833333333277</v>
      </c>
    </row>
    <row r="369" spans="1:9" x14ac:dyDescent="0.2">
      <c r="A369" t="s">
        <v>414</v>
      </c>
      <c r="B369">
        <v>3.4855</v>
      </c>
      <c r="C369">
        <v>4.8814999999999997E-2</v>
      </c>
      <c r="D369">
        <v>233</v>
      </c>
      <c r="E369" t="s">
        <v>414</v>
      </c>
      <c r="F369">
        <v>233</v>
      </c>
      <c r="G369" s="1">
        <v>45159</v>
      </c>
      <c r="H369" s="6">
        <f t="shared" si="10"/>
        <v>4.4999999999999947</v>
      </c>
      <c r="I369" s="7">
        <f t="shared" si="11"/>
        <v>4.4999999999999947</v>
      </c>
    </row>
    <row r="370" spans="1:9" x14ac:dyDescent="0.2">
      <c r="A370" t="s">
        <v>415</v>
      </c>
      <c r="B370">
        <v>3.4544999999999999</v>
      </c>
      <c r="C370">
        <v>4.8390000000000002E-2</v>
      </c>
      <c r="D370">
        <v>233</v>
      </c>
      <c r="E370" t="s">
        <v>415</v>
      </c>
      <c r="F370">
        <v>233</v>
      </c>
      <c r="G370" s="1">
        <v>45159</v>
      </c>
      <c r="H370" s="6">
        <f t="shared" si="10"/>
        <v>4.5104166666666616</v>
      </c>
      <c r="I370" s="7">
        <f t="shared" si="11"/>
        <v>4.5104166666666616</v>
      </c>
    </row>
    <row r="371" spans="1:9" x14ac:dyDescent="0.2">
      <c r="A371" t="s">
        <v>416</v>
      </c>
      <c r="B371">
        <v>3.4455</v>
      </c>
      <c r="C371">
        <v>4.8265000000000002E-2</v>
      </c>
      <c r="D371">
        <v>233</v>
      </c>
      <c r="E371" t="s">
        <v>416</v>
      </c>
      <c r="F371">
        <v>233</v>
      </c>
      <c r="G371" s="1">
        <v>45159</v>
      </c>
      <c r="H371" s="6">
        <f t="shared" si="10"/>
        <v>4.5208333333333286</v>
      </c>
      <c r="I371" s="7">
        <f t="shared" si="11"/>
        <v>4.5208333333333286</v>
      </c>
    </row>
    <row r="372" spans="1:9" x14ac:dyDescent="0.2">
      <c r="A372" t="s">
        <v>417</v>
      </c>
      <c r="B372">
        <v>3.4289999999999998</v>
      </c>
      <c r="C372">
        <v>4.8039999999999999E-2</v>
      </c>
      <c r="D372">
        <v>233</v>
      </c>
      <c r="E372" t="s">
        <v>417</v>
      </c>
      <c r="F372">
        <v>233</v>
      </c>
      <c r="G372" s="1">
        <v>45159</v>
      </c>
      <c r="H372" s="6">
        <f t="shared" si="10"/>
        <v>4.5312499999999956</v>
      </c>
      <c r="I372" s="7">
        <f t="shared" si="11"/>
        <v>4.5312499999999956</v>
      </c>
    </row>
    <row r="373" spans="1:9" x14ac:dyDescent="0.2">
      <c r="A373" t="s">
        <v>418</v>
      </c>
      <c r="B373">
        <v>3.4165000000000001</v>
      </c>
      <c r="C373">
        <v>4.7855000000000002E-2</v>
      </c>
      <c r="D373">
        <v>233</v>
      </c>
      <c r="E373" t="s">
        <v>418</v>
      </c>
      <c r="F373">
        <v>233</v>
      </c>
      <c r="G373" s="1">
        <v>45159</v>
      </c>
      <c r="H373" s="6">
        <f t="shared" si="10"/>
        <v>4.5416666666666625</v>
      </c>
      <c r="I373" s="7">
        <f t="shared" si="11"/>
        <v>4.5416666666666625</v>
      </c>
    </row>
    <row r="374" spans="1:9" x14ac:dyDescent="0.2">
      <c r="A374" t="s">
        <v>419</v>
      </c>
      <c r="B374" s="2" t="s">
        <v>420</v>
      </c>
      <c r="C374">
        <v>4.7640000000000002E-2</v>
      </c>
      <c r="D374">
        <v>233</v>
      </c>
      <c r="E374" t="s">
        <v>419</v>
      </c>
      <c r="F374">
        <v>233</v>
      </c>
      <c r="G374" s="1">
        <v>45159</v>
      </c>
      <c r="H374" s="6">
        <f t="shared" si="10"/>
        <v>4.5520833333333295</v>
      </c>
      <c r="I374" s="7">
        <f t="shared" si="11"/>
        <v>4.5520833333333295</v>
      </c>
    </row>
    <row r="375" spans="1:9" x14ac:dyDescent="0.2">
      <c r="A375" t="s">
        <v>421</v>
      </c>
      <c r="B375">
        <v>3.427</v>
      </c>
      <c r="C375">
        <v>4.8000000000000001E-2</v>
      </c>
      <c r="D375">
        <v>233</v>
      </c>
      <c r="E375" t="s">
        <v>421</v>
      </c>
      <c r="F375">
        <v>233</v>
      </c>
      <c r="G375" s="1">
        <v>45159</v>
      </c>
      <c r="H375" s="6">
        <f t="shared" si="10"/>
        <v>4.5624999999999964</v>
      </c>
      <c r="I375" s="7">
        <f t="shared" si="11"/>
        <v>4.5624999999999964</v>
      </c>
    </row>
    <row r="376" spans="1:9" x14ac:dyDescent="0.2">
      <c r="A376" t="s">
        <v>422</v>
      </c>
      <c r="B376">
        <v>3.3759999999999999</v>
      </c>
      <c r="C376">
        <v>4.7285000000000001E-2</v>
      </c>
      <c r="D376">
        <v>233</v>
      </c>
      <c r="E376" t="s">
        <v>422</v>
      </c>
      <c r="F376">
        <v>233</v>
      </c>
      <c r="G376" s="1">
        <v>45159</v>
      </c>
      <c r="H376" s="6">
        <f t="shared" si="10"/>
        <v>4.5729166666666634</v>
      </c>
      <c r="I376" s="7">
        <f t="shared" si="11"/>
        <v>4.5729166666666634</v>
      </c>
    </row>
    <row r="377" spans="1:9" x14ac:dyDescent="0.2">
      <c r="A377" t="s">
        <v>423</v>
      </c>
      <c r="B377">
        <v>3.4140000000000001</v>
      </c>
      <c r="C377">
        <v>4.7815000000000003E-2</v>
      </c>
      <c r="D377">
        <v>233</v>
      </c>
      <c r="E377" t="s">
        <v>423</v>
      </c>
      <c r="F377">
        <v>233</v>
      </c>
      <c r="G377" s="1">
        <v>45159</v>
      </c>
      <c r="H377" s="6">
        <f t="shared" si="10"/>
        <v>4.5833333333333304</v>
      </c>
      <c r="I377" s="7">
        <f t="shared" si="11"/>
        <v>4.5833333333333304</v>
      </c>
    </row>
    <row r="378" spans="1:9" x14ac:dyDescent="0.2">
      <c r="A378" t="s">
        <v>424</v>
      </c>
      <c r="B378">
        <v>3.4144999999999999</v>
      </c>
      <c r="C378">
        <v>4.7824999999999999E-2</v>
      </c>
      <c r="D378">
        <v>233</v>
      </c>
      <c r="E378" t="s">
        <v>424</v>
      </c>
      <c r="F378">
        <v>233</v>
      </c>
      <c r="G378" s="1">
        <v>45159</v>
      </c>
      <c r="H378" s="6">
        <f t="shared" si="10"/>
        <v>4.5937499999999973</v>
      </c>
      <c r="I378" s="7">
        <f t="shared" si="11"/>
        <v>4.5937499999999973</v>
      </c>
    </row>
    <row r="379" spans="1:9" x14ac:dyDescent="0.2">
      <c r="A379" t="s">
        <v>425</v>
      </c>
      <c r="B379">
        <v>3.4005000000000001</v>
      </c>
      <c r="C379">
        <v>4.7625000000000001E-2</v>
      </c>
      <c r="D379">
        <v>233</v>
      </c>
      <c r="E379" t="s">
        <v>425</v>
      </c>
      <c r="F379">
        <v>233</v>
      </c>
      <c r="G379" s="1">
        <v>45159</v>
      </c>
      <c r="H379" s="6">
        <f t="shared" si="10"/>
        <v>4.6041666666666643</v>
      </c>
      <c r="I379" s="7">
        <f t="shared" si="11"/>
        <v>4.6041666666666643</v>
      </c>
    </row>
    <row r="380" spans="1:9" x14ac:dyDescent="0.2">
      <c r="A380" t="s">
        <v>426</v>
      </c>
      <c r="B380">
        <v>3.391</v>
      </c>
      <c r="C380">
        <v>4.7504999999999999E-2</v>
      </c>
      <c r="D380">
        <v>233</v>
      </c>
      <c r="E380" t="s">
        <v>426</v>
      </c>
      <c r="F380">
        <v>233</v>
      </c>
      <c r="G380" s="1">
        <v>45159</v>
      </c>
      <c r="H380" s="6">
        <f t="shared" si="10"/>
        <v>4.6145833333333313</v>
      </c>
      <c r="I380" s="7">
        <f t="shared" si="11"/>
        <v>4.6145833333333313</v>
      </c>
    </row>
    <row r="381" spans="1:9" x14ac:dyDescent="0.2">
      <c r="A381" t="s">
        <v>427</v>
      </c>
      <c r="B381">
        <v>3.4045000000000001</v>
      </c>
      <c r="C381">
        <v>4.7695000000000001E-2</v>
      </c>
      <c r="D381">
        <v>233</v>
      </c>
      <c r="E381" t="s">
        <v>427</v>
      </c>
      <c r="F381">
        <v>233</v>
      </c>
      <c r="G381" s="1">
        <v>45159</v>
      </c>
      <c r="H381" s="6">
        <f t="shared" si="10"/>
        <v>4.6249999999999982</v>
      </c>
      <c r="I381" s="7">
        <f t="shared" si="11"/>
        <v>4.6249999999999982</v>
      </c>
    </row>
    <row r="382" spans="1:9" x14ac:dyDescent="0.2">
      <c r="A382" t="s">
        <v>428</v>
      </c>
      <c r="B382">
        <v>3.4245000000000001</v>
      </c>
      <c r="C382">
        <v>4.7960000000000003E-2</v>
      </c>
      <c r="D382">
        <v>233</v>
      </c>
      <c r="E382" t="s">
        <v>428</v>
      </c>
      <c r="F382">
        <v>233</v>
      </c>
      <c r="G382" s="1">
        <v>45159</v>
      </c>
      <c r="H382" s="6">
        <f t="shared" si="10"/>
        <v>4.6354166666666652</v>
      </c>
      <c r="I382" s="7">
        <f t="shared" si="11"/>
        <v>4.6354166666666652</v>
      </c>
    </row>
    <row r="383" spans="1:9" x14ac:dyDescent="0.2">
      <c r="A383" t="s">
        <v>429</v>
      </c>
      <c r="B383">
        <v>3.4089999999999998</v>
      </c>
      <c r="C383">
        <v>4.7750000000000001E-2</v>
      </c>
      <c r="D383">
        <v>233</v>
      </c>
      <c r="E383" t="s">
        <v>429</v>
      </c>
      <c r="F383">
        <v>233</v>
      </c>
      <c r="G383" s="1">
        <v>45159</v>
      </c>
      <c r="H383" s="6">
        <f t="shared" si="10"/>
        <v>4.6458333333333321</v>
      </c>
      <c r="I383" s="7">
        <f t="shared" si="11"/>
        <v>4.6458333333333321</v>
      </c>
    </row>
    <row r="384" spans="1:9" x14ac:dyDescent="0.2">
      <c r="A384" t="s">
        <v>430</v>
      </c>
      <c r="B384">
        <v>3.4235000000000002</v>
      </c>
      <c r="C384">
        <v>4.795E-2</v>
      </c>
      <c r="D384">
        <v>233</v>
      </c>
      <c r="E384" t="s">
        <v>430</v>
      </c>
      <c r="F384">
        <v>233</v>
      </c>
      <c r="G384" s="1">
        <v>45159</v>
      </c>
      <c r="H384" s="6">
        <f t="shared" si="10"/>
        <v>4.6562499999999991</v>
      </c>
      <c r="I384" s="7">
        <f t="shared" si="11"/>
        <v>4.6562499999999991</v>
      </c>
    </row>
    <row r="385" spans="1:9" x14ac:dyDescent="0.2">
      <c r="A385" t="s">
        <v>431</v>
      </c>
      <c r="B385">
        <v>3.4289999999999998</v>
      </c>
      <c r="C385">
        <v>4.8039999999999999E-2</v>
      </c>
      <c r="D385">
        <v>233</v>
      </c>
      <c r="E385" t="s">
        <v>431</v>
      </c>
      <c r="F385">
        <v>233</v>
      </c>
      <c r="G385" s="1">
        <v>45159</v>
      </c>
      <c r="H385" s="6">
        <f t="shared" si="10"/>
        <v>4.6666666666666661</v>
      </c>
      <c r="I385" s="7">
        <f t="shared" si="11"/>
        <v>4.6666666666666661</v>
      </c>
    </row>
    <row r="386" spans="1:9" x14ac:dyDescent="0.2">
      <c r="A386" t="s">
        <v>432</v>
      </c>
      <c r="B386">
        <v>3.46</v>
      </c>
      <c r="C386">
        <v>4.8474999999999997E-2</v>
      </c>
      <c r="D386">
        <v>233</v>
      </c>
      <c r="E386" t="s">
        <v>432</v>
      </c>
      <c r="F386">
        <v>233</v>
      </c>
      <c r="G386" s="1">
        <v>45159</v>
      </c>
      <c r="H386" s="6">
        <f t="shared" si="10"/>
        <v>4.677083333333333</v>
      </c>
      <c r="I386" s="7">
        <f t="shared" si="11"/>
        <v>4.677083333333333</v>
      </c>
    </row>
    <row r="387" spans="1:9" x14ac:dyDescent="0.2">
      <c r="A387" t="s">
        <v>433</v>
      </c>
      <c r="B387">
        <v>3.4554999999999998</v>
      </c>
      <c r="C387">
        <v>4.8399999999999999E-2</v>
      </c>
      <c r="D387">
        <v>233</v>
      </c>
      <c r="E387" t="s">
        <v>433</v>
      </c>
      <c r="F387">
        <v>233</v>
      </c>
      <c r="G387" s="1">
        <v>45159</v>
      </c>
      <c r="H387" s="6">
        <f t="shared" ref="H387:H450" si="12">H386+$K$1</f>
        <v>4.6875</v>
      </c>
      <c r="I387" s="7">
        <f t="shared" ref="I387:I450" si="13">I386+$K$1</f>
        <v>4.6875</v>
      </c>
    </row>
    <row r="388" spans="1:9" x14ac:dyDescent="0.2">
      <c r="A388" t="s">
        <v>434</v>
      </c>
      <c r="B388">
        <v>3.468</v>
      </c>
      <c r="C388">
        <v>4.8559999999999999E-2</v>
      </c>
      <c r="D388">
        <v>233</v>
      </c>
      <c r="E388" t="s">
        <v>434</v>
      </c>
      <c r="F388">
        <v>233</v>
      </c>
      <c r="G388" s="1">
        <v>45159</v>
      </c>
      <c r="H388" s="6">
        <f t="shared" si="12"/>
        <v>4.697916666666667</v>
      </c>
      <c r="I388" s="7">
        <f t="shared" si="13"/>
        <v>4.697916666666667</v>
      </c>
    </row>
    <row r="389" spans="1:9" x14ac:dyDescent="0.2">
      <c r="A389" t="s">
        <v>435</v>
      </c>
      <c r="B389">
        <v>3.4649999999999999</v>
      </c>
      <c r="C389">
        <v>4.8515000000000003E-2</v>
      </c>
      <c r="D389">
        <v>233</v>
      </c>
      <c r="E389" t="s">
        <v>435</v>
      </c>
      <c r="F389">
        <v>233</v>
      </c>
      <c r="G389" s="1">
        <v>45159</v>
      </c>
      <c r="H389" s="6">
        <f t="shared" si="12"/>
        <v>4.7083333333333339</v>
      </c>
      <c r="I389" s="7">
        <f t="shared" si="13"/>
        <v>4.7083333333333339</v>
      </c>
    </row>
    <row r="390" spans="1:9" x14ac:dyDescent="0.2">
      <c r="A390" t="s">
        <v>436</v>
      </c>
      <c r="B390">
        <v>3.468</v>
      </c>
      <c r="C390">
        <v>4.8575E-2</v>
      </c>
      <c r="D390">
        <v>233</v>
      </c>
      <c r="E390" t="s">
        <v>436</v>
      </c>
      <c r="F390">
        <v>233</v>
      </c>
      <c r="G390" s="1">
        <v>45159</v>
      </c>
      <c r="H390" s="6">
        <f t="shared" si="12"/>
        <v>4.7187500000000009</v>
      </c>
      <c r="I390" s="7">
        <f t="shared" si="13"/>
        <v>4.7187500000000009</v>
      </c>
    </row>
    <row r="391" spans="1:9" x14ac:dyDescent="0.2">
      <c r="A391" t="s">
        <v>437</v>
      </c>
      <c r="B391">
        <v>3.448</v>
      </c>
      <c r="C391">
        <v>4.8309999999999999E-2</v>
      </c>
      <c r="D391">
        <v>233</v>
      </c>
      <c r="E391" t="s">
        <v>437</v>
      </c>
      <c r="F391">
        <v>233</v>
      </c>
      <c r="G391" s="1">
        <v>45159</v>
      </c>
      <c r="H391" s="6">
        <f t="shared" si="12"/>
        <v>4.7291666666666679</v>
      </c>
      <c r="I391" s="7">
        <f t="shared" si="13"/>
        <v>4.7291666666666679</v>
      </c>
    </row>
    <row r="392" spans="1:9" x14ac:dyDescent="0.2">
      <c r="A392" t="s">
        <v>438</v>
      </c>
      <c r="B392">
        <v>3.4935</v>
      </c>
      <c r="C392">
        <v>4.8925000000000003E-2</v>
      </c>
      <c r="D392">
        <v>233</v>
      </c>
      <c r="E392" t="s">
        <v>438</v>
      </c>
      <c r="F392">
        <v>233</v>
      </c>
      <c r="G392" s="1">
        <v>45159</v>
      </c>
      <c r="H392" s="6">
        <f t="shared" si="12"/>
        <v>4.7395833333333348</v>
      </c>
      <c r="I392" s="7">
        <f t="shared" si="13"/>
        <v>4.7395833333333348</v>
      </c>
    </row>
    <row r="393" spans="1:9" x14ac:dyDescent="0.2">
      <c r="A393" t="s">
        <v>439</v>
      </c>
      <c r="B393">
        <v>3.4830000000000001</v>
      </c>
      <c r="C393" s="2" t="s">
        <v>440</v>
      </c>
      <c r="D393">
        <v>234</v>
      </c>
      <c r="E393" t="s">
        <v>439</v>
      </c>
      <c r="F393">
        <v>233</v>
      </c>
      <c r="G393" s="1">
        <v>45159</v>
      </c>
      <c r="H393" s="6">
        <f t="shared" si="12"/>
        <v>4.7500000000000018</v>
      </c>
      <c r="I393" s="7">
        <f t="shared" si="13"/>
        <v>4.7500000000000018</v>
      </c>
    </row>
    <row r="394" spans="1:9" x14ac:dyDescent="0.2">
      <c r="A394" t="s">
        <v>441</v>
      </c>
      <c r="B394">
        <v>3.0125000000000002</v>
      </c>
      <c r="C394">
        <v>4.2195000000000003E-2</v>
      </c>
      <c r="D394">
        <v>234</v>
      </c>
      <c r="E394" t="s">
        <v>441</v>
      </c>
      <c r="F394">
        <v>233</v>
      </c>
      <c r="G394" s="1">
        <v>45159</v>
      </c>
      <c r="H394" s="6">
        <f t="shared" si="12"/>
        <v>4.7604166666666687</v>
      </c>
      <c r="I394" s="7">
        <f t="shared" si="13"/>
        <v>4.7604166666666687</v>
      </c>
    </row>
    <row r="395" spans="1:9" x14ac:dyDescent="0.2">
      <c r="A395" t="s">
        <v>442</v>
      </c>
      <c r="B395">
        <v>3.4144999999999999</v>
      </c>
      <c r="C395">
        <v>4.7824999999999999E-2</v>
      </c>
      <c r="D395">
        <v>234</v>
      </c>
      <c r="E395" t="s">
        <v>442</v>
      </c>
      <c r="F395">
        <v>233</v>
      </c>
      <c r="G395" s="1">
        <v>45159</v>
      </c>
      <c r="H395" s="6">
        <f t="shared" si="12"/>
        <v>4.7708333333333357</v>
      </c>
      <c r="I395" s="7">
        <f t="shared" si="13"/>
        <v>4.7708333333333357</v>
      </c>
    </row>
    <row r="396" spans="1:9" x14ac:dyDescent="0.2">
      <c r="A396" t="s">
        <v>443</v>
      </c>
      <c r="B396">
        <v>3.4805000000000001</v>
      </c>
      <c r="C396">
        <v>4.8755E-2</v>
      </c>
      <c r="D396">
        <v>234</v>
      </c>
      <c r="E396" t="s">
        <v>443</v>
      </c>
      <c r="F396">
        <v>233</v>
      </c>
      <c r="G396" s="1">
        <v>45159</v>
      </c>
      <c r="H396" s="6">
        <f t="shared" si="12"/>
        <v>4.7812500000000027</v>
      </c>
      <c r="I396" s="7">
        <f t="shared" si="13"/>
        <v>4.7812500000000027</v>
      </c>
    </row>
    <row r="397" spans="1:9" x14ac:dyDescent="0.2">
      <c r="A397" t="s">
        <v>444</v>
      </c>
      <c r="B397">
        <v>3.5205000000000002</v>
      </c>
      <c r="C397">
        <v>4.931E-2</v>
      </c>
      <c r="D397">
        <v>234</v>
      </c>
      <c r="E397" t="s">
        <v>444</v>
      </c>
      <c r="F397">
        <v>233</v>
      </c>
      <c r="G397" s="1">
        <v>45159</v>
      </c>
      <c r="H397" s="6">
        <f t="shared" si="12"/>
        <v>4.7916666666666696</v>
      </c>
      <c r="I397" s="7">
        <f t="shared" si="13"/>
        <v>4.7916666666666696</v>
      </c>
    </row>
    <row r="398" spans="1:9" x14ac:dyDescent="0.2">
      <c r="A398" t="s">
        <v>445</v>
      </c>
      <c r="B398">
        <v>3.544</v>
      </c>
      <c r="C398">
        <v>4.9645000000000002E-2</v>
      </c>
      <c r="D398">
        <v>234</v>
      </c>
      <c r="E398" t="s">
        <v>445</v>
      </c>
      <c r="F398">
        <v>233</v>
      </c>
      <c r="G398" s="1">
        <v>45159</v>
      </c>
      <c r="H398" s="6">
        <f t="shared" si="12"/>
        <v>4.8020833333333366</v>
      </c>
      <c r="I398" s="7">
        <f t="shared" si="13"/>
        <v>4.8020833333333366</v>
      </c>
    </row>
    <row r="399" spans="1:9" x14ac:dyDescent="0.2">
      <c r="A399" t="s">
        <v>446</v>
      </c>
      <c r="B399">
        <v>3.5825</v>
      </c>
      <c r="C399">
        <v>5.0185E-2</v>
      </c>
      <c r="D399">
        <v>234</v>
      </c>
      <c r="E399" t="s">
        <v>446</v>
      </c>
      <c r="F399">
        <v>233</v>
      </c>
      <c r="G399" s="1">
        <v>45159</v>
      </c>
      <c r="H399" s="6">
        <f t="shared" si="12"/>
        <v>4.8125000000000036</v>
      </c>
      <c r="I399" s="7">
        <f t="shared" si="13"/>
        <v>4.8125000000000036</v>
      </c>
    </row>
    <row r="400" spans="1:9" x14ac:dyDescent="0.2">
      <c r="A400" t="s">
        <v>447</v>
      </c>
      <c r="B400">
        <v>3.6425000000000001</v>
      </c>
      <c r="C400">
        <v>5.1014999999999998E-2</v>
      </c>
      <c r="D400">
        <v>234</v>
      </c>
      <c r="E400" t="s">
        <v>447</v>
      </c>
      <c r="F400">
        <v>233</v>
      </c>
      <c r="G400" s="1">
        <v>45159</v>
      </c>
      <c r="H400" s="6">
        <f t="shared" si="12"/>
        <v>4.8229166666666705</v>
      </c>
      <c r="I400" s="7">
        <f t="shared" si="13"/>
        <v>4.8229166666666705</v>
      </c>
    </row>
    <row r="401" spans="1:9" x14ac:dyDescent="0.2">
      <c r="A401" t="s">
        <v>448</v>
      </c>
      <c r="B401">
        <v>3.637</v>
      </c>
      <c r="C401">
        <v>5.0930000000000003E-2</v>
      </c>
      <c r="D401">
        <v>234</v>
      </c>
      <c r="E401" t="s">
        <v>448</v>
      </c>
      <c r="F401">
        <v>233</v>
      </c>
      <c r="G401" s="1">
        <v>45159</v>
      </c>
      <c r="H401" s="6">
        <f t="shared" si="12"/>
        <v>4.8333333333333375</v>
      </c>
      <c r="I401" s="7">
        <f t="shared" si="13"/>
        <v>4.8333333333333375</v>
      </c>
    </row>
    <row r="402" spans="1:9" x14ac:dyDescent="0.2">
      <c r="A402" t="s">
        <v>449</v>
      </c>
      <c r="B402">
        <v>3.702</v>
      </c>
      <c r="C402">
        <v>5.1860000000000003E-2</v>
      </c>
      <c r="D402">
        <v>234</v>
      </c>
      <c r="E402" t="s">
        <v>449</v>
      </c>
      <c r="F402">
        <v>233</v>
      </c>
      <c r="G402" s="1">
        <v>45159</v>
      </c>
      <c r="H402" s="6">
        <f t="shared" si="12"/>
        <v>4.8437500000000044</v>
      </c>
      <c r="I402" s="7">
        <f t="shared" si="13"/>
        <v>4.8437500000000044</v>
      </c>
    </row>
    <row r="403" spans="1:9" x14ac:dyDescent="0.2">
      <c r="A403" t="s">
        <v>450</v>
      </c>
      <c r="B403">
        <v>3.7534999999999998</v>
      </c>
      <c r="C403">
        <v>5.2569999999999999E-2</v>
      </c>
      <c r="D403">
        <v>234</v>
      </c>
      <c r="E403" t="s">
        <v>450</v>
      </c>
      <c r="F403">
        <v>233</v>
      </c>
      <c r="G403" s="1">
        <v>45159</v>
      </c>
      <c r="H403" s="6">
        <f t="shared" si="12"/>
        <v>4.8541666666666714</v>
      </c>
      <c r="I403" s="7">
        <f t="shared" si="13"/>
        <v>4.8541666666666714</v>
      </c>
    </row>
    <row r="404" spans="1:9" x14ac:dyDescent="0.2">
      <c r="A404" t="s">
        <v>451</v>
      </c>
      <c r="B404">
        <v>3.8475000000000001</v>
      </c>
      <c r="C404" s="2" t="s">
        <v>452</v>
      </c>
      <c r="D404">
        <v>234</v>
      </c>
      <c r="E404" t="s">
        <v>451</v>
      </c>
      <c r="F404">
        <v>233</v>
      </c>
      <c r="G404" s="1">
        <v>45159</v>
      </c>
      <c r="H404" s="6">
        <f t="shared" si="12"/>
        <v>4.8645833333333384</v>
      </c>
      <c r="I404" s="7">
        <f t="shared" si="13"/>
        <v>4.8645833333333384</v>
      </c>
    </row>
    <row r="405" spans="1:9" x14ac:dyDescent="0.2">
      <c r="A405" t="s">
        <v>453</v>
      </c>
      <c r="B405">
        <v>3.8744999999999998</v>
      </c>
      <c r="C405">
        <v>5.4280000000000002E-2</v>
      </c>
      <c r="D405">
        <v>234</v>
      </c>
      <c r="E405" t="s">
        <v>453</v>
      </c>
      <c r="F405">
        <v>233</v>
      </c>
      <c r="G405" s="1">
        <v>45159</v>
      </c>
      <c r="H405" s="6">
        <f t="shared" si="12"/>
        <v>4.8750000000000053</v>
      </c>
      <c r="I405" s="7">
        <f t="shared" si="13"/>
        <v>4.8750000000000053</v>
      </c>
    </row>
    <row r="406" spans="1:9" x14ac:dyDescent="0.2">
      <c r="A406" t="s">
        <v>454</v>
      </c>
      <c r="B406">
        <v>3.9415</v>
      </c>
      <c r="C406">
        <v>5.5195000000000001E-2</v>
      </c>
      <c r="D406">
        <v>234</v>
      </c>
      <c r="E406" t="s">
        <v>454</v>
      </c>
      <c r="F406">
        <v>233</v>
      </c>
      <c r="G406" s="1">
        <v>45159</v>
      </c>
      <c r="H406" s="6">
        <f t="shared" si="12"/>
        <v>4.8854166666666723</v>
      </c>
      <c r="I406" s="7">
        <f t="shared" si="13"/>
        <v>4.8854166666666723</v>
      </c>
    </row>
    <row r="407" spans="1:9" x14ac:dyDescent="0.2">
      <c r="A407" t="s">
        <v>455</v>
      </c>
      <c r="B407">
        <v>4.0220000000000002</v>
      </c>
      <c r="C407">
        <v>5.6329999999999998E-2</v>
      </c>
      <c r="D407">
        <v>234</v>
      </c>
      <c r="E407" t="s">
        <v>455</v>
      </c>
      <c r="F407">
        <v>233</v>
      </c>
      <c r="G407" s="1">
        <v>45159</v>
      </c>
      <c r="H407" s="6">
        <f t="shared" si="12"/>
        <v>4.8958333333333393</v>
      </c>
      <c r="I407" s="7">
        <f t="shared" si="13"/>
        <v>4.8958333333333393</v>
      </c>
    </row>
    <row r="408" spans="1:9" x14ac:dyDescent="0.2">
      <c r="A408" t="s">
        <v>456</v>
      </c>
      <c r="B408">
        <v>4.0545</v>
      </c>
      <c r="C408">
        <v>5.6779999999999997E-2</v>
      </c>
      <c r="D408">
        <v>234</v>
      </c>
      <c r="E408" t="s">
        <v>456</v>
      </c>
      <c r="F408">
        <v>233</v>
      </c>
      <c r="G408" s="1">
        <v>45159</v>
      </c>
      <c r="H408" s="6">
        <f t="shared" si="12"/>
        <v>4.9062500000000062</v>
      </c>
      <c r="I408" s="7">
        <f t="shared" si="13"/>
        <v>4.9062500000000062</v>
      </c>
    </row>
    <row r="409" spans="1:9" x14ac:dyDescent="0.2">
      <c r="A409" t="s">
        <v>457</v>
      </c>
      <c r="B409">
        <v>4.1150000000000002</v>
      </c>
      <c r="C409">
        <v>5.7625000000000003E-2</v>
      </c>
      <c r="D409">
        <v>234</v>
      </c>
      <c r="E409" t="s">
        <v>457</v>
      </c>
      <c r="F409">
        <v>233</v>
      </c>
      <c r="G409" s="1">
        <v>45159</v>
      </c>
      <c r="H409" s="6">
        <f t="shared" si="12"/>
        <v>4.9166666666666732</v>
      </c>
      <c r="I409" s="7">
        <f t="shared" si="13"/>
        <v>4.9166666666666732</v>
      </c>
    </row>
    <row r="410" spans="1:9" x14ac:dyDescent="0.2">
      <c r="A410" t="s">
        <v>458</v>
      </c>
      <c r="B410">
        <v>4.1509999999999998</v>
      </c>
      <c r="C410">
        <v>5.8134999999999999E-2</v>
      </c>
      <c r="D410">
        <v>234</v>
      </c>
      <c r="E410" t="s">
        <v>458</v>
      </c>
      <c r="F410">
        <v>233</v>
      </c>
      <c r="G410" s="1">
        <v>45159</v>
      </c>
      <c r="H410" s="6">
        <f t="shared" si="12"/>
        <v>4.9270833333333401</v>
      </c>
      <c r="I410" s="7">
        <f t="shared" si="13"/>
        <v>4.9270833333333401</v>
      </c>
    </row>
    <row r="411" spans="1:9" x14ac:dyDescent="0.2">
      <c r="A411" t="s">
        <v>459</v>
      </c>
      <c r="B411">
        <v>4.2279999999999998</v>
      </c>
      <c r="C411">
        <v>5.9209999999999999E-2</v>
      </c>
      <c r="D411">
        <v>234</v>
      </c>
      <c r="E411" t="s">
        <v>459</v>
      </c>
      <c r="F411">
        <v>233</v>
      </c>
      <c r="G411" s="1">
        <v>45159</v>
      </c>
      <c r="H411" s="6">
        <f t="shared" si="12"/>
        <v>4.9375000000000071</v>
      </c>
      <c r="I411" s="7">
        <f t="shared" si="13"/>
        <v>4.9375000000000071</v>
      </c>
    </row>
    <row r="412" spans="1:9" x14ac:dyDescent="0.2">
      <c r="A412" t="s">
        <v>460</v>
      </c>
      <c r="B412">
        <v>4.2329999999999997</v>
      </c>
      <c r="C412">
        <v>5.9295E-2</v>
      </c>
      <c r="D412">
        <v>234</v>
      </c>
      <c r="E412" t="s">
        <v>460</v>
      </c>
      <c r="F412">
        <v>233</v>
      </c>
      <c r="G412" s="1">
        <v>45159</v>
      </c>
      <c r="H412" s="6">
        <f t="shared" si="12"/>
        <v>4.9479166666666741</v>
      </c>
      <c r="I412" s="7">
        <f t="shared" si="13"/>
        <v>4.9479166666666741</v>
      </c>
    </row>
    <row r="413" spans="1:9" x14ac:dyDescent="0.2">
      <c r="A413" t="s">
        <v>461</v>
      </c>
      <c r="B413">
        <v>4.2805</v>
      </c>
      <c r="C413">
        <v>5.9959999999999999E-2</v>
      </c>
      <c r="D413">
        <v>234</v>
      </c>
      <c r="E413" t="s">
        <v>461</v>
      </c>
      <c r="F413">
        <v>233</v>
      </c>
      <c r="G413" s="1">
        <v>45159</v>
      </c>
      <c r="H413" s="6">
        <f t="shared" si="12"/>
        <v>4.958333333333341</v>
      </c>
      <c r="I413" s="7">
        <f t="shared" si="13"/>
        <v>4.958333333333341</v>
      </c>
    </row>
    <row r="414" spans="1:9" x14ac:dyDescent="0.2">
      <c r="A414" t="s">
        <v>462</v>
      </c>
      <c r="B414">
        <v>4.3064999999999998</v>
      </c>
      <c r="C414">
        <v>6.0319999999999999E-2</v>
      </c>
      <c r="D414">
        <v>234</v>
      </c>
      <c r="E414" t="s">
        <v>462</v>
      </c>
      <c r="F414">
        <v>233</v>
      </c>
      <c r="G414" s="1">
        <v>45159</v>
      </c>
      <c r="H414" s="6">
        <f t="shared" si="12"/>
        <v>4.968750000000008</v>
      </c>
      <c r="I414" s="7">
        <f t="shared" si="13"/>
        <v>4.968750000000008</v>
      </c>
    </row>
    <row r="415" spans="1:9" x14ac:dyDescent="0.2">
      <c r="A415" t="s">
        <v>463</v>
      </c>
      <c r="B415">
        <v>4.3600000000000003</v>
      </c>
      <c r="C415">
        <v>6.1069999999999999E-2</v>
      </c>
      <c r="D415">
        <v>234</v>
      </c>
      <c r="E415" t="s">
        <v>463</v>
      </c>
      <c r="F415">
        <v>233</v>
      </c>
      <c r="G415" s="1">
        <v>45159</v>
      </c>
      <c r="H415" s="6">
        <f t="shared" si="12"/>
        <v>4.979166666666675</v>
      </c>
      <c r="I415" s="7">
        <f t="shared" si="13"/>
        <v>4.979166666666675</v>
      </c>
    </row>
    <row r="416" spans="1:9" x14ac:dyDescent="0.2">
      <c r="A416" t="s">
        <v>464</v>
      </c>
      <c r="B416">
        <v>4.3514999999999997</v>
      </c>
      <c r="C416">
        <v>6.0944999999999999E-2</v>
      </c>
      <c r="D416">
        <v>234</v>
      </c>
      <c r="E416" t="s">
        <v>464</v>
      </c>
      <c r="F416">
        <v>233</v>
      </c>
      <c r="G416" s="1">
        <v>45159</v>
      </c>
      <c r="H416" s="6">
        <f t="shared" si="12"/>
        <v>4.9895833333333419</v>
      </c>
      <c r="I416" s="7">
        <f t="shared" si="13"/>
        <v>4.9895833333333419</v>
      </c>
    </row>
    <row r="417" spans="1:9" x14ac:dyDescent="0.2">
      <c r="A417" t="s">
        <v>465</v>
      </c>
      <c r="B417">
        <v>4.3730000000000002</v>
      </c>
      <c r="C417">
        <v>6.1240000000000003E-2</v>
      </c>
      <c r="D417">
        <v>234</v>
      </c>
      <c r="E417" t="s">
        <v>465</v>
      </c>
      <c r="F417">
        <v>234</v>
      </c>
      <c r="G417" s="1">
        <v>45160</v>
      </c>
      <c r="H417" s="6">
        <f t="shared" si="12"/>
        <v>5.0000000000000089</v>
      </c>
      <c r="I417" s="7">
        <f t="shared" si="13"/>
        <v>5.0000000000000089</v>
      </c>
    </row>
    <row r="418" spans="1:9" x14ac:dyDescent="0.2">
      <c r="A418" t="s">
        <v>466</v>
      </c>
      <c r="B418">
        <v>4.3775000000000004</v>
      </c>
      <c r="C418">
        <v>6.1324999999999998E-2</v>
      </c>
      <c r="D418">
        <v>234</v>
      </c>
      <c r="E418" t="s">
        <v>466</v>
      </c>
      <c r="F418">
        <v>234</v>
      </c>
      <c r="G418" s="1">
        <v>45160</v>
      </c>
      <c r="H418" s="6">
        <f t="shared" si="12"/>
        <v>5.0104166666666758</v>
      </c>
      <c r="I418" s="7">
        <f t="shared" si="13"/>
        <v>5.0104166666666758</v>
      </c>
    </row>
    <row r="419" spans="1:9" x14ac:dyDescent="0.2">
      <c r="A419" t="s">
        <v>467</v>
      </c>
      <c r="B419">
        <v>4.3605</v>
      </c>
      <c r="C419">
        <v>6.1085E-2</v>
      </c>
      <c r="D419">
        <v>234</v>
      </c>
      <c r="E419" t="s">
        <v>467</v>
      </c>
      <c r="F419">
        <v>234</v>
      </c>
      <c r="G419" s="1">
        <v>45160</v>
      </c>
      <c r="H419" s="6">
        <f t="shared" si="12"/>
        <v>5.0208333333333428</v>
      </c>
      <c r="I419" s="7">
        <f t="shared" si="13"/>
        <v>5.0208333333333428</v>
      </c>
    </row>
    <row r="420" spans="1:9" x14ac:dyDescent="0.2">
      <c r="A420" t="s">
        <v>468</v>
      </c>
      <c r="B420">
        <v>4.3600000000000003</v>
      </c>
      <c r="C420">
        <v>6.1074999999999997E-2</v>
      </c>
      <c r="D420">
        <v>234</v>
      </c>
      <c r="E420" t="s">
        <v>468</v>
      </c>
      <c r="F420">
        <v>234</v>
      </c>
      <c r="G420" s="1">
        <v>45160</v>
      </c>
      <c r="H420" s="6">
        <f t="shared" si="12"/>
        <v>5.0312500000000098</v>
      </c>
      <c r="I420" s="7">
        <f t="shared" si="13"/>
        <v>5.0312500000000098</v>
      </c>
    </row>
    <row r="421" spans="1:9" x14ac:dyDescent="0.2">
      <c r="A421" t="s">
        <v>469</v>
      </c>
      <c r="B421">
        <v>4.3620000000000001</v>
      </c>
      <c r="C421">
        <v>6.1105E-2</v>
      </c>
      <c r="D421">
        <v>234</v>
      </c>
      <c r="E421" t="s">
        <v>469</v>
      </c>
      <c r="F421">
        <v>234</v>
      </c>
      <c r="G421" s="1">
        <v>45160</v>
      </c>
      <c r="H421" s="6">
        <f t="shared" si="12"/>
        <v>5.0416666666666767</v>
      </c>
      <c r="I421" s="7">
        <f t="shared" si="13"/>
        <v>5.0416666666666767</v>
      </c>
    </row>
    <row r="422" spans="1:9" x14ac:dyDescent="0.2">
      <c r="A422" t="s">
        <v>470</v>
      </c>
      <c r="B422">
        <v>4.3695000000000004</v>
      </c>
      <c r="C422">
        <v>6.1194999999999999E-2</v>
      </c>
      <c r="D422">
        <v>234</v>
      </c>
      <c r="E422" t="s">
        <v>470</v>
      </c>
      <c r="F422">
        <v>234</v>
      </c>
      <c r="G422" s="1">
        <v>45160</v>
      </c>
      <c r="H422" s="6">
        <f t="shared" si="12"/>
        <v>5.0520833333333437</v>
      </c>
      <c r="I422" s="7">
        <f t="shared" si="13"/>
        <v>5.0520833333333437</v>
      </c>
    </row>
    <row r="423" spans="1:9" x14ac:dyDescent="0.2">
      <c r="A423" t="s">
        <v>471</v>
      </c>
      <c r="B423">
        <v>4.3654999999999999</v>
      </c>
      <c r="C423">
        <v>6.1144999999999998E-2</v>
      </c>
      <c r="D423">
        <v>234</v>
      </c>
      <c r="E423" t="s">
        <v>471</v>
      </c>
      <c r="F423">
        <v>234</v>
      </c>
      <c r="G423" s="1">
        <v>45160</v>
      </c>
      <c r="H423" s="6">
        <f t="shared" si="12"/>
        <v>5.0625000000000107</v>
      </c>
      <c r="I423" s="7">
        <f t="shared" si="13"/>
        <v>5.0625000000000107</v>
      </c>
    </row>
    <row r="424" spans="1:9" x14ac:dyDescent="0.2">
      <c r="A424" t="s">
        <v>472</v>
      </c>
      <c r="B424">
        <v>4.3419999999999996</v>
      </c>
      <c r="C424">
        <v>6.0819999999999999E-2</v>
      </c>
      <c r="D424">
        <v>234</v>
      </c>
      <c r="E424" t="s">
        <v>472</v>
      </c>
      <c r="F424">
        <v>234</v>
      </c>
      <c r="G424" s="1">
        <v>45160</v>
      </c>
      <c r="H424" s="6">
        <f t="shared" si="12"/>
        <v>5.0729166666666776</v>
      </c>
      <c r="I424" s="7">
        <f t="shared" si="13"/>
        <v>5.0729166666666776</v>
      </c>
    </row>
    <row r="425" spans="1:9" x14ac:dyDescent="0.2">
      <c r="A425" t="s">
        <v>473</v>
      </c>
      <c r="B425">
        <v>4.343</v>
      </c>
      <c r="C425">
        <v>6.0850000000000001E-2</v>
      </c>
      <c r="D425">
        <v>234</v>
      </c>
      <c r="E425" t="s">
        <v>473</v>
      </c>
      <c r="F425">
        <v>234</v>
      </c>
      <c r="G425" s="1">
        <v>45160</v>
      </c>
      <c r="H425" s="6">
        <f t="shared" si="12"/>
        <v>5.0833333333333446</v>
      </c>
      <c r="I425" s="7">
        <f t="shared" si="13"/>
        <v>5.0833333333333446</v>
      </c>
    </row>
    <row r="426" spans="1:9" x14ac:dyDescent="0.2">
      <c r="A426" t="s">
        <v>474</v>
      </c>
      <c r="B426">
        <v>4.3185000000000002</v>
      </c>
      <c r="C426">
        <v>6.0495E-2</v>
      </c>
      <c r="D426">
        <v>234</v>
      </c>
      <c r="E426" t="s">
        <v>474</v>
      </c>
      <c r="F426">
        <v>234</v>
      </c>
      <c r="G426" s="1">
        <v>45160</v>
      </c>
      <c r="H426" s="6">
        <f t="shared" si="12"/>
        <v>5.0937500000000115</v>
      </c>
      <c r="I426" s="7">
        <f t="shared" si="13"/>
        <v>5.0937500000000115</v>
      </c>
    </row>
    <row r="427" spans="1:9" x14ac:dyDescent="0.2">
      <c r="A427" t="s">
        <v>475</v>
      </c>
      <c r="B427">
        <v>4.3484999999999996</v>
      </c>
      <c r="C427">
        <v>6.0900000000000003E-2</v>
      </c>
      <c r="D427">
        <v>234</v>
      </c>
      <c r="E427" t="s">
        <v>475</v>
      </c>
      <c r="F427">
        <v>234</v>
      </c>
      <c r="G427" s="1">
        <v>45160</v>
      </c>
      <c r="H427" s="6">
        <f t="shared" si="12"/>
        <v>5.1041666666666785</v>
      </c>
      <c r="I427" s="7">
        <f t="shared" si="13"/>
        <v>5.1041666666666785</v>
      </c>
    </row>
    <row r="428" spans="1:9" x14ac:dyDescent="0.2">
      <c r="A428" t="s">
        <v>476</v>
      </c>
      <c r="B428">
        <v>4.3455000000000004</v>
      </c>
      <c r="C428">
        <v>6.0885000000000002E-2</v>
      </c>
      <c r="D428">
        <v>234</v>
      </c>
      <c r="E428" t="s">
        <v>476</v>
      </c>
      <c r="F428">
        <v>234</v>
      </c>
      <c r="G428" s="1">
        <v>45160</v>
      </c>
      <c r="H428" s="6">
        <f t="shared" si="12"/>
        <v>5.1145833333333455</v>
      </c>
      <c r="I428" s="7">
        <f t="shared" si="13"/>
        <v>5.1145833333333455</v>
      </c>
    </row>
    <row r="429" spans="1:9" x14ac:dyDescent="0.2">
      <c r="A429" t="s">
        <v>477</v>
      </c>
      <c r="B429">
        <v>4.3535000000000004</v>
      </c>
      <c r="C429">
        <v>6.0979999999999999E-2</v>
      </c>
      <c r="D429">
        <v>234</v>
      </c>
      <c r="E429" t="s">
        <v>477</v>
      </c>
      <c r="F429">
        <v>234</v>
      </c>
      <c r="G429" s="1">
        <v>45160</v>
      </c>
      <c r="H429" s="6">
        <f t="shared" si="12"/>
        <v>5.1250000000000124</v>
      </c>
      <c r="I429" s="7">
        <f t="shared" si="13"/>
        <v>5.1250000000000124</v>
      </c>
    </row>
    <row r="430" spans="1:9" x14ac:dyDescent="0.2">
      <c r="A430" t="s">
        <v>478</v>
      </c>
      <c r="B430">
        <v>4.3369999999999997</v>
      </c>
      <c r="C430">
        <v>6.0749999999999998E-2</v>
      </c>
      <c r="D430">
        <v>234</v>
      </c>
      <c r="E430" t="s">
        <v>478</v>
      </c>
      <c r="F430">
        <v>234</v>
      </c>
      <c r="G430" s="1">
        <v>45160</v>
      </c>
      <c r="H430" s="6">
        <f t="shared" si="12"/>
        <v>5.1354166666666794</v>
      </c>
      <c r="I430" s="7">
        <f t="shared" si="13"/>
        <v>5.1354166666666794</v>
      </c>
    </row>
    <row r="431" spans="1:9" x14ac:dyDescent="0.2">
      <c r="A431" t="s">
        <v>479</v>
      </c>
      <c r="B431">
        <v>4.3230000000000004</v>
      </c>
      <c r="C431">
        <v>6.0565000000000001E-2</v>
      </c>
      <c r="D431">
        <v>234</v>
      </c>
      <c r="E431" t="s">
        <v>479</v>
      </c>
      <c r="F431">
        <v>234</v>
      </c>
      <c r="G431" s="1">
        <v>45160</v>
      </c>
      <c r="H431" s="6">
        <f t="shared" si="12"/>
        <v>5.1458333333333464</v>
      </c>
      <c r="I431" s="7">
        <f t="shared" si="13"/>
        <v>5.1458333333333464</v>
      </c>
    </row>
    <row r="432" spans="1:9" x14ac:dyDescent="0.2">
      <c r="A432" t="s">
        <v>480</v>
      </c>
      <c r="B432">
        <v>4.3250000000000002</v>
      </c>
      <c r="C432">
        <v>6.0585E-2</v>
      </c>
      <c r="D432">
        <v>234</v>
      </c>
      <c r="E432" t="s">
        <v>480</v>
      </c>
      <c r="F432">
        <v>234</v>
      </c>
      <c r="G432" s="1">
        <v>45160</v>
      </c>
      <c r="H432" s="6">
        <f t="shared" si="12"/>
        <v>5.1562500000000133</v>
      </c>
      <c r="I432" s="7">
        <f t="shared" si="13"/>
        <v>5.1562500000000133</v>
      </c>
    </row>
    <row r="433" spans="1:9" x14ac:dyDescent="0.2">
      <c r="A433" t="s">
        <v>481</v>
      </c>
      <c r="B433">
        <v>4.3079999999999998</v>
      </c>
      <c r="C433">
        <v>6.0324999999999997E-2</v>
      </c>
      <c r="D433">
        <v>234</v>
      </c>
      <c r="E433" t="s">
        <v>481</v>
      </c>
      <c r="F433">
        <v>234</v>
      </c>
      <c r="G433" s="1">
        <v>45160</v>
      </c>
      <c r="H433" s="6">
        <f t="shared" si="12"/>
        <v>5.1666666666666803</v>
      </c>
      <c r="I433" s="7">
        <f t="shared" si="13"/>
        <v>5.1666666666666803</v>
      </c>
    </row>
    <row r="434" spans="1:9" x14ac:dyDescent="0.2">
      <c r="A434" t="s">
        <v>482</v>
      </c>
      <c r="B434">
        <v>4.2880000000000003</v>
      </c>
      <c r="C434">
        <v>6.0049999999999999E-2</v>
      </c>
      <c r="D434">
        <v>234</v>
      </c>
      <c r="E434" t="s">
        <v>482</v>
      </c>
      <c r="F434">
        <v>234</v>
      </c>
      <c r="G434" s="1">
        <v>45160</v>
      </c>
      <c r="H434" s="6">
        <f t="shared" si="12"/>
        <v>5.1770833333333472</v>
      </c>
      <c r="I434" s="7">
        <f t="shared" si="13"/>
        <v>5.1770833333333472</v>
      </c>
    </row>
    <row r="435" spans="1:9" x14ac:dyDescent="0.2">
      <c r="A435" t="s">
        <v>483</v>
      </c>
      <c r="B435">
        <v>4.3034999999999997</v>
      </c>
      <c r="C435" s="2" t="s">
        <v>484</v>
      </c>
      <c r="D435">
        <v>234</v>
      </c>
      <c r="E435" t="s">
        <v>483</v>
      </c>
      <c r="F435">
        <v>234</v>
      </c>
      <c r="G435" s="1">
        <v>45160</v>
      </c>
      <c r="H435" s="6">
        <f t="shared" si="12"/>
        <v>5.1875000000000142</v>
      </c>
      <c r="I435" s="7">
        <f t="shared" si="13"/>
        <v>5.1875000000000142</v>
      </c>
    </row>
    <row r="436" spans="1:9" x14ac:dyDescent="0.2">
      <c r="A436" t="s">
        <v>485</v>
      </c>
      <c r="B436">
        <v>4.3085000000000004</v>
      </c>
      <c r="C436">
        <v>6.0350000000000001E-2</v>
      </c>
      <c r="D436">
        <v>234</v>
      </c>
      <c r="E436" t="s">
        <v>485</v>
      </c>
      <c r="F436">
        <v>234</v>
      </c>
      <c r="G436" s="1">
        <v>45160</v>
      </c>
      <c r="H436" s="6">
        <f t="shared" si="12"/>
        <v>5.1979166666666812</v>
      </c>
      <c r="I436" s="7">
        <f t="shared" si="13"/>
        <v>5.1979166666666812</v>
      </c>
    </row>
    <row r="437" spans="1:9" x14ac:dyDescent="0.2">
      <c r="A437" t="s">
        <v>486</v>
      </c>
      <c r="B437">
        <v>4.2865000000000002</v>
      </c>
      <c r="C437">
        <v>6.0034999999999998E-2</v>
      </c>
      <c r="D437">
        <v>234</v>
      </c>
      <c r="E437" t="s">
        <v>486</v>
      </c>
      <c r="F437">
        <v>234</v>
      </c>
      <c r="G437" s="1">
        <v>45160</v>
      </c>
      <c r="H437" s="6">
        <f t="shared" si="12"/>
        <v>5.2083333333333481</v>
      </c>
      <c r="I437" s="7">
        <f t="shared" si="13"/>
        <v>5.2083333333333481</v>
      </c>
    </row>
    <row r="438" spans="1:9" x14ac:dyDescent="0.2">
      <c r="A438" t="s">
        <v>487</v>
      </c>
      <c r="B438">
        <v>4.3025000000000002</v>
      </c>
      <c r="C438">
        <v>6.0284999999999998E-2</v>
      </c>
      <c r="D438">
        <v>234</v>
      </c>
      <c r="E438" t="s">
        <v>487</v>
      </c>
      <c r="F438">
        <v>234</v>
      </c>
      <c r="G438" s="1">
        <v>45160</v>
      </c>
      <c r="H438" s="6">
        <f t="shared" si="12"/>
        <v>5.2187500000000151</v>
      </c>
      <c r="I438" s="7">
        <f t="shared" si="13"/>
        <v>5.2187500000000151</v>
      </c>
    </row>
    <row r="439" spans="1:9" x14ac:dyDescent="0.2">
      <c r="A439" t="s">
        <v>488</v>
      </c>
      <c r="B439">
        <v>4.298</v>
      </c>
      <c r="C439">
        <v>6.0205000000000002E-2</v>
      </c>
      <c r="D439">
        <v>234</v>
      </c>
      <c r="E439" t="s">
        <v>488</v>
      </c>
      <c r="F439">
        <v>234</v>
      </c>
      <c r="G439" s="1">
        <v>45160</v>
      </c>
      <c r="H439" s="6">
        <f t="shared" si="12"/>
        <v>5.2291666666666821</v>
      </c>
      <c r="I439" s="7">
        <f t="shared" si="13"/>
        <v>5.2291666666666821</v>
      </c>
    </row>
    <row r="440" spans="1:9" x14ac:dyDescent="0.2">
      <c r="A440" t="s">
        <v>489</v>
      </c>
      <c r="B440">
        <v>4.2960000000000003</v>
      </c>
      <c r="C440">
        <v>6.0170000000000001E-2</v>
      </c>
      <c r="D440">
        <v>234</v>
      </c>
      <c r="E440" t="s">
        <v>489</v>
      </c>
      <c r="F440">
        <v>234</v>
      </c>
      <c r="G440" s="1">
        <v>45160</v>
      </c>
      <c r="H440" s="6">
        <f t="shared" si="12"/>
        <v>5.239583333333349</v>
      </c>
      <c r="I440" s="7">
        <f t="shared" si="13"/>
        <v>5.239583333333349</v>
      </c>
    </row>
    <row r="441" spans="1:9" x14ac:dyDescent="0.2">
      <c r="A441" t="s">
        <v>490</v>
      </c>
      <c r="B441">
        <v>4.2560000000000002</v>
      </c>
      <c r="C441" s="2" t="s">
        <v>491</v>
      </c>
      <c r="D441">
        <v>234</v>
      </c>
      <c r="E441" t="s">
        <v>490</v>
      </c>
      <c r="F441">
        <v>234</v>
      </c>
      <c r="G441" s="1">
        <v>45160</v>
      </c>
      <c r="H441" s="6">
        <f t="shared" si="12"/>
        <v>5.250000000000016</v>
      </c>
      <c r="I441" s="7">
        <f t="shared" si="13"/>
        <v>5.250000000000016</v>
      </c>
    </row>
    <row r="442" spans="1:9" x14ac:dyDescent="0.2">
      <c r="A442" t="s">
        <v>492</v>
      </c>
      <c r="B442">
        <v>4.3019999999999996</v>
      </c>
      <c r="C442">
        <v>6.0240000000000002E-2</v>
      </c>
      <c r="D442">
        <v>234</v>
      </c>
      <c r="E442" t="s">
        <v>492</v>
      </c>
      <c r="F442">
        <v>234</v>
      </c>
      <c r="G442" s="1">
        <v>45160</v>
      </c>
      <c r="H442" s="6">
        <f t="shared" si="12"/>
        <v>5.2604166666666829</v>
      </c>
      <c r="I442" s="7">
        <f t="shared" si="13"/>
        <v>5.2604166666666829</v>
      </c>
    </row>
    <row r="443" spans="1:9" x14ac:dyDescent="0.2">
      <c r="A443" t="s">
        <v>493</v>
      </c>
      <c r="B443">
        <v>4.2759999999999998</v>
      </c>
      <c r="C443">
        <v>5.9894999999999997E-2</v>
      </c>
      <c r="D443">
        <v>234</v>
      </c>
      <c r="E443" t="s">
        <v>493</v>
      </c>
      <c r="F443">
        <v>234</v>
      </c>
      <c r="G443" s="1">
        <v>45160</v>
      </c>
      <c r="H443" s="6">
        <f t="shared" si="12"/>
        <v>5.2708333333333499</v>
      </c>
      <c r="I443" s="7">
        <f t="shared" si="13"/>
        <v>5.2708333333333499</v>
      </c>
    </row>
    <row r="444" spans="1:9" x14ac:dyDescent="0.2">
      <c r="A444" t="s">
        <v>494</v>
      </c>
      <c r="B444">
        <v>4.2565</v>
      </c>
      <c r="C444">
        <v>5.9619999999999999E-2</v>
      </c>
      <c r="D444">
        <v>234</v>
      </c>
      <c r="E444" t="s">
        <v>494</v>
      </c>
      <c r="F444">
        <v>234</v>
      </c>
      <c r="G444" s="1">
        <v>45160</v>
      </c>
      <c r="H444" s="6">
        <f t="shared" si="12"/>
        <v>5.2812500000000169</v>
      </c>
      <c r="I444" s="7">
        <f t="shared" si="13"/>
        <v>5.2812500000000169</v>
      </c>
    </row>
    <row r="445" spans="1:9" x14ac:dyDescent="0.2">
      <c r="A445" t="s">
        <v>495</v>
      </c>
      <c r="B445">
        <v>4.2554999999999996</v>
      </c>
      <c r="C445">
        <v>5.9604999999999998E-2</v>
      </c>
      <c r="D445">
        <v>234</v>
      </c>
      <c r="E445" t="s">
        <v>495</v>
      </c>
      <c r="F445">
        <v>234</v>
      </c>
      <c r="G445" s="1">
        <v>45160</v>
      </c>
      <c r="H445" s="6">
        <f t="shared" si="12"/>
        <v>5.2916666666666838</v>
      </c>
      <c r="I445" s="7">
        <f t="shared" si="13"/>
        <v>5.2916666666666838</v>
      </c>
    </row>
    <row r="446" spans="1:9" x14ac:dyDescent="0.2">
      <c r="A446" t="s">
        <v>496</v>
      </c>
      <c r="B446">
        <v>4.2214999999999998</v>
      </c>
      <c r="C446">
        <v>5.9130000000000002E-2</v>
      </c>
      <c r="D446">
        <v>234</v>
      </c>
      <c r="E446" t="s">
        <v>496</v>
      </c>
      <c r="F446">
        <v>234</v>
      </c>
      <c r="G446" s="1">
        <v>45160</v>
      </c>
      <c r="H446" s="6">
        <f t="shared" si="12"/>
        <v>5.3020833333333508</v>
      </c>
      <c r="I446" s="7">
        <f t="shared" si="13"/>
        <v>5.3020833333333508</v>
      </c>
    </row>
    <row r="447" spans="1:9" x14ac:dyDescent="0.2">
      <c r="A447" t="s">
        <v>497</v>
      </c>
      <c r="B447">
        <v>4.2450000000000001</v>
      </c>
      <c r="C447">
        <v>5.9475E-2</v>
      </c>
      <c r="D447">
        <v>234</v>
      </c>
      <c r="E447" t="s">
        <v>497</v>
      </c>
      <c r="F447">
        <v>234</v>
      </c>
      <c r="G447" s="1">
        <v>45160</v>
      </c>
      <c r="H447" s="6">
        <f t="shared" si="12"/>
        <v>5.3125000000000178</v>
      </c>
      <c r="I447" s="7">
        <f t="shared" si="13"/>
        <v>5.3125000000000178</v>
      </c>
    </row>
    <row r="448" spans="1:9" x14ac:dyDescent="0.2">
      <c r="A448" t="s">
        <v>498</v>
      </c>
      <c r="B448">
        <v>4.2270000000000003</v>
      </c>
      <c r="C448">
        <v>5.9209999999999999E-2</v>
      </c>
      <c r="D448">
        <v>234</v>
      </c>
      <c r="E448" t="s">
        <v>498</v>
      </c>
      <c r="F448">
        <v>234</v>
      </c>
      <c r="G448" s="1">
        <v>45160</v>
      </c>
      <c r="H448" s="6">
        <f t="shared" si="12"/>
        <v>5.3229166666666847</v>
      </c>
      <c r="I448" s="7">
        <f t="shared" si="13"/>
        <v>5.3229166666666847</v>
      </c>
    </row>
    <row r="449" spans="1:9" x14ac:dyDescent="0.2">
      <c r="A449" t="s">
        <v>499</v>
      </c>
      <c r="B449">
        <v>4.2130000000000001</v>
      </c>
      <c r="C449">
        <v>5.901E-2</v>
      </c>
      <c r="D449">
        <v>234</v>
      </c>
      <c r="E449" t="s">
        <v>499</v>
      </c>
      <c r="F449">
        <v>234</v>
      </c>
      <c r="G449" s="1">
        <v>45160</v>
      </c>
      <c r="H449" s="6">
        <f t="shared" si="12"/>
        <v>5.3333333333333517</v>
      </c>
      <c r="I449" s="7">
        <f t="shared" si="13"/>
        <v>5.3333333333333517</v>
      </c>
    </row>
    <row r="450" spans="1:9" x14ac:dyDescent="0.2">
      <c r="A450" t="s">
        <v>500</v>
      </c>
      <c r="B450">
        <v>4.2104999999999997</v>
      </c>
      <c r="C450">
        <v>5.8990000000000001E-2</v>
      </c>
      <c r="D450">
        <v>234</v>
      </c>
      <c r="E450" t="s">
        <v>500</v>
      </c>
      <c r="F450">
        <v>234</v>
      </c>
      <c r="G450" s="1">
        <v>45160</v>
      </c>
      <c r="H450" s="6">
        <f t="shared" si="12"/>
        <v>5.3437500000000187</v>
      </c>
      <c r="I450" s="7">
        <f t="shared" si="13"/>
        <v>5.3437500000000187</v>
      </c>
    </row>
    <row r="451" spans="1:9" x14ac:dyDescent="0.2">
      <c r="A451" t="s">
        <v>501</v>
      </c>
      <c r="B451">
        <v>4.1835000000000004</v>
      </c>
      <c r="C451">
        <v>5.8599999999999999E-2</v>
      </c>
      <c r="D451">
        <v>234</v>
      </c>
      <c r="E451" t="s">
        <v>501</v>
      </c>
      <c r="F451">
        <v>234</v>
      </c>
      <c r="G451" s="1">
        <v>45160</v>
      </c>
      <c r="H451" s="6">
        <f t="shared" ref="H451:H514" si="14">H450+$K$1</f>
        <v>5.3541666666666856</v>
      </c>
      <c r="I451" s="7">
        <f t="shared" ref="I451:I514" si="15">I450+$K$1</f>
        <v>5.3541666666666856</v>
      </c>
    </row>
    <row r="452" spans="1:9" x14ac:dyDescent="0.2">
      <c r="A452" t="s">
        <v>502</v>
      </c>
      <c r="B452">
        <v>4.1420000000000003</v>
      </c>
      <c r="C452">
        <v>5.8009999999999999E-2</v>
      </c>
      <c r="D452">
        <v>234</v>
      </c>
      <c r="E452" t="s">
        <v>502</v>
      </c>
      <c r="F452">
        <v>234</v>
      </c>
      <c r="G452" s="1">
        <v>45160</v>
      </c>
      <c r="H452" s="6">
        <f t="shared" si="14"/>
        <v>5.3645833333333526</v>
      </c>
      <c r="I452" s="7">
        <f t="shared" si="15"/>
        <v>5.3645833333333526</v>
      </c>
    </row>
    <row r="453" spans="1:9" x14ac:dyDescent="0.2">
      <c r="A453" t="s">
        <v>503</v>
      </c>
      <c r="B453">
        <v>4.1174999999999997</v>
      </c>
      <c r="C453">
        <v>5.7669999999999999E-2</v>
      </c>
      <c r="D453">
        <v>234</v>
      </c>
      <c r="E453" t="s">
        <v>503</v>
      </c>
      <c r="F453">
        <v>234</v>
      </c>
      <c r="G453" s="1">
        <v>45160</v>
      </c>
      <c r="H453" s="6">
        <f t="shared" si="14"/>
        <v>5.3750000000000195</v>
      </c>
      <c r="I453" s="7">
        <f t="shared" si="15"/>
        <v>5.3750000000000195</v>
      </c>
    </row>
    <row r="454" spans="1:9" x14ac:dyDescent="0.2">
      <c r="A454" t="s">
        <v>504</v>
      </c>
      <c r="B454">
        <v>4.1165000000000003</v>
      </c>
      <c r="C454">
        <v>5.7660000000000003E-2</v>
      </c>
      <c r="D454">
        <v>234</v>
      </c>
      <c r="E454" t="s">
        <v>504</v>
      </c>
      <c r="F454">
        <v>234</v>
      </c>
      <c r="G454" s="1">
        <v>45160</v>
      </c>
      <c r="H454" s="6">
        <f t="shared" si="14"/>
        <v>5.3854166666666865</v>
      </c>
      <c r="I454" s="7">
        <f t="shared" si="15"/>
        <v>5.3854166666666865</v>
      </c>
    </row>
    <row r="455" spans="1:9" x14ac:dyDescent="0.2">
      <c r="A455" t="s">
        <v>505</v>
      </c>
      <c r="B455">
        <v>4.0709999999999997</v>
      </c>
      <c r="C455">
        <v>5.704E-2</v>
      </c>
      <c r="D455">
        <v>234</v>
      </c>
      <c r="E455" t="s">
        <v>505</v>
      </c>
      <c r="F455">
        <v>234</v>
      </c>
      <c r="G455" s="1">
        <v>45160</v>
      </c>
      <c r="H455" s="6">
        <f t="shared" si="14"/>
        <v>5.3958333333333535</v>
      </c>
      <c r="I455" s="7">
        <f t="shared" si="15"/>
        <v>5.3958333333333535</v>
      </c>
    </row>
    <row r="456" spans="1:9" x14ac:dyDescent="0.2">
      <c r="A456" t="s">
        <v>506</v>
      </c>
      <c r="B456">
        <v>4.0359999999999996</v>
      </c>
      <c r="C456">
        <v>5.6524999999999999E-2</v>
      </c>
      <c r="D456">
        <v>234</v>
      </c>
      <c r="E456" t="s">
        <v>506</v>
      </c>
      <c r="F456">
        <v>234</v>
      </c>
      <c r="G456" s="1">
        <v>45160</v>
      </c>
      <c r="H456" s="6">
        <f t="shared" si="14"/>
        <v>5.4062500000000204</v>
      </c>
      <c r="I456" s="7">
        <f t="shared" si="15"/>
        <v>5.4062500000000204</v>
      </c>
    </row>
    <row r="457" spans="1:9" x14ac:dyDescent="0.2">
      <c r="A457" t="s">
        <v>507</v>
      </c>
      <c r="B457">
        <v>3.9910000000000001</v>
      </c>
      <c r="C457">
        <v>5.5914999999999999E-2</v>
      </c>
      <c r="D457">
        <v>234</v>
      </c>
      <c r="E457" t="s">
        <v>507</v>
      </c>
      <c r="F457">
        <v>234</v>
      </c>
      <c r="G457" s="1">
        <v>45160</v>
      </c>
      <c r="H457" s="6">
        <f t="shared" si="14"/>
        <v>5.4166666666666874</v>
      </c>
      <c r="I457" s="7">
        <f t="shared" si="15"/>
        <v>5.4166666666666874</v>
      </c>
    </row>
    <row r="458" spans="1:9" x14ac:dyDescent="0.2">
      <c r="A458" t="s">
        <v>508</v>
      </c>
      <c r="B458">
        <v>3.9870000000000001</v>
      </c>
      <c r="C458">
        <v>5.5844999999999999E-2</v>
      </c>
      <c r="D458">
        <v>234</v>
      </c>
      <c r="E458" t="s">
        <v>508</v>
      </c>
      <c r="F458">
        <v>234</v>
      </c>
      <c r="G458" s="1">
        <v>45160</v>
      </c>
      <c r="H458" s="6">
        <f t="shared" si="14"/>
        <v>5.4270833333333544</v>
      </c>
      <c r="I458" s="7">
        <f t="shared" si="15"/>
        <v>5.4270833333333544</v>
      </c>
    </row>
    <row r="459" spans="1:9" x14ac:dyDescent="0.2">
      <c r="A459" t="s">
        <v>509</v>
      </c>
      <c r="B459">
        <v>3.9239999999999999</v>
      </c>
      <c r="C459" s="2" t="s">
        <v>510</v>
      </c>
      <c r="D459">
        <v>234</v>
      </c>
      <c r="E459" t="s">
        <v>509</v>
      </c>
      <c r="F459">
        <v>234</v>
      </c>
      <c r="G459" s="1">
        <v>45160</v>
      </c>
      <c r="H459" s="6">
        <f t="shared" si="14"/>
        <v>5.4375000000000213</v>
      </c>
      <c r="I459" s="7">
        <f t="shared" si="15"/>
        <v>5.4375000000000213</v>
      </c>
    </row>
    <row r="460" spans="1:9" x14ac:dyDescent="0.2">
      <c r="A460" t="s">
        <v>511</v>
      </c>
      <c r="B460" s="2" t="s">
        <v>512</v>
      </c>
      <c r="C460">
        <v>5.4399999999999997E-2</v>
      </c>
      <c r="D460">
        <v>234</v>
      </c>
      <c r="E460" t="s">
        <v>511</v>
      </c>
      <c r="F460">
        <v>234</v>
      </c>
      <c r="G460" s="1">
        <v>45160</v>
      </c>
      <c r="H460" s="6">
        <f t="shared" si="14"/>
        <v>5.4479166666666883</v>
      </c>
      <c r="I460" s="7">
        <f t="shared" si="15"/>
        <v>5.4479166666666883</v>
      </c>
    </row>
    <row r="461" spans="1:9" x14ac:dyDescent="0.2">
      <c r="A461" t="s">
        <v>513</v>
      </c>
      <c r="B461">
        <v>3.8620000000000001</v>
      </c>
      <c r="C461">
        <v>5.4100000000000002E-2</v>
      </c>
      <c r="D461">
        <v>234</v>
      </c>
      <c r="E461" t="s">
        <v>513</v>
      </c>
      <c r="F461">
        <v>234</v>
      </c>
      <c r="G461" s="1">
        <v>45160</v>
      </c>
      <c r="H461" s="6">
        <f t="shared" si="14"/>
        <v>5.4583333333333552</v>
      </c>
      <c r="I461" s="7">
        <f t="shared" si="15"/>
        <v>5.4583333333333552</v>
      </c>
    </row>
    <row r="462" spans="1:9" x14ac:dyDescent="0.2">
      <c r="A462" t="s">
        <v>514</v>
      </c>
      <c r="B462">
        <v>3.8125</v>
      </c>
      <c r="C462">
        <v>5.3409999999999999E-2</v>
      </c>
      <c r="D462">
        <v>234</v>
      </c>
      <c r="E462" t="s">
        <v>514</v>
      </c>
      <c r="F462">
        <v>234</v>
      </c>
      <c r="G462" s="1">
        <v>45160</v>
      </c>
      <c r="H462" s="6">
        <f t="shared" si="14"/>
        <v>5.4687500000000222</v>
      </c>
      <c r="I462" s="7">
        <f t="shared" si="15"/>
        <v>5.4687500000000222</v>
      </c>
    </row>
    <row r="463" spans="1:9" x14ac:dyDescent="0.2">
      <c r="A463" t="s">
        <v>515</v>
      </c>
      <c r="B463" s="2" t="s">
        <v>516</v>
      </c>
      <c r="C463">
        <v>5.3315000000000001E-2</v>
      </c>
      <c r="D463">
        <v>234</v>
      </c>
      <c r="E463" t="s">
        <v>515</v>
      </c>
      <c r="F463">
        <v>234</v>
      </c>
      <c r="G463" s="1">
        <v>45160</v>
      </c>
      <c r="H463" s="6">
        <f t="shared" si="14"/>
        <v>5.4791666666666892</v>
      </c>
      <c r="I463" s="7">
        <f t="shared" si="15"/>
        <v>5.4791666666666892</v>
      </c>
    </row>
    <row r="464" spans="1:9" x14ac:dyDescent="0.2">
      <c r="A464" t="s">
        <v>517</v>
      </c>
      <c r="B464">
        <v>3.7745000000000002</v>
      </c>
      <c r="C464">
        <v>5.2850000000000001E-2</v>
      </c>
      <c r="D464">
        <v>234</v>
      </c>
      <c r="E464" t="s">
        <v>517</v>
      </c>
      <c r="F464">
        <v>234</v>
      </c>
      <c r="G464" s="1">
        <v>45160</v>
      </c>
      <c r="H464" s="6">
        <f t="shared" si="14"/>
        <v>5.4895833333333561</v>
      </c>
      <c r="I464" s="7">
        <f t="shared" si="15"/>
        <v>5.4895833333333561</v>
      </c>
    </row>
    <row r="465" spans="1:9" x14ac:dyDescent="0.2">
      <c r="A465" t="s">
        <v>518</v>
      </c>
      <c r="B465">
        <v>3.71</v>
      </c>
      <c r="C465">
        <v>5.1964999999999997E-2</v>
      </c>
      <c r="D465">
        <v>234</v>
      </c>
      <c r="E465" t="s">
        <v>518</v>
      </c>
      <c r="F465">
        <v>234</v>
      </c>
      <c r="G465" s="1">
        <v>45160</v>
      </c>
      <c r="H465" s="6">
        <f t="shared" si="14"/>
        <v>5.5000000000000231</v>
      </c>
      <c r="I465" s="7">
        <f t="shared" si="15"/>
        <v>5.5000000000000231</v>
      </c>
    </row>
    <row r="466" spans="1:9" x14ac:dyDescent="0.2">
      <c r="A466" t="s">
        <v>519</v>
      </c>
      <c r="B466">
        <v>3.7025000000000001</v>
      </c>
      <c r="C466">
        <v>5.1869999999999999E-2</v>
      </c>
      <c r="D466">
        <v>234</v>
      </c>
      <c r="E466" t="s">
        <v>519</v>
      </c>
      <c r="F466">
        <v>234</v>
      </c>
      <c r="G466" s="1">
        <v>45160</v>
      </c>
      <c r="H466" s="6">
        <f t="shared" si="14"/>
        <v>5.5104166666666901</v>
      </c>
      <c r="I466" s="7">
        <f t="shared" si="15"/>
        <v>5.5104166666666901</v>
      </c>
    </row>
    <row r="467" spans="1:9" x14ac:dyDescent="0.2">
      <c r="A467" t="s">
        <v>520</v>
      </c>
      <c r="B467" s="2" t="s">
        <v>521</v>
      </c>
      <c r="C467">
        <v>5.1554999999999997E-2</v>
      </c>
      <c r="D467">
        <v>234</v>
      </c>
      <c r="E467" t="s">
        <v>520</v>
      </c>
      <c r="F467">
        <v>234</v>
      </c>
      <c r="G467" s="1">
        <v>45160</v>
      </c>
      <c r="H467" s="6">
        <f t="shared" si="14"/>
        <v>5.520833333333357</v>
      </c>
      <c r="I467" s="7">
        <f t="shared" si="15"/>
        <v>5.520833333333357</v>
      </c>
    </row>
    <row r="468" spans="1:9" x14ac:dyDescent="0.2">
      <c r="A468" t="s">
        <v>522</v>
      </c>
      <c r="B468">
        <v>3.6360000000000001</v>
      </c>
      <c r="C468">
        <v>5.092E-2</v>
      </c>
      <c r="D468">
        <v>234</v>
      </c>
      <c r="E468" t="s">
        <v>522</v>
      </c>
      <c r="F468">
        <v>234</v>
      </c>
      <c r="G468" s="1">
        <v>45160</v>
      </c>
      <c r="H468" s="6">
        <f t="shared" si="14"/>
        <v>5.531250000000024</v>
      </c>
      <c r="I468" s="7">
        <f t="shared" si="15"/>
        <v>5.531250000000024</v>
      </c>
    </row>
    <row r="469" spans="1:9" x14ac:dyDescent="0.2">
      <c r="A469" t="s">
        <v>523</v>
      </c>
      <c r="B469">
        <v>3.637</v>
      </c>
      <c r="C469">
        <v>5.0944999999999997E-2</v>
      </c>
      <c r="D469">
        <v>234</v>
      </c>
      <c r="E469" t="s">
        <v>523</v>
      </c>
      <c r="F469">
        <v>234</v>
      </c>
      <c r="G469" s="1">
        <v>45160</v>
      </c>
      <c r="H469" s="6">
        <f t="shared" si="14"/>
        <v>5.5416666666666909</v>
      </c>
      <c r="I469" s="7">
        <f t="shared" si="15"/>
        <v>5.5416666666666909</v>
      </c>
    </row>
    <row r="470" spans="1:9" x14ac:dyDescent="0.2">
      <c r="A470" t="s">
        <v>524</v>
      </c>
      <c r="B470">
        <v>3.5670000000000002</v>
      </c>
      <c r="C470">
        <v>4.9959999999999997E-2</v>
      </c>
      <c r="D470">
        <v>234</v>
      </c>
      <c r="E470" t="s">
        <v>524</v>
      </c>
      <c r="F470">
        <v>234</v>
      </c>
      <c r="G470" s="1">
        <v>45160</v>
      </c>
      <c r="H470" s="6">
        <f t="shared" si="14"/>
        <v>5.5520833333333579</v>
      </c>
      <c r="I470" s="7">
        <f t="shared" si="15"/>
        <v>5.5520833333333579</v>
      </c>
    </row>
    <row r="471" spans="1:9" x14ac:dyDescent="0.2">
      <c r="A471" t="s">
        <v>525</v>
      </c>
      <c r="B471">
        <v>3.5594999999999999</v>
      </c>
      <c r="C471">
        <v>4.9849999999999998E-2</v>
      </c>
      <c r="D471">
        <v>234</v>
      </c>
      <c r="E471" t="s">
        <v>525</v>
      </c>
      <c r="F471">
        <v>234</v>
      </c>
      <c r="G471" s="1">
        <v>45160</v>
      </c>
      <c r="H471" s="6">
        <f t="shared" si="14"/>
        <v>5.5625000000000249</v>
      </c>
      <c r="I471" s="7">
        <f t="shared" si="15"/>
        <v>5.5625000000000249</v>
      </c>
    </row>
    <row r="472" spans="1:9" x14ac:dyDescent="0.2">
      <c r="A472" t="s">
        <v>526</v>
      </c>
      <c r="B472">
        <v>3.5249999999999999</v>
      </c>
      <c r="C472">
        <v>4.9390000000000003E-2</v>
      </c>
      <c r="D472">
        <v>234</v>
      </c>
      <c r="E472" t="s">
        <v>526</v>
      </c>
      <c r="F472">
        <v>234</v>
      </c>
      <c r="G472" s="1">
        <v>45160</v>
      </c>
      <c r="H472" s="6">
        <f t="shared" si="14"/>
        <v>5.5729166666666918</v>
      </c>
      <c r="I472" s="7">
        <f t="shared" si="15"/>
        <v>5.5729166666666918</v>
      </c>
    </row>
    <row r="473" spans="1:9" x14ac:dyDescent="0.2">
      <c r="A473" t="s">
        <v>527</v>
      </c>
      <c r="B473">
        <v>3.5179999999999998</v>
      </c>
      <c r="C473" s="2" t="s">
        <v>528</v>
      </c>
      <c r="D473">
        <v>234</v>
      </c>
      <c r="E473" t="s">
        <v>527</v>
      </c>
      <c r="F473">
        <v>234</v>
      </c>
      <c r="G473" s="1">
        <v>45160</v>
      </c>
      <c r="H473" s="6">
        <f t="shared" si="14"/>
        <v>5.5833333333333588</v>
      </c>
      <c r="I473" s="7">
        <f t="shared" si="15"/>
        <v>5.5833333333333588</v>
      </c>
    </row>
    <row r="474" spans="1:9" x14ac:dyDescent="0.2">
      <c r="A474" t="s">
        <v>529</v>
      </c>
      <c r="B474">
        <v>3.5074999999999998</v>
      </c>
      <c r="C474">
        <v>4.9134999999999998E-2</v>
      </c>
      <c r="D474">
        <v>234</v>
      </c>
      <c r="E474" t="s">
        <v>529</v>
      </c>
      <c r="F474">
        <v>234</v>
      </c>
      <c r="G474" s="1">
        <v>45160</v>
      </c>
      <c r="H474" s="6">
        <f t="shared" si="14"/>
        <v>5.5937500000000258</v>
      </c>
      <c r="I474" s="7">
        <f t="shared" si="15"/>
        <v>5.5937500000000258</v>
      </c>
    </row>
    <row r="475" spans="1:9" x14ac:dyDescent="0.2">
      <c r="A475" t="s">
        <v>530</v>
      </c>
      <c r="B475">
        <v>3.4529999999999998</v>
      </c>
      <c r="C475">
        <v>4.836E-2</v>
      </c>
      <c r="D475">
        <v>234</v>
      </c>
      <c r="E475" t="s">
        <v>530</v>
      </c>
      <c r="F475">
        <v>234</v>
      </c>
      <c r="G475" s="1">
        <v>45160</v>
      </c>
      <c r="H475" s="6">
        <f t="shared" si="14"/>
        <v>5.6041666666666927</v>
      </c>
      <c r="I475" s="7">
        <f t="shared" si="15"/>
        <v>5.6041666666666927</v>
      </c>
    </row>
    <row r="476" spans="1:9" x14ac:dyDescent="0.2">
      <c r="A476" t="s">
        <v>531</v>
      </c>
      <c r="B476">
        <v>3.4344999999999999</v>
      </c>
      <c r="C476">
        <v>4.8105000000000002E-2</v>
      </c>
      <c r="D476">
        <v>234</v>
      </c>
      <c r="E476" t="s">
        <v>531</v>
      </c>
      <c r="F476">
        <v>234</v>
      </c>
      <c r="G476" s="1">
        <v>45160</v>
      </c>
      <c r="H476" s="6">
        <f t="shared" si="14"/>
        <v>5.6145833333333597</v>
      </c>
      <c r="I476" s="7">
        <f t="shared" si="15"/>
        <v>5.6145833333333597</v>
      </c>
    </row>
    <row r="477" spans="1:9" x14ac:dyDescent="0.2">
      <c r="A477" t="s">
        <v>532</v>
      </c>
      <c r="B477">
        <v>3.4304999999999999</v>
      </c>
      <c r="C477">
        <v>4.8050000000000002E-2</v>
      </c>
      <c r="D477">
        <v>234</v>
      </c>
      <c r="E477" t="s">
        <v>532</v>
      </c>
      <c r="F477">
        <v>234</v>
      </c>
      <c r="G477" s="1">
        <v>45160</v>
      </c>
      <c r="H477" s="6">
        <f t="shared" si="14"/>
        <v>5.6250000000000266</v>
      </c>
      <c r="I477" s="7">
        <f t="shared" si="15"/>
        <v>5.6250000000000266</v>
      </c>
    </row>
    <row r="478" spans="1:9" x14ac:dyDescent="0.2">
      <c r="A478" t="s">
        <v>533</v>
      </c>
      <c r="B478">
        <v>3.41</v>
      </c>
      <c r="C478">
        <v>4.7765000000000002E-2</v>
      </c>
      <c r="D478">
        <v>234</v>
      </c>
      <c r="E478" t="s">
        <v>533</v>
      </c>
      <c r="F478">
        <v>234</v>
      </c>
      <c r="G478" s="1">
        <v>45160</v>
      </c>
      <c r="H478" s="6">
        <f t="shared" si="14"/>
        <v>5.6354166666666936</v>
      </c>
      <c r="I478" s="7">
        <f t="shared" si="15"/>
        <v>5.6354166666666936</v>
      </c>
    </row>
    <row r="479" spans="1:9" x14ac:dyDescent="0.2">
      <c r="A479" t="s">
        <v>534</v>
      </c>
      <c r="B479">
        <v>3.4264999999999999</v>
      </c>
      <c r="C479">
        <v>4.7989999999999998E-2</v>
      </c>
      <c r="D479">
        <v>234</v>
      </c>
      <c r="E479" t="s">
        <v>534</v>
      </c>
      <c r="F479">
        <v>234</v>
      </c>
      <c r="G479" s="1">
        <v>45160</v>
      </c>
      <c r="H479" s="6">
        <f t="shared" si="14"/>
        <v>5.6458333333333606</v>
      </c>
      <c r="I479" s="7">
        <f t="shared" si="15"/>
        <v>5.6458333333333606</v>
      </c>
    </row>
    <row r="480" spans="1:9" x14ac:dyDescent="0.2">
      <c r="A480" t="s">
        <v>535</v>
      </c>
      <c r="B480">
        <v>3.4075000000000002</v>
      </c>
      <c r="C480">
        <v>4.7730000000000002E-2</v>
      </c>
      <c r="D480">
        <v>234</v>
      </c>
      <c r="E480" t="s">
        <v>535</v>
      </c>
      <c r="F480">
        <v>234</v>
      </c>
      <c r="G480" s="1">
        <v>45160</v>
      </c>
      <c r="H480" s="6">
        <f t="shared" si="14"/>
        <v>5.6562500000000275</v>
      </c>
      <c r="I480" s="7">
        <f t="shared" si="15"/>
        <v>5.6562500000000275</v>
      </c>
    </row>
    <row r="481" spans="1:9" x14ac:dyDescent="0.2">
      <c r="A481" t="s">
        <v>536</v>
      </c>
      <c r="B481">
        <v>3.3984999999999999</v>
      </c>
      <c r="C481">
        <v>4.7620000000000003E-2</v>
      </c>
      <c r="D481">
        <v>234</v>
      </c>
      <c r="E481" t="s">
        <v>536</v>
      </c>
      <c r="F481">
        <v>234</v>
      </c>
      <c r="G481" s="1">
        <v>45160</v>
      </c>
      <c r="H481" s="6">
        <f t="shared" si="14"/>
        <v>5.6666666666666945</v>
      </c>
      <c r="I481" s="7">
        <f t="shared" si="15"/>
        <v>5.6666666666666945</v>
      </c>
    </row>
    <row r="482" spans="1:9" x14ac:dyDescent="0.2">
      <c r="A482" t="s">
        <v>537</v>
      </c>
      <c r="B482">
        <v>3.4344999999999999</v>
      </c>
      <c r="C482">
        <v>4.8120000000000003E-2</v>
      </c>
      <c r="D482">
        <v>234</v>
      </c>
      <c r="E482" t="s">
        <v>537</v>
      </c>
      <c r="F482">
        <v>234</v>
      </c>
      <c r="G482" s="1">
        <v>45160</v>
      </c>
      <c r="H482" s="6">
        <f t="shared" si="14"/>
        <v>5.6770833333333615</v>
      </c>
      <c r="I482" s="7">
        <f t="shared" si="15"/>
        <v>5.6770833333333615</v>
      </c>
    </row>
    <row r="483" spans="1:9" x14ac:dyDescent="0.2">
      <c r="A483" t="s">
        <v>538</v>
      </c>
      <c r="B483">
        <v>3.4365000000000001</v>
      </c>
      <c r="C483">
        <v>4.8145E-2</v>
      </c>
      <c r="D483">
        <v>234</v>
      </c>
      <c r="E483" t="s">
        <v>538</v>
      </c>
      <c r="F483">
        <v>234</v>
      </c>
      <c r="G483" s="1">
        <v>45160</v>
      </c>
      <c r="H483" s="6">
        <f t="shared" si="14"/>
        <v>5.6875000000000284</v>
      </c>
      <c r="I483" s="7">
        <f t="shared" si="15"/>
        <v>5.6875000000000284</v>
      </c>
    </row>
    <row r="484" spans="1:9" x14ac:dyDescent="0.2">
      <c r="A484" t="s">
        <v>539</v>
      </c>
      <c r="B484">
        <v>3.407</v>
      </c>
      <c r="C484">
        <v>4.7710000000000002E-2</v>
      </c>
      <c r="D484">
        <v>234</v>
      </c>
      <c r="E484" t="s">
        <v>539</v>
      </c>
      <c r="F484">
        <v>234</v>
      </c>
      <c r="G484" s="1">
        <v>45160</v>
      </c>
      <c r="H484" s="6">
        <f t="shared" si="14"/>
        <v>5.6979166666666954</v>
      </c>
      <c r="I484" s="7">
        <f t="shared" si="15"/>
        <v>5.6979166666666954</v>
      </c>
    </row>
    <row r="485" spans="1:9" x14ac:dyDescent="0.2">
      <c r="A485" t="s">
        <v>540</v>
      </c>
      <c r="B485">
        <v>3.431</v>
      </c>
      <c r="C485">
        <v>4.8050000000000002E-2</v>
      </c>
      <c r="D485">
        <v>234</v>
      </c>
      <c r="E485" t="s">
        <v>540</v>
      </c>
      <c r="F485">
        <v>234</v>
      </c>
      <c r="G485" s="1">
        <v>45160</v>
      </c>
      <c r="H485" s="6">
        <f t="shared" si="14"/>
        <v>5.7083333333333623</v>
      </c>
      <c r="I485" s="7">
        <f t="shared" si="15"/>
        <v>5.7083333333333623</v>
      </c>
    </row>
    <row r="486" spans="1:9" x14ac:dyDescent="0.2">
      <c r="A486" t="s">
        <v>541</v>
      </c>
      <c r="B486" s="2" t="s">
        <v>542</v>
      </c>
      <c r="C486">
        <v>4.8050000000000002E-2</v>
      </c>
      <c r="D486">
        <v>234</v>
      </c>
      <c r="E486" t="s">
        <v>541</v>
      </c>
      <c r="F486">
        <v>234</v>
      </c>
      <c r="G486" s="1">
        <v>45160</v>
      </c>
      <c r="H486" s="6">
        <f t="shared" si="14"/>
        <v>5.7187500000000293</v>
      </c>
      <c r="I486" s="7">
        <f t="shared" si="15"/>
        <v>5.7187500000000293</v>
      </c>
    </row>
    <row r="487" spans="1:9" x14ac:dyDescent="0.2">
      <c r="A487" t="s">
        <v>543</v>
      </c>
      <c r="B487">
        <v>3.4255</v>
      </c>
      <c r="C487">
        <v>4.7969999999999999E-2</v>
      </c>
      <c r="D487">
        <v>234</v>
      </c>
      <c r="E487" t="s">
        <v>543</v>
      </c>
      <c r="F487">
        <v>234</v>
      </c>
      <c r="G487" s="1">
        <v>45160</v>
      </c>
      <c r="H487" s="6">
        <f t="shared" si="14"/>
        <v>5.7291666666666963</v>
      </c>
      <c r="I487" s="7">
        <f t="shared" si="15"/>
        <v>5.7291666666666963</v>
      </c>
    </row>
    <row r="488" spans="1:9" x14ac:dyDescent="0.2">
      <c r="A488" t="s">
        <v>544</v>
      </c>
      <c r="B488">
        <v>3.4180000000000001</v>
      </c>
      <c r="C488">
        <v>4.7864999999999998E-2</v>
      </c>
      <c r="D488">
        <v>234</v>
      </c>
      <c r="E488" t="s">
        <v>544</v>
      </c>
      <c r="F488">
        <v>234</v>
      </c>
      <c r="G488" s="1">
        <v>45160</v>
      </c>
      <c r="H488" s="6">
        <f t="shared" si="14"/>
        <v>5.7395833333333632</v>
      </c>
      <c r="I488" s="7">
        <f t="shared" si="15"/>
        <v>5.7395833333333632</v>
      </c>
    </row>
    <row r="489" spans="1:9" x14ac:dyDescent="0.2">
      <c r="A489" t="s">
        <v>545</v>
      </c>
      <c r="B489">
        <v>3.427</v>
      </c>
      <c r="C489">
        <v>4.7989999999999998E-2</v>
      </c>
      <c r="D489">
        <v>235</v>
      </c>
      <c r="E489" t="s">
        <v>545</v>
      </c>
      <c r="F489">
        <v>234</v>
      </c>
      <c r="G489" s="1">
        <v>45160</v>
      </c>
      <c r="H489" s="6">
        <f t="shared" si="14"/>
        <v>5.7500000000000302</v>
      </c>
      <c r="I489" s="7">
        <f t="shared" si="15"/>
        <v>5.7500000000000302</v>
      </c>
    </row>
    <row r="490" spans="1:9" x14ac:dyDescent="0.2">
      <c r="A490" t="s">
        <v>546</v>
      </c>
      <c r="B490">
        <v>3.4540000000000002</v>
      </c>
      <c r="C490" s="2" t="s">
        <v>547</v>
      </c>
      <c r="D490">
        <v>235</v>
      </c>
      <c r="E490" t="s">
        <v>546</v>
      </c>
      <c r="F490">
        <v>234</v>
      </c>
      <c r="G490" s="1">
        <v>45160</v>
      </c>
      <c r="H490" s="6">
        <f t="shared" si="14"/>
        <v>5.7604166666666972</v>
      </c>
      <c r="I490" s="7">
        <f t="shared" si="15"/>
        <v>5.7604166666666972</v>
      </c>
    </row>
    <row r="491" spans="1:9" x14ac:dyDescent="0.2">
      <c r="A491" t="s">
        <v>548</v>
      </c>
      <c r="B491">
        <v>3.4735</v>
      </c>
      <c r="C491">
        <v>4.863E-2</v>
      </c>
      <c r="D491">
        <v>235</v>
      </c>
      <c r="E491" t="s">
        <v>548</v>
      </c>
      <c r="F491">
        <v>234</v>
      </c>
      <c r="G491" s="1">
        <v>45160</v>
      </c>
      <c r="H491" s="6">
        <f t="shared" si="14"/>
        <v>5.7708333333333641</v>
      </c>
      <c r="I491" s="7">
        <f t="shared" si="15"/>
        <v>5.7708333333333641</v>
      </c>
    </row>
    <row r="492" spans="1:9" x14ac:dyDescent="0.2">
      <c r="A492" t="s">
        <v>549</v>
      </c>
      <c r="B492">
        <v>3.4944999999999999</v>
      </c>
      <c r="C492">
        <v>4.8934999999999999E-2</v>
      </c>
      <c r="D492">
        <v>235</v>
      </c>
      <c r="E492" t="s">
        <v>549</v>
      </c>
      <c r="F492">
        <v>234</v>
      </c>
      <c r="G492" s="1">
        <v>45160</v>
      </c>
      <c r="H492" s="6">
        <f t="shared" si="14"/>
        <v>5.7812500000000311</v>
      </c>
      <c r="I492" s="7">
        <f t="shared" si="15"/>
        <v>5.7812500000000311</v>
      </c>
    </row>
    <row r="493" spans="1:9" x14ac:dyDescent="0.2">
      <c r="A493" t="s">
        <v>550</v>
      </c>
      <c r="B493" s="2" t="s">
        <v>551</v>
      </c>
      <c r="C493">
        <v>4.9744999999999998E-2</v>
      </c>
      <c r="D493">
        <v>235</v>
      </c>
      <c r="E493" t="s">
        <v>550</v>
      </c>
      <c r="F493">
        <v>234</v>
      </c>
      <c r="G493" s="1">
        <v>45160</v>
      </c>
      <c r="H493" s="6">
        <f t="shared" si="14"/>
        <v>5.791666666666698</v>
      </c>
      <c r="I493" s="7">
        <f t="shared" si="15"/>
        <v>5.791666666666698</v>
      </c>
    </row>
    <row r="494" spans="1:9" x14ac:dyDescent="0.2">
      <c r="A494" t="s">
        <v>552</v>
      </c>
      <c r="B494">
        <v>3.593</v>
      </c>
      <c r="C494">
        <v>5.0340000000000003E-2</v>
      </c>
      <c r="D494">
        <v>235</v>
      </c>
      <c r="E494" t="s">
        <v>552</v>
      </c>
      <c r="F494">
        <v>234</v>
      </c>
      <c r="G494" s="1">
        <v>45160</v>
      </c>
      <c r="H494" s="6">
        <f t="shared" si="14"/>
        <v>5.802083333333365</v>
      </c>
      <c r="I494" s="7">
        <f t="shared" si="15"/>
        <v>5.802083333333365</v>
      </c>
    </row>
    <row r="495" spans="1:9" x14ac:dyDescent="0.2">
      <c r="A495" t="s">
        <v>553</v>
      </c>
      <c r="B495">
        <v>3.6440000000000001</v>
      </c>
      <c r="C495">
        <v>5.1034999999999997E-2</v>
      </c>
      <c r="D495">
        <v>235</v>
      </c>
      <c r="E495" t="s">
        <v>553</v>
      </c>
      <c r="F495">
        <v>234</v>
      </c>
      <c r="G495" s="1">
        <v>45160</v>
      </c>
      <c r="H495" s="6">
        <f t="shared" si="14"/>
        <v>5.812500000000032</v>
      </c>
      <c r="I495" s="7">
        <f t="shared" si="15"/>
        <v>5.812500000000032</v>
      </c>
    </row>
    <row r="496" spans="1:9" x14ac:dyDescent="0.2">
      <c r="A496" t="s">
        <v>554</v>
      </c>
      <c r="B496">
        <v>3.6829999999999998</v>
      </c>
      <c r="C496">
        <v>5.1589999999999997E-2</v>
      </c>
      <c r="D496">
        <v>235</v>
      </c>
      <c r="E496" t="s">
        <v>554</v>
      </c>
      <c r="F496">
        <v>234</v>
      </c>
      <c r="G496" s="1">
        <v>45160</v>
      </c>
      <c r="H496" s="6">
        <f t="shared" si="14"/>
        <v>5.8229166666666989</v>
      </c>
      <c r="I496" s="7">
        <f t="shared" si="15"/>
        <v>5.8229166666666989</v>
      </c>
    </row>
    <row r="497" spans="1:9" x14ac:dyDescent="0.2">
      <c r="A497" t="s">
        <v>555</v>
      </c>
      <c r="B497" s="2" t="s">
        <v>556</v>
      </c>
      <c r="C497">
        <v>5.2440000000000001E-2</v>
      </c>
      <c r="D497">
        <v>235</v>
      </c>
      <c r="E497" t="s">
        <v>555</v>
      </c>
      <c r="F497">
        <v>234</v>
      </c>
      <c r="G497" s="1">
        <v>45160</v>
      </c>
      <c r="H497" s="6">
        <f t="shared" si="14"/>
        <v>5.8333333333333659</v>
      </c>
      <c r="I497" s="7">
        <f t="shared" si="15"/>
        <v>5.8333333333333659</v>
      </c>
    </row>
    <row r="498" spans="1:9" x14ac:dyDescent="0.2">
      <c r="A498" t="s">
        <v>557</v>
      </c>
      <c r="B498">
        <v>3.8014999999999999</v>
      </c>
      <c r="C498" s="2" t="s">
        <v>558</v>
      </c>
      <c r="D498">
        <v>235</v>
      </c>
      <c r="E498" t="s">
        <v>557</v>
      </c>
      <c r="F498">
        <v>234</v>
      </c>
      <c r="G498" s="1">
        <v>45160</v>
      </c>
      <c r="H498" s="6">
        <f t="shared" si="14"/>
        <v>5.8437500000000329</v>
      </c>
      <c r="I498" s="7">
        <f t="shared" si="15"/>
        <v>5.8437500000000329</v>
      </c>
    </row>
    <row r="499" spans="1:9" x14ac:dyDescent="0.2">
      <c r="A499" t="s">
        <v>559</v>
      </c>
      <c r="B499">
        <v>3.8380000000000001</v>
      </c>
      <c r="C499">
        <v>5.3760000000000002E-2</v>
      </c>
      <c r="D499">
        <v>235</v>
      </c>
      <c r="E499" t="s">
        <v>559</v>
      </c>
      <c r="F499">
        <v>234</v>
      </c>
      <c r="G499" s="1">
        <v>45160</v>
      </c>
      <c r="H499" s="6">
        <f t="shared" si="14"/>
        <v>5.8541666666666998</v>
      </c>
      <c r="I499" s="7">
        <f t="shared" si="15"/>
        <v>5.8541666666666998</v>
      </c>
    </row>
    <row r="500" spans="1:9" x14ac:dyDescent="0.2">
      <c r="A500" t="s">
        <v>560</v>
      </c>
      <c r="B500">
        <v>3.9119999999999999</v>
      </c>
      <c r="C500">
        <v>5.4800000000000001E-2</v>
      </c>
      <c r="D500">
        <v>235</v>
      </c>
      <c r="E500" t="s">
        <v>560</v>
      </c>
      <c r="F500">
        <v>234</v>
      </c>
      <c r="G500" s="1">
        <v>45160</v>
      </c>
      <c r="H500" s="6">
        <f t="shared" si="14"/>
        <v>5.8645833333333668</v>
      </c>
      <c r="I500" s="7">
        <f t="shared" si="15"/>
        <v>5.8645833333333668</v>
      </c>
    </row>
    <row r="501" spans="1:9" x14ac:dyDescent="0.2">
      <c r="A501" t="s">
        <v>561</v>
      </c>
      <c r="B501">
        <v>3.9689999999999999</v>
      </c>
      <c r="C501">
        <v>5.5599999999999997E-2</v>
      </c>
      <c r="D501">
        <v>235</v>
      </c>
      <c r="E501" t="s">
        <v>561</v>
      </c>
      <c r="F501">
        <v>234</v>
      </c>
      <c r="G501" s="1">
        <v>45160</v>
      </c>
      <c r="H501" s="6">
        <f t="shared" si="14"/>
        <v>5.8750000000000338</v>
      </c>
      <c r="I501" s="7">
        <f t="shared" si="15"/>
        <v>5.8750000000000338</v>
      </c>
    </row>
    <row r="502" spans="1:9" x14ac:dyDescent="0.2">
      <c r="A502" t="s">
        <v>562</v>
      </c>
      <c r="B502">
        <v>4</v>
      </c>
      <c r="C502">
        <v>5.604E-2</v>
      </c>
      <c r="D502">
        <v>235</v>
      </c>
      <c r="E502" t="s">
        <v>562</v>
      </c>
      <c r="F502">
        <v>234</v>
      </c>
      <c r="G502" s="1">
        <v>45160</v>
      </c>
      <c r="H502" s="6">
        <f t="shared" si="14"/>
        <v>5.8854166666667007</v>
      </c>
      <c r="I502" s="7">
        <f t="shared" si="15"/>
        <v>5.8854166666667007</v>
      </c>
    </row>
    <row r="503" spans="1:9" x14ac:dyDescent="0.2">
      <c r="A503" t="s">
        <v>563</v>
      </c>
      <c r="B503">
        <v>4.0460000000000003</v>
      </c>
      <c r="C503">
        <v>5.6675000000000003E-2</v>
      </c>
      <c r="D503">
        <v>235</v>
      </c>
      <c r="E503" t="s">
        <v>563</v>
      </c>
      <c r="F503">
        <v>234</v>
      </c>
      <c r="G503" s="1">
        <v>45160</v>
      </c>
      <c r="H503" s="6">
        <f t="shared" si="14"/>
        <v>5.8958333333333677</v>
      </c>
      <c r="I503" s="7">
        <f t="shared" si="15"/>
        <v>5.8958333333333677</v>
      </c>
    </row>
    <row r="504" spans="1:9" x14ac:dyDescent="0.2">
      <c r="A504" t="s">
        <v>564</v>
      </c>
      <c r="B504" s="2" t="s">
        <v>565</v>
      </c>
      <c r="C504">
        <v>5.6640000000000003E-2</v>
      </c>
      <c r="D504">
        <v>235</v>
      </c>
      <c r="E504" t="s">
        <v>564</v>
      </c>
      <c r="F504">
        <v>234</v>
      </c>
      <c r="G504" s="1">
        <v>45160</v>
      </c>
      <c r="H504" s="6">
        <f t="shared" si="14"/>
        <v>5.9062500000000346</v>
      </c>
      <c r="I504" s="7">
        <f t="shared" si="15"/>
        <v>5.9062500000000346</v>
      </c>
    </row>
    <row r="505" spans="1:9" x14ac:dyDescent="0.2">
      <c r="A505" t="s">
        <v>566</v>
      </c>
      <c r="B505">
        <v>4.0655000000000001</v>
      </c>
      <c r="C505">
        <v>5.6954999999999999E-2</v>
      </c>
      <c r="D505">
        <v>235</v>
      </c>
      <c r="E505" t="s">
        <v>566</v>
      </c>
      <c r="F505">
        <v>234</v>
      </c>
      <c r="G505" s="1">
        <v>45160</v>
      </c>
      <c r="H505" s="6">
        <f t="shared" si="14"/>
        <v>5.9166666666667016</v>
      </c>
      <c r="I505" s="7">
        <f t="shared" si="15"/>
        <v>5.9166666666667016</v>
      </c>
    </row>
    <row r="506" spans="1:9" x14ac:dyDescent="0.2">
      <c r="A506" t="s">
        <v>567</v>
      </c>
      <c r="B506">
        <v>4.1029999999999998</v>
      </c>
      <c r="C506">
        <v>5.7474999999999998E-2</v>
      </c>
      <c r="D506">
        <v>235</v>
      </c>
      <c r="E506" t="s">
        <v>567</v>
      </c>
      <c r="F506">
        <v>234</v>
      </c>
      <c r="G506" s="1">
        <v>45160</v>
      </c>
      <c r="H506" s="6">
        <f t="shared" si="14"/>
        <v>5.9270833333333686</v>
      </c>
      <c r="I506" s="7">
        <f t="shared" si="15"/>
        <v>5.9270833333333686</v>
      </c>
    </row>
    <row r="507" spans="1:9" x14ac:dyDescent="0.2">
      <c r="A507" t="s">
        <v>568</v>
      </c>
      <c r="B507">
        <v>4.1289999999999996</v>
      </c>
      <c r="C507">
        <v>5.7825000000000001E-2</v>
      </c>
      <c r="D507">
        <v>235</v>
      </c>
      <c r="E507" t="s">
        <v>568</v>
      </c>
      <c r="F507">
        <v>234</v>
      </c>
      <c r="G507" s="1">
        <v>45160</v>
      </c>
      <c r="H507" s="6">
        <f t="shared" si="14"/>
        <v>5.9375000000000355</v>
      </c>
      <c r="I507" s="7">
        <f t="shared" si="15"/>
        <v>5.9375000000000355</v>
      </c>
    </row>
    <row r="508" spans="1:9" x14ac:dyDescent="0.2">
      <c r="A508" t="s">
        <v>569</v>
      </c>
      <c r="B508">
        <v>4.1619999999999999</v>
      </c>
      <c r="C508">
        <v>5.8305000000000003E-2</v>
      </c>
      <c r="D508">
        <v>235</v>
      </c>
      <c r="E508" t="s">
        <v>569</v>
      </c>
      <c r="F508">
        <v>234</v>
      </c>
      <c r="G508" s="1">
        <v>45160</v>
      </c>
      <c r="H508" s="6">
        <f t="shared" si="14"/>
        <v>5.9479166666667025</v>
      </c>
      <c r="I508" s="7">
        <f t="shared" si="15"/>
        <v>5.9479166666667025</v>
      </c>
    </row>
    <row r="509" spans="1:9" x14ac:dyDescent="0.2">
      <c r="A509" t="s">
        <v>570</v>
      </c>
      <c r="B509">
        <v>4.1795</v>
      </c>
      <c r="C509">
        <v>5.8549999999999998E-2</v>
      </c>
      <c r="D509">
        <v>235</v>
      </c>
      <c r="E509" t="s">
        <v>570</v>
      </c>
      <c r="F509">
        <v>234</v>
      </c>
      <c r="G509" s="1">
        <v>45160</v>
      </c>
      <c r="H509" s="6">
        <f t="shared" si="14"/>
        <v>5.9583333333333695</v>
      </c>
      <c r="I509" s="7">
        <f t="shared" si="15"/>
        <v>5.9583333333333695</v>
      </c>
    </row>
    <row r="510" spans="1:9" x14ac:dyDescent="0.2">
      <c r="A510" t="s">
        <v>571</v>
      </c>
      <c r="B510">
        <v>4.2115</v>
      </c>
      <c r="C510">
        <v>5.9005000000000002E-2</v>
      </c>
      <c r="D510">
        <v>235</v>
      </c>
      <c r="E510" t="s">
        <v>571</v>
      </c>
      <c r="F510">
        <v>234</v>
      </c>
      <c r="G510" s="1">
        <v>45160</v>
      </c>
      <c r="H510" s="6">
        <f t="shared" si="14"/>
        <v>5.9687500000000364</v>
      </c>
      <c r="I510" s="7">
        <f t="shared" si="15"/>
        <v>5.9687500000000364</v>
      </c>
    </row>
    <row r="511" spans="1:9" x14ac:dyDescent="0.2">
      <c r="A511" t="s">
        <v>572</v>
      </c>
      <c r="B511">
        <v>4.2554999999999996</v>
      </c>
      <c r="C511">
        <v>5.96E-2</v>
      </c>
      <c r="D511">
        <v>235</v>
      </c>
      <c r="E511" t="s">
        <v>572</v>
      </c>
      <c r="F511">
        <v>234</v>
      </c>
      <c r="G511" s="1">
        <v>45160</v>
      </c>
      <c r="H511" s="6">
        <f t="shared" si="14"/>
        <v>5.9791666666667034</v>
      </c>
      <c r="I511" s="7">
        <f t="shared" si="15"/>
        <v>5.9791666666667034</v>
      </c>
    </row>
    <row r="512" spans="1:9" x14ac:dyDescent="0.2">
      <c r="A512" t="s">
        <v>573</v>
      </c>
      <c r="B512">
        <v>4.2694999999999999</v>
      </c>
      <c r="C512">
        <v>5.9799999999999999E-2</v>
      </c>
      <c r="D512">
        <v>235</v>
      </c>
      <c r="E512" t="s">
        <v>573</v>
      </c>
      <c r="F512">
        <v>234</v>
      </c>
      <c r="G512" s="1">
        <v>45160</v>
      </c>
      <c r="H512" s="6">
        <f t="shared" si="14"/>
        <v>5.9895833333333703</v>
      </c>
      <c r="I512" s="7">
        <f t="shared" si="15"/>
        <v>5.9895833333333703</v>
      </c>
    </row>
    <row r="513" spans="1:9" x14ac:dyDescent="0.2">
      <c r="A513" t="s">
        <v>574</v>
      </c>
      <c r="B513">
        <v>4.2815000000000003</v>
      </c>
      <c r="C513">
        <v>5.9970000000000002E-2</v>
      </c>
      <c r="D513">
        <v>235</v>
      </c>
      <c r="E513" t="s">
        <v>574</v>
      </c>
      <c r="F513">
        <v>235</v>
      </c>
      <c r="G513" s="1">
        <v>45161</v>
      </c>
      <c r="H513" s="6">
        <f t="shared" si="14"/>
        <v>6.0000000000000373</v>
      </c>
      <c r="I513" s="7">
        <f t="shared" si="15"/>
        <v>6.0000000000000373</v>
      </c>
    </row>
    <row r="514" spans="1:9" x14ac:dyDescent="0.2">
      <c r="A514" t="s">
        <v>575</v>
      </c>
      <c r="B514">
        <v>4.2990000000000004</v>
      </c>
      <c r="C514">
        <v>6.021E-2</v>
      </c>
      <c r="D514">
        <v>235</v>
      </c>
      <c r="E514" t="s">
        <v>575</v>
      </c>
      <c r="F514">
        <v>235</v>
      </c>
      <c r="G514" s="1">
        <v>45161</v>
      </c>
      <c r="H514" s="6">
        <f t="shared" si="14"/>
        <v>6.0104166666667043</v>
      </c>
      <c r="I514" s="7">
        <f t="shared" si="15"/>
        <v>6.0104166666667043</v>
      </c>
    </row>
    <row r="515" spans="1:9" x14ac:dyDescent="0.2">
      <c r="A515" t="s">
        <v>576</v>
      </c>
      <c r="B515">
        <v>4.3135000000000003</v>
      </c>
      <c r="C515" s="2" t="s">
        <v>577</v>
      </c>
      <c r="D515">
        <v>235</v>
      </c>
      <c r="E515" t="s">
        <v>576</v>
      </c>
      <c r="F515">
        <v>235</v>
      </c>
      <c r="G515" s="1">
        <v>45161</v>
      </c>
      <c r="H515" s="6">
        <f t="shared" ref="H515:H578" si="16">H514+$K$1</f>
        <v>6.0208333333333712</v>
      </c>
      <c r="I515" s="7">
        <f t="shared" ref="I515:I578" si="17">I514+$K$1</f>
        <v>6.0208333333333712</v>
      </c>
    </row>
    <row r="516" spans="1:9" x14ac:dyDescent="0.2">
      <c r="A516" t="s">
        <v>578</v>
      </c>
      <c r="B516">
        <v>4.3220000000000001</v>
      </c>
      <c r="C516">
        <v>6.0545000000000002E-2</v>
      </c>
      <c r="D516">
        <v>235</v>
      </c>
      <c r="E516" t="s">
        <v>578</v>
      </c>
      <c r="F516">
        <v>235</v>
      </c>
      <c r="G516" s="1">
        <v>45161</v>
      </c>
      <c r="H516" s="6">
        <f t="shared" si="16"/>
        <v>6.0312500000000382</v>
      </c>
      <c r="I516" s="7">
        <f t="shared" si="17"/>
        <v>6.0312500000000382</v>
      </c>
    </row>
    <row r="517" spans="1:9" x14ac:dyDescent="0.2">
      <c r="A517" t="s">
        <v>579</v>
      </c>
      <c r="B517">
        <v>4.3375000000000004</v>
      </c>
      <c r="C517">
        <v>6.0755000000000003E-2</v>
      </c>
      <c r="D517">
        <v>235</v>
      </c>
      <c r="E517" t="s">
        <v>579</v>
      </c>
      <c r="F517">
        <v>235</v>
      </c>
      <c r="G517" s="1">
        <v>45161</v>
      </c>
      <c r="H517" s="6">
        <f t="shared" si="16"/>
        <v>6.0416666666667052</v>
      </c>
      <c r="I517" s="7">
        <f t="shared" si="17"/>
        <v>6.0416666666667052</v>
      </c>
    </row>
    <row r="518" spans="1:9" x14ac:dyDescent="0.2">
      <c r="A518" t="s">
        <v>580</v>
      </c>
      <c r="B518">
        <v>4.3345000000000002</v>
      </c>
      <c r="C518">
        <v>6.0694999999999999E-2</v>
      </c>
      <c r="D518">
        <v>235</v>
      </c>
      <c r="E518" t="s">
        <v>580</v>
      </c>
      <c r="F518">
        <v>235</v>
      </c>
      <c r="G518" s="1">
        <v>45161</v>
      </c>
      <c r="H518" s="6">
        <f t="shared" si="16"/>
        <v>6.0520833333333721</v>
      </c>
      <c r="I518" s="7">
        <f t="shared" si="17"/>
        <v>6.0520833333333721</v>
      </c>
    </row>
    <row r="519" spans="1:9" x14ac:dyDescent="0.2">
      <c r="A519" t="s">
        <v>581</v>
      </c>
      <c r="B519">
        <v>4.3600000000000003</v>
      </c>
      <c r="C519">
        <v>6.1080000000000002E-2</v>
      </c>
      <c r="D519">
        <v>235</v>
      </c>
      <c r="E519" t="s">
        <v>581</v>
      </c>
      <c r="F519">
        <v>235</v>
      </c>
      <c r="G519" s="1">
        <v>45161</v>
      </c>
      <c r="H519" s="6">
        <f t="shared" si="16"/>
        <v>6.0625000000000391</v>
      </c>
      <c r="I519" s="7">
        <f t="shared" si="17"/>
        <v>6.0625000000000391</v>
      </c>
    </row>
    <row r="520" spans="1:9" x14ac:dyDescent="0.2">
      <c r="A520" t="s">
        <v>582</v>
      </c>
      <c r="B520">
        <v>4.3235000000000001</v>
      </c>
      <c r="C520">
        <v>6.0569999999999999E-2</v>
      </c>
      <c r="D520">
        <v>235</v>
      </c>
      <c r="E520" t="s">
        <v>582</v>
      </c>
      <c r="F520">
        <v>235</v>
      </c>
      <c r="G520" s="1">
        <v>45161</v>
      </c>
      <c r="H520" s="6">
        <f t="shared" si="16"/>
        <v>6.072916666666706</v>
      </c>
      <c r="I520" s="7">
        <f t="shared" si="17"/>
        <v>6.072916666666706</v>
      </c>
    </row>
    <row r="521" spans="1:9" x14ac:dyDescent="0.2">
      <c r="A521" t="s">
        <v>583</v>
      </c>
      <c r="B521">
        <v>4.343</v>
      </c>
      <c r="C521">
        <v>6.0830000000000002E-2</v>
      </c>
      <c r="D521">
        <v>235</v>
      </c>
      <c r="E521" t="s">
        <v>583</v>
      </c>
      <c r="F521">
        <v>235</v>
      </c>
      <c r="G521" s="1">
        <v>45161</v>
      </c>
      <c r="H521" s="6">
        <f t="shared" si="16"/>
        <v>6.083333333333373</v>
      </c>
      <c r="I521" s="7">
        <f t="shared" si="17"/>
        <v>6.083333333333373</v>
      </c>
    </row>
    <row r="522" spans="1:9" x14ac:dyDescent="0.2">
      <c r="A522" t="s">
        <v>584</v>
      </c>
      <c r="B522">
        <v>4.3345000000000002</v>
      </c>
      <c r="C522">
        <v>6.0729999999999999E-2</v>
      </c>
      <c r="D522">
        <v>235</v>
      </c>
      <c r="E522" t="s">
        <v>584</v>
      </c>
      <c r="F522">
        <v>235</v>
      </c>
      <c r="G522" s="1">
        <v>45161</v>
      </c>
      <c r="H522" s="6">
        <f t="shared" si="16"/>
        <v>6.09375000000004</v>
      </c>
      <c r="I522" s="7">
        <f t="shared" si="17"/>
        <v>6.09375000000004</v>
      </c>
    </row>
    <row r="523" spans="1:9" x14ac:dyDescent="0.2">
      <c r="A523" t="s">
        <v>585</v>
      </c>
      <c r="B523">
        <v>4.3205</v>
      </c>
      <c r="C523">
        <v>6.0510000000000001E-2</v>
      </c>
      <c r="D523">
        <v>235</v>
      </c>
      <c r="E523" t="s">
        <v>585</v>
      </c>
      <c r="F523">
        <v>235</v>
      </c>
      <c r="G523" s="1">
        <v>45161</v>
      </c>
      <c r="H523" s="6">
        <f t="shared" si="16"/>
        <v>6.1041666666667069</v>
      </c>
      <c r="I523" s="7">
        <f t="shared" si="17"/>
        <v>6.1041666666667069</v>
      </c>
    </row>
    <row r="524" spans="1:9" x14ac:dyDescent="0.2">
      <c r="A524" t="s">
        <v>586</v>
      </c>
      <c r="B524">
        <v>4.3289999999999997</v>
      </c>
      <c r="C524">
        <v>6.0655000000000001E-2</v>
      </c>
      <c r="D524">
        <v>235</v>
      </c>
      <c r="E524" t="s">
        <v>586</v>
      </c>
      <c r="F524">
        <v>235</v>
      </c>
      <c r="G524" s="1">
        <v>45161</v>
      </c>
      <c r="H524" s="6">
        <f t="shared" si="16"/>
        <v>6.1145833333333739</v>
      </c>
      <c r="I524" s="7">
        <f t="shared" si="17"/>
        <v>6.1145833333333739</v>
      </c>
    </row>
    <row r="525" spans="1:9" x14ac:dyDescent="0.2">
      <c r="A525" t="s">
        <v>587</v>
      </c>
      <c r="B525">
        <v>4.3330000000000002</v>
      </c>
      <c r="C525">
        <v>6.0675E-2</v>
      </c>
      <c r="D525">
        <v>235</v>
      </c>
      <c r="E525" t="s">
        <v>587</v>
      </c>
      <c r="F525">
        <v>235</v>
      </c>
      <c r="G525" s="1">
        <v>45161</v>
      </c>
      <c r="H525" s="6">
        <f t="shared" si="16"/>
        <v>6.1250000000000409</v>
      </c>
      <c r="I525" s="7">
        <f t="shared" si="17"/>
        <v>6.1250000000000409</v>
      </c>
    </row>
    <row r="526" spans="1:9" x14ac:dyDescent="0.2">
      <c r="A526" t="s">
        <v>588</v>
      </c>
      <c r="B526">
        <v>4.3434999999999997</v>
      </c>
      <c r="C526">
        <v>6.0835E-2</v>
      </c>
      <c r="D526">
        <v>235</v>
      </c>
      <c r="E526" t="s">
        <v>588</v>
      </c>
      <c r="F526">
        <v>235</v>
      </c>
      <c r="G526" s="1">
        <v>45161</v>
      </c>
      <c r="H526" s="6">
        <f t="shared" si="16"/>
        <v>6.1354166666667078</v>
      </c>
      <c r="I526" s="7">
        <f t="shared" si="17"/>
        <v>6.1354166666667078</v>
      </c>
    </row>
    <row r="527" spans="1:9" x14ac:dyDescent="0.2">
      <c r="A527" t="s">
        <v>589</v>
      </c>
      <c r="B527" s="2" t="s">
        <v>590</v>
      </c>
      <c r="C527">
        <v>6.0580000000000002E-2</v>
      </c>
      <c r="D527">
        <v>235</v>
      </c>
      <c r="E527" t="s">
        <v>589</v>
      </c>
      <c r="F527">
        <v>235</v>
      </c>
      <c r="G527" s="1">
        <v>45161</v>
      </c>
      <c r="H527" s="6">
        <f t="shared" si="16"/>
        <v>6.1458333333333748</v>
      </c>
      <c r="I527" s="7">
        <f t="shared" si="17"/>
        <v>6.1458333333333748</v>
      </c>
    </row>
    <row r="528" spans="1:9" x14ac:dyDescent="0.2">
      <c r="A528" t="s">
        <v>591</v>
      </c>
      <c r="B528">
        <v>4.3109999999999999</v>
      </c>
      <c r="C528">
        <v>6.0380000000000003E-2</v>
      </c>
      <c r="D528">
        <v>235</v>
      </c>
      <c r="E528" t="s">
        <v>591</v>
      </c>
      <c r="F528">
        <v>235</v>
      </c>
      <c r="G528" s="1">
        <v>45161</v>
      </c>
      <c r="H528" s="6">
        <f t="shared" si="16"/>
        <v>6.1562500000000417</v>
      </c>
      <c r="I528" s="7">
        <f t="shared" si="17"/>
        <v>6.1562500000000417</v>
      </c>
    </row>
    <row r="529" spans="1:9" x14ac:dyDescent="0.2">
      <c r="A529" t="s">
        <v>592</v>
      </c>
      <c r="B529">
        <v>4.2904999999999998</v>
      </c>
      <c r="C529">
        <v>6.0100000000000001E-2</v>
      </c>
      <c r="D529">
        <v>235</v>
      </c>
      <c r="E529" t="s">
        <v>592</v>
      </c>
      <c r="F529">
        <v>235</v>
      </c>
      <c r="G529" s="1">
        <v>45161</v>
      </c>
      <c r="H529" s="6">
        <f t="shared" si="16"/>
        <v>6.1666666666667087</v>
      </c>
      <c r="I529" s="7">
        <f t="shared" si="17"/>
        <v>6.1666666666667087</v>
      </c>
    </row>
    <row r="530" spans="1:9" x14ac:dyDescent="0.2">
      <c r="A530" t="s">
        <v>593</v>
      </c>
      <c r="B530">
        <v>4.3085000000000004</v>
      </c>
      <c r="C530">
        <v>6.0350000000000001E-2</v>
      </c>
      <c r="D530">
        <v>235</v>
      </c>
      <c r="E530" t="s">
        <v>593</v>
      </c>
      <c r="F530">
        <v>235</v>
      </c>
      <c r="G530" s="1">
        <v>45161</v>
      </c>
      <c r="H530" s="6">
        <f t="shared" si="16"/>
        <v>6.1770833333333757</v>
      </c>
      <c r="I530" s="7">
        <f t="shared" si="17"/>
        <v>6.1770833333333757</v>
      </c>
    </row>
    <row r="531" spans="1:9" x14ac:dyDescent="0.2">
      <c r="A531" t="s">
        <v>594</v>
      </c>
      <c r="B531">
        <v>4.3105000000000002</v>
      </c>
      <c r="C531">
        <v>6.0380000000000003E-2</v>
      </c>
      <c r="D531">
        <v>235</v>
      </c>
      <c r="E531" t="s">
        <v>594</v>
      </c>
      <c r="F531">
        <v>235</v>
      </c>
      <c r="G531" s="1">
        <v>45161</v>
      </c>
      <c r="H531" s="6">
        <f t="shared" si="16"/>
        <v>6.1875000000000426</v>
      </c>
      <c r="I531" s="7">
        <f t="shared" si="17"/>
        <v>6.1875000000000426</v>
      </c>
    </row>
    <row r="532" spans="1:9" x14ac:dyDescent="0.2">
      <c r="A532" t="s">
        <v>595</v>
      </c>
      <c r="B532">
        <v>4.3040000000000003</v>
      </c>
      <c r="C532">
        <v>6.0284999999999998E-2</v>
      </c>
      <c r="D532">
        <v>235</v>
      </c>
      <c r="E532" t="s">
        <v>595</v>
      </c>
      <c r="F532">
        <v>235</v>
      </c>
      <c r="G532" s="1">
        <v>45161</v>
      </c>
      <c r="H532" s="6">
        <f t="shared" si="16"/>
        <v>6.1979166666667096</v>
      </c>
      <c r="I532" s="7">
        <f t="shared" si="17"/>
        <v>6.1979166666667096</v>
      </c>
    </row>
    <row r="533" spans="1:9" x14ac:dyDescent="0.2">
      <c r="A533" t="s">
        <v>596</v>
      </c>
      <c r="B533">
        <v>4.2859999999999996</v>
      </c>
      <c r="C533">
        <v>6.0045000000000001E-2</v>
      </c>
      <c r="D533">
        <v>235</v>
      </c>
      <c r="E533" t="s">
        <v>596</v>
      </c>
      <c r="F533">
        <v>235</v>
      </c>
      <c r="G533" s="1">
        <v>45161</v>
      </c>
      <c r="H533" s="6">
        <f t="shared" si="16"/>
        <v>6.2083333333333766</v>
      </c>
      <c r="I533" s="7">
        <f t="shared" si="17"/>
        <v>6.2083333333333766</v>
      </c>
    </row>
    <row r="534" spans="1:9" x14ac:dyDescent="0.2">
      <c r="A534" t="s">
        <v>597</v>
      </c>
      <c r="B534">
        <v>4.2815000000000003</v>
      </c>
      <c r="C534">
        <v>5.9979999999999999E-2</v>
      </c>
      <c r="D534">
        <v>235</v>
      </c>
      <c r="E534" t="s">
        <v>597</v>
      </c>
      <c r="F534">
        <v>235</v>
      </c>
      <c r="G534" s="1">
        <v>45161</v>
      </c>
      <c r="H534" s="6">
        <f t="shared" si="16"/>
        <v>6.2187500000000435</v>
      </c>
      <c r="I534" s="7">
        <f t="shared" si="17"/>
        <v>6.2187500000000435</v>
      </c>
    </row>
    <row r="535" spans="1:9" x14ac:dyDescent="0.2">
      <c r="A535" t="s">
        <v>598</v>
      </c>
      <c r="B535">
        <v>4.306</v>
      </c>
      <c r="C535">
        <v>6.0319999999999999E-2</v>
      </c>
      <c r="D535">
        <v>235</v>
      </c>
      <c r="E535" t="s">
        <v>598</v>
      </c>
      <c r="F535">
        <v>235</v>
      </c>
      <c r="G535" s="1">
        <v>45161</v>
      </c>
      <c r="H535" s="6">
        <f t="shared" si="16"/>
        <v>6.2291666666667105</v>
      </c>
      <c r="I535" s="7">
        <f t="shared" si="17"/>
        <v>6.2291666666667105</v>
      </c>
    </row>
    <row r="536" spans="1:9" x14ac:dyDescent="0.2">
      <c r="A536" t="s">
        <v>599</v>
      </c>
      <c r="B536">
        <v>4.3</v>
      </c>
      <c r="C536">
        <v>6.0229999999999999E-2</v>
      </c>
      <c r="D536">
        <v>235</v>
      </c>
      <c r="E536" t="s">
        <v>599</v>
      </c>
      <c r="F536">
        <v>235</v>
      </c>
      <c r="G536" s="1">
        <v>45161</v>
      </c>
      <c r="H536" s="6">
        <f t="shared" si="16"/>
        <v>6.2395833333333774</v>
      </c>
      <c r="I536" s="7">
        <f t="shared" si="17"/>
        <v>6.2395833333333774</v>
      </c>
    </row>
    <row r="537" spans="1:9" x14ac:dyDescent="0.2">
      <c r="A537" t="s">
        <v>600</v>
      </c>
      <c r="B537">
        <v>4.2995000000000001</v>
      </c>
      <c r="C537">
        <v>6.0234999999999997E-2</v>
      </c>
      <c r="D537">
        <v>235</v>
      </c>
      <c r="E537" t="s">
        <v>600</v>
      </c>
      <c r="F537">
        <v>235</v>
      </c>
      <c r="G537" s="1">
        <v>45161</v>
      </c>
      <c r="H537" s="6">
        <f t="shared" si="16"/>
        <v>6.2500000000000444</v>
      </c>
      <c r="I537" s="7">
        <f t="shared" si="17"/>
        <v>6.2500000000000444</v>
      </c>
    </row>
    <row r="538" spans="1:9" x14ac:dyDescent="0.2">
      <c r="A538" t="s">
        <v>601</v>
      </c>
      <c r="B538">
        <v>4.2859999999999996</v>
      </c>
      <c r="C538">
        <v>6.0034999999999998E-2</v>
      </c>
      <c r="D538">
        <v>235</v>
      </c>
      <c r="E538" t="s">
        <v>601</v>
      </c>
      <c r="F538">
        <v>235</v>
      </c>
      <c r="G538" s="1">
        <v>45161</v>
      </c>
      <c r="H538" s="6">
        <f t="shared" si="16"/>
        <v>6.2604166666667114</v>
      </c>
      <c r="I538" s="7">
        <f t="shared" si="17"/>
        <v>6.2604166666667114</v>
      </c>
    </row>
    <row r="539" spans="1:9" x14ac:dyDescent="0.2">
      <c r="A539" t="s">
        <v>602</v>
      </c>
      <c r="B539">
        <v>4.2995000000000001</v>
      </c>
      <c r="C539">
        <v>6.021E-2</v>
      </c>
      <c r="D539">
        <v>235</v>
      </c>
      <c r="E539" t="s">
        <v>602</v>
      </c>
      <c r="F539">
        <v>235</v>
      </c>
      <c r="G539" s="1">
        <v>45161</v>
      </c>
      <c r="H539" s="6">
        <f t="shared" si="16"/>
        <v>6.2708333333333783</v>
      </c>
      <c r="I539" s="7">
        <f t="shared" si="17"/>
        <v>6.2708333333333783</v>
      </c>
    </row>
    <row r="540" spans="1:9" x14ac:dyDescent="0.2">
      <c r="A540" t="s">
        <v>603</v>
      </c>
      <c r="B540">
        <v>4.2794999999999996</v>
      </c>
      <c r="C540">
        <v>5.9955000000000001E-2</v>
      </c>
      <c r="D540">
        <v>235</v>
      </c>
      <c r="E540" t="s">
        <v>603</v>
      </c>
      <c r="F540">
        <v>235</v>
      </c>
      <c r="G540" s="1">
        <v>45161</v>
      </c>
      <c r="H540" s="6">
        <f t="shared" si="16"/>
        <v>6.2812500000000453</v>
      </c>
      <c r="I540" s="7">
        <f t="shared" si="17"/>
        <v>6.2812500000000453</v>
      </c>
    </row>
    <row r="541" spans="1:9" x14ac:dyDescent="0.2">
      <c r="A541" t="s">
        <v>604</v>
      </c>
      <c r="B541">
        <v>4.26</v>
      </c>
      <c r="C541">
        <v>5.9659999999999998E-2</v>
      </c>
      <c r="D541">
        <v>235</v>
      </c>
      <c r="E541" t="s">
        <v>604</v>
      </c>
      <c r="F541">
        <v>235</v>
      </c>
      <c r="G541" s="1">
        <v>45161</v>
      </c>
      <c r="H541" s="6">
        <f t="shared" si="16"/>
        <v>6.2916666666667123</v>
      </c>
      <c r="I541" s="7">
        <f t="shared" si="17"/>
        <v>6.2916666666667123</v>
      </c>
    </row>
    <row r="542" spans="1:9" x14ac:dyDescent="0.2">
      <c r="A542" t="s">
        <v>605</v>
      </c>
      <c r="B542">
        <v>4.2794999999999996</v>
      </c>
      <c r="C542">
        <v>5.9944999999999998E-2</v>
      </c>
      <c r="D542">
        <v>235</v>
      </c>
      <c r="E542" t="s">
        <v>605</v>
      </c>
      <c r="F542">
        <v>235</v>
      </c>
      <c r="G542" s="1">
        <v>45161</v>
      </c>
      <c r="H542" s="6">
        <f t="shared" si="16"/>
        <v>6.3020833333333792</v>
      </c>
      <c r="I542" s="7">
        <f t="shared" si="17"/>
        <v>6.3020833333333792</v>
      </c>
    </row>
    <row r="543" spans="1:9" x14ac:dyDescent="0.2">
      <c r="A543" t="s">
        <v>606</v>
      </c>
      <c r="B543">
        <v>4.242</v>
      </c>
      <c r="C543">
        <v>5.9409999999999998E-2</v>
      </c>
      <c r="D543">
        <v>235</v>
      </c>
      <c r="E543" t="s">
        <v>606</v>
      </c>
      <c r="F543">
        <v>235</v>
      </c>
      <c r="G543" s="1">
        <v>45161</v>
      </c>
      <c r="H543" s="6">
        <f t="shared" si="16"/>
        <v>6.3125000000000462</v>
      </c>
      <c r="I543" s="7">
        <f t="shared" si="17"/>
        <v>6.3125000000000462</v>
      </c>
    </row>
    <row r="544" spans="1:9" x14ac:dyDescent="0.2">
      <c r="A544" t="s">
        <v>607</v>
      </c>
      <c r="B544">
        <v>4.2314999999999996</v>
      </c>
      <c r="C544">
        <v>5.9275000000000001E-2</v>
      </c>
      <c r="D544">
        <v>235</v>
      </c>
      <c r="E544" t="s">
        <v>607</v>
      </c>
      <c r="F544">
        <v>235</v>
      </c>
      <c r="G544" s="1">
        <v>45161</v>
      </c>
      <c r="H544" s="6">
        <f t="shared" si="16"/>
        <v>6.3229166666667131</v>
      </c>
      <c r="I544" s="7">
        <f t="shared" si="17"/>
        <v>6.3229166666667131</v>
      </c>
    </row>
    <row r="545" spans="1:9" x14ac:dyDescent="0.2">
      <c r="A545" t="s">
        <v>608</v>
      </c>
      <c r="B545">
        <v>4.2104999999999997</v>
      </c>
      <c r="C545">
        <v>5.8970000000000002E-2</v>
      </c>
      <c r="D545">
        <v>235</v>
      </c>
      <c r="E545" t="s">
        <v>608</v>
      </c>
      <c r="F545">
        <v>235</v>
      </c>
      <c r="G545" s="1">
        <v>45161</v>
      </c>
      <c r="H545" s="6">
        <f t="shared" si="16"/>
        <v>6.3333333333333801</v>
      </c>
      <c r="I545" s="7">
        <f t="shared" si="17"/>
        <v>6.3333333333333801</v>
      </c>
    </row>
    <row r="546" spans="1:9" x14ac:dyDescent="0.2">
      <c r="A546" t="s">
        <v>609</v>
      </c>
      <c r="B546">
        <v>4.1859999999999999</v>
      </c>
      <c r="C546">
        <v>5.8639999999999998E-2</v>
      </c>
      <c r="D546">
        <v>235</v>
      </c>
      <c r="E546" t="s">
        <v>609</v>
      </c>
      <c r="F546">
        <v>235</v>
      </c>
      <c r="G546" s="1">
        <v>45161</v>
      </c>
      <c r="H546" s="6">
        <f t="shared" si="16"/>
        <v>6.3437500000000471</v>
      </c>
      <c r="I546" s="7">
        <f t="shared" si="17"/>
        <v>6.3437500000000471</v>
      </c>
    </row>
    <row r="547" spans="1:9" x14ac:dyDescent="0.2">
      <c r="A547" t="s">
        <v>610</v>
      </c>
      <c r="B547">
        <v>4.1580000000000004</v>
      </c>
      <c r="C547">
        <v>5.8244999999999998E-2</v>
      </c>
      <c r="D547">
        <v>235</v>
      </c>
      <c r="E547" t="s">
        <v>610</v>
      </c>
      <c r="F547">
        <v>235</v>
      </c>
      <c r="G547" s="1">
        <v>45161</v>
      </c>
      <c r="H547" s="6">
        <f t="shared" si="16"/>
        <v>6.354166666666714</v>
      </c>
      <c r="I547" s="7">
        <f t="shared" si="17"/>
        <v>6.354166666666714</v>
      </c>
    </row>
    <row r="548" spans="1:9" x14ac:dyDescent="0.2">
      <c r="A548" t="s">
        <v>611</v>
      </c>
      <c r="B548">
        <v>4.1425000000000001</v>
      </c>
      <c r="C548">
        <v>5.8014999999999997E-2</v>
      </c>
      <c r="D548">
        <v>235</v>
      </c>
      <c r="E548" t="s">
        <v>611</v>
      </c>
      <c r="F548">
        <v>235</v>
      </c>
      <c r="G548" s="1">
        <v>45161</v>
      </c>
      <c r="H548" s="6">
        <f t="shared" si="16"/>
        <v>6.364583333333381</v>
      </c>
      <c r="I548" s="7">
        <f t="shared" si="17"/>
        <v>6.364583333333381</v>
      </c>
    </row>
    <row r="549" spans="1:9" x14ac:dyDescent="0.2">
      <c r="A549" t="s">
        <v>612</v>
      </c>
      <c r="B549" s="2" t="s">
        <v>613</v>
      </c>
      <c r="C549">
        <v>5.7619999999999998E-2</v>
      </c>
      <c r="D549">
        <v>235</v>
      </c>
      <c r="E549" t="s">
        <v>612</v>
      </c>
      <c r="F549">
        <v>235</v>
      </c>
      <c r="G549" s="1">
        <v>45161</v>
      </c>
      <c r="H549" s="6">
        <f t="shared" si="16"/>
        <v>6.375000000000048</v>
      </c>
      <c r="I549" s="7">
        <f t="shared" si="17"/>
        <v>6.375000000000048</v>
      </c>
    </row>
    <row r="550" spans="1:9" x14ac:dyDescent="0.2">
      <c r="A550" t="s">
        <v>614</v>
      </c>
      <c r="B550">
        <v>4.0620000000000003</v>
      </c>
      <c r="C550" s="2" t="s">
        <v>615</v>
      </c>
      <c r="D550">
        <v>235</v>
      </c>
      <c r="E550" t="s">
        <v>614</v>
      </c>
      <c r="F550">
        <v>235</v>
      </c>
      <c r="G550" s="1">
        <v>45161</v>
      </c>
      <c r="H550" s="6">
        <f t="shared" si="16"/>
        <v>6.3854166666667149</v>
      </c>
      <c r="I550" s="7">
        <f t="shared" si="17"/>
        <v>6.3854166666667149</v>
      </c>
    </row>
    <row r="551" spans="1:9" x14ac:dyDescent="0.2">
      <c r="A551" t="s">
        <v>616</v>
      </c>
      <c r="B551">
        <v>3.992</v>
      </c>
      <c r="C551">
        <v>5.5919999999999997E-2</v>
      </c>
      <c r="D551">
        <v>235</v>
      </c>
      <c r="E551" t="s">
        <v>616</v>
      </c>
      <c r="F551">
        <v>235</v>
      </c>
      <c r="G551" s="1">
        <v>45161</v>
      </c>
      <c r="H551" s="6">
        <f t="shared" si="16"/>
        <v>6.3958333333333819</v>
      </c>
      <c r="I551" s="7">
        <f t="shared" si="17"/>
        <v>6.3958333333333819</v>
      </c>
    </row>
    <row r="552" spans="1:9" x14ac:dyDescent="0.2">
      <c r="A552" t="s">
        <v>617</v>
      </c>
      <c r="B552">
        <v>3.9540000000000002</v>
      </c>
      <c r="C552">
        <v>5.5395E-2</v>
      </c>
      <c r="D552">
        <v>235</v>
      </c>
      <c r="E552" t="s">
        <v>617</v>
      </c>
      <c r="F552">
        <v>235</v>
      </c>
      <c r="G552" s="1">
        <v>45161</v>
      </c>
      <c r="H552" s="6">
        <f t="shared" si="16"/>
        <v>6.4062500000000488</v>
      </c>
      <c r="I552" s="7">
        <f t="shared" si="17"/>
        <v>6.4062500000000488</v>
      </c>
    </row>
    <row r="553" spans="1:9" x14ac:dyDescent="0.2">
      <c r="A553" t="s">
        <v>618</v>
      </c>
      <c r="B553" s="2" t="s">
        <v>619</v>
      </c>
      <c r="C553" s="2" t="s">
        <v>620</v>
      </c>
      <c r="D553">
        <v>235</v>
      </c>
      <c r="E553" t="s">
        <v>618</v>
      </c>
      <c r="F553">
        <v>235</v>
      </c>
      <c r="G553" s="1">
        <v>45161</v>
      </c>
      <c r="H553" s="6">
        <f t="shared" si="16"/>
        <v>6.4166666666667158</v>
      </c>
      <c r="I553" s="7">
        <f t="shared" si="17"/>
        <v>6.4166666666667158</v>
      </c>
    </row>
    <row r="554" spans="1:9" x14ac:dyDescent="0.2">
      <c r="A554" t="s">
        <v>621</v>
      </c>
      <c r="B554">
        <v>3.8374999999999999</v>
      </c>
      <c r="C554">
        <v>5.3749999999999999E-2</v>
      </c>
      <c r="D554">
        <v>235</v>
      </c>
      <c r="E554" t="s">
        <v>621</v>
      </c>
      <c r="F554">
        <v>235</v>
      </c>
      <c r="G554" s="1">
        <v>45161</v>
      </c>
      <c r="H554" s="6">
        <f t="shared" si="16"/>
        <v>6.4270833333333828</v>
      </c>
      <c r="I554" s="7">
        <f t="shared" si="17"/>
        <v>6.4270833333333828</v>
      </c>
    </row>
    <row r="555" spans="1:9" x14ac:dyDescent="0.2">
      <c r="A555" t="s">
        <v>622</v>
      </c>
      <c r="B555">
        <v>3.8054999999999999</v>
      </c>
      <c r="C555">
        <v>5.3295000000000002E-2</v>
      </c>
      <c r="D555">
        <v>235</v>
      </c>
      <c r="E555" t="s">
        <v>622</v>
      </c>
      <c r="F555">
        <v>235</v>
      </c>
      <c r="G555" s="1">
        <v>45161</v>
      </c>
      <c r="H555" s="6">
        <f t="shared" si="16"/>
        <v>6.4375000000000497</v>
      </c>
      <c r="I555" s="7">
        <f t="shared" si="17"/>
        <v>6.4375000000000497</v>
      </c>
    </row>
    <row r="556" spans="1:9" x14ac:dyDescent="0.2">
      <c r="A556" t="s">
        <v>623</v>
      </c>
      <c r="B556" s="2" t="s">
        <v>624</v>
      </c>
      <c r="C556">
        <v>5.2749999999999998E-2</v>
      </c>
      <c r="D556">
        <v>235</v>
      </c>
      <c r="E556" t="s">
        <v>623</v>
      </c>
      <c r="F556">
        <v>235</v>
      </c>
      <c r="G556" s="1">
        <v>45161</v>
      </c>
      <c r="H556" s="6">
        <f t="shared" si="16"/>
        <v>6.4479166666667167</v>
      </c>
      <c r="I556" s="7">
        <f t="shared" si="17"/>
        <v>6.4479166666667167</v>
      </c>
    </row>
    <row r="557" spans="1:9" x14ac:dyDescent="0.2">
      <c r="A557" t="s">
        <v>625</v>
      </c>
      <c r="B557">
        <v>3.669</v>
      </c>
      <c r="C557">
        <v>5.1380000000000002E-2</v>
      </c>
      <c r="D557">
        <v>235</v>
      </c>
      <c r="E557" t="s">
        <v>625</v>
      </c>
      <c r="F557">
        <v>235</v>
      </c>
      <c r="G557" s="1">
        <v>45161</v>
      </c>
      <c r="H557" s="6">
        <f t="shared" si="16"/>
        <v>6.4583333333333837</v>
      </c>
      <c r="I557" s="7">
        <f t="shared" si="17"/>
        <v>6.4583333333333837</v>
      </c>
    </row>
    <row r="558" spans="1:9" x14ac:dyDescent="0.2">
      <c r="A558" t="s">
        <v>626</v>
      </c>
      <c r="B558">
        <v>3.6505000000000001</v>
      </c>
      <c r="C558">
        <v>5.1124999999999997E-2</v>
      </c>
      <c r="D558">
        <v>235</v>
      </c>
      <c r="E558" t="s">
        <v>626</v>
      </c>
      <c r="F558">
        <v>235</v>
      </c>
      <c r="G558" s="1">
        <v>45161</v>
      </c>
      <c r="H558" s="6">
        <f t="shared" si="16"/>
        <v>6.4687500000000506</v>
      </c>
      <c r="I558" s="7">
        <f t="shared" si="17"/>
        <v>6.4687500000000506</v>
      </c>
    </row>
    <row r="559" spans="1:9" x14ac:dyDescent="0.2">
      <c r="A559" t="s">
        <v>627</v>
      </c>
      <c r="B559">
        <v>3.597</v>
      </c>
      <c r="C559">
        <v>5.0380000000000001E-2</v>
      </c>
      <c r="D559">
        <v>235</v>
      </c>
      <c r="E559" t="s">
        <v>627</v>
      </c>
      <c r="F559">
        <v>235</v>
      </c>
      <c r="G559" s="1">
        <v>45161</v>
      </c>
      <c r="H559" s="6">
        <f t="shared" si="16"/>
        <v>6.4791666666667176</v>
      </c>
      <c r="I559" s="7">
        <f t="shared" si="17"/>
        <v>6.4791666666667176</v>
      </c>
    </row>
    <row r="560" spans="1:9" x14ac:dyDescent="0.2">
      <c r="A560" t="s">
        <v>628</v>
      </c>
      <c r="B560">
        <v>3.6030000000000002</v>
      </c>
      <c r="C560">
        <v>5.0470000000000001E-2</v>
      </c>
      <c r="D560">
        <v>235</v>
      </c>
      <c r="E560" t="s">
        <v>628</v>
      </c>
      <c r="F560">
        <v>235</v>
      </c>
      <c r="G560" s="1">
        <v>45161</v>
      </c>
      <c r="H560" s="6">
        <f t="shared" si="16"/>
        <v>6.4895833333333846</v>
      </c>
      <c r="I560" s="7">
        <f t="shared" si="17"/>
        <v>6.4895833333333846</v>
      </c>
    </row>
    <row r="561" spans="1:9" x14ac:dyDescent="0.2">
      <c r="A561" t="s">
        <v>629</v>
      </c>
      <c r="B561">
        <v>3.5745</v>
      </c>
      <c r="C561">
        <v>5.008E-2</v>
      </c>
      <c r="D561">
        <v>235</v>
      </c>
      <c r="E561" t="s">
        <v>629</v>
      </c>
      <c r="F561">
        <v>235</v>
      </c>
      <c r="G561" s="1">
        <v>45161</v>
      </c>
      <c r="H561" s="6">
        <f t="shared" si="16"/>
        <v>6.5000000000000515</v>
      </c>
      <c r="I561" s="7">
        <f t="shared" si="17"/>
        <v>6.5000000000000515</v>
      </c>
    </row>
    <row r="562" spans="1:9" x14ac:dyDescent="0.2">
      <c r="A562" t="s">
        <v>630</v>
      </c>
      <c r="B562">
        <v>3.5680000000000001</v>
      </c>
      <c r="C562">
        <v>4.9994999999999998E-2</v>
      </c>
      <c r="D562">
        <v>235</v>
      </c>
      <c r="E562" t="s">
        <v>630</v>
      </c>
      <c r="F562">
        <v>235</v>
      </c>
      <c r="G562" s="1">
        <v>45161</v>
      </c>
      <c r="H562" s="6">
        <f t="shared" si="16"/>
        <v>6.5104166666667185</v>
      </c>
      <c r="I562" s="7">
        <f t="shared" si="17"/>
        <v>6.5104166666667185</v>
      </c>
    </row>
    <row r="563" spans="1:9" x14ac:dyDescent="0.2">
      <c r="A563" t="s">
        <v>631</v>
      </c>
      <c r="B563">
        <v>3.5169999999999999</v>
      </c>
      <c r="C563">
        <v>4.9244999999999997E-2</v>
      </c>
      <c r="D563">
        <v>235</v>
      </c>
      <c r="E563" t="s">
        <v>631</v>
      </c>
      <c r="F563">
        <v>235</v>
      </c>
      <c r="G563" s="1">
        <v>45161</v>
      </c>
      <c r="H563" s="6">
        <f t="shared" si="16"/>
        <v>6.5208333333333854</v>
      </c>
      <c r="I563" s="7">
        <f t="shared" si="17"/>
        <v>6.5208333333333854</v>
      </c>
    </row>
    <row r="564" spans="1:9" x14ac:dyDescent="0.2">
      <c r="A564" t="s">
        <v>632</v>
      </c>
      <c r="B564">
        <v>3.5185</v>
      </c>
      <c r="C564">
        <v>4.9259999999999998E-2</v>
      </c>
      <c r="D564">
        <v>235</v>
      </c>
      <c r="E564" t="s">
        <v>632</v>
      </c>
      <c r="F564">
        <v>235</v>
      </c>
      <c r="G564" s="1">
        <v>45161</v>
      </c>
      <c r="H564" s="6">
        <f t="shared" si="16"/>
        <v>6.5312500000000524</v>
      </c>
      <c r="I564" s="7">
        <f t="shared" si="17"/>
        <v>6.5312500000000524</v>
      </c>
    </row>
    <row r="565" spans="1:9" x14ac:dyDescent="0.2">
      <c r="A565" t="s">
        <v>633</v>
      </c>
      <c r="B565" s="2" t="s">
        <v>634</v>
      </c>
      <c r="C565">
        <v>4.8919999999999998E-2</v>
      </c>
      <c r="D565">
        <v>235</v>
      </c>
      <c r="E565" t="s">
        <v>633</v>
      </c>
      <c r="F565">
        <v>235</v>
      </c>
      <c r="G565" s="1">
        <v>45161</v>
      </c>
      <c r="H565" s="6">
        <f t="shared" si="16"/>
        <v>6.5416666666667194</v>
      </c>
      <c r="I565" s="7">
        <f t="shared" si="17"/>
        <v>6.5416666666667194</v>
      </c>
    </row>
    <row r="566" spans="1:9" x14ac:dyDescent="0.2">
      <c r="A566" t="s">
        <v>635</v>
      </c>
      <c r="B566">
        <v>3.4805000000000001</v>
      </c>
      <c r="C566">
        <v>4.8755E-2</v>
      </c>
      <c r="D566">
        <v>235</v>
      </c>
      <c r="E566" t="s">
        <v>635</v>
      </c>
      <c r="F566">
        <v>235</v>
      </c>
      <c r="G566" s="1">
        <v>45161</v>
      </c>
      <c r="H566" s="6">
        <f t="shared" si="16"/>
        <v>6.5520833333333863</v>
      </c>
      <c r="I566" s="7">
        <f t="shared" si="17"/>
        <v>6.5520833333333863</v>
      </c>
    </row>
    <row r="567" spans="1:9" x14ac:dyDescent="0.2">
      <c r="A567" t="s">
        <v>636</v>
      </c>
      <c r="B567">
        <v>3.4784999999999999</v>
      </c>
      <c r="C567">
        <v>4.8735000000000001E-2</v>
      </c>
      <c r="D567">
        <v>235</v>
      </c>
      <c r="E567" t="s">
        <v>636</v>
      </c>
      <c r="F567">
        <v>235</v>
      </c>
      <c r="G567" s="1">
        <v>45161</v>
      </c>
      <c r="H567" s="6">
        <f t="shared" si="16"/>
        <v>6.5625000000000533</v>
      </c>
      <c r="I567" s="7">
        <f t="shared" si="17"/>
        <v>6.5625000000000533</v>
      </c>
    </row>
    <row r="568" spans="1:9" x14ac:dyDescent="0.2">
      <c r="A568" t="s">
        <v>637</v>
      </c>
      <c r="B568">
        <v>3.47</v>
      </c>
      <c r="C568">
        <v>4.861E-2</v>
      </c>
      <c r="D568">
        <v>235</v>
      </c>
      <c r="E568" t="s">
        <v>637</v>
      </c>
      <c r="F568">
        <v>235</v>
      </c>
      <c r="G568" s="1">
        <v>45161</v>
      </c>
      <c r="H568" s="6">
        <f t="shared" si="16"/>
        <v>6.5729166666667203</v>
      </c>
      <c r="I568" s="7">
        <f t="shared" si="17"/>
        <v>6.5729166666667203</v>
      </c>
    </row>
    <row r="569" spans="1:9" x14ac:dyDescent="0.2">
      <c r="A569" t="s">
        <v>638</v>
      </c>
      <c r="B569">
        <v>3.4220000000000002</v>
      </c>
      <c r="C569">
        <v>4.7960000000000003E-2</v>
      </c>
      <c r="D569">
        <v>235</v>
      </c>
      <c r="E569" t="s">
        <v>638</v>
      </c>
      <c r="F569">
        <v>235</v>
      </c>
      <c r="G569" s="1">
        <v>45161</v>
      </c>
      <c r="H569" s="6">
        <f t="shared" si="16"/>
        <v>6.5833333333333872</v>
      </c>
      <c r="I569" s="7">
        <f t="shared" si="17"/>
        <v>6.5833333333333872</v>
      </c>
    </row>
    <row r="570" spans="1:9" x14ac:dyDescent="0.2">
      <c r="A570" t="s">
        <v>639</v>
      </c>
      <c r="B570">
        <v>3.4289999999999998</v>
      </c>
      <c r="C570">
        <v>4.8050000000000002E-2</v>
      </c>
      <c r="D570">
        <v>235</v>
      </c>
      <c r="E570" t="s">
        <v>639</v>
      </c>
      <c r="F570">
        <v>235</v>
      </c>
      <c r="G570" s="1">
        <v>45161</v>
      </c>
      <c r="H570" s="6">
        <f t="shared" si="16"/>
        <v>6.5937500000000542</v>
      </c>
      <c r="I570" s="7">
        <f t="shared" si="17"/>
        <v>6.5937500000000542</v>
      </c>
    </row>
    <row r="571" spans="1:9" x14ac:dyDescent="0.2">
      <c r="A571" t="s">
        <v>640</v>
      </c>
      <c r="B571">
        <v>3.4159999999999999</v>
      </c>
      <c r="C571">
        <v>4.7849999999999997E-2</v>
      </c>
      <c r="D571">
        <v>235</v>
      </c>
      <c r="E571" t="s">
        <v>640</v>
      </c>
      <c r="F571">
        <v>235</v>
      </c>
      <c r="G571" s="1">
        <v>45161</v>
      </c>
      <c r="H571" s="6">
        <f t="shared" si="16"/>
        <v>6.6041666666667211</v>
      </c>
      <c r="I571" s="7">
        <f t="shared" si="17"/>
        <v>6.6041666666667211</v>
      </c>
    </row>
    <row r="572" spans="1:9" x14ac:dyDescent="0.2">
      <c r="A572" t="s">
        <v>641</v>
      </c>
      <c r="B572">
        <v>3.4409999999999998</v>
      </c>
      <c r="C572">
        <v>4.82E-2</v>
      </c>
      <c r="D572">
        <v>235</v>
      </c>
      <c r="E572" t="s">
        <v>641</v>
      </c>
      <c r="F572">
        <v>235</v>
      </c>
      <c r="G572" s="1">
        <v>45161</v>
      </c>
      <c r="H572" s="6">
        <f t="shared" si="16"/>
        <v>6.6145833333333881</v>
      </c>
      <c r="I572" s="7">
        <f t="shared" si="17"/>
        <v>6.6145833333333881</v>
      </c>
    </row>
    <row r="573" spans="1:9" x14ac:dyDescent="0.2">
      <c r="A573" t="s">
        <v>642</v>
      </c>
      <c r="B573">
        <v>3.4390000000000001</v>
      </c>
      <c r="C573">
        <v>4.8164999999999999E-2</v>
      </c>
      <c r="D573">
        <v>235</v>
      </c>
      <c r="E573" t="s">
        <v>642</v>
      </c>
      <c r="F573">
        <v>235</v>
      </c>
      <c r="G573" s="1">
        <v>45161</v>
      </c>
      <c r="H573" s="6">
        <f t="shared" si="16"/>
        <v>6.6250000000000551</v>
      </c>
      <c r="I573" s="7">
        <f t="shared" si="17"/>
        <v>6.6250000000000551</v>
      </c>
    </row>
    <row r="574" spans="1:9" x14ac:dyDescent="0.2">
      <c r="A574" t="s">
        <v>643</v>
      </c>
      <c r="B574">
        <v>3.4245000000000001</v>
      </c>
      <c r="C574">
        <v>4.7954999999999998E-2</v>
      </c>
      <c r="D574">
        <v>235</v>
      </c>
      <c r="E574" t="s">
        <v>643</v>
      </c>
      <c r="F574">
        <v>235</v>
      </c>
      <c r="G574" s="1">
        <v>45161</v>
      </c>
      <c r="H574" s="6">
        <f t="shared" si="16"/>
        <v>6.635416666666722</v>
      </c>
      <c r="I574" s="7">
        <f t="shared" si="17"/>
        <v>6.635416666666722</v>
      </c>
    </row>
    <row r="575" spans="1:9" x14ac:dyDescent="0.2">
      <c r="A575" t="s">
        <v>644</v>
      </c>
      <c r="B575">
        <v>3.448</v>
      </c>
      <c r="C575">
        <v>4.829E-2</v>
      </c>
      <c r="D575">
        <v>235</v>
      </c>
      <c r="E575" t="s">
        <v>644</v>
      </c>
      <c r="F575">
        <v>235</v>
      </c>
      <c r="G575" s="1">
        <v>45161</v>
      </c>
      <c r="H575" s="6">
        <f t="shared" si="16"/>
        <v>6.645833333333389</v>
      </c>
      <c r="I575" s="7">
        <f t="shared" si="17"/>
        <v>6.645833333333389</v>
      </c>
    </row>
    <row r="576" spans="1:9" x14ac:dyDescent="0.2">
      <c r="A576" t="s">
        <v>645</v>
      </c>
      <c r="B576">
        <v>3.419</v>
      </c>
      <c r="C576">
        <v>4.7884999999999997E-2</v>
      </c>
      <c r="D576">
        <v>235</v>
      </c>
      <c r="E576" t="s">
        <v>645</v>
      </c>
      <c r="F576">
        <v>235</v>
      </c>
      <c r="G576" s="1">
        <v>45161</v>
      </c>
      <c r="H576" s="6">
        <f t="shared" si="16"/>
        <v>6.656250000000056</v>
      </c>
      <c r="I576" s="7">
        <f t="shared" si="17"/>
        <v>6.656250000000056</v>
      </c>
    </row>
    <row r="577" spans="1:9" x14ac:dyDescent="0.2">
      <c r="A577" t="s">
        <v>646</v>
      </c>
      <c r="B577">
        <v>3.4140000000000001</v>
      </c>
      <c r="C577">
        <v>4.7805E-2</v>
      </c>
      <c r="D577">
        <v>235</v>
      </c>
      <c r="E577" t="s">
        <v>646</v>
      </c>
      <c r="F577">
        <v>235</v>
      </c>
      <c r="G577" s="1">
        <v>45161</v>
      </c>
      <c r="H577" s="6">
        <f t="shared" si="16"/>
        <v>6.6666666666667229</v>
      </c>
      <c r="I577" s="7">
        <f t="shared" si="17"/>
        <v>6.6666666666667229</v>
      </c>
    </row>
    <row r="578" spans="1:9" x14ac:dyDescent="0.2">
      <c r="A578" t="s">
        <v>647</v>
      </c>
      <c r="B578">
        <v>3.4175</v>
      </c>
      <c r="C578">
        <v>4.7864999999999998E-2</v>
      </c>
      <c r="D578">
        <v>235</v>
      </c>
      <c r="E578" t="s">
        <v>647</v>
      </c>
      <c r="F578">
        <v>235</v>
      </c>
      <c r="G578" s="1">
        <v>45161</v>
      </c>
      <c r="H578" s="6">
        <f t="shared" si="16"/>
        <v>6.6770833333333899</v>
      </c>
      <c r="I578" s="7">
        <f t="shared" si="17"/>
        <v>6.6770833333333899</v>
      </c>
    </row>
    <row r="579" spans="1:9" x14ac:dyDescent="0.2">
      <c r="A579" t="s">
        <v>648</v>
      </c>
      <c r="B579">
        <v>3.395</v>
      </c>
      <c r="C579">
        <v>4.7544999999999997E-2</v>
      </c>
      <c r="D579">
        <v>235</v>
      </c>
      <c r="E579" t="s">
        <v>648</v>
      </c>
      <c r="F579">
        <v>235</v>
      </c>
      <c r="G579" s="1">
        <v>45161</v>
      </c>
      <c r="H579" s="6">
        <f t="shared" ref="H579:H642" si="18">H578+$K$1</f>
        <v>6.6875000000000568</v>
      </c>
      <c r="I579" s="7">
        <f t="shared" ref="I579:I642" si="19">I578+$K$1</f>
        <v>6.6875000000000568</v>
      </c>
    </row>
    <row r="580" spans="1:9" x14ac:dyDescent="0.2">
      <c r="A580" t="s">
        <v>649</v>
      </c>
      <c r="B580">
        <v>3.3849999999999998</v>
      </c>
      <c r="C580">
        <v>4.7434999999999998E-2</v>
      </c>
      <c r="D580">
        <v>235</v>
      </c>
      <c r="E580" t="s">
        <v>649</v>
      </c>
      <c r="F580">
        <v>235</v>
      </c>
      <c r="G580" s="1">
        <v>45161</v>
      </c>
      <c r="H580" s="6">
        <f t="shared" si="18"/>
        <v>6.6979166666667238</v>
      </c>
      <c r="I580" s="7">
        <f t="shared" si="19"/>
        <v>6.6979166666667238</v>
      </c>
    </row>
    <row r="581" spans="1:9" x14ac:dyDescent="0.2">
      <c r="A581" t="s">
        <v>650</v>
      </c>
      <c r="B581">
        <v>3.4035000000000002</v>
      </c>
      <c r="C581">
        <v>4.7669999999999997E-2</v>
      </c>
      <c r="D581">
        <v>235</v>
      </c>
      <c r="E581" t="s">
        <v>650</v>
      </c>
      <c r="F581">
        <v>235</v>
      </c>
      <c r="G581" s="1">
        <v>45161</v>
      </c>
      <c r="H581" s="6">
        <f t="shared" si="18"/>
        <v>6.7083333333333908</v>
      </c>
      <c r="I581" s="7">
        <f t="shared" si="19"/>
        <v>6.7083333333333908</v>
      </c>
    </row>
    <row r="582" spans="1:9" x14ac:dyDescent="0.2">
      <c r="A582" t="s">
        <v>651</v>
      </c>
      <c r="B582">
        <v>3.448</v>
      </c>
      <c r="C582">
        <v>4.8309999999999999E-2</v>
      </c>
      <c r="D582">
        <v>235</v>
      </c>
      <c r="E582" t="s">
        <v>651</v>
      </c>
      <c r="F582">
        <v>235</v>
      </c>
      <c r="G582" s="1">
        <v>45161</v>
      </c>
      <c r="H582" s="6">
        <f t="shared" si="18"/>
        <v>6.7187500000000577</v>
      </c>
      <c r="I582" s="7">
        <f t="shared" si="19"/>
        <v>6.7187500000000577</v>
      </c>
    </row>
    <row r="583" spans="1:9" x14ac:dyDescent="0.2">
      <c r="A583" t="s">
        <v>652</v>
      </c>
      <c r="B583">
        <v>3.3875000000000002</v>
      </c>
      <c r="C583">
        <v>4.7449999999999999E-2</v>
      </c>
      <c r="D583">
        <v>235</v>
      </c>
      <c r="E583" t="s">
        <v>652</v>
      </c>
      <c r="F583">
        <v>235</v>
      </c>
      <c r="G583" s="1">
        <v>45161</v>
      </c>
      <c r="H583" s="6">
        <f t="shared" si="18"/>
        <v>6.7291666666667247</v>
      </c>
      <c r="I583" s="7">
        <f t="shared" si="19"/>
        <v>6.7291666666667247</v>
      </c>
    </row>
    <row r="584" spans="1:9" x14ac:dyDescent="0.2">
      <c r="A584" t="s">
        <v>653</v>
      </c>
      <c r="B584">
        <v>3.3879999999999999</v>
      </c>
      <c r="C584">
        <v>4.7454999999999997E-2</v>
      </c>
      <c r="D584">
        <v>235</v>
      </c>
      <c r="E584" t="s">
        <v>653</v>
      </c>
      <c r="F584">
        <v>235</v>
      </c>
      <c r="G584" s="1">
        <v>45161</v>
      </c>
      <c r="H584" s="6">
        <f t="shared" si="18"/>
        <v>6.7395833333333917</v>
      </c>
      <c r="I584" s="7">
        <f t="shared" si="19"/>
        <v>6.7395833333333917</v>
      </c>
    </row>
    <row r="585" spans="1:9" x14ac:dyDescent="0.2">
      <c r="A585" t="s">
        <v>654</v>
      </c>
      <c r="B585">
        <v>3.4140000000000001</v>
      </c>
      <c r="C585">
        <v>4.7820000000000001E-2</v>
      </c>
      <c r="D585">
        <v>236</v>
      </c>
      <c r="E585" t="s">
        <v>654</v>
      </c>
      <c r="F585">
        <v>235</v>
      </c>
      <c r="G585" s="1">
        <v>45161</v>
      </c>
      <c r="H585" s="6">
        <f t="shared" si="18"/>
        <v>6.7500000000000586</v>
      </c>
      <c r="I585" s="7">
        <f t="shared" si="19"/>
        <v>6.7500000000000586</v>
      </c>
    </row>
    <row r="586" spans="1:9" x14ac:dyDescent="0.2">
      <c r="A586" t="s">
        <v>655</v>
      </c>
      <c r="B586">
        <v>3.4350000000000001</v>
      </c>
      <c r="C586">
        <v>4.8134999999999997E-2</v>
      </c>
      <c r="D586">
        <v>236</v>
      </c>
      <c r="E586" t="s">
        <v>655</v>
      </c>
      <c r="F586">
        <v>235</v>
      </c>
      <c r="G586" s="1">
        <v>45161</v>
      </c>
      <c r="H586" s="6">
        <f t="shared" si="18"/>
        <v>6.7604166666667256</v>
      </c>
      <c r="I586" s="7">
        <f t="shared" si="19"/>
        <v>6.7604166666667256</v>
      </c>
    </row>
    <row r="587" spans="1:9" x14ac:dyDescent="0.2">
      <c r="A587" t="s">
        <v>656</v>
      </c>
      <c r="B587">
        <v>3.4415</v>
      </c>
      <c r="C587">
        <v>4.8219999999999999E-2</v>
      </c>
      <c r="D587">
        <v>236</v>
      </c>
      <c r="E587" t="s">
        <v>656</v>
      </c>
      <c r="F587">
        <v>235</v>
      </c>
      <c r="G587" s="1">
        <v>45161</v>
      </c>
      <c r="H587" s="6">
        <f t="shared" si="18"/>
        <v>6.7708333333333925</v>
      </c>
      <c r="I587" s="7">
        <f t="shared" si="19"/>
        <v>6.7708333333333925</v>
      </c>
    </row>
    <row r="588" spans="1:9" x14ac:dyDescent="0.2">
      <c r="A588" t="s">
        <v>657</v>
      </c>
      <c r="B588">
        <v>3.4584999999999999</v>
      </c>
      <c r="C588">
        <v>4.8430000000000001E-2</v>
      </c>
      <c r="D588">
        <v>236</v>
      </c>
      <c r="E588" t="s">
        <v>657</v>
      </c>
      <c r="F588">
        <v>235</v>
      </c>
      <c r="G588" s="1">
        <v>45161</v>
      </c>
      <c r="H588" s="6">
        <f t="shared" si="18"/>
        <v>6.7812500000000595</v>
      </c>
      <c r="I588" s="7">
        <f t="shared" si="19"/>
        <v>6.7812500000000595</v>
      </c>
    </row>
    <row r="589" spans="1:9" x14ac:dyDescent="0.2">
      <c r="A589" t="s">
        <v>658</v>
      </c>
      <c r="B589">
        <v>3.4224999999999999</v>
      </c>
      <c r="C589">
        <v>4.7934999999999998E-2</v>
      </c>
      <c r="D589">
        <v>236</v>
      </c>
      <c r="E589" t="s">
        <v>658</v>
      </c>
      <c r="F589">
        <v>235</v>
      </c>
      <c r="G589" s="1">
        <v>45161</v>
      </c>
      <c r="H589" s="6">
        <f t="shared" si="18"/>
        <v>6.7916666666667265</v>
      </c>
      <c r="I589" s="7">
        <f t="shared" si="19"/>
        <v>6.7916666666667265</v>
      </c>
    </row>
    <row r="590" spans="1:9" x14ac:dyDescent="0.2">
      <c r="A590" t="s">
        <v>659</v>
      </c>
      <c r="B590">
        <v>3.4255</v>
      </c>
      <c r="C590">
        <v>4.7989999999999998E-2</v>
      </c>
      <c r="D590">
        <v>236</v>
      </c>
      <c r="E590" t="s">
        <v>659</v>
      </c>
      <c r="F590">
        <v>235</v>
      </c>
      <c r="G590" s="1">
        <v>45161</v>
      </c>
      <c r="H590" s="6">
        <f t="shared" si="18"/>
        <v>6.8020833333333934</v>
      </c>
      <c r="I590" s="7">
        <f t="shared" si="19"/>
        <v>6.8020833333333934</v>
      </c>
    </row>
    <row r="591" spans="1:9" x14ac:dyDescent="0.2">
      <c r="A591" t="s">
        <v>660</v>
      </c>
      <c r="B591">
        <v>3.4415</v>
      </c>
      <c r="C591">
        <v>4.8189999999999997E-2</v>
      </c>
      <c r="D591">
        <v>236</v>
      </c>
      <c r="E591" t="s">
        <v>660</v>
      </c>
      <c r="F591">
        <v>235</v>
      </c>
      <c r="G591" s="1">
        <v>45161</v>
      </c>
      <c r="H591" s="6">
        <f t="shared" si="18"/>
        <v>6.8125000000000604</v>
      </c>
      <c r="I591" s="7">
        <f t="shared" si="19"/>
        <v>6.8125000000000604</v>
      </c>
    </row>
    <row r="592" spans="1:9" x14ac:dyDescent="0.2">
      <c r="A592" t="s">
        <v>661</v>
      </c>
      <c r="B592">
        <v>3.4304999999999999</v>
      </c>
      <c r="C592">
        <v>4.8044999999999997E-2</v>
      </c>
      <c r="D592">
        <v>236</v>
      </c>
      <c r="E592" t="s">
        <v>661</v>
      </c>
      <c r="F592">
        <v>235</v>
      </c>
      <c r="G592" s="1">
        <v>45161</v>
      </c>
      <c r="H592" s="6">
        <f t="shared" si="18"/>
        <v>6.8229166666667274</v>
      </c>
      <c r="I592" s="7">
        <f t="shared" si="19"/>
        <v>6.8229166666667274</v>
      </c>
    </row>
    <row r="593" spans="1:9" x14ac:dyDescent="0.2">
      <c r="A593" t="s">
        <v>662</v>
      </c>
      <c r="B593">
        <v>3.4295</v>
      </c>
      <c r="C593">
        <v>4.8044999999999997E-2</v>
      </c>
      <c r="D593">
        <v>236</v>
      </c>
      <c r="E593" t="s">
        <v>662</v>
      </c>
      <c r="F593">
        <v>235</v>
      </c>
      <c r="G593" s="1">
        <v>45161</v>
      </c>
      <c r="H593" s="6">
        <f t="shared" si="18"/>
        <v>6.8333333333333943</v>
      </c>
      <c r="I593" s="7">
        <f t="shared" si="19"/>
        <v>6.8333333333333943</v>
      </c>
    </row>
    <row r="594" spans="1:9" x14ac:dyDescent="0.2">
      <c r="A594" t="s">
        <v>663</v>
      </c>
      <c r="B594">
        <v>3.4390000000000001</v>
      </c>
      <c r="C594">
        <v>4.8149999999999998E-2</v>
      </c>
      <c r="D594">
        <v>236</v>
      </c>
      <c r="E594" t="s">
        <v>663</v>
      </c>
      <c r="F594">
        <v>235</v>
      </c>
      <c r="G594" s="1">
        <v>45161</v>
      </c>
      <c r="H594" s="6">
        <f t="shared" si="18"/>
        <v>6.8437500000000613</v>
      </c>
      <c r="I594" s="7">
        <f t="shared" si="19"/>
        <v>6.8437500000000613</v>
      </c>
    </row>
    <row r="595" spans="1:9" x14ac:dyDescent="0.2">
      <c r="A595" t="s">
        <v>664</v>
      </c>
      <c r="B595">
        <v>3.4464999999999999</v>
      </c>
      <c r="C595" s="2" t="s">
        <v>665</v>
      </c>
      <c r="D595">
        <v>236</v>
      </c>
      <c r="E595" t="s">
        <v>664</v>
      </c>
      <c r="F595">
        <v>235</v>
      </c>
      <c r="G595" s="1">
        <v>45161</v>
      </c>
      <c r="H595" s="6">
        <f t="shared" si="18"/>
        <v>6.8541666666667282</v>
      </c>
      <c r="I595" s="7">
        <f t="shared" si="19"/>
        <v>6.8541666666667282</v>
      </c>
    </row>
    <row r="596" spans="1:9" x14ac:dyDescent="0.2">
      <c r="A596" t="s">
        <v>666</v>
      </c>
      <c r="B596">
        <v>3.4474999999999998</v>
      </c>
      <c r="C596">
        <v>4.829E-2</v>
      </c>
      <c r="D596">
        <v>236</v>
      </c>
      <c r="E596" t="s">
        <v>666</v>
      </c>
      <c r="F596">
        <v>235</v>
      </c>
      <c r="G596" s="1">
        <v>45161</v>
      </c>
      <c r="H596" s="6">
        <f t="shared" si="18"/>
        <v>6.8645833333333952</v>
      </c>
      <c r="I596" s="7">
        <f t="shared" si="19"/>
        <v>6.8645833333333952</v>
      </c>
    </row>
    <row r="597" spans="1:9" x14ac:dyDescent="0.2">
      <c r="A597" t="s">
        <v>667</v>
      </c>
      <c r="B597">
        <v>3.4714999999999998</v>
      </c>
      <c r="C597">
        <v>4.8640000000000003E-2</v>
      </c>
      <c r="D597">
        <v>236</v>
      </c>
      <c r="E597" t="s">
        <v>667</v>
      </c>
      <c r="F597">
        <v>235</v>
      </c>
      <c r="G597" s="1">
        <v>45161</v>
      </c>
      <c r="H597" s="6">
        <f t="shared" si="18"/>
        <v>6.8750000000000622</v>
      </c>
      <c r="I597" s="7">
        <f t="shared" si="19"/>
        <v>6.8750000000000622</v>
      </c>
    </row>
    <row r="598" spans="1:9" x14ac:dyDescent="0.2">
      <c r="A598" t="s">
        <v>668</v>
      </c>
      <c r="B598">
        <v>3.508</v>
      </c>
      <c r="C598">
        <v>4.913E-2</v>
      </c>
      <c r="D598">
        <v>236</v>
      </c>
      <c r="E598" t="s">
        <v>668</v>
      </c>
      <c r="F598">
        <v>235</v>
      </c>
      <c r="G598" s="1">
        <v>45161</v>
      </c>
      <c r="H598" s="6">
        <f t="shared" si="18"/>
        <v>6.8854166666667291</v>
      </c>
      <c r="I598" s="7">
        <f t="shared" si="19"/>
        <v>6.8854166666667291</v>
      </c>
    </row>
    <row r="599" spans="1:9" x14ac:dyDescent="0.2">
      <c r="A599" t="s">
        <v>669</v>
      </c>
      <c r="B599">
        <v>3.5295000000000001</v>
      </c>
      <c r="C599">
        <v>4.9424999999999997E-2</v>
      </c>
      <c r="D599">
        <v>236</v>
      </c>
      <c r="E599" t="s">
        <v>669</v>
      </c>
      <c r="F599">
        <v>235</v>
      </c>
      <c r="G599" s="1">
        <v>45161</v>
      </c>
      <c r="H599" s="6">
        <f t="shared" si="18"/>
        <v>6.8958333333333961</v>
      </c>
      <c r="I599" s="7">
        <f t="shared" si="19"/>
        <v>6.8958333333333961</v>
      </c>
    </row>
    <row r="600" spans="1:9" x14ac:dyDescent="0.2">
      <c r="A600" t="s">
        <v>670</v>
      </c>
      <c r="B600">
        <v>3.58</v>
      </c>
      <c r="C600">
        <v>5.0139999999999997E-2</v>
      </c>
      <c r="D600">
        <v>236</v>
      </c>
      <c r="E600" t="s">
        <v>670</v>
      </c>
      <c r="F600">
        <v>235</v>
      </c>
      <c r="G600" s="1">
        <v>45161</v>
      </c>
      <c r="H600" s="6">
        <f t="shared" si="18"/>
        <v>6.9062500000000631</v>
      </c>
      <c r="I600" s="7">
        <f t="shared" si="19"/>
        <v>6.9062500000000631</v>
      </c>
    </row>
    <row r="601" spans="1:9" x14ac:dyDescent="0.2">
      <c r="A601" t="s">
        <v>671</v>
      </c>
      <c r="B601">
        <v>3.62</v>
      </c>
      <c r="C601" s="2" t="s">
        <v>672</v>
      </c>
      <c r="D601">
        <v>236</v>
      </c>
      <c r="E601" t="s">
        <v>671</v>
      </c>
      <c r="F601">
        <v>235</v>
      </c>
      <c r="G601" s="1">
        <v>45161</v>
      </c>
      <c r="H601" s="6">
        <f t="shared" si="18"/>
        <v>6.91666666666673</v>
      </c>
      <c r="I601" s="7">
        <f t="shared" si="19"/>
        <v>6.91666666666673</v>
      </c>
    </row>
    <row r="602" spans="1:9" x14ac:dyDescent="0.2">
      <c r="A602" t="s">
        <v>673</v>
      </c>
      <c r="B602">
        <v>3.6855000000000002</v>
      </c>
      <c r="C602">
        <v>5.1610000000000003E-2</v>
      </c>
      <c r="D602">
        <v>236</v>
      </c>
      <c r="E602" t="s">
        <v>673</v>
      </c>
      <c r="F602">
        <v>235</v>
      </c>
      <c r="G602" s="1">
        <v>45161</v>
      </c>
      <c r="H602" s="6">
        <f t="shared" si="18"/>
        <v>6.927083333333397</v>
      </c>
      <c r="I602" s="7">
        <f t="shared" si="19"/>
        <v>6.927083333333397</v>
      </c>
    </row>
    <row r="603" spans="1:9" x14ac:dyDescent="0.2">
      <c r="A603" t="s">
        <v>674</v>
      </c>
      <c r="B603">
        <v>3.7160000000000002</v>
      </c>
      <c r="C603">
        <v>5.2040000000000003E-2</v>
      </c>
      <c r="D603">
        <v>236</v>
      </c>
      <c r="E603" t="s">
        <v>674</v>
      </c>
      <c r="F603">
        <v>235</v>
      </c>
      <c r="G603" s="1">
        <v>45161</v>
      </c>
      <c r="H603" s="6">
        <f t="shared" si="18"/>
        <v>6.9375000000000639</v>
      </c>
      <c r="I603" s="7">
        <f t="shared" si="19"/>
        <v>6.9375000000000639</v>
      </c>
    </row>
    <row r="604" spans="1:9" x14ac:dyDescent="0.2">
      <c r="A604" t="s">
        <v>675</v>
      </c>
      <c r="B604">
        <v>3.778</v>
      </c>
      <c r="C604">
        <v>5.2909999999999999E-2</v>
      </c>
      <c r="D604">
        <v>236</v>
      </c>
      <c r="E604" t="s">
        <v>675</v>
      </c>
      <c r="F604">
        <v>235</v>
      </c>
      <c r="G604" s="1">
        <v>45161</v>
      </c>
      <c r="H604" s="6">
        <f t="shared" si="18"/>
        <v>6.9479166666667309</v>
      </c>
      <c r="I604" s="7">
        <f t="shared" si="19"/>
        <v>6.9479166666667309</v>
      </c>
    </row>
    <row r="605" spans="1:9" x14ac:dyDescent="0.2">
      <c r="A605" t="s">
        <v>676</v>
      </c>
      <c r="B605">
        <v>3.839</v>
      </c>
      <c r="C605">
        <v>5.3775000000000003E-2</v>
      </c>
      <c r="D605">
        <v>236</v>
      </c>
      <c r="E605" t="s">
        <v>676</v>
      </c>
      <c r="F605">
        <v>235</v>
      </c>
      <c r="G605" s="1">
        <v>45161</v>
      </c>
      <c r="H605" s="6">
        <f t="shared" si="18"/>
        <v>6.9583333333333979</v>
      </c>
      <c r="I605" s="7">
        <f t="shared" si="19"/>
        <v>6.9583333333333979</v>
      </c>
    </row>
    <row r="606" spans="1:9" x14ac:dyDescent="0.2">
      <c r="A606" t="s">
        <v>677</v>
      </c>
      <c r="B606">
        <v>3.9064999999999999</v>
      </c>
      <c r="C606">
        <v>5.4715E-2</v>
      </c>
      <c r="D606">
        <v>236</v>
      </c>
      <c r="E606" t="s">
        <v>677</v>
      </c>
      <c r="F606">
        <v>235</v>
      </c>
      <c r="G606" s="1">
        <v>45161</v>
      </c>
      <c r="H606" s="6">
        <f t="shared" si="18"/>
        <v>6.9687500000000648</v>
      </c>
      <c r="I606" s="7">
        <f t="shared" si="19"/>
        <v>6.9687500000000648</v>
      </c>
    </row>
    <row r="607" spans="1:9" x14ac:dyDescent="0.2">
      <c r="A607" t="s">
        <v>678</v>
      </c>
      <c r="B607">
        <v>3.891</v>
      </c>
      <c r="C607">
        <v>5.4495000000000002E-2</v>
      </c>
      <c r="D607">
        <v>236</v>
      </c>
      <c r="E607" t="s">
        <v>678</v>
      </c>
      <c r="F607">
        <v>235</v>
      </c>
      <c r="G607" s="1">
        <v>45161</v>
      </c>
      <c r="H607" s="6">
        <f t="shared" si="18"/>
        <v>6.9791666666667318</v>
      </c>
      <c r="I607" s="7">
        <f t="shared" si="19"/>
        <v>6.9791666666667318</v>
      </c>
    </row>
    <row r="608" spans="1:9" x14ac:dyDescent="0.2">
      <c r="A608" t="s">
        <v>679</v>
      </c>
      <c r="B608" s="2" t="s">
        <v>680</v>
      </c>
      <c r="C608">
        <v>5.5454999999999997E-2</v>
      </c>
      <c r="D608">
        <v>236</v>
      </c>
      <c r="E608" t="s">
        <v>679</v>
      </c>
      <c r="F608">
        <v>235</v>
      </c>
      <c r="G608" s="1">
        <v>45161</v>
      </c>
      <c r="H608" s="6">
        <f t="shared" si="18"/>
        <v>6.9895833333333988</v>
      </c>
      <c r="I608" s="7">
        <f t="shared" si="19"/>
        <v>6.9895833333333988</v>
      </c>
    </row>
    <row r="609" spans="1:9" x14ac:dyDescent="0.2">
      <c r="A609" t="s">
        <v>681</v>
      </c>
      <c r="B609">
        <v>3.9584999999999999</v>
      </c>
      <c r="C609">
        <v>5.543E-2</v>
      </c>
      <c r="D609">
        <v>236</v>
      </c>
      <c r="E609" t="s">
        <v>681</v>
      </c>
      <c r="F609">
        <v>236</v>
      </c>
      <c r="G609" s="1">
        <v>45162</v>
      </c>
      <c r="H609" s="6">
        <f t="shared" si="18"/>
        <v>7.0000000000000657</v>
      </c>
      <c r="I609" s="7">
        <f t="shared" si="19"/>
        <v>7.0000000000000657</v>
      </c>
    </row>
    <row r="610" spans="1:9" x14ac:dyDescent="0.2">
      <c r="A610" t="s">
        <v>682</v>
      </c>
      <c r="B610">
        <v>4.0289999999999999</v>
      </c>
      <c r="C610">
        <v>5.6425000000000003E-2</v>
      </c>
      <c r="D610">
        <v>236</v>
      </c>
      <c r="E610" t="s">
        <v>682</v>
      </c>
      <c r="F610">
        <v>236</v>
      </c>
      <c r="G610" s="1">
        <v>45162</v>
      </c>
      <c r="H610" s="6">
        <f t="shared" si="18"/>
        <v>7.0104166666667327</v>
      </c>
      <c r="I610" s="7">
        <f t="shared" si="19"/>
        <v>7.0104166666667327</v>
      </c>
    </row>
    <row r="611" spans="1:9" x14ac:dyDescent="0.2">
      <c r="A611" t="s">
        <v>683</v>
      </c>
      <c r="B611">
        <v>4.0570000000000004</v>
      </c>
      <c r="C611">
        <v>5.6840000000000002E-2</v>
      </c>
      <c r="D611">
        <v>236</v>
      </c>
      <c r="E611" t="s">
        <v>683</v>
      </c>
      <c r="F611">
        <v>236</v>
      </c>
      <c r="G611" s="1">
        <v>45162</v>
      </c>
      <c r="H611" s="6">
        <f t="shared" si="18"/>
        <v>7.0208333333333997</v>
      </c>
      <c r="I611" s="7">
        <f t="shared" si="19"/>
        <v>7.0208333333333997</v>
      </c>
    </row>
    <row r="612" spans="1:9" x14ac:dyDescent="0.2">
      <c r="A612" t="s">
        <v>684</v>
      </c>
      <c r="B612">
        <v>4.08</v>
      </c>
      <c r="C612">
        <v>5.7149999999999999E-2</v>
      </c>
      <c r="D612">
        <v>236</v>
      </c>
      <c r="E612" t="s">
        <v>684</v>
      </c>
      <c r="F612">
        <v>236</v>
      </c>
      <c r="G612" s="1">
        <v>45162</v>
      </c>
      <c r="H612" s="6">
        <f t="shared" si="18"/>
        <v>7.0312500000000666</v>
      </c>
      <c r="I612" s="7">
        <f t="shared" si="19"/>
        <v>7.0312500000000666</v>
      </c>
    </row>
    <row r="613" spans="1:9" x14ac:dyDescent="0.2">
      <c r="A613" t="s">
        <v>685</v>
      </c>
      <c r="B613">
        <v>4.1025</v>
      </c>
      <c r="C613">
        <v>5.7454999999999999E-2</v>
      </c>
      <c r="D613">
        <v>236</v>
      </c>
      <c r="E613" t="s">
        <v>685</v>
      </c>
      <c r="F613">
        <v>236</v>
      </c>
      <c r="G613" s="1">
        <v>45162</v>
      </c>
      <c r="H613" s="6">
        <f t="shared" si="18"/>
        <v>7.0416666666667336</v>
      </c>
      <c r="I613" s="7">
        <f t="shared" si="19"/>
        <v>7.0416666666667336</v>
      </c>
    </row>
    <row r="614" spans="1:9" x14ac:dyDescent="0.2">
      <c r="A614" t="s">
        <v>686</v>
      </c>
      <c r="B614">
        <v>4.1135000000000002</v>
      </c>
      <c r="C614">
        <v>5.7610000000000001E-2</v>
      </c>
      <c r="D614">
        <v>236</v>
      </c>
      <c r="E614" t="s">
        <v>686</v>
      </c>
      <c r="F614">
        <v>236</v>
      </c>
      <c r="G614" s="1">
        <v>45162</v>
      </c>
      <c r="H614" s="6">
        <f t="shared" si="18"/>
        <v>7.0520833333334005</v>
      </c>
      <c r="I614" s="7">
        <f t="shared" si="19"/>
        <v>7.0520833333334005</v>
      </c>
    </row>
    <row r="615" spans="1:9" x14ac:dyDescent="0.2">
      <c r="A615" t="s">
        <v>687</v>
      </c>
      <c r="B615">
        <v>4.117</v>
      </c>
      <c r="C615">
        <v>5.7665000000000001E-2</v>
      </c>
      <c r="D615">
        <v>236</v>
      </c>
      <c r="E615" t="s">
        <v>687</v>
      </c>
      <c r="F615">
        <v>236</v>
      </c>
      <c r="G615" s="1">
        <v>45162</v>
      </c>
      <c r="H615" s="6">
        <f t="shared" si="18"/>
        <v>7.0625000000000675</v>
      </c>
      <c r="I615" s="7">
        <f t="shared" si="19"/>
        <v>7.0625000000000675</v>
      </c>
    </row>
    <row r="616" spans="1:9" x14ac:dyDescent="0.2">
      <c r="A616" t="s">
        <v>688</v>
      </c>
      <c r="B616">
        <v>4.1230000000000002</v>
      </c>
      <c r="C616">
        <v>5.774E-2</v>
      </c>
      <c r="D616">
        <v>236</v>
      </c>
      <c r="E616" t="s">
        <v>688</v>
      </c>
      <c r="F616">
        <v>236</v>
      </c>
      <c r="G616" s="1">
        <v>45162</v>
      </c>
      <c r="H616" s="6">
        <f t="shared" si="18"/>
        <v>7.0729166666667345</v>
      </c>
      <c r="I616" s="7">
        <f t="shared" si="19"/>
        <v>7.0729166666667345</v>
      </c>
    </row>
    <row r="617" spans="1:9" x14ac:dyDescent="0.2">
      <c r="A617" t="s">
        <v>689</v>
      </c>
      <c r="B617">
        <v>4.1139999999999999</v>
      </c>
      <c r="C617">
        <v>5.7625000000000003E-2</v>
      </c>
      <c r="D617">
        <v>236</v>
      </c>
      <c r="E617" t="s">
        <v>689</v>
      </c>
      <c r="F617">
        <v>236</v>
      </c>
      <c r="G617" s="1">
        <v>45162</v>
      </c>
      <c r="H617" s="6">
        <f t="shared" si="18"/>
        <v>7.0833333333334014</v>
      </c>
      <c r="I617" s="7">
        <f t="shared" si="19"/>
        <v>7.0833333333334014</v>
      </c>
    </row>
    <row r="618" spans="1:9" x14ac:dyDescent="0.2">
      <c r="A618" t="s">
        <v>690</v>
      </c>
      <c r="B618">
        <v>4.1304999999999996</v>
      </c>
      <c r="C618">
        <v>5.7865E-2</v>
      </c>
      <c r="D618">
        <v>236</v>
      </c>
      <c r="E618" t="s">
        <v>690</v>
      </c>
      <c r="F618">
        <v>236</v>
      </c>
      <c r="G618" s="1">
        <v>45162</v>
      </c>
      <c r="H618" s="6">
        <f t="shared" si="18"/>
        <v>7.0937500000000684</v>
      </c>
      <c r="I618" s="7">
        <f t="shared" si="19"/>
        <v>7.0937500000000684</v>
      </c>
    </row>
    <row r="619" spans="1:9" x14ac:dyDescent="0.2">
      <c r="A619" t="s">
        <v>691</v>
      </c>
      <c r="B619">
        <v>4.1115000000000004</v>
      </c>
      <c r="C619" s="2" t="s">
        <v>692</v>
      </c>
      <c r="D619">
        <v>236</v>
      </c>
      <c r="E619" t="s">
        <v>691</v>
      </c>
      <c r="F619">
        <v>236</v>
      </c>
      <c r="G619" s="1">
        <v>45162</v>
      </c>
      <c r="H619" s="6">
        <f t="shared" si="18"/>
        <v>7.1041666666667354</v>
      </c>
      <c r="I619" s="7">
        <f t="shared" si="19"/>
        <v>7.1041666666667354</v>
      </c>
    </row>
    <row r="620" spans="1:9" x14ac:dyDescent="0.2">
      <c r="A620" t="s">
        <v>693</v>
      </c>
      <c r="B620">
        <v>4.1390000000000002</v>
      </c>
      <c r="C620">
        <v>5.7970000000000001E-2</v>
      </c>
      <c r="D620">
        <v>236</v>
      </c>
      <c r="E620" t="s">
        <v>693</v>
      </c>
      <c r="F620">
        <v>236</v>
      </c>
      <c r="G620" s="1">
        <v>45162</v>
      </c>
      <c r="H620" s="6">
        <f t="shared" si="18"/>
        <v>7.1145833333334023</v>
      </c>
      <c r="I620" s="7">
        <f t="shared" si="19"/>
        <v>7.1145833333334023</v>
      </c>
    </row>
    <row r="621" spans="1:9" x14ac:dyDescent="0.2">
      <c r="A621" t="s">
        <v>694</v>
      </c>
      <c r="B621">
        <v>4.1449999999999996</v>
      </c>
      <c r="C621">
        <v>5.8049999999999997E-2</v>
      </c>
      <c r="D621">
        <v>236</v>
      </c>
      <c r="E621" t="s">
        <v>694</v>
      </c>
      <c r="F621">
        <v>236</v>
      </c>
      <c r="G621" s="1">
        <v>45162</v>
      </c>
      <c r="H621" s="6">
        <f t="shared" si="18"/>
        <v>7.1250000000000693</v>
      </c>
      <c r="I621" s="7">
        <f t="shared" si="19"/>
        <v>7.1250000000000693</v>
      </c>
    </row>
    <row r="622" spans="1:9" x14ac:dyDescent="0.2">
      <c r="A622" t="s">
        <v>695</v>
      </c>
      <c r="B622">
        <v>4.1115000000000004</v>
      </c>
      <c r="C622">
        <v>5.7590000000000002E-2</v>
      </c>
      <c r="D622">
        <v>236</v>
      </c>
      <c r="E622" t="s">
        <v>695</v>
      </c>
      <c r="F622">
        <v>236</v>
      </c>
      <c r="G622" s="1">
        <v>45162</v>
      </c>
      <c r="H622" s="6">
        <f t="shared" si="18"/>
        <v>7.1354166666667362</v>
      </c>
      <c r="I622" s="7">
        <f t="shared" si="19"/>
        <v>7.1354166666667362</v>
      </c>
    </row>
    <row r="623" spans="1:9" x14ac:dyDescent="0.2">
      <c r="A623" t="s">
        <v>696</v>
      </c>
      <c r="B623">
        <v>4.1455000000000002</v>
      </c>
      <c r="C623">
        <v>5.8055000000000002E-2</v>
      </c>
      <c r="D623">
        <v>236</v>
      </c>
      <c r="E623" t="s">
        <v>696</v>
      </c>
      <c r="F623">
        <v>236</v>
      </c>
      <c r="G623" s="1">
        <v>45162</v>
      </c>
      <c r="H623" s="6">
        <f t="shared" si="18"/>
        <v>7.1458333333334032</v>
      </c>
      <c r="I623" s="7">
        <f t="shared" si="19"/>
        <v>7.1458333333334032</v>
      </c>
    </row>
    <row r="624" spans="1:9" x14ac:dyDescent="0.2">
      <c r="A624" t="s">
        <v>697</v>
      </c>
      <c r="B624">
        <v>4.1464999999999996</v>
      </c>
      <c r="C624">
        <v>5.808E-2</v>
      </c>
      <c r="D624">
        <v>236</v>
      </c>
      <c r="E624" t="s">
        <v>697</v>
      </c>
      <c r="F624">
        <v>236</v>
      </c>
      <c r="G624" s="1">
        <v>45162</v>
      </c>
      <c r="H624" s="6">
        <f t="shared" si="18"/>
        <v>7.1562500000000702</v>
      </c>
      <c r="I624" s="7">
        <f t="shared" si="19"/>
        <v>7.1562500000000702</v>
      </c>
    </row>
    <row r="625" spans="1:9" x14ac:dyDescent="0.2">
      <c r="A625" t="s">
        <v>698</v>
      </c>
      <c r="B625">
        <v>4.1025</v>
      </c>
      <c r="C625">
        <v>5.7465000000000002E-2</v>
      </c>
      <c r="D625">
        <v>236</v>
      </c>
      <c r="E625" t="s">
        <v>698</v>
      </c>
      <c r="F625">
        <v>236</v>
      </c>
      <c r="G625" s="1">
        <v>45162</v>
      </c>
      <c r="H625" s="6">
        <f t="shared" si="18"/>
        <v>7.1666666666667371</v>
      </c>
      <c r="I625" s="7">
        <f t="shared" si="19"/>
        <v>7.1666666666667371</v>
      </c>
    </row>
    <row r="626" spans="1:9" x14ac:dyDescent="0.2">
      <c r="A626" t="s">
        <v>699</v>
      </c>
      <c r="B626">
        <v>4.1440000000000001</v>
      </c>
      <c r="C626">
        <v>5.8040000000000001E-2</v>
      </c>
      <c r="D626">
        <v>236</v>
      </c>
      <c r="E626" t="s">
        <v>699</v>
      </c>
      <c r="F626">
        <v>236</v>
      </c>
      <c r="G626" s="1">
        <v>45162</v>
      </c>
      <c r="H626" s="6">
        <f t="shared" si="18"/>
        <v>7.1770833333334041</v>
      </c>
      <c r="I626" s="7">
        <f t="shared" si="19"/>
        <v>7.1770833333334041</v>
      </c>
    </row>
    <row r="627" spans="1:9" x14ac:dyDescent="0.2">
      <c r="A627" t="s">
        <v>700</v>
      </c>
      <c r="B627">
        <v>4.1219999999999999</v>
      </c>
      <c r="C627">
        <v>5.774E-2</v>
      </c>
      <c r="D627">
        <v>236</v>
      </c>
      <c r="E627" t="s">
        <v>700</v>
      </c>
      <c r="F627">
        <v>236</v>
      </c>
      <c r="G627" s="1">
        <v>45162</v>
      </c>
      <c r="H627" s="6">
        <f t="shared" si="18"/>
        <v>7.1875000000000711</v>
      </c>
      <c r="I627" s="7">
        <f t="shared" si="19"/>
        <v>7.1875000000000711</v>
      </c>
    </row>
    <row r="628" spans="1:9" x14ac:dyDescent="0.2">
      <c r="A628" t="s">
        <v>701</v>
      </c>
      <c r="B628">
        <v>4.0955000000000004</v>
      </c>
      <c r="C628">
        <v>5.7375000000000002E-2</v>
      </c>
      <c r="D628">
        <v>236</v>
      </c>
      <c r="E628" t="s">
        <v>701</v>
      </c>
      <c r="F628">
        <v>236</v>
      </c>
      <c r="G628" s="1">
        <v>45162</v>
      </c>
      <c r="H628" s="6">
        <f t="shared" si="18"/>
        <v>7.197916666666738</v>
      </c>
      <c r="I628" s="7">
        <f t="shared" si="19"/>
        <v>7.197916666666738</v>
      </c>
    </row>
    <row r="629" spans="1:9" x14ac:dyDescent="0.2">
      <c r="A629" t="s">
        <v>702</v>
      </c>
      <c r="B629" s="2" t="s">
        <v>703</v>
      </c>
      <c r="C629">
        <v>5.7590000000000002E-2</v>
      </c>
      <c r="D629">
        <v>236</v>
      </c>
      <c r="E629" t="s">
        <v>702</v>
      </c>
      <c r="F629">
        <v>236</v>
      </c>
      <c r="G629" s="1">
        <v>45162</v>
      </c>
      <c r="H629" s="6">
        <f t="shared" si="18"/>
        <v>7.208333333333405</v>
      </c>
      <c r="I629" s="7">
        <f t="shared" si="19"/>
        <v>7.208333333333405</v>
      </c>
    </row>
    <row r="630" spans="1:9" x14ac:dyDescent="0.2">
      <c r="A630" t="s">
        <v>704</v>
      </c>
      <c r="B630">
        <v>4.1055000000000001</v>
      </c>
      <c r="C630">
        <v>5.7509999999999999E-2</v>
      </c>
      <c r="D630">
        <v>236</v>
      </c>
      <c r="E630" t="s">
        <v>704</v>
      </c>
      <c r="F630">
        <v>236</v>
      </c>
      <c r="G630" s="1">
        <v>45162</v>
      </c>
      <c r="H630" s="6">
        <f t="shared" si="18"/>
        <v>7.2187500000000719</v>
      </c>
      <c r="I630" s="7">
        <f t="shared" si="19"/>
        <v>7.2187500000000719</v>
      </c>
    </row>
    <row r="631" spans="1:9" x14ac:dyDescent="0.2">
      <c r="A631" t="s">
        <v>705</v>
      </c>
      <c r="B631">
        <v>4.0785</v>
      </c>
      <c r="C631">
        <v>5.713E-2</v>
      </c>
      <c r="D631">
        <v>236</v>
      </c>
      <c r="E631" t="s">
        <v>705</v>
      </c>
      <c r="F631">
        <v>236</v>
      </c>
      <c r="G631" s="1">
        <v>45162</v>
      </c>
      <c r="H631" s="6">
        <f t="shared" si="18"/>
        <v>7.2291666666667389</v>
      </c>
      <c r="I631" s="7">
        <f t="shared" si="19"/>
        <v>7.2291666666667389</v>
      </c>
    </row>
    <row r="632" spans="1:9" x14ac:dyDescent="0.2">
      <c r="A632" t="s">
        <v>706</v>
      </c>
      <c r="B632">
        <v>4.1185</v>
      </c>
      <c r="C632">
        <v>5.7704999999999999E-2</v>
      </c>
      <c r="D632">
        <v>236</v>
      </c>
      <c r="E632" t="s">
        <v>706</v>
      </c>
      <c r="F632">
        <v>236</v>
      </c>
      <c r="G632" s="1">
        <v>45162</v>
      </c>
      <c r="H632" s="6">
        <f t="shared" si="18"/>
        <v>7.2395833333334059</v>
      </c>
      <c r="I632" s="7">
        <f t="shared" si="19"/>
        <v>7.2395833333334059</v>
      </c>
    </row>
    <row r="633" spans="1:9" x14ac:dyDescent="0.2">
      <c r="A633" t="s">
        <v>707</v>
      </c>
      <c r="B633">
        <v>4.1150000000000002</v>
      </c>
      <c r="C633">
        <v>5.7645000000000002E-2</v>
      </c>
      <c r="D633">
        <v>236</v>
      </c>
      <c r="E633" t="s">
        <v>707</v>
      </c>
      <c r="F633">
        <v>236</v>
      </c>
      <c r="G633" s="1">
        <v>45162</v>
      </c>
      <c r="H633" s="6">
        <f t="shared" si="18"/>
        <v>7.2500000000000728</v>
      </c>
      <c r="I633" s="7">
        <f t="shared" si="19"/>
        <v>7.2500000000000728</v>
      </c>
    </row>
    <row r="634" spans="1:9" x14ac:dyDescent="0.2">
      <c r="A634" t="s">
        <v>708</v>
      </c>
      <c r="B634">
        <v>4.0994999999999999</v>
      </c>
      <c r="C634">
        <v>5.7415000000000001E-2</v>
      </c>
      <c r="D634">
        <v>236</v>
      </c>
      <c r="E634" t="s">
        <v>708</v>
      </c>
      <c r="F634">
        <v>236</v>
      </c>
      <c r="G634" s="1">
        <v>45162</v>
      </c>
      <c r="H634" s="6">
        <f t="shared" si="18"/>
        <v>7.2604166666667398</v>
      </c>
      <c r="I634" s="7">
        <f t="shared" si="19"/>
        <v>7.2604166666667398</v>
      </c>
    </row>
    <row r="635" spans="1:9" x14ac:dyDescent="0.2">
      <c r="A635" t="s">
        <v>709</v>
      </c>
      <c r="B635">
        <v>4.1094999999999997</v>
      </c>
      <c r="C635">
        <v>5.7564999999999998E-2</v>
      </c>
      <c r="D635">
        <v>236</v>
      </c>
      <c r="E635" t="s">
        <v>709</v>
      </c>
      <c r="F635">
        <v>236</v>
      </c>
      <c r="G635" s="1">
        <v>45162</v>
      </c>
      <c r="H635" s="6">
        <f t="shared" si="18"/>
        <v>7.2708333333334068</v>
      </c>
      <c r="I635" s="7">
        <f t="shared" si="19"/>
        <v>7.2708333333334068</v>
      </c>
    </row>
    <row r="636" spans="1:9" x14ac:dyDescent="0.2">
      <c r="A636" t="s">
        <v>710</v>
      </c>
      <c r="B636">
        <v>4.0620000000000003</v>
      </c>
      <c r="C636">
        <v>5.6895000000000001E-2</v>
      </c>
      <c r="D636">
        <v>236</v>
      </c>
      <c r="E636" t="s">
        <v>710</v>
      </c>
      <c r="F636">
        <v>236</v>
      </c>
      <c r="G636" s="1">
        <v>45162</v>
      </c>
      <c r="H636" s="6">
        <f t="shared" si="18"/>
        <v>7.2812500000000737</v>
      </c>
      <c r="I636" s="7">
        <f t="shared" si="19"/>
        <v>7.2812500000000737</v>
      </c>
    </row>
    <row r="637" spans="1:9" x14ac:dyDescent="0.2">
      <c r="A637" t="s">
        <v>711</v>
      </c>
      <c r="B637">
        <v>4.0640000000000001</v>
      </c>
      <c r="C637">
        <v>5.6919999999999998E-2</v>
      </c>
      <c r="D637">
        <v>236</v>
      </c>
      <c r="E637" t="s">
        <v>711</v>
      </c>
      <c r="F637">
        <v>236</v>
      </c>
      <c r="G637" s="1">
        <v>45162</v>
      </c>
      <c r="H637" s="6">
        <f t="shared" si="18"/>
        <v>7.2916666666667407</v>
      </c>
      <c r="I637" s="7">
        <f t="shared" si="19"/>
        <v>7.2916666666667407</v>
      </c>
    </row>
    <row r="638" spans="1:9" x14ac:dyDescent="0.2">
      <c r="A638" t="s">
        <v>712</v>
      </c>
      <c r="B638">
        <v>3.988</v>
      </c>
      <c r="C638">
        <v>5.586E-2</v>
      </c>
      <c r="D638">
        <v>236</v>
      </c>
      <c r="E638" t="s">
        <v>712</v>
      </c>
      <c r="F638">
        <v>236</v>
      </c>
      <c r="G638" s="1">
        <v>45162</v>
      </c>
      <c r="H638" s="6">
        <f t="shared" si="18"/>
        <v>7.3020833333334076</v>
      </c>
      <c r="I638" s="7">
        <f t="shared" si="19"/>
        <v>7.3020833333334076</v>
      </c>
    </row>
    <row r="639" spans="1:9" x14ac:dyDescent="0.2">
      <c r="A639" t="s">
        <v>713</v>
      </c>
      <c r="B639">
        <v>4.0175000000000001</v>
      </c>
      <c r="C639">
        <v>5.6279999999999997E-2</v>
      </c>
      <c r="D639">
        <v>236</v>
      </c>
      <c r="E639" t="s">
        <v>713</v>
      </c>
      <c r="F639">
        <v>236</v>
      </c>
      <c r="G639" s="1">
        <v>45162</v>
      </c>
      <c r="H639" s="6">
        <f t="shared" si="18"/>
        <v>7.3125000000000746</v>
      </c>
      <c r="I639" s="7">
        <f t="shared" si="19"/>
        <v>7.3125000000000746</v>
      </c>
    </row>
    <row r="640" spans="1:9" x14ac:dyDescent="0.2">
      <c r="A640" t="s">
        <v>714</v>
      </c>
      <c r="B640">
        <v>3.9885000000000002</v>
      </c>
      <c r="C640">
        <v>5.5870000000000003E-2</v>
      </c>
      <c r="D640">
        <v>236</v>
      </c>
      <c r="E640" t="s">
        <v>714</v>
      </c>
      <c r="F640">
        <v>236</v>
      </c>
      <c r="G640" s="1">
        <v>45162</v>
      </c>
      <c r="H640" s="6">
        <f t="shared" si="18"/>
        <v>7.3229166666667416</v>
      </c>
      <c r="I640" s="7">
        <f t="shared" si="19"/>
        <v>7.3229166666667416</v>
      </c>
    </row>
    <row r="641" spans="1:9" x14ac:dyDescent="0.2">
      <c r="A641" t="s">
        <v>715</v>
      </c>
      <c r="B641">
        <v>3.9744999999999999</v>
      </c>
      <c r="C641">
        <v>5.5669999999999997E-2</v>
      </c>
      <c r="D641">
        <v>236</v>
      </c>
      <c r="E641" t="s">
        <v>715</v>
      </c>
      <c r="F641">
        <v>236</v>
      </c>
      <c r="G641" s="1">
        <v>45162</v>
      </c>
      <c r="H641" s="6">
        <f t="shared" si="18"/>
        <v>7.3333333333334085</v>
      </c>
      <c r="I641" s="7">
        <f t="shared" si="19"/>
        <v>7.3333333333334085</v>
      </c>
    </row>
    <row r="642" spans="1:9" x14ac:dyDescent="0.2">
      <c r="A642" t="s">
        <v>716</v>
      </c>
      <c r="B642">
        <v>3.9485000000000001</v>
      </c>
      <c r="C642">
        <v>5.5309999999999998E-2</v>
      </c>
      <c r="D642">
        <v>236</v>
      </c>
      <c r="E642" t="s">
        <v>716</v>
      </c>
      <c r="F642">
        <v>236</v>
      </c>
      <c r="G642" s="1">
        <v>45162</v>
      </c>
      <c r="H642" s="6">
        <f t="shared" si="18"/>
        <v>7.3437500000000755</v>
      </c>
      <c r="I642" s="7">
        <f t="shared" si="19"/>
        <v>7.3437500000000755</v>
      </c>
    </row>
    <row r="643" spans="1:9" x14ac:dyDescent="0.2">
      <c r="A643" t="s">
        <v>717</v>
      </c>
      <c r="B643" s="2" t="s">
        <v>718</v>
      </c>
      <c r="C643">
        <v>5.4960000000000002E-2</v>
      </c>
      <c r="D643">
        <v>236</v>
      </c>
      <c r="E643" t="s">
        <v>717</v>
      </c>
      <c r="F643">
        <v>236</v>
      </c>
      <c r="G643" s="1">
        <v>45162</v>
      </c>
      <c r="H643" s="6">
        <f t="shared" ref="H643:H706" si="20">H642+$K$1</f>
        <v>7.3541666666667425</v>
      </c>
      <c r="I643" s="7">
        <f t="shared" ref="I643:I706" si="21">I642+$K$1</f>
        <v>7.3541666666667425</v>
      </c>
    </row>
    <row r="644" spans="1:9" x14ac:dyDescent="0.2">
      <c r="A644" t="s">
        <v>719</v>
      </c>
      <c r="B644">
        <v>3.899</v>
      </c>
      <c r="C644">
        <v>5.4614999999999997E-2</v>
      </c>
      <c r="D644">
        <v>236</v>
      </c>
      <c r="E644" t="s">
        <v>719</v>
      </c>
      <c r="F644">
        <v>236</v>
      </c>
      <c r="G644" s="1">
        <v>45162</v>
      </c>
      <c r="H644" s="6">
        <f t="shared" si="20"/>
        <v>7.3645833333334094</v>
      </c>
      <c r="I644" s="7">
        <f t="shared" si="21"/>
        <v>7.3645833333334094</v>
      </c>
    </row>
    <row r="645" spans="1:9" x14ac:dyDescent="0.2">
      <c r="A645" t="s">
        <v>720</v>
      </c>
      <c r="B645">
        <v>3.8370000000000002</v>
      </c>
      <c r="C645">
        <v>5.3754999999999997E-2</v>
      </c>
      <c r="D645">
        <v>236</v>
      </c>
      <c r="E645" t="s">
        <v>720</v>
      </c>
      <c r="F645">
        <v>236</v>
      </c>
      <c r="G645" s="1">
        <v>45162</v>
      </c>
      <c r="H645" s="6">
        <f t="shared" si="20"/>
        <v>7.3750000000000764</v>
      </c>
      <c r="I645" s="7">
        <f t="shared" si="21"/>
        <v>7.3750000000000764</v>
      </c>
    </row>
    <row r="646" spans="1:9" x14ac:dyDescent="0.2">
      <c r="A646" t="s">
        <v>721</v>
      </c>
      <c r="B646">
        <v>3.794</v>
      </c>
      <c r="C646">
        <v>5.314E-2</v>
      </c>
      <c r="D646">
        <v>236</v>
      </c>
      <c r="E646" t="s">
        <v>721</v>
      </c>
      <c r="F646">
        <v>236</v>
      </c>
      <c r="G646" s="1">
        <v>45162</v>
      </c>
      <c r="H646" s="6">
        <f t="shared" si="20"/>
        <v>7.3854166666667433</v>
      </c>
      <c r="I646" s="7">
        <f t="shared" si="21"/>
        <v>7.3854166666667433</v>
      </c>
    </row>
    <row r="647" spans="1:9" x14ac:dyDescent="0.2">
      <c r="A647" t="s">
        <v>722</v>
      </c>
      <c r="B647">
        <v>3.7565</v>
      </c>
      <c r="C647">
        <v>5.262E-2</v>
      </c>
      <c r="D647">
        <v>236</v>
      </c>
      <c r="E647" t="s">
        <v>722</v>
      </c>
      <c r="F647">
        <v>236</v>
      </c>
      <c r="G647" s="1">
        <v>45162</v>
      </c>
      <c r="H647" s="6">
        <f t="shared" si="20"/>
        <v>7.3958333333334103</v>
      </c>
      <c r="I647" s="7">
        <f t="shared" si="21"/>
        <v>7.3958333333334103</v>
      </c>
    </row>
    <row r="648" spans="1:9" x14ac:dyDescent="0.2">
      <c r="A648" t="s">
        <v>723</v>
      </c>
      <c r="B648">
        <v>3.7054999999999998</v>
      </c>
      <c r="C648">
        <v>5.1900000000000002E-2</v>
      </c>
      <c r="D648">
        <v>236</v>
      </c>
      <c r="E648" t="s">
        <v>723</v>
      </c>
      <c r="F648">
        <v>236</v>
      </c>
      <c r="G648" s="1">
        <v>45162</v>
      </c>
      <c r="H648" s="6">
        <f t="shared" si="20"/>
        <v>7.4062500000000773</v>
      </c>
      <c r="I648" s="7">
        <f t="shared" si="21"/>
        <v>7.4062500000000773</v>
      </c>
    </row>
    <row r="649" spans="1:9" x14ac:dyDescent="0.2">
      <c r="A649" t="s">
        <v>724</v>
      </c>
      <c r="B649">
        <v>3.6469999999999998</v>
      </c>
      <c r="C649">
        <v>5.1049999999999998E-2</v>
      </c>
      <c r="D649">
        <v>236</v>
      </c>
      <c r="E649" t="s">
        <v>724</v>
      </c>
      <c r="F649">
        <v>236</v>
      </c>
      <c r="G649" s="1">
        <v>45162</v>
      </c>
      <c r="H649" s="6">
        <f t="shared" si="20"/>
        <v>7.4166666666667442</v>
      </c>
      <c r="I649" s="7">
        <f t="shared" si="21"/>
        <v>7.4166666666667442</v>
      </c>
    </row>
    <row r="650" spans="1:9" x14ac:dyDescent="0.2">
      <c r="A650" t="s">
        <v>725</v>
      </c>
      <c r="B650">
        <v>3.6004999999999998</v>
      </c>
      <c r="C650">
        <v>5.0430000000000003E-2</v>
      </c>
      <c r="D650">
        <v>236</v>
      </c>
      <c r="E650" t="s">
        <v>725</v>
      </c>
      <c r="F650">
        <v>236</v>
      </c>
      <c r="G650" s="1">
        <v>45162</v>
      </c>
      <c r="H650" s="6">
        <f t="shared" si="20"/>
        <v>7.4270833333334112</v>
      </c>
      <c r="I650" s="7">
        <f t="shared" si="21"/>
        <v>7.4270833333334112</v>
      </c>
    </row>
    <row r="651" spans="1:9" x14ac:dyDescent="0.2">
      <c r="A651" t="s">
        <v>726</v>
      </c>
      <c r="B651">
        <v>3.6230000000000002</v>
      </c>
      <c r="C651">
        <v>5.0744999999999998E-2</v>
      </c>
      <c r="D651">
        <v>236</v>
      </c>
      <c r="E651" t="s">
        <v>726</v>
      </c>
      <c r="F651">
        <v>236</v>
      </c>
      <c r="G651" s="1">
        <v>45162</v>
      </c>
      <c r="H651" s="6">
        <f t="shared" si="20"/>
        <v>7.4375000000000782</v>
      </c>
      <c r="I651" s="7">
        <f t="shared" si="21"/>
        <v>7.4375000000000782</v>
      </c>
    </row>
    <row r="652" spans="1:9" x14ac:dyDescent="0.2">
      <c r="A652" t="s">
        <v>727</v>
      </c>
      <c r="B652">
        <v>3.6515</v>
      </c>
      <c r="C652">
        <v>5.1139999999999998E-2</v>
      </c>
      <c r="D652">
        <v>236</v>
      </c>
      <c r="E652" t="s">
        <v>727</v>
      </c>
      <c r="F652">
        <v>236</v>
      </c>
      <c r="G652" s="1">
        <v>45162</v>
      </c>
      <c r="H652" s="6">
        <f t="shared" si="20"/>
        <v>7.4479166666667451</v>
      </c>
      <c r="I652" s="7">
        <f t="shared" si="21"/>
        <v>7.4479166666667451</v>
      </c>
    </row>
    <row r="653" spans="1:9" x14ac:dyDescent="0.2">
      <c r="A653" t="s">
        <v>728</v>
      </c>
      <c r="B653">
        <v>3.6284999999999998</v>
      </c>
      <c r="C653">
        <v>5.083E-2</v>
      </c>
      <c r="D653">
        <v>236</v>
      </c>
      <c r="E653" t="s">
        <v>728</v>
      </c>
      <c r="F653">
        <v>236</v>
      </c>
      <c r="G653" s="1">
        <v>45162</v>
      </c>
      <c r="H653" s="6">
        <f t="shared" si="20"/>
        <v>7.4583333333334121</v>
      </c>
      <c r="I653" s="7">
        <f t="shared" si="21"/>
        <v>7.4583333333334121</v>
      </c>
    </row>
    <row r="654" spans="1:9" x14ac:dyDescent="0.2">
      <c r="A654" t="s">
        <v>729</v>
      </c>
      <c r="B654">
        <v>3.6225000000000001</v>
      </c>
      <c r="C654">
        <v>5.0724999999999999E-2</v>
      </c>
      <c r="D654">
        <v>236</v>
      </c>
      <c r="E654" t="s">
        <v>729</v>
      </c>
      <c r="F654">
        <v>236</v>
      </c>
      <c r="G654" s="1">
        <v>45162</v>
      </c>
      <c r="H654" s="6">
        <f t="shared" si="20"/>
        <v>7.468750000000079</v>
      </c>
      <c r="I654" s="7">
        <f t="shared" si="21"/>
        <v>7.468750000000079</v>
      </c>
    </row>
    <row r="655" spans="1:9" x14ac:dyDescent="0.2">
      <c r="A655" t="s">
        <v>730</v>
      </c>
      <c r="B655">
        <v>3.5935000000000001</v>
      </c>
      <c r="C655">
        <v>5.033E-2</v>
      </c>
      <c r="D655">
        <v>236</v>
      </c>
      <c r="E655" t="s">
        <v>730</v>
      </c>
      <c r="F655">
        <v>236</v>
      </c>
      <c r="G655" s="1">
        <v>45162</v>
      </c>
      <c r="H655" s="6">
        <f t="shared" si="20"/>
        <v>7.479166666666746</v>
      </c>
      <c r="I655" s="7">
        <f t="shared" si="21"/>
        <v>7.479166666666746</v>
      </c>
    </row>
    <row r="656" spans="1:9" x14ac:dyDescent="0.2">
      <c r="A656" t="s">
        <v>731</v>
      </c>
      <c r="B656">
        <v>3.5605000000000002</v>
      </c>
      <c r="C656">
        <v>4.9880000000000001E-2</v>
      </c>
      <c r="D656">
        <v>236</v>
      </c>
      <c r="E656" t="s">
        <v>731</v>
      </c>
      <c r="F656">
        <v>236</v>
      </c>
      <c r="G656" s="1">
        <v>45162</v>
      </c>
      <c r="H656" s="6">
        <f t="shared" si="20"/>
        <v>7.489583333333413</v>
      </c>
      <c r="I656" s="7">
        <f t="shared" si="21"/>
        <v>7.489583333333413</v>
      </c>
    </row>
    <row r="657" spans="1:9" x14ac:dyDescent="0.2">
      <c r="A657" t="s">
        <v>732</v>
      </c>
      <c r="B657">
        <v>3.5739999999999998</v>
      </c>
      <c r="C657">
        <v>5.0070000000000003E-2</v>
      </c>
      <c r="D657">
        <v>236</v>
      </c>
      <c r="E657" t="s">
        <v>732</v>
      </c>
      <c r="F657">
        <v>236</v>
      </c>
      <c r="G657" s="1">
        <v>45162</v>
      </c>
      <c r="H657" s="6">
        <f t="shared" si="20"/>
        <v>7.5000000000000799</v>
      </c>
      <c r="I657" s="7">
        <f t="shared" si="21"/>
        <v>7.5000000000000799</v>
      </c>
    </row>
    <row r="658" spans="1:9" x14ac:dyDescent="0.2">
      <c r="A658" t="s">
        <v>733</v>
      </c>
      <c r="B658">
        <v>3.5335000000000001</v>
      </c>
      <c r="C658">
        <v>4.947E-2</v>
      </c>
      <c r="D658">
        <v>236</v>
      </c>
      <c r="E658" t="s">
        <v>733</v>
      </c>
      <c r="F658">
        <v>236</v>
      </c>
      <c r="G658" s="1">
        <v>45162</v>
      </c>
      <c r="H658" s="6">
        <f t="shared" si="20"/>
        <v>7.5104166666667469</v>
      </c>
      <c r="I658" s="7">
        <f t="shared" si="21"/>
        <v>7.5104166666667469</v>
      </c>
    </row>
    <row r="659" spans="1:9" x14ac:dyDescent="0.2">
      <c r="A659" t="s">
        <v>734</v>
      </c>
      <c r="B659">
        <v>3.5165000000000002</v>
      </c>
      <c r="C659" s="2" t="s">
        <v>735</v>
      </c>
      <c r="D659">
        <v>236</v>
      </c>
      <c r="E659" t="s">
        <v>734</v>
      </c>
      <c r="F659">
        <v>236</v>
      </c>
      <c r="G659" s="1">
        <v>45162</v>
      </c>
      <c r="H659" s="6">
        <f t="shared" si="20"/>
        <v>7.5208333333334139</v>
      </c>
      <c r="I659" s="7">
        <f t="shared" si="21"/>
        <v>7.5208333333334139</v>
      </c>
    </row>
    <row r="660" spans="1:9" x14ac:dyDescent="0.2">
      <c r="A660" t="s">
        <v>736</v>
      </c>
      <c r="B660">
        <v>3.5034999999999998</v>
      </c>
      <c r="C660">
        <v>4.9064999999999998E-2</v>
      </c>
      <c r="D660">
        <v>236</v>
      </c>
      <c r="E660" t="s">
        <v>736</v>
      </c>
      <c r="F660">
        <v>236</v>
      </c>
      <c r="G660" s="1">
        <v>45162</v>
      </c>
      <c r="H660" s="6">
        <f t="shared" si="20"/>
        <v>7.5312500000000808</v>
      </c>
      <c r="I660" s="7">
        <f t="shared" si="21"/>
        <v>7.5312500000000808</v>
      </c>
    </row>
    <row r="661" spans="1:9" x14ac:dyDescent="0.2">
      <c r="A661" t="s">
        <v>737</v>
      </c>
      <c r="B661" s="2" t="s">
        <v>738</v>
      </c>
      <c r="C661">
        <v>4.8559999999999999E-2</v>
      </c>
      <c r="D661">
        <v>236</v>
      </c>
      <c r="E661" t="s">
        <v>737</v>
      </c>
      <c r="F661">
        <v>236</v>
      </c>
      <c r="G661" s="1">
        <v>45162</v>
      </c>
      <c r="H661" s="6">
        <f t="shared" si="20"/>
        <v>7.5416666666667478</v>
      </c>
      <c r="I661" s="7">
        <f t="shared" si="21"/>
        <v>7.5416666666667478</v>
      </c>
    </row>
    <row r="662" spans="1:9" x14ac:dyDescent="0.2">
      <c r="A662" t="s">
        <v>739</v>
      </c>
      <c r="B662">
        <v>3.4674999999999998</v>
      </c>
      <c r="C662">
        <v>4.8570000000000002E-2</v>
      </c>
      <c r="D662">
        <v>236</v>
      </c>
      <c r="E662" t="s">
        <v>739</v>
      </c>
      <c r="F662">
        <v>236</v>
      </c>
      <c r="G662" s="1">
        <v>45162</v>
      </c>
      <c r="H662" s="6">
        <f t="shared" si="20"/>
        <v>7.5520833333334147</v>
      </c>
      <c r="I662" s="7">
        <f t="shared" si="21"/>
        <v>7.5520833333334147</v>
      </c>
    </row>
    <row r="663" spans="1:9" x14ac:dyDescent="0.2">
      <c r="A663" t="s">
        <v>740</v>
      </c>
      <c r="B663">
        <v>3.4464999999999999</v>
      </c>
      <c r="C663">
        <v>4.8265000000000002E-2</v>
      </c>
      <c r="D663">
        <v>236</v>
      </c>
      <c r="E663" t="s">
        <v>740</v>
      </c>
      <c r="F663">
        <v>236</v>
      </c>
      <c r="G663" s="1">
        <v>45162</v>
      </c>
      <c r="H663" s="6">
        <f t="shared" si="20"/>
        <v>7.5625000000000817</v>
      </c>
      <c r="I663" s="7">
        <f t="shared" si="21"/>
        <v>7.5625000000000817</v>
      </c>
    </row>
    <row r="664" spans="1:9" x14ac:dyDescent="0.2">
      <c r="A664" t="s">
        <v>741</v>
      </c>
      <c r="B664">
        <v>3.4249999999999998</v>
      </c>
      <c r="C664">
        <v>4.7969999999999999E-2</v>
      </c>
      <c r="D664">
        <v>236</v>
      </c>
      <c r="E664" t="s">
        <v>741</v>
      </c>
      <c r="F664">
        <v>236</v>
      </c>
      <c r="G664" s="1">
        <v>45162</v>
      </c>
      <c r="H664" s="6">
        <f t="shared" si="20"/>
        <v>7.5729166666667487</v>
      </c>
      <c r="I664" s="7">
        <f t="shared" si="21"/>
        <v>7.5729166666667487</v>
      </c>
    </row>
    <row r="665" spans="1:9" x14ac:dyDescent="0.2">
      <c r="A665" t="s">
        <v>742</v>
      </c>
      <c r="B665">
        <v>3.41</v>
      </c>
      <c r="C665">
        <v>4.7785000000000001E-2</v>
      </c>
      <c r="D665">
        <v>236</v>
      </c>
      <c r="E665" t="s">
        <v>742</v>
      </c>
      <c r="F665">
        <v>236</v>
      </c>
      <c r="G665" s="1">
        <v>45162</v>
      </c>
      <c r="H665" s="6">
        <f t="shared" si="20"/>
        <v>7.5833333333334156</v>
      </c>
      <c r="I665" s="7">
        <f t="shared" si="21"/>
        <v>7.5833333333334156</v>
      </c>
    </row>
    <row r="666" spans="1:9" x14ac:dyDescent="0.2">
      <c r="A666" t="s">
        <v>743</v>
      </c>
      <c r="B666">
        <v>3.4159999999999999</v>
      </c>
      <c r="C666">
        <v>4.7864999999999998E-2</v>
      </c>
      <c r="D666">
        <v>236</v>
      </c>
      <c r="E666" t="s">
        <v>743</v>
      </c>
      <c r="F666">
        <v>236</v>
      </c>
      <c r="G666" s="1">
        <v>45162</v>
      </c>
      <c r="H666" s="6">
        <f t="shared" si="20"/>
        <v>7.5937500000000826</v>
      </c>
      <c r="I666" s="7">
        <f t="shared" si="21"/>
        <v>7.5937500000000826</v>
      </c>
    </row>
    <row r="667" spans="1:9" x14ac:dyDescent="0.2">
      <c r="A667" t="s">
        <v>744</v>
      </c>
      <c r="B667">
        <v>3.367</v>
      </c>
      <c r="C667">
        <v>4.7129999999999998E-2</v>
      </c>
      <c r="D667">
        <v>236</v>
      </c>
      <c r="E667" t="s">
        <v>744</v>
      </c>
      <c r="F667">
        <v>236</v>
      </c>
      <c r="G667" s="1">
        <v>45162</v>
      </c>
      <c r="H667" s="6">
        <f t="shared" si="20"/>
        <v>7.6041666666667496</v>
      </c>
      <c r="I667" s="7">
        <f t="shared" si="21"/>
        <v>7.6041666666667496</v>
      </c>
    </row>
    <row r="668" spans="1:9" x14ac:dyDescent="0.2">
      <c r="A668" t="s">
        <v>745</v>
      </c>
      <c r="B668">
        <v>3.3765000000000001</v>
      </c>
      <c r="C668">
        <v>4.7285000000000001E-2</v>
      </c>
      <c r="D668">
        <v>236</v>
      </c>
      <c r="E668" t="s">
        <v>745</v>
      </c>
      <c r="F668">
        <v>236</v>
      </c>
      <c r="G668" s="1">
        <v>45162</v>
      </c>
      <c r="H668" s="6">
        <f t="shared" si="20"/>
        <v>7.6145833333334165</v>
      </c>
      <c r="I668" s="7">
        <f t="shared" si="21"/>
        <v>7.6145833333334165</v>
      </c>
    </row>
    <row r="669" spans="1:9" x14ac:dyDescent="0.2">
      <c r="A669" t="s">
        <v>746</v>
      </c>
      <c r="B669">
        <v>3.3795000000000002</v>
      </c>
      <c r="C669">
        <v>4.7335000000000002E-2</v>
      </c>
      <c r="D669">
        <v>236</v>
      </c>
      <c r="E669" t="s">
        <v>746</v>
      </c>
      <c r="F669">
        <v>236</v>
      </c>
      <c r="G669" s="1">
        <v>45162</v>
      </c>
      <c r="H669" s="6">
        <f t="shared" si="20"/>
        <v>7.6250000000000835</v>
      </c>
      <c r="I669" s="7">
        <f t="shared" si="21"/>
        <v>7.6250000000000835</v>
      </c>
    </row>
    <row r="670" spans="1:9" x14ac:dyDescent="0.2">
      <c r="A670" t="s">
        <v>747</v>
      </c>
      <c r="B670">
        <v>3.3595000000000002</v>
      </c>
      <c r="C670">
        <v>4.7055E-2</v>
      </c>
      <c r="D670">
        <v>236</v>
      </c>
      <c r="E670" t="s">
        <v>747</v>
      </c>
      <c r="F670">
        <v>236</v>
      </c>
      <c r="G670" s="1">
        <v>45162</v>
      </c>
      <c r="H670" s="6">
        <f t="shared" si="20"/>
        <v>7.6354166666667505</v>
      </c>
      <c r="I670" s="7">
        <f t="shared" si="21"/>
        <v>7.6354166666667505</v>
      </c>
    </row>
    <row r="671" spans="1:9" x14ac:dyDescent="0.2">
      <c r="A671" t="s">
        <v>748</v>
      </c>
      <c r="B671">
        <v>3.3464999999999998</v>
      </c>
      <c r="C671">
        <v>4.6870000000000002E-2</v>
      </c>
      <c r="D671">
        <v>236</v>
      </c>
      <c r="E671" t="s">
        <v>748</v>
      </c>
      <c r="F671">
        <v>236</v>
      </c>
      <c r="G671" s="1">
        <v>45162</v>
      </c>
      <c r="H671" s="6">
        <f t="shared" si="20"/>
        <v>7.6458333333334174</v>
      </c>
      <c r="I671" s="7">
        <f t="shared" si="21"/>
        <v>7.6458333333334174</v>
      </c>
    </row>
    <row r="672" spans="1:9" x14ac:dyDescent="0.2">
      <c r="A672" t="s">
        <v>749</v>
      </c>
      <c r="B672">
        <v>3.3580000000000001</v>
      </c>
      <c r="C672">
        <v>4.7030000000000002E-2</v>
      </c>
      <c r="D672">
        <v>236</v>
      </c>
      <c r="E672" t="s">
        <v>749</v>
      </c>
      <c r="F672">
        <v>236</v>
      </c>
      <c r="G672" s="1">
        <v>45162</v>
      </c>
      <c r="H672" s="6">
        <f t="shared" si="20"/>
        <v>7.6562500000000844</v>
      </c>
      <c r="I672" s="7">
        <f t="shared" si="21"/>
        <v>7.6562500000000844</v>
      </c>
    </row>
    <row r="673" spans="1:9" x14ac:dyDescent="0.2">
      <c r="A673" t="s">
        <v>750</v>
      </c>
      <c r="B673">
        <v>3.3414999999999999</v>
      </c>
      <c r="C673">
        <v>4.6780000000000002E-2</v>
      </c>
      <c r="D673">
        <v>236</v>
      </c>
      <c r="E673" t="s">
        <v>750</v>
      </c>
      <c r="F673">
        <v>236</v>
      </c>
      <c r="G673" s="1">
        <v>45162</v>
      </c>
      <c r="H673" s="6">
        <f t="shared" si="20"/>
        <v>7.6666666666667513</v>
      </c>
      <c r="I673" s="7">
        <f t="shared" si="21"/>
        <v>7.6666666666667513</v>
      </c>
    </row>
    <row r="674" spans="1:9" x14ac:dyDescent="0.2">
      <c r="A674" t="s">
        <v>751</v>
      </c>
      <c r="B674">
        <v>3.3155000000000001</v>
      </c>
      <c r="C674">
        <v>4.6434999999999997E-2</v>
      </c>
      <c r="D674">
        <v>236</v>
      </c>
      <c r="E674" t="s">
        <v>751</v>
      </c>
      <c r="F674">
        <v>236</v>
      </c>
      <c r="G674" s="1">
        <v>45162</v>
      </c>
      <c r="H674" s="6">
        <f t="shared" si="20"/>
        <v>7.6770833333334183</v>
      </c>
      <c r="I674" s="7">
        <f t="shared" si="21"/>
        <v>7.6770833333334183</v>
      </c>
    </row>
    <row r="675" spans="1:9" x14ac:dyDescent="0.2">
      <c r="A675" t="s">
        <v>752</v>
      </c>
      <c r="B675">
        <v>3.302</v>
      </c>
      <c r="C675">
        <v>4.6274999999999997E-2</v>
      </c>
      <c r="D675">
        <v>236</v>
      </c>
      <c r="E675" t="s">
        <v>752</v>
      </c>
      <c r="F675">
        <v>236</v>
      </c>
      <c r="G675" s="1">
        <v>45162</v>
      </c>
      <c r="H675" s="6">
        <f t="shared" si="20"/>
        <v>7.6875000000000853</v>
      </c>
      <c r="I675" s="7">
        <f t="shared" si="21"/>
        <v>7.6875000000000853</v>
      </c>
    </row>
    <row r="676" spans="1:9" x14ac:dyDescent="0.2">
      <c r="A676" t="s">
        <v>753</v>
      </c>
      <c r="B676">
        <v>3.3450000000000002</v>
      </c>
      <c r="C676">
        <v>4.6875E-2</v>
      </c>
      <c r="D676">
        <v>236</v>
      </c>
      <c r="E676" t="s">
        <v>753</v>
      </c>
      <c r="F676">
        <v>236</v>
      </c>
      <c r="G676" s="1">
        <v>45162</v>
      </c>
      <c r="H676" s="6">
        <f t="shared" si="20"/>
        <v>7.6979166666667522</v>
      </c>
      <c r="I676" s="7">
        <f t="shared" si="21"/>
        <v>7.6979166666667522</v>
      </c>
    </row>
    <row r="677" spans="1:9" x14ac:dyDescent="0.2">
      <c r="A677" t="s">
        <v>754</v>
      </c>
      <c r="B677">
        <v>3.2915000000000001</v>
      </c>
      <c r="C677">
        <v>4.6100000000000002E-2</v>
      </c>
      <c r="D677">
        <v>236</v>
      </c>
      <c r="E677" t="s">
        <v>754</v>
      </c>
      <c r="F677">
        <v>236</v>
      </c>
      <c r="G677" s="1">
        <v>45162</v>
      </c>
      <c r="H677" s="6">
        <f t="shared" si="20"/>
        <v>7.7083333333334192</v>
      </c>
      <c r="I677" s="7">
        <f t="shared" si="21"/>
        <v>7.7083333333334192</v>
      </c>
    </row>
    <row r="678" spans="1:9" x14ac:dyDescent="0.2">
      <c r="A678" t="s">
        <v>755</v>
      </c>
      <c r="B678">
        <v>3.3395000000000001</v>
      </c>
      <c r="C678">
        <v>4.6804999999999999E-2</v>
      </c>
      <c r="D678">
        <v>236</v>
      </c>
      <c r="E678" t="s">
        <v>755</v>
      </c>
      <c r="F678">
        <v>236</v>
      </c>
      <c r="G678" s="1">
        <v>45162</v>
      </c>
      <c r="H678" s="6">
        <f t="shared" si="20"/>
        <v>7.7187500000000862</v>
      </c>
      <c r="I678" s="7">
        <f t="shared" si="21"/>
        <v>7.7187500000000862</v>
      </c>
    </row>
    <row r="679" spans="1:9" x14ac:dyDescent="0.2">
      <c r="A679" t="s">
        <v>756</v>
      </c>
      <c r="B679" s="2" t="s">
        <v>757</v>
      </c>
      <c r="C679">
        <v>4.6420000000000003E-2</v>
      </c>
      <c r="D679">
        <v>236</v>
      </c>
      <c r="E679" t="s">
        <v>756</v>
      </c>
      <c r="F679">
        <v>236</v>
      </c>
      <c r="G679" s="1">
        <v>45162</v>
      </c>
      <c r="H679" s="6">
        <f t="shared" si="20"/>
        <v>7.7291666666667531</v>
      </c>
      <c r="I679" s="7">
        <f t="shared" si="21"/>
        <v>7.7291666666667531</v>
      </c>
    </row>
    <row r="680" spans="1:9" x14ac:dyDescent="0.2">
      <c r="A680" t="s">
        <v>758</v>
      </c>
      <c r="B680">
        <v>3.3544999999999998</v>
      </c>
      <c r="C680">
        <v>4.6980000000000001E-2</v>
      </c>
      <c r="D680">
        <v>236</v>
      </c>
      <c r="E680" t="s">
        <v>758</v>
      </c>
      <c r="F680">
        <v>236</v>
      </c>
      <c r="G680" s="1">
        <v>45162</v>
      </c>
      <c r="H680" s="6">
        <f t="shared" si="20"/>
        <v>7.7395833333334201</v>
      </c>
      <c r="I680" s="7">
        <f t="shared" si="21"/>
        <v>7.7395833333334201</v>
      </c>
    </row>
    <row r="681" spans="1:9" x14ac:dyDescent="0.2">
      <c r="A681" t="s">
        <v>759</v>
      </c>
      <c r="B681">
        <v>3.3384999999999998</v>
      </c>
      <c r="C681">
        <v>4.6774999999999997E-2</v>
      </c>
      <c r="D681">
        <v>237</v>
      </c>
      <c r="E681" t="s">
        <v>759</v>
      </c>
      <c r="F681">
        <v>236</v>
      </c>
      <c r="G681" s="1">
        <v>45162</v>
      </c>
      <c r="H681" s="6">
        <f t="shared" si="20"/>
        <v>7.750000000000087</v>
      </c>
      <c r="I681" s="7">
        <f t="shared" si="21"/>
        <v>7.750000000000087</v>
      </c>
    </row>
    <row r="682" spans="1:9" x14ac:dyDescent="0.2">
      <c r="A682" t="s">
        <v>760</v>
      </c>
      <c r="B682">
        <v>3.3334999999999999</v>
      </c>
      <c r="C682">
        <v>4.6679999999999999E-2</v>
      </c>
      <c r="D682">
        <v>237</v>
      </c>
      <c r="E682" t="s">
        <v>760</v>
      </c>
      <c r="F682">
        <v>236</v>
      </c>
      <c r="G682" s="1">
        <v>45162</v>
      </c>
      <c r="H682" s="6">
        <f t="shared" si="20"/>
        <v>7.760416666666754</v>
      </c>
      <c r="I682" s="7">
        <f t="shared" si="21"/>
        <v>7.760416666666754</v>
      </c>
    </row>
    <row r="683" spans="1:9" x14ac:dyDescent="0.2">
      <c r="A683" t="s">
        <v>761</v>
      </c>
      <c r="B683">
        <v>3.3450000000000002</v>
      </c>
      <c r="C683">
        <v>4.6850000000000003E-2</v>
      </c>
      <c r="D683">
        <v>237</v>
      </c>
      <c r="E683" t="s">
        <v>761</v>
      </c>
      <c r="F683">
        <v>236</v>
      </c>
      <c r="G683" s="1">
        <v>45162</v>
      </c>
      <c r="H683" s="6">
        <f t="shared" si="20"/>
        <v>7.770833333333421</v>
      </c>
      <c r="I683" s="7">
        <f t="shared" si="21"/>
        <v>7.770833333333421</v>
      </c>
    </row>
    <row r="684" spans="1:9" x14ac:dyDescent="0.2">
      <c r="A684" t="s">
        <v>762</v>
      </c>
      <c r="B684">
        <v>3.34</v>
      </c>
      <c r="C684">
        <v>4.6780000000000002E-2</v>
      </c>
      <c r="D684">
        <v>237</v>
      </c>
      <c r="E684" t="s">
        <v>762</v>
      </c>
      <c r="F684">
        <v>236</v>
      </c>
      <c r="G684" s="1">
        <v>45162</v>
      </c>
      <c r="H684" s="6">
        <f t="shared" si="20"/>
        <v>7.7812500000000879</v>
      </c>
      <c r="I684" s="7">
        <f t="shared" si="21"/>
        <v>7.7812500000000879</v>
      </c>
    </row>
    <row r="685" spans="1:9" x14ac:dyDescent="0.2">
      <c r="A685" t="s">
        <v>763</v>
      </c>
      <c r="B685">
        <v>3.3574999999999999</v>
      </c>
      <c r="C685">
        <v>4.7015000000000001E-2</v>
      </c>
      <c r="D685">
        <v>237</v>
      </c>
      <c r="E685" t="s">
        <v>763</v>
      </c>
      <c r="F685">
        <v>236</v>
      </c>
      <c r="G685" s="1">
        <v>45162</v>
      </c>
      <c r="H685" s="6">
        <f t="shared" si="20"/>
        <v>7.7916666666667549</v>
      </c>
      <c r="I685" s="7">
        <f t="shared" si="21"/>
        <v>7.7916666666667549</v>
      </c>
    </row>
    <row r="686" spans="1:9" x14ac:dyDescent="0.2">
      <c r="A686" t="s">
        <v>764</v>
      </c>
      <c r="B686">
        <v>3.3395000000000001</v>
      </c>
      <c r="C686">
        <v>4.6760000000000003E-2</v>
      </c>
      <c r="D686">
        <v>237</v>
      </c>
      <c r="E686" t="s">
        <v>764</v>
      </c>
      <c r="F686">
        <v>236</v>
      </c>
      <c r="G686" s="1">
        <v>45162</v>
      </c>
      <c r="H686" s="6">
        <f t="shared" si="20"/>
        <v>7.8020833333334219</v>
      </c>
      <c r="I686" s="7">
        <f t="shared" si="21"/>
        <v>7.8020833333334219</v>
      </c>
    </row>
    <row r="687" spans="1:9" x14ac:dyDescent="0.2">
      <c r="A687" t="s">
        <v>765</v>
      </c>
      <c r="B687">
        <v>3.3504999999999998</v>
      </c>
      <c r="C687">
        <v>4.6934999999999998E-2</v>
      </c>
      <c r="D687">
        <v>237</v>
      </c>
      <c r="E687" t="s">
        <v>765</v>
      </c>
      <c r="F687">
        <v>236</v>
      </c>
      <c r="G687" s="1">
        <v>45162</v>
      </c>
      <c r="H687" s="6">
        <f t="shared" si="20"/>
        <v>7.8125000000000888</v>
      </c>
      <c r="I687" s="7">
        <f t="shared" si="21"/>
        <v>7.8125000000000888</v>
      </c>
    </row>
    <row r="688" spans="1:9" x14ac:dyDescent="0.2">
      <c r="A688" t="s">
        <v>766</v>
      </c>
      <c r="B688">
        <v>3.3490000000000002</v>
      </c>
      <c r="C688">
        <v>4.6894999999999999E-2</v>
      </c>
      <c r="D688">
        <v>237</v>
      </c>
      <c r="E688" t="s">
        <v>766</v>
      </c>
      <c r="F688">
        <v>236</v>
      </c>
      <c r="G688" s="1">
        <v>45162</v>
      </c>
      <c r="H688" s="6">
        <f t="shared" si="20"/>
        <v>7.8229166666667558</v>
      </c>
      <c r="I688" s="7">
        <f t="shared" si="21"/>
        <v>7.8229166666667558</v>
      </c>
    </row>
    <row r="689" spans="1:9" x14ac:dyDescent="0.2">
      <c r="A689" t="s">
        <v>767</v>
      </c>
      <c r="B689">
        <v>3.3525</v>
      </c>
      <c r="C689">
        <v>4.6945000000000001E-2</v>
      </c>
      <c r="D689">
        <v>237</v>
      </c>
      <c r="E689" t="s">
        <v>767</v>
      </c>
      <c r="F689">
        <v>236</v>
      </c>
      <c r="G689" s="1">
        <v>45162</v>
      </c>
      <c r="H689" s="6">
        <f t="shared" si="20"/>
        <v>7.8333333333334227</v>
      </c>
      <c r="I689" s="7">
        <f t="shared" si="21"/>
        <v>7.8333333333334227</v>
      </c>
    </row>
    <row r="690" spans="1:9" x14ac:dyDescent="0.2">
      <c r="A690" t="s">
        <v>768</v>
      </c>
      <c r="B690">
        <v>3.3464999999999998</v>
      </c>
      <c r="C690">
        <v>4.6859999999999999E-2</v>
      </c>
      <c r="D690">
        <v>237</v>
      </c>
      <c r="E690" t="s">
        <v>768</v>
      </c>
      <c r="F690">
        <v>236</v>
      </c>
      <c r="G690" s="1">
        <v>45162</v>
      </c>
      <c r="H690" s="6">
        <f t="shared" si="20"/>
        <v>7.8437500000000897</v>
      </c>
      <c r="I690" s="7">
        <f t="shared" si="21"/>
        <v>7.8437500000000897</v>
      </c>
    </row>
    <row r="691" spans="1:9" x14ac:dyDescent="0.2">
      <c r="A691" t="s">
        <v>769</v>
      </c>
      <c r="B691" s="2" t="s">
        <v>770</v>
      </c>
      <c r="C691">
        <v>4.7280000000000003E-2</v>
      </c>
      <c r="D691">
        <v>237</v>
      </c>
      <c r="E691" t="s">
        <v>769</v>
      </c>
      <c r="F691">
        <v>236</v>
      </c>
      <c r="G691" s="1">
        <v>45162</v>
      </c>
      <c r="H691" s="6">
        <f t="shared" si="20"/>
        <v>7.8541666666667567</v>
      </c>
      <c r="I691" s="7">
        <f t="shared" si="21"/>
        <v>7.8541666666667567</v>
      </c>
    </row>
    <row r="692" spans="1:9" x14ac:dyDescent="0.2">
      <c r="A692" t="s">
        <v>771</v>
      </c>
      <c r="B692">
        <v>3.3835000000000002</v>
      </c>
      <c r="C692">
        <v>4.7384999999999997E-2</v>
      </c>
      <c r="D692">
        <v>237</v>
      </c>
      <c r="E692" t="s">
        <v>771</v>
      </c>
      <c r="F692">
        <v>236</v>
      </c>
      <c r="G692" s="1">
        <v>45162</v>
      </c>
      <c r="H692" s="6">
        <f t="shared" si="20"/>
        <v>7.8645833333334236</v>
      </c>
      <c r="I692" s="7">
        <f t="shared" si="21"/>
        <v>7.8645833333334236</v>
      </c>
    </row>
    <row r="693" spans="1:9" x14ac:dyDescent="0.2">
      <c r="A693" t="s">
        <v>772</v>
      </c>
      <c r="B693">
        <v>3.3965000000000001</v>
      </c>
      <c r="C693">
        <v>4.7559999999999998E-2</v>
      </c>
      <c r="D693">
        <v>237</v>
      </c>
      <c r="E693" t="s">
        <v>772</v>
      </c>
      <c r="F693">
        <v>236</v>
      </c>
      <c r="G693" s="1">
        <v>45162</v>
      </c>
      <c r="H693" s="6">
        <f t="shared" si="20"/>
        <v>7.8750000000000906</v>
      </c>
      <c r="I693" s="7">
        <f t="shared" si="21"/>
        <v>7.8750000000000906</v>
      </c>
    </row>
    <row r="694" spans="1:9" x14ac:dyDescent="0.2">
      <c r="A694" t="s">
        <v>773</v>
      </c>
      <c r="B694">
        <v>3.4264999999999999</v>
      </c>
      <c r="C694">
        <v>4.8000000000000001E-2</v>
      </c>
      <c r="D694">
        <v>237</v>
      </c>
      <c r="E694" t="s">
        <v>773</v>
      </c>
      <c r="F694">
        <v>236</v>
      </c>
      <c r="G694" s="1">
        <v>45162</v>
      </c>
      <c r="H694" s="6">
        <f t="shared" si="20"/>
        <v>7.8854166666667576</v>
      </c>
      <c r="I694" s="7">
        <f t="shared" si="21"/>
        <v>7.8854166666667576</v>
      </c>
    </row>
    <row r="695" spans="1:9" x14ac:dyDescent="0.2">
      <c r="A695" t="s">
        <v>774</v>
      </c>
      <c r="B695">
        <v>3.476</v>
      </c>
      <c r="C695">
        <v>4.8695000000000002E-2</v>
      </c>
      <c r="D695">
        <v>237</v>
      </c>
      <c r="E695" t="s">
        <v>774</v>
      </c>
      <c r="F695">
        <v>236</v>
      </c>
      <c r="G695" s="1">
        <v>45162</v>
      </c>
      <c r="H695" s="6">
        <f t="shared" si="20"/>
        <v>7.8958333333334245</v>
      </c>
      <c r="I695" s="7">
        <f t="shared" si="21"/>
        <v>7.8958333333334245</v>
      </c>
    </row>
    <row r="696" spans="1:9" x14ac:dyDescent="0.2">
      <c r="A696" t="s">
        <v>775</v>
      </c>
      <c r="B696">
        <v>3.4914999999999998</v>
      </c>
      <c r="C696">
        <v>4.8904999999999997E-2</v>
      </c>
      <c r="D696">
        <v>237</v>
      </c>
      <c r="E696" t="s">
        <v>775</v>
      </c>
      <c r="F696">
        <v>236</v>
      </c>
      <c r="G696" s="1">
        <v>45162</v>
      </c>
      <c r="H696" s="6">
        <f t="shared" si="20"/>
        <v>7.9062500000000915</v>
      </c>
      <c r="I696" s="7">
        <f t="shared" si="21"/>
        <v>7.9062500000000915</v>
      </c>
    </row>
    <row r="697" spans="1:9" x14ac:dyDescent="0.2">
      <c r="A697" t="s">
        <v>776</v>
      </c>
      <c r="B697">
        <v>3.5365000000000002</v>
      </c>
      <c r="C697" s="2" t="s">
        <v>777</v>
      </c>
      <c r="D697">
        <v>237</v>
      </c>
      <c r="E697" t="s">
        <v>776</v>
      </c>
      <c r="F697">
        <v>236</v>
      </c>
      <c r="G697" s="1">
        <v>45162</v>
      </c>
      <c r="H697" s="6">
        <f t="shared" si="20"/>
        <v>7.9166666666667584</v>
      </c>
      <c r="I697" s="7">
        <f t="shared" si="21"/>
        <v>7.9166666666667584</v>
      </c>
    </row>
    <row r="698" spans="1:9" x14ac:dyDescent="0.2">
      <c r="A698" t="s">
        <v>778</v>
      </c>
      <c r="B698">
        <v>3.5855000000000001</v>
      </c>
      <c r="C698">
        <v>5.0209999999999998E-2</v>
      </c>
      <c r="D698">
        <v>237</v>
      </c>
      <c r="E698" t="s">
        <v>778</v>
      </c>
      <c r="F698">
        <v>236</v>
      </c>
      <c r="G698" s="1">
        <v>45162</v>
      </c>
      <c r="H698" s="6">
        <f t="shared" si="20"/>
        <v>7.9270833333334254</v>
      </c>
      <c r="I698" s="7">
        <f t="shared" si="21"/>
        <v>7.9270833333334254</v>
      </c>
    </row>
    <row r="699" spans="1:9" x14ac:dyDescent="0.2">
      <c r="A699" t="s">
        <v>779</v>
      </c>
      <c r="B699">
        <v>3.6244999999999998</v>
      </c>
      <c r="C699">
        <v>5.0750000000000003E-2</v>
      </c>
      <c r="D699">
        <v>237</v>
      </c>
      <c r="E699" t="s">
        <v>779</v>
      </c>
      <c r="F699">
        <v>236</v>
      </c>
      <c r="G699" s="1">
        <v>45162</v>
      </c>
      <c r="H699" s="6">
        <f t="shared" si="20"/>
        <v>7.9375000000000924</v>
      </c>
      <c r="I699" s="7">
        <f t="shared" si="21"/>
        <v>7.9375000000000924</v>
      </c>
    </row>
    <row r="700" spans="1:9" x14ac:dyDescent="0.2">
      <c r="A700" t="s">
        <v>780</v>
      </c>
      <c r="B700">
        <v>3.6724999999999999</v>
      </c>
      <c r="C700">
        <v>5.1444999999999998E-2</v>
      </c>
      <c r="D700">
        <v>237</v>
      </c>
      <c r="E700" t="s">
        <v>780</v>
      </c>
      <c r="F700">
        <v>236</v>
      </c>
      <c r="G700" s="1">
        <v>45162</v>
      </c>
      <c r="H700" s="6">
        <f t="shared" si="20"/>
        <v>7.9479166666667593</v>
      </c>
      <c r="I700" s="7">
        <f t="shared" si="21"/>
        <v>7.9479166666667593</v>
      </c>
    </row>
    <row r="701" spans="1:9" x14ac:dyDescent="0.2">
      <c r="A701" t="s">
        <v>781</v>
      </c>
      <c r="B701">
        <v>3.7519999999999998</v>
      </c>
      <c r="C701">
        <v>5.2549999999999999E-2</v>
      </c>
      <c r="D701">
        <v>237</v>
      </c>
      <c r="E701" t="s">
        <v>781</v>
      </c>
      <c r="F701">
        <v>236</v>
      </c>
      <c r="G701" s="1">
        <v>45162</v>
      </c>
      <c r="H701" s="6">
        <f t="shared" si="20"/>
        <v>7.9583333333334263</v>
      </c>
      <c r="I701" s="7">
        <f t="shared" si="21"/>
        <v>7.9583333333334263</v>
      </c>
    </row>
    <row r="702" spans="1:9" x14ac:dyDescent="0.2">
      <c r="A702" t="s">
        <v>782</v>
      </c>
      <c r="B702">
        <v>3.782</v>
      </c>
      <c r="C702">
        <v>5.2975000000000001E-2</v>
      </c>
      <c r="D702">
        <v>237</v>
      </c>
      <c r="E702" t="s">
        <v>782</v>
      </c>
      <c r="F702">
        <v>236</v>
      </c>
      <c r="G702" s="1">
        <v>45162</v>
      </c>
      <c r="H702" s="6">
        <f t="shared" si="20"/>
        <v>7.9687500000000933</v>
      </c>
      <c r="I702" s="7">
        <f t="shared" si="21"/>
        <v>7.9687500000000933</v>
      </c>
    </row>
    <row r="703" spans="1:9" x14ac:dyDescent="0.2">
      <c r="A703" t="s">
        <v>783</v>
      </c>
      <c r="B703">
        <v>3.8370000000000002</v>
      </c>
      <c r="C703">
        <v>5.3754999999999997E-2</v>
      </c>
      <c r="D703">
        <v>237</v>
      </c>
      <c r="E703" t="s">
        <v>783</v>
      </c>
      <c r="F703">
        <v>236</v>
      </c>
      <c r="G703" s="1">
        <v>45162</v>
      </c>
      <c r="H703" s="6">
        <f t="shared" si="20"/>
        <v>7.9791666666667602</v>
      </c>
      <c r="I703" s="7">
        <f t="shared" si="21"/>
        <v>7.9791666666667602</v>
      </c>
    </row>
    <row r="704" spans="1:9" x14ac:dyDescent="0.2">
      <c r="A704" t="s">
        <v>784</v>
      </c>
      <c r="B704">
        <v>3.89</v>
      </c>
      <c r="C704">
        <v>5.4495000000000002E-2</v>
      </c>
      <c r="D704">
        <v>237</v>
      </c>
      <c r="E704" t="s">
        <v>784</v>
      </c>
      <c r="F704">
        <v>236</v>
      </c>
      <c r="G704" s="1">
        <v>45162</v>
      </c>
      <c r="H704" s="6">
        <f t="shared" si="20"/>
        <v>7.9895833333334272</v>
      </c>
      <c r="I704" s="7">
        <f t="shared" si="21"/>
        <v>7.9895833333334272</v>
      </c>
    </row>
    <row r="705" spans="1:9" x14ac:dyDescent="0.2">
      <c r="A705" t="s">
        <v>785</v>
      </c>
      <c r="B705">
        <v>3.9175</v>
      </c>
      <c r="C705">
        <v>5.4885000000000003E-2</v>
      </c>
      <c r="D705">
        <v>237</v>
      </c>
      <c r="E705" t="s">
        <v>785</v>
      </c>
      <c r="F705">
        <v>237</v>
      </c>
      <c r="G705" s="1">
        <v>45163</v>
      </c>
      <c r="H705" s="6">
        <f t="shared" si="20"/>
        <v>8.0000000000000941</v>
      </c>
      <c r="I705" s="7">
        <f t="shared" si="21"/>
        <v>8.0000000000000941</v>
      </c>
    </row>
    <row r="706" spans="1:9" x14ac:dyDescent="0.2">
      <c r="A706" t="s">
        <v>786</v>
      </c>
      <c r="B706">
        <v>3.9489999999999998</v>
      </c>
      <c r="C706">
        <v>5.5305E-2</v>
      </c>
      <c r="D706">
        <v>237</v>
      </c>
      <c r="E706" t="s">
        <v>786</v>
      </c>
      <c r="F706">
        <v>237</v>
      </c>
      <c r="G706" s="1">
        <v>45163</v>
      </c>
      <c r="H706" s="6">
        <f t="shared" si="20"/>
        <v>8.0104166666667602</v>
      </c>
      <c r="I706" s="7">
        <f t="shared" si="21"/>
        <v>8.0104166666667602</v>
      </c>
    </row>
    <row r="707" spans="1:9" x14ac:dyDescent="0.2">
      <c r="A707" t="s">
        <v>787</v>
      </c>
      <c r="B707">
        <v>3.9590000000000001</v>
      </c>
      <c r="C707">
        <v>5.5449999999999999E-2</v>
      </c>
      <c r="D707">
        <v>237</v>
      </c>
      <c r="E707" t="s">
        <v>787</v>
      </c>
      <c r="F707">
        <v>237</v>
      </c>
      <c r="G707" s="1">
        <v>45163</v>
      </c>
      <c r="H707" s="6">
        <f t="shared" ref="H707:H770" si="22">H706+$K$1</f>
        <v>8.0208333333334263</v>
      </c>
      <c r="I707" s="7">
        <f t="shared" ref="I707:I770" si="23">I706+$K$1</f>
        <v>8.0208333333334263</v>
      </c>
    </row>
    <row r="708" spans="1:9" x14ac:dyDescent="0.2">
      <c r="A708" t="s">
        <v>788</v>
      </c>
      <c r="B708">
        <v>3.9775</v>
      </c>
      <c r="C708">
        <v>5.5710000000000003E-2</v>
      </c>
      <c r="D708">
        <v>237</v>
      </c>
      <c r="E708" t="s">
        <v>788</v>
      </c>
      <c r="F708">
        <v>237</v>
      </c>
      <c r="G708" s="1">
        <v>45163</v>
      </c>
      <c r="H708" s="6">
        <f t="shared" si="22"/>
        <v>8.0312500000000924</v>
      </c>
      <c r="I708" s="7">
        <f t="shared" si="23"/>
        <v>8.0312500000000924</v>
      </c>
    </row>
    <row r="709" spans="1:9" x14ac:dyDescent="0.2">
      <c r="A709" t="s">
        <v>789</v>
      </c>
      <c r="B709">
        <v>3.9790000000000001</v>
      </c>
      <c r="C709">
        <v>5.5739999999999998E-2</v>
      </c>
      <c r="D709">
        <v>237</v>
      </c>
      <c r="E709" t="s">
        <v>789</v>
      </c>
      <c r="F709">
        <v>237</v>
      </c>
      <c r="G709" s="1">
        <v>45163</v>
      </c>
      <c r="H709" s="6">
        <f t="shared" si="22"/>
        <v>8.0416666666667584</v>
      </c>
      <c r="I709" s="7">
        <f t="shared" si="23"/>
        <v>8.0416666666667584</v>
      </c>
    </row>
    <row r="710" spans="1:9" x14ac:dyDescent="0.2">
      <c r="A710" t="s">
        <v>790</v>
      </c>
      <c r="B710">
        <v>4.0034999999999998</v>
      </c>
      <c r="C710">
        <v>5.6070000000000002E-2</v>
      </c>
      <c r="D710">
        <v>237</v>
      </c>
      <c r="E710" t="s">
        <v>790</v>
      </c>
      <c r="F710">
        <v>237</v>
      </c>
      <c r="G710" s="1">
        <v>45163</v>
      </c>
      <c r="H710" s="6">
        <f t="shared" si="22"/>
        <v>8.0520833333334245</v>
      </c>
      <c r="I710" s="7">
        <f t="shared" si="23"/>
        <v>8.0520833333334245</v>
      </c>
    </row>
    <row r="711" spans="1:9" x14ac:dyDescent="0.2">
      <c r="A711" t="s">
        <v>791</v>
      </c>
      <c r="B711">
        <v>4.032</v>
      </c>
      <c r="C711">
        <v>5.6480000000000002E-2</v>
      </c>
      <c r="D711">
        <v>237</v>
      </c>
      <c r="E711" t="s">
        <v>791</v>
      </c>
      <c r="F711">
        <v>237</v>
      </c>
      <c r="G711" s="1">
        <v>45163</v>
      </c>
      <c r="H711" s="6">
        <f t="shared" si="22"/>
        <v>8.0625000000000906</v>
      </c>
      <c r="I711" s="7">
        <f t="shared" si="23"/>
        <v>8.0625000000000906</v>
      </c>
    </row>
    <row r="712" spans="1:9" x14ac:dyDescent="0.2">
      <c r="A712" t="s">
        <v>792</v>
      </c>
      <c r="B712">
        <v>4.0289999999999999</v>
      </c>
      <c r="C712">
        <v>5.6434999999999999E-2</v>
      </c>
      <c r="D712">
        <v>237</v>
      </c>
      <c r="E712" t="s">
        <v>792</v>
      </c>
      <c r="F712">
        <v>237</v>
      </c>
      <c r="G712" s="1">
        <v>45163</v>
      </c>
      <c r="H712" s="6">
        <f t="shared" si="22"/>
        <v>8.0729166666667567</v>
      </c>
      <c r="I712" s="7">
        <f t="shared" si="23"/>
        <v>8.0729166666667567</v>
      </c>
    </row>
    <row r="713" spans="1:9" x14ac:dyDescent="0.2">
      <c r="A713" t="s">
        <v>793</v>
      </c>
      <c r="B713">
        <v>4.0490000000000004</v>
      </c>
      <c r="C713">
        <v>5.6724999999999998E-2</v>
      </c>
      <c r="D713">
        <v>237</v>
      </c>
      <c r="E713" t="s">
        <v>793</v>
      </c>
      <c r="F713">
        <v>237</v>
      </c>
      <c r="G713" s="1">
        <v>45163</v>
      </c>
      <c r="H713" s="6">
        <f t="shared" si="22"/>
        <v>8.0833333333334227</v>
      </c>
      <c r="I713" s="7">
        <f t="shared" si="23"/>
        <v>8.0833333333334227</v>
      </c>
    </row>
    <row r="714" spans="1:9" x14ac:dyDescent="0.2">
      <c r="A714" t="s">
        <v>794</v>
      </c>
      <c r="B714">
        <v>4.0545</v>
      </c>
      <c r="C714">
        <v>5.6785000000000002E-2</v>
      </c>
      <c r="D714">
        <v>237</v>
      </c>
      <c r="E714" t="s">
        <v>794</v>
      </c>
      <c r="F714">
        <v>237</v>
      </c>
      <c r="G714" s="1">
        <v>45163</v>
      </c>
      <c r="H714" s="6">
        <f t="shared" si="22"/>
        <v>8.0937500000000888</v>
      </c>
      <c r="I714" s="7">
        <f t="shared" si="23"/>
        <v>8.0937500000000888</v>
      </c>
    </row>
    <row r="715" spans="1:9" x14ac:dyDescent="0.2">
      <c r="A715" t="s">
        <v>795</v>
      </c>
      <c r="B715">
        <v>4.0385</v>
      </c>
      <c r="C715" s="2" t="s">
        <v>796</v>
      </c>
      <c r="D715">
        <v>237</v>
      </c>
      <c r="E715" t="s">
        <v>795</v>
      </c>
      <c r="F715">
        <v>237</v>
      </c>
      <c r="G715" s="1">
        <v>45163</v>
      </c>
      <c r="H715" s="6">
        <f t="shared" si="22"/>
        <v>8.1041666666667549</v>
      </c>
      <c r="I715" s="7">
        <f t="shared" si="23"/>
        <v>8.1041666666667549</v>
      </c>
    </row>
    <row r="716" spans="1:9" x14ac:dyDescent="0.2">
      <c r="A716" t="s">
        <v>797</v>
      </c>
      <c r="B716">
        <v>4.0045000000000002</v>
      </c>
      <c r="C716">
        <v>5.6099999999999997E-2</v>
      </c>
      <c r="D716">
        <v>237</v>
      </c>
      <c r="E716" t="s">
        <v>797</v>
      </c>
      <c r="F716">
        <v>237</v>
      </c>
      <c r="G716" s="1">
        <v>45163</v>
      </c>
      <c r="H716" s="6">
        <f t="shared" si="22"/>
        <v>8.114583333333421</v>
      </c>
      <c r="I716" s="7">
        <f t="shared" si="23"/>
        <v>8.114583333333421</v>
      </c>
    </row>
    <row r="717" spans="1:9" x14ac:dyDescent="0.2">
      <c r="A717" t="s">
        <v>798</v>
      </c>
      <c r="B717">
        <v>4.0069999999999997</v>
      </c>
      <c r="C717">
        <v>5.6129999999999999E-2</v>
      </c>
      <c r="D717">
        <v>237</v>
      </c>
      <c r="E717" t="s">
        <v>798</v>
      </c>
      <c r="F717">
        <v>237</v>
      </c>
      <c r="G717" s="1">
        <v>45163</v>
      </c>
      <c r="H717" s="6">
        <f t="shared" si="22"/>
        <v>8.125000000000087</v>
      </c>
      <c r="I717" s="7">
        <f t="shared" si="23"/>
        <v>8.125000000000087</v>
      </c>
    </row>
    <row r="718" spans="1:9" x14ac:dyDescent="0.2">
      <c r="A718" t="s">
        <v>799</v>
      </c>
      <c r="B718">
        <v>4.0445000000000002</v>
      </c>
      <c r="C718">
        <v>5.663E-2</v>
      </c>
      <c r="D718">
        <v>237</v>
      </c>
      <c r="E718" t="s">
        <v>799</v>
      </c>
      <c r="F718">
        <v>237</v>
      </c>
      <c r="G718" s="1">
        <v>45163</v>
      </c>
      <c r="H718" s="6">
        <f t="shared" si="22"/>
        <v>8.1354166666667531</v>
      </c>
      <c r="I718" s="7">
        <f t="shared" si="23"/>
        <v>8.1354166666667531</v>
      </c>
    </row>
    <row r="719" spans="1:9" x14ac:dyDescent="0.2">
      <c r="A719" t="s">
        <v>800</v>
      </c>
      <c r="B719">
        <v>4.0415000000000001</v>
      </c>
      <c r="C719">
        <v>5.6605000000000003E-2</v>
      </c>
      <c r="D719">
        <v>237</v>
      </c>
      <c r="E719" t="s">
        <v>800</v>
      </c>
      <c r="F719">
        <v>237</v>
      </c>
      <c r="G719" s="1">
        <v>45163</v>
      </c>
      <c r="H719" s="6">
        <f t="shared" si="22"/>
        <v>8.1458333333334192</v>
      </c>
      <c r="I719" s="7">
        <f t="shared" si="23"/>
        <v>8.1458333333334192</v>
      </c>
    </row>
    <row r="720" spans="1:9" x14ac:dyDescent="0.2">
      <c r="A720" t="s">
        <v>801</v>
      </c>
      <c r="B720">
        <v>4.0475000000000003</v>
      </c>
      <c r="C720">
        <v>5.6689999999999997E-2</v>
      </c>
      <c r="D720">
        <v>237</v>
      </c>
      <c r="E720" t="s">
        <v>801</v>
      </c>
      <c r="F720">
        <v>237</v>
      </c>
      <c r="G720" s="1">
        <v>45163</v>
      </c>
      <c r="H720" s="6">
        <f t="shared" si="22"/>
        <v>8.1562500000000853</v>
      </c>
      <c r="I720" s="7">
        <f t="shared" si="23"/>
        <v>8.1562500000000853</v>
      </c>
    </row>
    <row r="721" spans="1:9" x14ac:dyDescent="0.2">
      <c r="A721" t="s">
        <v>802</v>
      </c>
      <c r="B721">
        <v>4.0445000000000002</v>
      </c>
      <c r="C721" s="2" t="s">
        <v>803</v>
      </c>
      <c r="D721">
        <v>237</v>
      </c>
      <c r="E721" t="s">
        <v>802</v>
      </c>
      <c r="F721">
        <v>237</v>
      </c>
      <c r="G721" s="1">
        <v>45163</v>
      </c>
      <c r="H721" s="6">
        <f t="shared" si="22"/>
        <v>8.1666666666667513</v>
      </c>
      <c r="I721" s="7">
        <f t="shared" si="23"/>
        <v>8.1666666666667513</v>
      </c>
    </row>
    <row r="722" spans="1:9" x14ac:dyDescent="0.2">
      <c r="A722" t="s">
        <v>804</v>
      </c>
      <c r="B722">
        <v>4.0490000000000004</v>
      </c>
      <c r="C722">
        <v>5.67E-2</v>
      </c>
      <c r="D722">
        <v>237</v>
      </c>
      <c r="E722" t="s">
        <v>804</v>
      </c>
      <c r="F722">
        <v>237</v>
      </c>
      <c r="G722" s="1">
        <v>45163</v>
      </c>
      <c r="H722" s="6">
        <f t="shared" si="22"/>
        <v>8.1770833333334174</v>
      </c>
      <c r="I722" s="7">
        <f t="shared" si="23"/>
        <v>8.1770833333334174</v>
      </c>
    </row>
    <row r="723" spans="1:9" x14ac:dyDescent="0.2">
      <c r="A723" t="s">
        <v>805</v>
      </c>
      <c r="B723">
        <v>4.0380000000000003</v>
      </c>
      <c r="C723">
        <v>5.654E-2</v>
      </c>
      <c r="D723">
        <v>237</v>
      </c>
      <c r="E723" t="s">
        <v>805</v>
      </c>
      <c r="F723">
        <v>237</v>
      </c>
      <c r="G723" s="1">
        <v>45163</v>
      </c>
      <c r="H723" s="6">
        <f t="shared" si="22"/>
        <v>8.1875000000000835</v>
      </c>
      <c r="I723" s="7">
        <f t="shared" si="23"/>
        <v>8.1875000000000835</v>
      </c>
    </row>
    <row r="724" spans="1:9" x14ac:dyDescent="0.2">
      <c r="A724" t="s">
        <v>806</v>
      </c>
      <c r="B724">
        <v>4.0419999999999998</v>
      </c>
      <c r="C724">
        <v>5.6625000000000002E-2</v>
      </c>
      <c r="D724">
        <v>237</v>
      </c>
      <c r="E724" t="s">
        <v>806</v>
      </c>
      <c r="F724">
        <v>237</v>
      </c>
      <c r="G724" s="1">
        <v>45163</v>
      </c>
      <c r="H724" s="6">
        <f t="shared" si="22"/>
        <v>8.1979166666667496</v>
      </c>
      <c r="I724" s="7">
        <f t="shared" si="23"/>
        <v>8.1979166666667496</v>
      </c>
    </row>
    <row r="725" spans="1:9" x14ac:dyDescent="0.2">
      <c r="A725" t="s">
        <v>807</v>
      </c>
      <c r="B725" s="2" t="s">
        <v>808</v>
      </c>
      <c r="C725">
        <v>5.6309999999999999E-2</v>
      </c>
      <c r="D725">
        <v>237</v>
      </c>
      <c r="E725" t="s">
        <v>807</v>
      </c>
      <c r="F725">
        <v>237</v>
      </c>
      <c r="G725" s="1">
        <v>45163</v>
      </c>
      <c r="H725" s="6">
        <f t="shared" si="22"/>
        <v>8.2083333333334156</v>
      </c>
      <c r="I725" s="7">
        <f t="shared" si="23"/>
        <v>8.2083333333334156</v>
      </c>
    </row>
    <row r="726" spans="1:9" x14ac:dyDescent="0.2">
      <c r="A726" t="s">
        <v>809</v>
      </c>
      <c r="B726">
        <v>4.024</v>
      </c>
      <c r="C726">
        <v>5.6355000000000002E-2</v>
      </c>
      <c r="D726">
        <v>237</v>
      </c>
      <c r="E726" t="s">
        <v>809</v>
      </c>
      <c r="F726">
        <v>237</v>
      </c>
      <c r="G726" s="1">
        <v>45163</v>
      </c>
      <c r="H726" s="6">
        <f t="shared" si="22"/>
        <v>8.2187500000000817</v>
      </c>
      <c r="I726" s="7">
        <f t="shared" si="23"/>
        <v>8.2187500000000817</v>
      </c>
    </row>
    <row r="727" spans="1:9" x14ac:dyDescent="0.2">
      <c r="A727" t="s">
        <v>810</v>
      </c>
      <c r="B727">
        <v>4.0415000000000001</v>
      </c>
      <c r="C727">
        <v>5.6590000000000001E-2</v>
      </c>
      <c r="D727">
        <v>237</v>
      </c>
      <c r="E727" t="s">
        <v>810</v>
      </c>
      <c r="F727">
        <v>237</v>
      </c>
      <c r="G727" s="1">
        <v>45163</v>
      </c>
      <c r="H727" s="6">
        <f t="shared" si="22"/>
        <v>8.2291666666667478</v>
      </c>
      <c r="I727" s="7">
        <f t="shared" si="23"/>
        <v>8.2291666666667478</v>
      </c>
    </row>
    <row r="728" spans="1:9" x14ac:dyDescent="0.2">
      <c r="A728" t="s">
        <v>811</v>
      </c>
      <c r="B728">
        <v>4.0330000000000004</v>
      </c>
      <c r="C728">
        <v>5.6489999999999999E-2</v>
      </c>
      <c r="D728">
        <v>237</v>
      </c>
      <c r="E728" t="s">
        <v>811</v>
      </c>
      <c r="F728">
        <v>237</v>
      </c>
      <c r="G728" s="1">
        <v>45163</v>
      </c>
      <c r="H728" s="6">
        <f t="shared" si="22"/>
        <v>8.2395833333334139</v>
      </c>
      <c r="I728" s="7">
        <f t="shared" si="23"/>
        <v>8.2395833333334139</v>
      </c>
    </row>
    <row r="729" spans="1:9" x14ac:dyDescent="0.2">
      <c r="A729" t="s">
        <v>812</v>
      </c>
      <c r="B729">
        <v>4.0374999999999996</v>
      </c>
      <c r="C729">
        <v>5.6570000000000002E-2</v>
      </c>
      <c r="D729">
        <v>237</v>
      </c>
      <c r="E729" t="s">
        <v>812</v>
      </c>
      <c r="F729">
        <v>237</v>
      </c>
      <c r="G729" s="1">
        <v>45163</v>
      </c>
      <c r="H729" s="6">
        <f t="shared" si="22"/>
        <v>8.2500000000000799</v>
      </c>
      <c r="I729" s="7">
        <f t="shared" si="23"/>
        <v>8.2500000000000799</v>
      </c>
    </row>
    <row r="730" spans="1:9" x14ac:dyDescent="0.2">
      <c r="A730" t="s">
        <v>813</v>
      </c>
      <c r="B730">
        <v>4.0410000000000004</v>
      </c>
      <c r="C730">
        <v>5.6610000000000001E-2</v>
      </c>
      <c r="D730">
        <v>237</v>
      </c>
      <c r="E730" t="s">
        <v>813</v>
      </c>
      <c r="F730">
        <v>237</v>
      </c>
      <c r="G730" s="1">
        <v>45163</v>
      </c>
      <c r="H730" s="6">
        <f t="shared" si="22"/>
        <v>8.260416666666746</v>
      </c>
      <c r="I730" s="7">
        <f t="shared" si="23"/>
        <v>8.260416666666746</v>
      </c>
    </row>
    <row r="731" spans="1:9" x14ac:dyDescent="0.2">
      <c r="A731" t="s">
        <v>814</v>
      </c>
      <c r="B731" s="2" t="s">
        <v>815</v>
      </c>
      <c r="C731">
        <v>5.6325E-2</v>
      </c>
      <c r="D731">
        <v>237</v>
      </c>
      <c r="E731" t="s">
        <v>814</v>
      </c>
      <c r="F731">
        <v>237</v>
      </c>
      <c r="G731" s="1">
        <v>45163</v>
      </c>
      <c r="H731" s="6">
        <f t="shared" si="22"/>
        <v>8.2708333333334121</v>
      </c>
      <c r="I731" s="7">
        <f t="shared" si="23"/>
        <v>8.2708333333334121</v>
      </c>
    </row>
    <row r="732" spans="1:9" x14ac:dyDescent="0.2">
      <c r="A732" t="s">
        <v>816</v>
      </c>
      <c r="B732">
        <v>3.9824999999999999</v>
      </c>
      <c r="C732" s="2" t="s">
        <v>817</v>
      </c>
      <c r="D732">
        <v>237</v>
      </c>
      <c r="E732" t="s">
        <v>816</v>
      </c>
      <c r="F732">
        <v>237</v>
      </c>
      <c r="G732" s="1">
        <v>45163</v>
      </c>
      <c r="H732" s="6">
        <f t="shared" si="22"/>
        <v>8.2812500000000782</v>
      </c>
      <c r="I732" s="7">
        <f t="shared" si="23"/>
        <v>8.2812500000000782</v>
      </c>
    </row>
    <row r="733" spans="1:9" x14ac:dyDescent="0.2">
      <c r="A733" t="s">
        <v>818</v>
      </c>
      <c r="B733">
        <v>3.9914999999999998</v>
      </c>
      <c r="C733">
        <v>5.5890000000000002E-2</v>
      </c>
      <c r="D733">
        <v>237</v>
      </c>
      <c r="E733" t="s">
        <v>818</v>
      </c>
      <c r="F733">
        <v>237</v>
      </c>
      <c r="G733" s="1">
        <v>45163</v>
      </c>
      <c r="H733" s="6">
        <f t="shared" si="22"/>
        <v>8.2916666666667442</v>
      </c>
      <c r="I733" s="7">
        <f t="shared" si="23"/>
        <v>8.2916666666667442</v>
      </c>
    </row>
    <row r="734" spans="1:9" x14ac:dyDescent="0.2">
      <c r="A734" t="s">
        <v>819</v>
      </c>
      <c r="B734">
        <v>3.9615</v>
      </c>
      <c r="C734">
        <v>5.5495000000000003E-2</v>
      </c>
      <c r="D734">
        <v>237</v>
      </c>
      <c r="E734" t="s">
        <v>819</v>
      </c>
      <c r="F734">
        <v>237</v>
      </c>
      <c r="G734" s="1">
        <v>45163</v>
      </c>
      <c r="H734" s="6">
        <f t="shared" si="22"/>
        <v>8.3020833333334103</v>
      </c>
      <c r="I734" s="7">
        <f t="shared" si="23"/>
        <v>8.3020833333334103</v>
      </c>
    </row>
    <row r="735" spans="1:9" x14ac:dyDescent="0.2">
      <c r="A735" t="s">
        <v>820</v>
      </c>
      <c r="B735">
        <v>3.9420000000000002</v>
      </c>
      <c r="C735">
        <v>5.5230000000000001E-2</v>
      </c>
      <c r="D735">
        <v>237</v>
      </c>
      <c r="E735" t="s">
        <v>820</v>
      </c>
      <c r="F735">
        <v>237</v>
      </c>
      <c r="G735" s="1">
        <v>45163</v>
      </c>
      <c r="H735" s="6">
        <f t="shared" si="22"/>
        <v>8.3125000000000764</v>
      </c>
      <c r="I735" s="7">
        <f t="shared" si="23"/>
        <v>8.3125000000000764</v>
      </c>
    </row>
    <row r="736" spans="1:9" x14ac:dyDescent="0.2">
      <c r="A736" t="s">
        <v>821</v>
      </c>
      <c r="B736">
        <v>3.9235000000000002</v>
      </c>
      <c r="C736">
        <v>5.4969999999999998E-2</v>
      </c>
      <c r="D736">
        <v>237</v>
      </c>
      <c r="E736" t="s">
        <v>821</v>
      </c>
      <c r="F736">
        <v>237</v>
      </c>
      <c r="G736" s="1">
        <v>45163</v>
      </c>
      <c r="H736" s="6">
        <f t="shared" si="22"/>
        <v>8.3229166666667425</v>
      </c>
      <c r="I736" s="7">
        <f t="shared" si="23"/>
        <v>8.3229166666667425</v>
      </c>
    </row>
    <row r="737" spans="1:9" x14ac:dyDescent="0.2">
      <c r="A737" t="s">
        <v>822</v>
      </c>
      <c r="B737">
        <v>3.9365000000000001</v>
      </c>
      <c r="C737">
        <v>5.5140000000000002E-2</v>
      </c>
      <c r="D737">
        <v>237</v>
      </c>
      <c r="E737" t="s">
        <v>822</v>
      </c>
      <c r="F737">
        <v>237</v>
      </c>
      <c r="G737" s="1">
        <v>45163</v>
      </c>
      <c r="H737" s="6">
        <f t="shared" si="22"/>
        <v>8.3333333333334085</v>
      </c>
      <c r="I737" s="7">
        <f t="shared" si="23"/>
        <v>8.3333333333334085</v>
      </c>
    </row>
    <row r="738" spans="1:9" x14ac:dyDescent="0.2">
      <c r="A738" t="s">
        <v>823</v>
      </c>
      <c r="B738">
        <v>3.9165000000000001</v>
      </c>
      <c r="C738">
        <v>5.4835000000000002E-2</v>
      </c>
      <c r="D738">
        <v>237</v>
      </c>
      <c r="E738" t="s">
        <v>823</v>
      </c>
      <c r="F738">
        <v>237</v>
      </c>
      <c r="G738" s="1">
        <v>45163</v>
      </c>
      <c r="H738" s="6">
        <f t="shared" si="22"/>
        <v>8.3437500000000746</v>
      </c>
      <c r="I738" s="7">
        <f t="shared" si="23"/>
        <v>8.3437500000000746</v>
      </c>
    </row>
    <row r="739" spans="1:9" x14ac:dyDescent="0.2">
      <c r="A739" t="s">
        <v>824</v>
      </c>
      <c r="B739" s="2" t="s">
        <v>825</v>
      </c>
      <c r="C739">
        <v>5.4465E-2</v>
      </c>
      <c r="D739">
        <v>237</v>
      </c>
      <c r="E739" t="s">
        <v>824</v>
      </c>
      <c r="F739">
        <v>237</v>
      </c>
      <c r="G739" s="1">
        <v>45163</v>
      </c>
      <c r="H739" s="6">
        <f t="shared" si="22"/>
        <v>8.3541666666667407</v>
      </c>
      <c r="I739" s="7">
        <f t="shared" si="23"/>
        <v>8.3541666666667407</v>
      </c>
    </row>
    <row r="740" spans="1:9" x14ac:dyDescent="0.2">
      <c r="A740" t="s">
        <v>826</v>
      </c>
      <c r="B740">
        <v>3.8395000000000001</v>
      </c>
      <c r="C740">
        <v>5.3775000000000003E-2</v>
      </c>
      <c r="D740">
        <v>237</v>
      </c>
      <c r="E740" t="s">
        <v>826</v>
      </c>
      <c r="F740">
        <v>237</v>
      </c>
      <c r="G740" s="1">
        <v>45163</v>
      </c>
      <c r="H740" s="6">
        <f t="shared" si="22"/>
        <v>8.3645833333334068</v>
      </c>
      <c r="I740" s="7">
        <f t="shared" si="23"/>
        <v>8.3645833333334068</v>
      </c>
    </row>
    <row r="741" spans="1:9" x14ac:dyDescent="0.2">
      <c r="A741" t="s">
        <v>827</v>
      </c>
      <c r="B741">
        <v>3.8010000000000002</v>
      </c>
      <c r="C741">
        <v>5.323E-2</v>
      </c>
      <c r="D741">
        <v>237</v>
      </c>
      <c r="E741" t="s">
        <v>827</v>
      </c>
      <c r="F741">
        <v>237</v>
      </c>
      <c r="G741" s="1">
        <v>45163</v>
      </c>
      <c r="H741" s="6">
        <f t="shared" si="22"/>
        <v>8.3750000000000728</v>
      </c>
      <c r="I741" s="7">
        <f t="shared" si="23"/>
        <v>8.3750000000000728</v>
      </c>
    </row>
    <row r="742" spans="1:9" x14ac:dyDescent="0.2">
      <c r="A742" t="s">
        <v>828</v>
      </c>
      <c r="B742">
        <v>3.786</v>
      </c>
      <c r="C742">
        <v>5.3019999999999998E-2</v>
      </c>
      <c r="D742">
        <v>237</v>
      </c>
      <c r="E742" t="s">
        <v>828</v>
      </c>
      <c r="F742">
        <v>237</v>
      </c>
      <c r="G742" s="1">
        <v>45163</v>
      </c>
      <c r="H742" s="6">
        <f t="shared" si="22"/>
        <v>8.3854166666667389</v>
      </c>
      <c r="I742" s="7">
        <f t="shared" si="23"/>
        <v>8.3854166666667389</v>
      </c>
    </row>
    <row r="743" spans="1:9" x14ac:dyDescent="0.2">
      <c r="A743" t="s">
        <v>829</v>
      </c>
      <c r="B743">
        <v>3.7395</v>
      </c>
      <c r="C743">
        <v>5.237E-2</v>
      </c>
      <c r="D743">
        <v>237</v>
      </c>
      <c r="E743" t="s">
        <v>829</v>
      </c>
      <c r="F743">
        <v>237</v>
      </c>
      <c r="G743" s="1">
        <v>45163</v>
      </c>
      <c r="H743" s="6">
        <f t="shared" si="22"/>
        <v>8.395833333333405</v>
      </c>
      <c r="I743" s="7">
        <f t="shared" si="23"/>
        <v>8.395833333333405</v>
      </c>
    </row>
    <row r="744" spans="1:9" x14ac:dyDescent="0.2">
      <c r="A744" t="s">
        <v>830</v>
      </c>
      <c r="B744">
        <v>3.6835</v>
      </c>
      <c r="C744">
        <v>5.1595000000000002E-2</v>
      </c>
      <c r="D744">
        <v>237</v>
      </c>
      <c r="E744" t="s">
        <v>830</v>
      </c>
      <c r="F744">
        <v>237</v>
      </c>
      <c r="G744" s="1">
        <v>45163</v>
      </c>
      <c r="H744" s="6">
        <f t="shared" si="22"/>
        <v>8.4062500000000711</v>
      </c>
      <c r="I744" s="7">
        <f t="shared" si="23"/>
        <v>8.4062500000000711</v>
      </c>
    </row>
    <row r="745" spans="1:9" x14ac:dyDescent="0.2">
      <c r="A745" t="s">
        <v>831</v>
      </c>
      <c r="B745">
        <v>3.6465000000000001</v>
      </c>
      <c r="C745">
        <v>5.108E-2</v>
      </c>
      <c r="D745">
        <v>237</v>
      </c>
      <c r="E745" t="s">
        <v>831</v>
      </c>
      <c r="F745">
        <v>237</v>
      </c>
      <c r="G745" s="1">
        <v>45163</v>
      </c>
      <c r="H745" s="6">
        <f t="shared" si="22"/>
        <v>8.4166666666667371</v>
      </c>
      <c r="I745" s="7">
        <f t="shared" si="23"/>
        <v>8.4166666666667371</v>
      </c>
    </row>
    <row r="746" spans="1:9" x14ac:dyDescent="0.2">
      <c r="A746" t="s">
        <v>832</v>
      </c>
      <c r="B746">
        <v>3.6255000000000002</v>
      </c>
      <c r="C746" s="2" t="s">
        <v>833</v>
      </c>
      <c r="D746">
        <v>237</v>
      </c>
      <c r="E746" t="s">
        <v>832</v>
      </c>
      <c r="F746">
        <v>237</v>
      </c>
      <c r="G746" s="1">
        <v>45163</v>
      </c>
      <c r="H746" s="6">
        <f t="shared" si="22"/>
        <v>8.4270833333334032</v>
      </c>
      <c r="I746" s="7">
        <f t="shared" si="23"/>
        <v>8.4270833333334032</v>
      </c>
    </row>
    <row r="747" spans="1:9" x14ac:dyDescent="0.2">
      <c r="A747" t="s">
        <v>834</v>
      </c>
      <c r="B747">
        <v>3.5990000000000002</v>
      </c>
      <c r="C747">
        <v>5.042E-2</v>
      </c>
      <c r="D747">
        <v>237</v>
      </c>
      <c r="E747" t="s">
        <v>834</v>
      </c>
      <c r="F747">
        <v>237</v>
      </c>
      <c r="G747" s="1">
        <v>45163</v>
      </c>
      <c r="H747" s="6">
        <f t="shared" si="22"/>
        <v>8.4375000000000693</v>
      </c>
      <c r="I747" s="7">
        <f t="shared" si="23"/>
        <v>8.4375000000000693</v>
      </c>
    </row>
    <row r="748" spans="1:9" x14ac:dyDescent="0.2">
      <c r="A748" t="s">
        <v>835</v>
      </c>
      <c r="B748">
        <v>3.5375000000000001</v>
      </c>
      <c r="C748">
        <v>4.9549999999999997E-2</v>
      </c>
      <c r="D748">
        <v>237</v>
      </c>
      <c r="E748" t="s">
        <v>835</v>
      </c>
      <c r="F748">
        <v>237</v>
      </c>
      <c r="G748" s="1">
        <v>45163</v>
      </c>
      <c r="H748" s="6">
        <f t="shared" si="22"/>
        <v>8.4479166666667354</v>
      </c>
      <c r="I748" s="7">
        <f t="shared" si="23"/>
        <v>8.4479166666667354</v>
      </c>
    </row>
    <row r="749" spans="1:9" x14ac:dyDescent="0.2">
      <c r="A749" t="s">
        <v>836</v>
      </c>
      <c r="B749">
        <v>3.5625</v>
      </c>
      <c r="C749">
        <v>4.9875000000000003E-2</v>
      </c>
      <c r="D749">
        <v>237</v>
      </c>
      <c r="E749" t="s">
        <v>836</v>
      </c>
      <c r="F749">
        <v>237</v>
      </c>
      <c r="G749" s="1">
        <v>45163</v>
      </c>
      <c r="H749" s="6">
        <f t="shared" si="22"/>
        <v>8.4583333333334014</v>
      </c>
      <c r="I749" s="7">
        <f t="shared" si="23"/>
        <v>8.4583333333334014</v>
      </c>
    </row>
    <row r="750" spans="1:9" x14ac:dyDescent="0.2">
      <c r="A750" t="s">
        <v>837</v>
      </c>
      <c r="B750">
        <v>3.4975000000000001</v>
      </c>
      <c r="C750">
        <v>4.8965000000000002E-2</v>
      </c>
      <c r="D750">
        <v>237</v>
      </c>
      <c r="E750" t="s">
        <v>837</v>
      </c>
      <c r="F750">
        <v>237</v>
      </c>
      <c r="G750" s="1">
        <v>45163</v>
      </c>
      <c r="H750" s="6">
        <f t="shared" si="22"/>
        <v>8.4687500000000675</v>
      </c>
      <c r="I750" s="7">
        <f t="shared" si="23"/>
        <v>8.4687500000000675</v>
      </c>
    </row>
    <row r="751" spans="1:9" x14ac:dyDescent="0.2">
      <c r="A751" t="s">
        <v>838</v>
      </c>
      <c r="B751" s="2" t="s">
        <v>839</v>
      </c>
      <c r="C751">
        <v>4.9200000000000001E-2</v>
      </c>
      <c r="D751">
        <v>237</v>
      </c>
      <c r="E751" t="s">
        <v>838</v>
      </c>
      <c r="F751">
        <v>237</v>
      </c>
      <c r="G751" s="1">
        <v>45163</v>
      </c>
      <c r="H751" s="6">
        <f t="shared" si="22"/>
        <v>8.4791666666667336</v>
      </c>
      <c r="I751" s="7">
        <f t="shared" si="23"/>
        <v>8.4791666666667336</v>
      </c>
    </row>
    <row r="752" spans="1:9" x14ac:dyDescent="0.2">
      <c r="A752" t="s">
        <v>840</v>
      </c>
      <c r="B752">
        <v>3.4940000000000002</v>
      </c>
      <c r="C752">
        <v>4.8945000000000002E-2</v>
      </c>
      <c r="D752">
        <v>237</v>
      </c>
      <c r="E752" t="s">
        <v>840</v>
      </c>
      <c r="F752">
        <v>237</v>
      </c>
      <c r="G752" s="1">
        <v>45163</v>
      </c>
      <c r="H752" s="6">
        <f t="shared" si="22"/>
        <v>8.4895833333333997</v>
      </c>
      <c r="I752" s="7">
        <f t="shared" si="23"/>
        <v>8.4895833333333997</v>
      </c>
    </row>
    <row r="753" spans="1:9" x14ac:dyDescent="0.2">
      <c r="A753" t="s">
        <v>841</v>
      </c>
      <c r="B753">
        <v>3.46</v>
      </c>
      <c r="C753">
        <v>4.8445000000000002E-2</v>
      </c>
      <c r="D753">
        <v>237</v>
      </c>
      <c r="E753" t="s">
        <v>841</v>
      </c>
      <c r="F753">
        <v>237</v>
      </c>
      <c r="G753" s="1">
        <v>45163</v>
      </c>
      <c r="H753" s="6">
        <f t="shared" si="22"/>
        <v>8.5000000000000657</v>
      </c>
      <c r="I753" s="7">
        <f t="shared" si="23"/>
        <v>8.5000000000000657</v>
      </c>
    </row>
    <row r="754" spans="1:9" x14ac:dyDescent="0.2">
      <c r="A754" t="s">
        <v>842</v>
      </c>
      <c r="B754">
        <v>3.492</v>
      </c>
      <c r="C754">
        <v>4.8930000000000001E-2</v>
      </c>
      <c r="D754">
        <v>237</v>
      </c>
      <c r="E754" t="s">
        <v>842</v>
      </c>
      <c r="F754">
        <v>237</v>
      </c>
      <c r="G754" s="1">
        <v>45163</v>
      </c>
      <c r="H754" s="6">
        <f t="shared" si="22"/>
        <v>8.5104166666667318</v>
      </c>
      <c r="I754" s="7">
        <f t="shared" si="23"/>
        <v>8.5104166666667318</v>
      </c>
    </row>
    <row r="755" spans="1:9" x14ac:dyDescent="0.2">
      <c r="A755" t="s">
        <v>843</v>
      </c>
      <c r="B755">
        <v>3.4805000000000001</v>
      </c>
      <c r="C755">
        <v>4.8770000000000001E-2</v>
      </c>
      <c r="D755">
        <v>237</v>
      </c>
      <c r="E755" t="s">
        <v>843</v>
      </c>
      <c r="F755">
        <v>237</v>
      </c>
      <c r="G755" s="1">
        <v>45163</v>
      </c>
      <c r="H755" s="6">
        <f t="shared" si="22"/>
        <v>8.5208333333333979</v>
      </c>
      <c r="I755" s="7">
        <f t="shared" si="23"/>
        <v>8.5208333333333979</v>
      </c>
    </row>
    <row r="756" spans="1:9" x14ac:dyDescent="0.2">
      <c r="A756" t="s">
        <v>844</v>
      </c>
      <c r="B756">
        <v>3.4704999999999999</v>
      </c>
      <c r="C756">
        <v>4.861E-2</v>
      </c>
      <c r="D756">
        <v>237</v>
      </c>
      <c r="E756" t="s">
        <v>844</v>
      </c>
      <c r="F756">
        <v>237</v>
      </c>
      <c r="G756" s="1">
        <v>45163</v>
      </c>
      <c r="H756" s="6">
        <f t="shared" si="22"/>
        <v>8.5312500000000639</v>
      </c>
      <c r="I756" s="7">
        <f t="shared" si="23"/>
        <v>8.5312500000000639</v>
      </c>
    </row>
    <row r="757" spans="1:9" x14ac:dyDescent="0.2">
      <c r="A757" t="s">
        <v>845</v>
      </c>
      <c r="B757">
        <v>3.4544999999999999</v>
      </c>
      <c r="C757">
        <v>4.8390000000000002E-2</v>
      </c>
      <c r="D757">
        <v>237</v>
      </c>
      <c r="E757" t="s">
        <v>845</v>
      </c>
      <c r="F757">
        <v>237</v>
      </c>
      <c r="G757" s="1">
        <v>45163</v>
      </c>
      <c r="H757" s="6">
        <f t="shared" si="22"/>
        <v>8.54166666666673</v>
      </c>
      <c r="I757" s="7">
        <f t="shared" si="23"/>
        <v>8.54166666666673</v>
      </c>
    </row>
    <row r="758" spans="1:9" x14ac:dyDescent="0.2">
      <c r="A758" t="s">
        <v>846</v>
      </c>
      <c r="B758">
        <v>3.4540000000000002</v>
      </c>
      <c r="C758">
        <v>4.8390000000000002E-2</v>
      </c>
      <c r="D758">
        <v>237</v>
      </c>
      <c r="E758" t="s">
        <v>846</v>
      </c>
      <c r="F758">
        <v>237</v>
      </c>
      <c r="G758" s="1">
        <v>45163</v>
      </c>
      <c r="H758" s="6">
        <f t="shared" si="22"/>
        <v>8.5520833333333961</v>
      </c>
      <c r="I758" s="7">
        <f t="shared" si="23"/>
        <v>8.5520833333333961</v>
      </c>
    </row>
    <row r="759" spans="1:9" x14ac:dyDescent="0.2">
      <c r="A759" t="s">
        <v>847</v>
      </c>
      <c r="B759">
        <v>3.4445000000000001</v>
      </c>
      <c r="C759">
        <v>4.8235E-2</v>
      </c>
      <c r="D759">
        <v>237</v>
      </c>
      <c r="E759" t="s">
        <v>847</v>
      </c>
      <c r="F759">
        <v>237</v>
      </c>
      <c r="G759" s="1">
        <v>45163</v>
      </c>
      <c r="H759" s="6">
        <f t="shared" si="22"/>
        <v>8.5625000000000622</v>
      </c>
      <c r="I759" s="7">
        <f t="shared" si="23"/>
        <v>8.5625000000000622</v>
      </c>
    </row>
    <row r="760" spans="1:9" x14ac:dyDescent="0.2">
      <c r="A760" t="s">
        <v>848</v>
      </c>
      <c r="B760">
        <v>3.4260000000000002</v>
      </c>
      <c r="C760">
        <v>4.7989999999999998E-2</v>
      </c>
      <c r="D760">
        <v>237</v>
      </c>
      <c r="E760" t="s">
        <v>848</v>
      </c>
      <c r="F760">
        <v>237</v>
      </c>
      <c r="G760" s="1">
        <v>45163</v>
      </c>
      <c r="H760" s="6">
        <f t="shared" si="22"/>
        <v>8.5729166666667282</v>
      </c>
      <c r="I760" s="7">
        <f t="shared" si="23"/>
        <v>8.5729166666667282</v>
      </c>
    </row>
    <row r="761" spans="1:9" x14ac:dyDescent="0.2">
      <c r="A761" t="s">
        <v>849</v>
      </c>
      <c r="B761">
        <v>3.4009999999999998</v>
      </c>
      <c r="C761">
        <v>4.7625000000000001E-2</v>
      </c>
      <c r="D761">
        <v>237</v>
      </c>
      <c r="E761" t="s">
        <v>849</v>
      </c>
      <c r="F761">
        <v>237</v>
      </c>
      <c r="G761" s="1">
        <v>45163</v>
      </c>
      <c r="H761" s="6">
        <f t="shared" si="22"/>
        <v>8.5833333333333943</v>
      </c>
      <c r="I761" s="7">
        <f t="shared" si="23"/>
        <v>8.5833333333333943</v>
      </c>
    </row>
    <row r="762" spans="1:9" x14ac:dyDescent="0.2">
      <c r="A762" t="s">
        <v>850</v>
      </c>
      <c r="B762">
        <v>3.3875000000000002</v>
      </c>
      <c r="C762">
        <v>4.7425000000000002E-2</v>
      </c>
      <c r="D762">
        <v>237</v>
      </c>
      <c r="E762" t="s">
        <v>850</v>
      </c>
      <c r="F762">
        <v>237</v>
      </c>
      <c r="G762" s="1">
        <v>45163</v>
      </c>
      <c r="H762" s="6">
        <f t="shared" si="22"/>
        <v>8.5937500000000604</v>
      </c>
      <c r="I762" s="7">
        <f t="shared" si="23"/>
        <v>8.5937500000000604</v>
      </c>
    </row>
    <row r="763" spans="1:9" x14ac:dyDescent="0.2">
      <c r="A763" t="s">
        <v>851</v>
      </c>
      <c r="B763" s="2" t="s">
        <v>852</v>
      </c>
      <c r="C763">
        <v>4.6754999999999998E-2</v>
      </c>
      <c r="D763">
        <v>237</v>
      </c>
      <c r="E763" t="s">
        <v>851</v>
      </c>
      <c r="F763">
        <v>237</v>
      </c>
      <c r="G763" s="1">
        <v>45163</v>
      </c>
      <c r="H763" s="6">
        <f t="shared" si="22"/>
        <v>8.6041666666667265</v>
      </c>
      <c r="I763" s="7">
        <f t="shared" si="23"/>
        <v>8.6041666666667265</v>
      </c>
    </row>
    <row r="764" spans="1:9" x14ac:dyDescent="0.2">
      <c r="A764" t="s">
        <v>853</v>
      </c>
      <c r="B764">
        <v>3.3574999999999999</v>
      </c>
      <c r="C764">
        <v>4.7030000000000002E-2</v>
      </c>
      <c r="D764">
        <v>237</v>
      </c>
      <c r="E764" t="s">
        <v>853</v>
      </c>
      <c r="F764">
        <v>237</v>
      </c>
      <c r="G764" s="1">
        <v>45163</v>
      </c>
      <c r="H764" s="6">
        <f t="shared" si="22"/>
        <v>8.6145833333333925</v>
      </c>
      <c r="I764" s="7">
        <f t="shared" si="23"/>
        <v>8.6145833333333925</v>
      </c>
    </row>
    <row r="765" spans="1:9" x14ac:dyDescent="0.2">
      <c r="A765" t="s">
        <v>854</v>
      </c>
      <c r="B765">
        <v>3.3675000000000002</v>
      </c>
      <c r="C765">
        <v>4.7155000000000002E-2</v>
      </c>
      <c r="D765">
        <v>237</v>
      </c>
      <c r="E765" t="s">
        <v>854</v>
      </c>
      <c r="F765">
        <v>237</v>
      </c>
      <c r="G765" s="1">
        <v>45163</v>
      </c>
      <c r="H765" s="6">
        <f t="shared" si="22"/>
        <v>8.6250000000000586</v>
      </c>
      <c r="I765" s="7">
        <f t="shared" si="23"/>
        <v>8.6250000000000586</v>
      </c>
    </row>
    <row r="766" spans="1:9" x14ac:dyDescent="0.2">
      <c r="A766" t="s">
        <v>855</v>
      </c>
      <c r="B766">
        <v>3.3460000000000001</v>
      </c>
      <c r="C766" s="2" t="s">
        <v>856</v>
      </c>
      <c r="D766">
        <v>237</v>
      </c>
      <c r="E766" t="s">
        <v>855</v>
      </c>
      <c r="F766">
        <v>237</v>
      </c>
      <c r="G766" s="1">
        <v>45163</v>
      </c>
      <c r="H766" s="6">
        <f t="shared" si="22"/>
        <v>8.6354166666667247</v>
      </c>
      <c r="I766" s="7">
        <f t="shared" si="23"/>
        <v>8.6354166666667247</v>
      </c>
    </row>
    <row r="767" spans="1:9" x14ac:dyDescent="0.2">
      <c r="A767" t="s">
        <v>857</v>
      </c>
      <c r="B767">
        <v>3.302</v>
      </c>
      <c r="C767" s="2" t="s">
        <v>858</v>
      </c>
      <c r="D767">
        <v>237</v>
      </c>
      <c r="E767" t="s">
        <v>857</v>
      </c>
      <c r="F767">
        <v>237</v>
      </c>
      <c r="G767" s="1">
        <v>45163</v>
      </c>
      <c r="H767" s="6">
        <f t="shared" si="22"/>
        <v>8.6458333333333908</v>
      </c>
      <c r="I767" s="7">
        <f t="shared" si="23"/>
        <v>8.6458333333333908</v>
      </c>
    </row>
    <row r="768" spans="1:9" x14ac:dyDescent="0.2">
      <c r="A768" t="s">
        <v>859</v>
      </c>
      <c r="B768">
        <v>3.331</v>
      </c>
      <c r="C768">
        <v>4.6664999999999998E-2</v>
      </c>
      <c r="D768">
        <v>237</v>
      </c>
      <c r="E768" t="s">
        <v>859</v>
      </c>
      <c r="F768">
        <v>237</v>
      </c>
      <c r="G768" s="1">
        <v>45163</v>
      </c>
      <c r="H768" s="6">
        <f t="shared" si="22"/>
        <v>8.6562500000000568</v>
      </c>
      <c r="I768" s="7">
        <f t="shared" si="23"/>
        <v>8.6562500000000568</v>
      </c>
    </row>
    <row r="769" spans="1:9" x14ac:dyDescent="0.2">
      <c r="A769" t="s">
        <v>860</v>
      </c>
      <c r="B769">
        <v>3.3290000000000002</v>
      </c>
      <c r="C769">
        <v>4.6625E-2</v>
      </c>
      <c r="D769">
        <v>237</v>
      </c>
      <c r="E769" t="s">
        <v>860</v>
      </c>
      <c r="F769">
        <v>237</v>
      </c>
      <c r="G769" s="1">
        <v>45163</v>
      </c>
      <c r="H769" s="6">
        <f t="shared" si="22"/>
        <v>8.6666666666667229</v>
      </c>
      <c r="I769" s="7">
        <f t="shared" si="23"/>
        <v>8.6666666666667229</v>
      </c>
    </row>
    <row r="770" spans="1:9" x14ac:dyDescent="0.2">
      <c r="A770" t="s">
        <v>861</v>
      </c>
      <c r="B770">
        <v>3.3170000000000002</v>
      </c>
      <c r="C770">
        <v>4.6464999999999999E-2</v>
      </c>
      <c r="D770">
        <v>237</v>
      </c>
      <c r="E770" t="s">
        <v>861</v>
      </c>
      <c r="F770">
        <v>237</v>
      </c>
      <c r="G770" s="1">
        <v>45163</v>
      </c>
      <c r="H770" s="6">
        <f t="shared" si="22"/>
        <v>8.677083333333389</v>
      </c>
      <c r="I770" s="7">
        <f t="shared" si="23"/>
        <v>8.677083333333389</v>
      </c>
    </row>
    <row r="771" spans="1:9" x14ac:dyDescent="0.2">
      <c r="A771" t="s">
        <v>862</v>
      </c>
      <c r="B771">
        <v>3.2865000000000002</v>
      </c>
      <c r="C771">
        <v>4.6035E-2</v>
      </c>
      <c r="D771">
        <v>237</v>
      </c>
      <c r="E771" t="s">
        <v>862</v>
      </c>
      <c r="F771">
        <v>237</v>
      </c>
      <c r="G771" s="1">
        <v>45163</v>
      </c>
      <c r="H771" s="6">
        <f t="shared" ref="H771:H834" si="24">H770+$K$1</f>
        <v>8.6875000000000551</v>
      </c>
      <c r="I771" s="7">
        <f t="shared" ref="I771:I834" si="25">I770+$K$1</f>
        <v>8.6875000000000551</v>
      </c>
    </row>
    <row r="772" spans="1:9" x14ac:dyDescent="0.2">
      <c r="A772" t="s">
        <v>863</v>
      </c>
      <c r="B772">
        <v>3.3319999999999999</v>
      </c>
      <c r="C772">
        <v>4.6679999999999999E-2</v>
      </c>
      <c r="D772">
        <v>237</v>
      </c>
      <c r="E772" t="s">
        <v>863</v>
      </c>
      <c r="F772">
        <v>237</v>
      </c>
      <c r="G772" s="1">
        <v>45163</v>
      </c>
      <c r="H772" s="6">
        <f t="shared" si="24"/>
        <v>8.6979166666667211</v>
      </c>
      <c r="I772" s="7">
        <f t="shared" si="25"/>
        <v>8.6979166666667211</v>
      </c>
    </row>
    <row r="773" spans="1:9" x14ac:dyDescent="0.2">
      <c r="A773" t="s">
        <v>864</v>
      </c>
      <c r="B773">
        <v>3.2995000000000001</v>
      </c>
      <c r="C773">
        <v>4.6225000000000002E-2</v>
      </c>
      <c r="D773">
        <v>237</v>
      </c>
      <c r="E773" t="s">
        <v>864</v>
      </c>
      <c r="F773">
        <v>237</v>
      </c>
      <c r="G773" s="1">
        <v>45163</v>
      </c>
      <c r="H773" s="6">
        <f t="shared" si="24"/>
        <v>8.7083333333333872</v>
      </c>
      <c r="I773" s="7">
        <f t="shared" si="25"/>
        <v>8.7083333333333872</v>
      </c>
    </row>
    <row r="774" spans="1:9" x14ac:dyDescent="0.2">
      <c r="A774" t="s">
        <v>865</v>
      </c>
      <c r="B774">
        <v>3.3165</v>
      </c>
      <c r="C774">
        <v>4.6455000000000003E-2</v>
      </c>
      <c r="D774">
        <v>237</v>
      </c>
      <c r="E774" t="s">
        <v>865</v>
      </c>
      <c r="F774">
        <v>237</v>
      </c>
      <c r="G774" s="1">
        <v>45163</v>
      </c>
      <c r="H774" s="6">
        <f t="shared" si="24"/>
        <v>8.7187500000000533</v>
      </c>
      <c r="I774" s="7">
        <f t="shared" si="25"/>
        <v>8.7187500000000533</v>
      </c>
    </row>
    <row r="775" spans="1:9" x14ac:dyDescent="0.2">
      <c r="A775" t="s">
        <v>866</v>
      </c>
      <c r="B775">
        <v>3.3050000000000002</v>
      </c>
      <c r="C775">
        <v>4.6304999999999999E-2</v>
      </c>
      <c r="D775">
        <v>237</v>
      </c>
      <c r="E775" t="s">
        <v>866</v>
      </c>
      <c r="F775">
        <v>237</v>
      </c>
      <c r="G775" s="1">
        <v>45163</v>
      </c>
      <c r="H775" s="6">
        <f t="shared" si="24"/>
        <v>8.7291666666667194</v>
      </c>
      <c r="I775" s="7">
        <f t="shared" si="25"/>
        <v>8.7291666666667194</v>
      </c>
    </row>
    <row r="776" spans="1:9" x14ac:dyDescent="0.2">
      <c r="A776" t="s">
        <v>867</v>
      </c>
      <c r="B776">
        <v>3.2915000000000001</v>
      </c>
      <c r="C776">
        <v>4.6100000000000002E-2</v>
      </c>
      <c r="D776">
        <v>237</v>
      </c>
      <c r="E776" t="s">
        <v>867</v>
      </c>
      <c r="F776">
        <v>237</v>
      </c>
      <c r="G776" s="1">
        <v>45163</v>
      </c>
      <c r="H776" s="6">
        <f t="shared" si="24"/>
        <v>8.7395833333333854</v>
      </c>
      <c r="I776" s="7">
        <f t="shared" si="25"/>
        <v>8.7395833333333854</v>
      </c>
    </row>
    <row r="777" spans="1:9" x14ac:dyDescent="0.2">
      <c r="A777" t="s">
        <v>868</v>
      </c>
      <c r="B777">
        <v>3.2945000000000002</v>
      </c>
      <c r="C777">
        <v>4.6149999999999997E-2</v>
      </c>
      <c r="D777">
        <v>238</v>
      </c>
      <c r="E777" t="s">
        <v>868</v>
      </c>
      <c r="F777">
        <v>237</v>
      </c>
      <c r="G777" s="1">
        <v>45163</v>
      </c>
      <c r="H777" s="6">
        <f t="shared" si="24"/>
        <v>8.7500000000000515</v>
      </c>
      <c r="I777" s="7">
        <f t="shared" si="25"/>
        <v>8.7500000000000515</v>
      </c>
    </row>
    <row r="778" spans="1:9" x14ac:dyDescent="0.2">
      <c r="A778" t="s">
        <v>869</v>
      </c>
      <c r="B778">
        <v>3.2749999999999999</v>
      </c>
      <c r="C778">
        <v>4.5874999999999999E-2</v>
      </c>
      <c r="D778">
        <v>238</v>
      </c>
      <c r="E778" t="s">
        <v>869</v>
      </c>
      <c r="F778">
        <v>237</v>
      </c>
      <c r="G778" s="1">
        <v>45163</v>
      </c>
      <c r="H778" s="6">
        <f t="shared" si="24"/>
        <v>8.7604166666667176</v>
      </c>
      <c r="I778" s="7">
        <f t="shared" si="25"/>
        <v>8.7604166666667176</v>
      </c>
    </row>
    <row r="779" spans="1:9" x14ac:dyDescent="0.2">
      <c r="A779" t="s">
        <v>870</v>
      </c>
      <c r="B779">
        <v>3.32</v>
      </c>
      <c r="C779">
        <v>4.6495000000000002E-2</v>
      </c>
      <c r="D779">
        <v>238</v>
      </c>
      <c r="E779" t="s">
        <v>870</v>
      </c>
      <c r="F779">
        <v>237</v>
      </c>
      <c r="G779" s="1">
        <v>45163</v>
      </c>
      <c r="H779" s="6">
        <f t="shared" si="24"/>
        <v>8.7708333333333837</v>
      </c>
      <c r="I779" s="7">
        <f t="shared" si="25"/>
        <v>8.7708333333333837</v>
      </c>
    </row>
    <row r="780" spans="1:9" x14ac:dyDescent="0.2">
      <c r="A780" t="s">
        <v>871</v>
      </c>
      <c r="B780">
        <v>3.319</v>
      </c>
      <c r="C780" s="2" t="s">
        <v>872</v>
      </c>
      <c r="D780">
        <v>238</v>
      </c>
      <c r="E780" t="s">
        <v>871</v>
      </c>
      <c r="F780">
        <v>237</v>
      </c>
      <c r="G780" s="1">
        <v>45163</v>
      </c>
      <c r="H780" s="6">
        <f t="shared" si="24"/>
        <v>8.7812500000000497</v>
      </c>
      <c r="I780" s="7">
        <f t="shared" si="25"/>
        <v>8.7812500000000497</v>
      </c>
    </row>
    <row r="781" spans="1:9" x14ac:dyDescent="0.2">
      <c r="A781" t="s">
        <v>873</v>
      </c>
      <c r="B781">
        <v>3.3075000000000001</v>
      </c>
      <c r="C781">
        <v>4.6309999999999997E-2</v>
      </c>
      <c r="D781">
        <v>238</v>
      </c>
      <c r="E781" t="s">
        <v>873</v>
      </c>
      <c r="F781">
        <v>237</v>
      </c>
      <c r="G781" s="1">
        <v>45163</v>
      </c>
      <c r="H781" s="6">
        <f t="shared" si="24"/>
        <v>8.7916666666667158</v>
      </c>
      <c r="I781" s="7">
        <f t="shared" si="25"/>
        <v>8.7916666666667158</v>
      </c>
    </row>
    <row r="782" spans="1:9" x14ac:dyDescent="0.2">
      <c r="A782" t="s">
        <v>874</v>
      </c>
      <c r="B782">
        <v>3.3454999999999999</v>
      </c>
      <c r="C782">
        <v>4.6859999999999999E-2</v>
      </c>
      <c r="D782">
        <v>238</v>
      </c>
      <c r="E782" t="s">
        <v>874</v>
      </c>
      <c r="F782">
        <v>237</v>
      </c>
      <c r="G782" s="1">
        <v>45163</v>
      </c>
      <c r="H782" s="6">
        <f t="shared" si="24"/>
        <v>8.8020833333333819</v>
      </c>
      <c r="I782" s="7">
        <f t="shared" si="25"/>
        <v>8.8020833333333819</v>
      </c>
    </row>
    <row r="783" spans="1:9" x14ac:dyDescent="0.2">
      <c r="A783" t="s">
        <v>875</v>
      </c>
      <c r="B783">
        <v>3.339</v>
      </c>
      <c r="C783">
        <v>4.6760000000000003E-2</v>
      </c>
      <c r="D783">
        <v>238</v>
      </c>
      <c r="E783" t="s">
        <v>875</v>
      </c>
      <c r="F783">
        <v>237</v>
      </c>
      <c r="G783" s="1">
        <v>45163</v>
      </c>
      <c r="H783" s="6">
        <f t="shared" si="24"/>
        <v>8.812500000000048</v>
      </c>
      <c r="I783" s="7">
        <f t="shared" si="25"/>
        <v>8.812500000000048</v>
      </c>
    </row>
    <row r="784" spans="1:9" x14ac:dyDescent="0.2">
      <c r="A784" t="s">
        <v>876</v>
      </c>
      <c r="B784">
        <v>3.3955000000000002</v>
      </c>
      <c r="C784">
        <v>4.7579999999999997E-2</v>
      </c>
      <c r="D784">
        <v>238</v>
      </c>
      <c r="E784" t="s">
        <v>876</v>
      </c>
      <c r="F784">
        <v>237</v>
      </c>
      <c r="G784" s="1">
        <v>45163</v>
      </c>
      <c r="H784" s="6">
        <f t="shared" si="24"/>
        <v>8.822916666666714</v>
      </c>
      <c r="I784" s="7">
        <f t="shared" si="25"/>
        <v>8.822916666666714</v>
      </c>
    </row>
    <row r="785" spans="1:9" x14ac:dyDescent="0.2">
      <c r="A785" t="s">
        <v>877</v>
      </c>
      <c r="B785">
        <v>3.3849999999999998</v>
      </c>
      <c r="C785">
        <v>4.7405000000000003E-2</v>
      </c>
      <c r="D785">
        <v>238</v>
      </c>
      <c r="E785" t="s">
        <v>877</v>
      </c>
      <c r="F785">
        <v>237</v>
      </c>
      <c r="G785" s="1">
        <v>45163</v>
      </c>
      <c r="H785" s="6">
        <f t="shared" si="24"/>
        <v>8.8333333333333801</v>
      </c>
      <c r="I785" s="7">
        <f t="shared" si="25"/>
        <v>8.8333333333333801</v>
      </c>
    </row>
    <row r="786" spans="1:9" x14ac:dyDescent="0.2">
      <c r="A786" t="s">
        <v>878</v>
      </c>
      <c r="B786">
        <v>3.4235000000000002</v>
      </c>
      <c r="C786">
        <v>4.7954999999999998E-2</v>
      </c>
      <c r="D786">
        <v>238</v>
      </c>
      <c r="E786" t="s">
        <v>878</v>
      </c>
      <c r="F786">
        <v>237</v>
      </c>
      <c r="G786" s="1">
        <v>45163</v>
      </c>
      <c r="H786" s="6">
        <f t="shared" si="24"/>
        <v>8.8437500000000462</v>
      </c>
      <c r="I786" s="7">
        <f t="shared" si="25"/>
        <v>8.8437500000000462</v>
      </c>
    </row>
    <row r="787" spans="1:9" x14ac:dyDescent="0.2">
      <c r="A787" t="s">
        <v>879</v>
      </c>
      <c r="B787">
        <v>3.448</v>
      </c>
      <c r="C787">
        <v>4.8285000000000002E-2</v>
      </c>
      <c r="D787">
        <v>238</v>
      </c>
      <c r="E787" t="s">
        <v>879</v>
      </c>
      <c r="F787">
        <v>237</v>
      </c>
      <c r="G787" s="1">
        <v>45163</v>
      </c>
      <c r="H787" s="6">
        <f t="shared" si="24"/>
        <v>8.8541666666667123</v>
      </c>
      <c r="I787" s="7">
        <f t="shared" si="25"/>
        <v>8.8541666666667123</v>
      </c>
    </row>
    <row r="788" spans="1:9" x14ac:dyDescent="0.2">
      <c r="A788" t="s">
        <v>880</v>
      </c>
      <c r="B788" s="2" t="s">
        <v>881</v>
      </c>
      <c r="C788">
        <v>4.8325E-2</v>
      </c>
      <c r="D788">
        <v>238</v>
      </c>
      <c r="E788" t="s">
        <v>880</v>
      </c>
      <c r="F788">
        <v>237</v>
      </c>
      <c r="G788" s="1">
        <v>45163</v>
      </c>
      <c r="H788" s="6">
        <f t="shared" si="24"/>
        <v>8.8645833333333783</v>
      </c>
      <c r="I788" s="7">
        <f t="shared" si="25"/>
        <v>8.8645833333333783</v>
      </c>
    </row>
    <row r="789" spans="1:9" x14ac:dyDescent="0.2">
      <c r="A789" t="s">
        <v>882</v>
      </c>
      <c r="B789">
        <v>3.4550000000000001</v>
      </c>
      <c r="C789">
        <v>4.8375000000000001E-2</v>
      </c>
      <c r="D789">
        <v>238</v>
      </c>
      <c r="E789" t="s">
        <v>882</v>
      </c>
      <c r="F789">
        <v>237</v>
      </c>
      <c r="G789" s="1">
        <v>45163</v>
      </c>
      <c r="H789" s="6">
        <f t="shared" si="24"/>
        <v>8.8750000000000444</v>
      </c>
      <c r="I789" s="7">
        <f t="shared" si="25"/>
        <v>8.8750000000000444</v>
      </c>
    </row>
    <row r="790" spans="1:9" x14ac:dyDescent="0.2">
      <c r="A790" t="s">
        <v>883</v>
      </c>
      <c r="B790">
        <v>3.5179999999999998</v>
      </c>
      <c r="C790">
        <v>4.9250000000000002E-2</v>
      </c>
      <c r="D790">
        <v>238</v>
      </c>
      <c r="E790" t="s">
        <v>883</v>
      </c>
      <c r="F790">
        <v>237</v>
      </c>
      <c r="G790" s="1">
        <v>45163</v>
      </c>
      <c r="H790" s="6">
        <f t="shared" si="24"/>
        <v>8.8854166666667105</v>
      </c>
      <c r="I790" s="7">
        <f t="shared" si="25"/>
        <v>8.8854166666667105</v>
      </c>
    </row>
    <row r="791" spans="1:9" x14ac:dyDescent="0.2">
      <c r="A791" t="s">
        <v>884</v>
      </c>
      <c r="B791">
        <v>3.5739999999999998</v>
      </c>
      <c r="C791">
        <v>5.0064999999999998E-2</v>
      </c>
      <c r="D791">
        <v>238</v>
      </c>
      <c r="E791" t="s">
        <v>884</v>
      </c>
      <c r="F791">
        <v>237</v>
      </c>
      <c r="G791" s="1">
        <v>45163</v>
      </c>
      <c r="H791" s="6">
        <f t="shared" si="24"/>
        <v>8.8958333333333766</v>
      </c>
      <c r="I791" s="7">
        <f t="shared" si="25"/>
        <v>8.8958333333333766</v>
      </c>
    </row>
    <row r="792" spans="1:9" x14ac:dyDescent="0.2">
      <c r="A792" t="s">
        <v>885</v>
      </c>
      <c r="B792">
        <v>3.5840000000000001</v>
      </c>
      <c r="C792" s="2" t="s">
        <v>886</v>
      </c>
      <c r="D792">
        <v>238</v>
      </c>
      <c r="E792" t="s">
        <v>885</v>
      </c>
      <c r="F792">
        <v>237</v>
      </c>
      <c r="G792" s="1">
        <v>45163</v>
      </c>
      <c r="H792" s="6">
        <f t="shared" si="24"/>
        <v>8.9062500000000426</v>
      </c>
      <c r="I792" s="7">
        <f t="shared" si="25"/>
        <v>8.9062500000000426</v>
      </c>
    </row>
    <row r="793" spans="1:9" x14ac:dyDescent="0.2">
      <c r="A793" t="s">
        <v>887</v>
      </c>
      <c r="B793" s="2" t="s">
        <v>888</v>
      </c>
      <c r="C793">
        <v>5.0465000000000003E-2</v>
      </c>
      <c r="D793">
        <v>238</v>
      </c>
      <c r="E793" t="s">
        <v>887</v>
      </c>
      <c r="F793">
        <v>237</v>
      </c>
      <c r="G793" s="1">
        <v>45163</v>
      </c>
      <c r="H793" s="6">
        <f t="shared" si="24"/>
        <v>8.9166666666667087</v>
      </c>
      <c r="I793" s="7">
        <f t="shared" si="25"/>
        <v>8.9166666666667087</v>
      </c>
    </row>
    <row r="794" spans="1:9" x14ac:dyDescent="0.2">
      <c r="A794" t="s">
        <v>889</v>
      </c>
      <c r="B794">
        <v>3.6404999999999998</v>
      </c>
      <c r="C794">
        <v>5.0994999999999999E-2</v>
      </c>
      <c r="D794">
        <v>238</v>
      </c>
      <c r="E794" t="s">
        <v>889</v>
      </c>
      <c r="F794">
        <v>237</v>
      </c>
      <c r="G794" s="1">
        <v>45163</v>
      </c>
      <c r="H794" s="6">
        <f t="shared" si="24"/>
        <v>8.9270833333333748</v>
      </c>
      <c r="I794" s="7">
        <f t="shared" si="25"/>
        <v>8.9270833333333748</v>
      </c>
    </row>
    <row r="795" spans="1:9" x14ac:dyDescent="0.2">
      <c r="A795" t="s">
        <v>890</v>
      </c>
      <c r="B795">
        <v>3.6964999999999999</v>
      </c>
      <c r="C795">
        <v>5.1784999999999998E-2</v>
      </c>
      <c r="D795">
        <v>238</v>
      </c>
      <c r="E795" t="s">
        <v>890</v>
      </c>
      <c r="F795">
        <v>237</v>
      </c>
      <c r="G795" s="1">
        <v>45163</v>
      </c>
      <c r="H795" s="6">
        <f t="shared" si="24"/>
        <v>8.9375000000000409</v>
      </c>
      <c r="I795" s="7">
        <f t="shared" si="25"/>
        <v>8.9375000000000409</v>
      </c>
    </row>
    <row r="796" spans="1:9" x14ac:dyDescent="0.2">
      <c r="A796" t="s">
        <v>891</v>
      </c>
      <c r="B796">
        <v>3.7240000000000002</v>
      </c>
      <c r="C796">
        <v>5.2159999999999998E-2</v>
      </c>
      <c r="D796">
        <v>238</v>
      </c>
      <c r="E796" t="s">
        <v>891</v>
      </c>
      <c r="F796">
        <v>237</v>
      </c>
      <c r="G796" s="1">
        <v>45163</v>
      </c>
      <c r="H796" s="6">
        <f t="shared" si="24"/>
        <v>8.9479166666667069</v>
      </c>
      <c r="I796" s="7">
        <f t="shared" si="25"/>
        <v>8.9479166666667069</v>
      </c>
    </row>
    <row r="797" spans="1:9" x14ac:dyDescent="0.2">
      <c r="A797" t="s">
        <v>892</v>
      </c>
      <c r="B797">
        <v>3.8294999999999999</v>
      </c>
      <c r="C797">
        <v>5.3644999999999998E-2</v>
      </c>
      <c r="D797">
        <v>238</v>
      </c>
      <c r="E797" t="s">
        <v>892</v>
      </c>
      <c r="F797">
        <v>237</v>
      </c>
      <c r="G797" s="1">
        <v>45163</v>
      </c>
      <c r="H797" s="6">
        <f t="shared" si="24"/>
        <v>8.958333333333373</v>
      </c>
      <c r="I797" s="7">
        <f t="shared" si="25"/>
        <v>8.958333333333373</v>
      </c>
    </row>
    <row r="798" spans="1:9" x14ac:dyDescent="0.2">
      <c r="A798" t="s">
        <v>893</v>
      </c>
      <c r="B798">
        <v>3.8650000000000002</v>
      </c>
      <c r="C798">
        <v>5.4135000000000003E-2</v>
      </c>
      <c r="D798">
        <v>238</v>
      </c>
      <c r="E798" t="s">
        <v>893</v>
      </c>
      <c r="F798">
        <v>237</v>
      </c>
      <c r="G798" s="1">
        <v>45163</v>
      </c>
      <c r="H798" s="6">
        <f t="shared" si="24"/>
        <v>8.9687500000000391</v>
      </c>
      <c r="I798" s="7">
        <f t="shared" si="25"/>
        <v>8.9687500000000391</v>
      </c>
    </row>
    <row r="799" spans="1:9" x14ac:dyDescent="0.2">
      <c r="A799" t="s">
        <v>894</v>
      </c>
      <c r="B799">
        <v>3.8744999999999998</v>
      </c>
      <c r="C799" s="2" t="s">
        <v>895</v>
      </c>
      <c r="D799">
        <v>238</v>
      </c>
      <c r="E799" t="s">
        <v>894</v>
      </c>
      <c r="F799">
        <v>237</v>
      </c>
      <c r="G799" s="1">
        <v>45163</v>
      </c>
      <c r="H799" s="6">
        <f t="shared" si="24"/>
        <v>8.9791666666667052</v>
      </c>
      <c r="I799" s="7">
        <f t="shared" si="25"/>
        <v>8.9791666666667052</v>
      </c>
    </row>
    <row r="800" spans="1:9" x14ac:dyDescent="0.2">
      <c r="A800" t="s">
        <v>896</v>
      </c>
      <c r="B800">
        <v>3.9489999999999998</v>
      </c>
      <c r="C800">
        <v>5.5300000000000002E-2</v>
      </c>
      <c r="D800">
        <v>238</v>
      </c>
      <c r="E800" t="s">
        <v>896</v>
      </c>
      <c r="F800">
        <v>237</v>
      </c>
      <c r="G800" s="1">
        <v>45163</v>
      </c>
      <c r="H800" s="6">
        <f t="shared" si="24"/>
        <v>8.9895833333333712</v>
      </c>
      <c r="I800" s="7">
        <f t="shared" si="25"/>
        <v>8.9895833333333712</v>
      </c>
    </row>
    <row r="801" spans="1:9" x14ac:dyDescent="0.2">
      <c r="A801" t="s">
        <v>897</v>
      </c>
      <c r="B801">
        <v>4.0090000000000003</v>
      </c>
      <c r="C801">
        <v>5.6165E-2</v>
      </c>
      <c r="D801">
        <v>238</v>
      </c>
      <c r="E801" t="s">
        <v>897</v>
      </c>
      <c r="F801">
        <v>238</v>
      </c>
      <c r="G801" s="1">
        <v>45164</v>
      </c>
      <c r="H801" s="6">
        <f t="shared" si="24"/>
        <v>9.0000000000000373</v>
      </c>
      <c r="I801" s="7">
        <f t="shared" si="25"/>
        <v>9.0000000000000373</v>
      </c>
    </row>
    <row r="802" spans="1:9" x14ac:dyDescent="0.2">
      <c r="A802" t="s">
        <v>898</v>
      </c>
      <c r="B802">
        <v>4.0119999999999996</v>
      </c>
      <c r="C802">
        <v>5.62E-2</v>
      </c>
      <c r="D802">
        <v>238</v>
      </c>
      <c r="E802" t="s">
        <v>898</v>
      </c>
      <c r="F802">
        <v>238</v>
      </c>
      <c r="G802" s="1">
        <v>45164</v>
      </c>
      <c r="H802" s="6">
        <f t="shared" si="24"/>
        <v>9.0104166666667034</v>
      </c>
      <c r="I802" s="7">
        <f t="shared" si="25"/>
        <v>9.0104166666667034</v>
      </c>
    </row>
    <row r="803" spans="1:9" x14ac:dyDescent="0.2">
      <c r="A803" t="s">
        <v>899</v>
      </c>
      <c r="B803">
        <v>4.0309999999999997</v>
      </c>
      <c r="C803">
        <v>5.645E-2</v>
      </c>
      <c r="D803">
        <v>238</v>
      </c>
      <c r="E803" t="s">
        <v>899</v>
      </c>
      <c r="F803">
        <v>238</v>
      </c>
      <c r="G803" s="1">
        <v>45164</v>
      </c>
      <c r="H803" s="6">
        <f t="shared" si="24"/>
        <v>9.0208333333333695</v>
      </c>
      <c r="I803" s="7">
        <f t="shared" si="25"/>
        <v>9.0208333333333695</v>
      </c>
    </row>
    <row r="804" spans="1:9" x14ac:dyDescent="0.2">
      <c r="A804" t="s">
        <v>900</v>
      </c>
      <c r="B804">
        <v>4.0185000000000004</v>
      </c>
      <c r="C804">
        <v>5.6309999999999999E-2</v>
      </c>
      <c r="D804">
        <v>238</v>
      </c>
      <c r="E804" t="s">
        <v>900</v>
      </c>
      <c r="F804">
        <v>238</v>
      </c>
      <c r="G804" s="1">
        <v>45164</v>
      </c>
      <c r="H804" s="6">
        <f t="shared" si="24"/>
        <v>9.0312500000000355</v>
      </c>
      <c r="I804" s="7">
        <f t="shared" si="25"/>
        <v>9.0312500000000355</v>
      </c>
    </row>
    <row r="805" spans="1:9" x14ac:dyDescent="0.2">
      <c r="A805" t="s">
        <v>901</v>
      </c>
      <c r="B805">
        <v>4.0469999999999997</v>
      </c>
      <c r="C805">
        <v>5.6660000000000002E-2</v>
      </c>
      <c r="D805">
        <v>238</v>
      </c>
      <c r="E805" t="s">
        <v>901</v>
      </c>
      <c r="F805">
        <v>238</v>
      </c>
      <c r="G805" s="1">
        <v>45164</v>
      </c>
      <c r="H805" s="6">
        <f t="shared" si="24"/>
        <v>9.0416666666667016</v>
      </c>
      <c r="I805" s="7">
        <f t="shared" si="25"/>
        <v>9.0416666666667016</v>
      </c>
    </row>
    <row r="806" spans="1:9" x14ac:dyDescent="0.2">
      <c r="A806" t="s">
        <v>902</v>
      </c>
      <c r="B806">
        <v>4.0664999999999996</v>
      </c>
      <c r="C806">
        <v>5.6954999999999999E-2</v>
      </c>
      <c r="D806">
        <v>238</v>
      </c>
      <c r="E806" t="s">
        <v>902</v>
      </c>
      <c r="F806">
        <v>238</v>
      </c>
      <c r="G806" s="1">
        <v>45164</v>
      </c>
      <c r="H806" s="6">
        <f t="shared" si="24"/>
        <v>9.0520833333333677</v>
      </c>
      <c r="I806" s="7">
        <f t="shared" si="25"/>
        <v>9.0520833333333677</v>
      </c>
    </row>
    <row r="807" spans="1:9" x14ac:dyDescent="0.2">
      <c r="A807" t="s">
        <v>903</v>
      </c>
      <c r="B807">
        <v>4.1284999999999998</v>
      </c>
      <c r="C807">
        <v>5.7840000000000003E-2</v>
      </c>
      <c r="D807">
        <v>238</v>
      </c>
      <c r="E807" t="s">
        <v>903</v>
      </c>
      <c r="F807">
        <v>238</v>
      </c>
      <c r="G807" s="1">
        <v>45164</v>
      </c>
      <c r="H807" s="6">
        <f t="shared" si="24"/>
        <v>9.0625000000000338</v>
      </c>
      <c r="I807" s="7">
        <f t="shared" si="25"/>
        <v>9.0625000000000338</v>
      </c>
    </row>
    <row r="808" spans="1:9" x14ac:dyDescent="0.2">
      <c r="A808" t="s">
        <v>904</v>
      </c>
      <c r="B808">
        <v>4.0625</v>
      </c>
      <c r="C808">
        <v>5.6899999999999999E-2</v>
      </c>
      <c r="D808">
        <v>238</v>
      </c>
      <c r="E808" t="s">
        <v>904</v>
      </c>
      <c r="F808">
        <v>238</v>
      </c>
      <c r="G808" s="1">
        <v>45164</v>
      </c>
      <c r="H808" s="6">
        <f t="shared" si="24"/>
        <v>9.0729166666666998</v>
      </c>
      <c r="I808" s="7">
        <f t="shared" si="25"/>
        <v>9.0729166666666998</v>
      </c>
    </row>
    <row r="809" spans="1:9" x14ac:dyDescent="0.2">
      <c r="A809" t="s">
        <v>905</v>
      </c>
      <c r="B809">
        <v>4.0670000000000002</v>
      </c>
      <c r="C809">
        <v>5.6974999999999998E-2</v>
      </c>
      <c r="D809">
        <v>238</v>
      </c>
      <c r="E809" t="s">
        <v>905</v>
      </c>
      <c r="F809">
        <v>238</v>
      </c>
      <c r="G809" s="1">
        <v>45164</v>
      </c>
      <c r="H809" s="6">
        <f t="shared" si="24"/>
        <v>9.0833333333333659</v>
      </c>
      <c r="I809" s="7">
        <f t="shared" si="25"/>
        <v>9.0833333333333659</v>
      </c>
    </row>
    <row r="810" spans="1:9" x14ac:dyDescent="0.2">
      <c r="A810" t="s">
        <v>906</v>
      </c>
      <c r="B810">
        <v>4.0765000000000002</v>
      </c>
      <c r="C810">
        <v>5.7095E-2</v>
      </c>
      <c r="D810">
        <v>238</v>
      </c>
      <c r="E810" t="s">
        <v>906</v>
      </c>
      <c r="F810">
        <v>238</v>
      </c>
      <c r="G810" s="1">
        <v>45164</v>
      </c>
      <c r="H810" s="6">
        <f t="shared" si="24"/>
        <v>9.093750000000032</v>
      </c>
      <c r="I810" s="7">
        <f t="shared" si="25"/>
        <v>9.093750000000032</v>
      </c>
    </row>
    <row r="811" spans="1:9" x14ac:dyDescent="0.2">
      <c r="A811" t="s">
        <v>907</v>
      </c>
      <c r="B811">
        <v>4.1079999999999997</v>
      </c>
      <c r="C811">
        <v>5.7544999999999999E-2</v>
      </c>
      <c r="D811">
        <v>238</v>
      </c>
      <c r="E811" t="s">
        <v>907</v>
      </c>
      <c r="F811">
        <v>238</v>
      </c>
      <c r="G811" s="1">
        <v>45164</v>
      </c>
      <c r="H811" s="6">
        <f t="shared" si="24"/>
        <v>9.104166666666698</v>
      </c>
      <c r="I811" s="7">
        <f t="shared" si="25"/>
        <v>9.104166666666698</v>
      </c>
    </row>
    <row r="812" spans="1:9" x14ac:dyDescent="0.2">
      <c r="A812" t="s">
        <v>908</v>
      </c>
      <c r="B812">
        <v>4.069</v>
      </c>
      <c r="C812">
        <v>5.6980000000000003E-2</v>
      </c>
      <c r="D812">
        <v>238</v>
      </c>
      <c r="E812" t="s">
        <v>908</v>
      </c>
      <c r="F812">
        <v>238</v>
      </c>
      <c r="G812" s="1">
        <v>45164</v>
      </c>
      <c r="H812" s="6">
        <f t="shared" si="24"/>
        <v>9.1145833333333641</v>
      </c>
      <c r="I812" s="7">
        <f t="shared" si="25"/>
        <v>9.1145833333333641</v>
      </c>
    </row>
    <row r="813" spans="1:9" x14ac:dyDescent="0.2">
      <c r="A813" t="s">
        <v>909</v>
      </c>
      <c r="B813">
        <v>4.0674999999999999</v>
      </c>
      <c r="C813">
        <v>5.6989999999999999E-2</v>
      </c>
      <c r="D813">
        <v>238</v>
      </c>
      <c r="E813" t="s">
        <v>909</v>
      </c>
      <c r="F813">
        <v>238</v>
      </c>
      <c r="G813" s="1">
        <v>45164</v>
      </c>
      <c r="H813" s="6">
        <f t="shared" si="24"/>
        <v>9.1250000000000302</v>
      </c>
      <c r="I813" s="7">
        <f t="shared" si="25"/>
        <v>9.1250000000000302</v>
      </c>
    </row>
    <row r="814" spans="1:9" x14ac:dyDescent="0.2">
      <c r="A814" t="s">
        <v>910</v>
      </c>
      <c r="B814">
        <v>4.0744999999999996</v>
      </c>
      <c r="C814">
        <v>5.7070000000000003E-2</v>
      </c>
      <c r="D814">
        <v>238</v>
      </c>
      <c r="E814" t="s">
        <v>910</v>
      </c>
      <c r="F814">
        <v>238</v>
      </c>
      <c r="G814" s="1">
        <v>45164</v>
      </c>
      <c r="H814" s="6">
        <f t="shared" si="24"/>
        <v>9.1354166666666963</v>
      </c>
      <c r="I814" s="7">
        <f t="shared" si="25"/>
        <v>9.1354166666666963</v>
      </c>
    </row>
    <row r="815" spans="1:9" x14ac:dyDescent="0.2">
      <c r="A815" t="s">
        <v>911</v>
      </c>
      <c r="B815">
        <v>4.07</v>
      </c>
      <c r="C815">
        <v>5.6994999999999997E-2</v>
      </c>
      <c r="D815">
        <v>238</v>
      </c>
      <c r="E815" t="s">
        <v>911</v>
      </c>
      <c r="F815">
        <v>238</v>
      </c>
      <c r="G815" s="1">
        <v>45164</v>
      </c>
      <c r="H815" s="6">
        <f t="shared" si="24"/>
        <v>9.1458333333333623</v>
      </c>
      <c r="I815" s="7">
        <f t="shared" si="25"/>
        <v>9.1458333333333623</v>
      </c>
    </row>
    <row r="816" spans="1:9" x14ac:dyDescent="0.2">
      <c r="A816" t="s">
        <v>912</v>
      </c>
      <c r="B816">
        <v>4.0854999999999997</v>
      </c>
      <c r="C816">
        <v>5.722E-2</v>
      </c>
      <c r="D816">
        <v>238</v>
      </c>
      <c r="E816" t="s">
        <v>912</v>
      </c>
      <c r="F816">
        <v>238</v>
      </c>
      <c r="G816" s="1">
        <v>45164</v>
      </c>
      <c r="H816" s="6">
        <f t="shared" si="24"/>
        <v>9.1562500000000284</v>
      </c>
      <c r="I816" s="7">
        <f t="shared" si="25"/>
        <v>9.1562500000000284</v>
      </c>
    </row>
    <row r="817" spans="1:9" x14ac:dyDescent="0.2">
      <c r="A817" t="s">
        <v>913</v>
      </c>
      <c r="B817">
        <v>4.0860000000000003</v>
      </c>
      <c r="C817">
        <v>5.7215000000000002E-2</v>
      </c>
      <c r="D817">
        <v>238</v>
      </c>
      <c r="E817" t="s">
        <v>913</v>
      </c>
      <c r="F817">
        <v>238</v>
      </c>
      <c r="G817" s="1">
        <v>45164</v>
      </c>
      <c r="H817" s="6">
        <f t="shared" si="24"/>
        <v>9.1666666666666945</v>
      </c>
      <c r="I817" s="7">
        <f t="shared" si="25"/>
        <v>9.1666666666666945</v>
      </c>
    </row>
    <row r="818" spans="1:9" x14ac:dyDescent="0.2">
      <c r="A818" t="s">
        <v>914</v>
      </c>
      <c r="B818">
        <v>4.1035000000000004</v>
      </c>
      <c r="C818">
        <v>5.7485000000000001E-2</v>
      </c>
      <c r="D818">
        <v>238</v>
      </c>
      <c r="E818" t="s">
        <v>914</v>
      </c>
      <c r="F818">
        <v>238</v>
      </c>
      <c r="G818" s="1">
        <v>45164</v>
      </c>
      <c r="H818" s="6">
        <f t="shared" si="24"/>
        <v>9.1770833333333606</v>
      </c>
      <c r="I818" s="7">
        <f t="shared" si="25"/>
        <v>9.1770833333333606</v>
      </c>
    </row>
    <row r="819" spans="1:9" x14ac:dyDescent="0.2">
      <c r="A819" t="s">
        <v>915</v>
      </c>
      <c r="B819">
        <v>4.0685000000000002</v>
      </c>
      <c r="C819">
        <v>5.6954999999999999E-2</v>
      </c>
      <c r="D819">
        <v>238</v>
      </c>
      <c r="E819" t="s">
        <v>915</v>
      </c>
      <c r="F819">
        <v>238</v>
      </c>
      <c r="G819" s="1">
        <v>45164</v>
      </c>
      <c r="H819" s="6">
        <f t="shared" si="24"/>
        <v>9.1875000000000266</v>
      </c>
      <c r="I819" s="7">
        <f t="shared" si="25"/>
        <v>9.1875000000000266</v>
      </c>
    </row>
    <row r="820" spans="1:9" x14ac:dyDescent="0.2">
      <c r="A820" t="s">
        <v>916</v>
      </c>
      <c r="B820">
        <v>4.0754999999999999</v>
      </c>
      <c r="C820">
        <v>5.7084999999999997E-2</v>
      </c>
      <c r="D820">
        <v>238</v>
      </c>
      <c r="E820" t="s">
        <v>916</v>
      </c>
      <c r="F820">
        <v>238</v>
      </c>
      <c r="G820" s="1">
        <v>45164</v>
      </c>
      <c r="H820" s="6">
        <f t="shared" si="24"/>
        <v>9.1979166666666927</v>
      </c>
      <c r="I820" s="7">
        <f t="shared" si="25"/>
        <v>9.1979166666666927</v>
      </c>
    </row>
    <row r="821" spans="1:9" x14ac:dyDescent="0.2">
      <c r="A821" t="s">
        <v>917</v>
      </c>
      <c r="B821">
        <v>4.0555000000000003</v>
      </c>
      <c r="C821">
        <v>5.6809999999999999E-2</v>
      </c>
      <c r="D821">
        <v>238</v>
      </c>
      <c r="E821" t="s">
        <v>917</v>
      </c>
      <c r="F821">
        <v>238</v>
      </c>
      <c r="G821" s="1">
        <v>45164</v>
      </c>
      <c r="H821" s="6">
        <f t="shared" si="24"/>
        <v>9.2083333333333588</v>
      </c>
      <c r="I821" s="7">
        <f t="shared" si="25"/>
        <v>9.2083333333333588</v>
      </c>
    </row>
    <row r="822" spans="1:9" x14ac:dyDescent="0.2">
      <c r="A822" t="s">
        <v>918</v>
      </c>
      <c r="B822">
        <v>4.0750000000000002</v>
      </c>
      <c r="C822">
        <v>5.7064999999999998E-2</v>
      </c>
      <c r="D822">
        <v>238</v>
      </c>
      <c r="E822" t="s">
        <v>918</v>
      </c>
      <c r="F822">
        <v>238</v>
      </c>
      <c r="G822" s="1">
        <v>45164</v>
      </c>
      <c r="H822" s="6">
        <f t="shared" si="24"/>
        <v>9.2187500000000249</v>
      </c>
      <c r="I822" s="7">
        <f t="shared" si="25"/>
        <v>9.2187500000000249</v>
      </c>
    </row>
    <row r="823" spans="1:9" x14ac:dyDescent="0.2">
      <c r="A823" t="s">
        <v>919</v>
      </c>
      <c r="B823">
        <v>4.0739999999999998</v>
      </c>
      <c r="C823">
        <v>5.7055000000000002E-2</v>
      </c>
      <c r="D823">
        <v>238</v>
      </c>
      <c r="E823" t="s">
        <v>919</v>
      </c>
      <c r="F823">
        <v>238</v>
      </c>
      <c r="G823" s="1">
        <v>45164</v>
      </c>
      <c r="H823" s="6">
        <f t="shared" si="24"/>
        <v>9.2291666666666909</v>
      </c>
      <c r="I823" s="7">
        <f t="shared" si="25"/>
        <v>9.2291666666666909</v>
      </c>
    </row>
    <row r="824" spans="1:9" x14ac:dyDescent="0.2">
      <c r="A824" t="s">
        <v>920</v>
      </c>
      <c r="B824">
        <v>4.0525000000000002</v>
      </c>
      <c r="C824">
        <v>5.6739999999999999E-2</v>
      </c>
      <c r="D824">
        <v>238</v>
      </c>
      <c r="E824" t="s">
        <v>920</v>
      </c>
      <c r="F824">
        <v>238</v>
      </c>
      <c r="G824" s="1">
        <v>45164</v>
      </c>
      <c r="H824" s="6">
        <f t="shared" si="24"/>
        <v>9.239583333333357</v>
      </c>
      <c r="I824" s="7">
        <f t="shared" si="25"/>
        <v>9.239583333333357</v>
      </c>
    </row>
    <row r="825" spans="1:9" x14ac:dyDescent="0.2">
      <c r="A825" t="s">
        <v>921</v>
      </c>
      <c r="B825">
        <v>4.07</v>
      </c>
      <c r="C825">
        <v>5.7000000000000002E-2</v>
      </c>
      <c r="D825">
        <v>238</v>
      </c>
      <c r="E825" t="s">
        <v>921</v>
      </c>
      <c r="F825">
        <v>238</v>
      </c>
      <c r="G825" s="1">
        <v>45164</v>
      </c>
      <c r="H825" s="6">
        <f t="shared" si="24"/>
        <v>9.2500000000000231</v>
      </c>
      <c r="I825" s="7">
        <f t="shared" si="25"/>
        <v>9.2500000000000231</v>
      </c>
    </row>
    <row r="826" spans="1:9" x14ac:dyDescent="0.2">
      <c r="A826" t="s">
        <v>922</v>
      </c>
      <c r="B826">
        <v>4.0510000000000002</v>
      </c>
      <c r="C826">
        <v>5.6755E-2</v>
      </c>
      <c r="D826">
        <v>238</v>
      </c>
      <c r="E826" t="s">
        <v>922</v>
      </c>
      <c r="F826">
        <v>238</v>
      </c>
      <c r="G826" s="1">
        <v>45164</v>
      </c>
      <c r="H826" s="6">
        <f t="shared" si="24"/>
        <v>9.2604166666666892</v>
      </c>
      <c r="I826" s="7">
        <f t="shared" si="25"/>
        <v>9.2604166666666892</v>
      </c>
    </row>
    <row r="827" spans="1:9" x14ac:dyDescent="0.2">
      <c r="A827" t="s">
        <v>923</v>
      </c>
      <c r="B827" s="2" t="s">
        <v>177</v>
      </c>
      <c r="C827">
        <v>5.7169999999999999E-2</v>
      </c>
      <c r="D827">
        <v>238</v>
      </c>
      <c r="E827" t="s">
        <v>923</v>
      </c>
      <c r="F827">
        <v>238</v>
      </c>
      <c r="G827" s="1">
        <v>45164</v>
      </c>
      <c r="H827" s="6">
        <f t="shared" si="24"/>
        <v>9.2708333333333552</v>
      </c>
      <c r="I827" s="7">
        <f t="shared" si="25"/>
        <v>9.2708333333333552</v>
      </c>
    </row>
    <row r="828" spans="1:9" x14ac:dyDescent="0.2">
      <c r="A828" t="s">
        <v>924</v>
      </c>
      <c r="B828">
        <v>4.0614999999999997</v>
      </c>
      <c r="C828">
        <v>5.6875000000000002E-2</v>
      </c>
      <c r="D828">
        <v>238</v>
      </c>
      <c r="E828" t="s">
        <v>924</v>
      </c>
      <c r="F828">
        <v>238</v>
      </c>
      <c r="G828" s="1">
        <v>45164</v>
      </c>
      <c r="H828" s="6">
        <f t="shared" si="24"/>
        <v>9.2812500000000213</v>
      </c>
      <c r="I828" s="7">
        <f t="shared" si="25"/>
        <v>9.2812500000000213</v>
      </c>
    </row>
    <row r="829" spans="1:9" x14ac:dyDescent="0.2">
      <c r="A829" t="s">
        <v>925</v>
      </c>
      <c r="B829">
        <v>4.0475000000000003</v>
      </c>
      <c r="C829">
        <v>5.6684999999999999E-2</v>
      </c>
      <c r="D829">
        <v>238</v>
      </c>
      <c r="E829" t="s">
        <v>925</v>
      </c>
      <c r="F829">
        <v>238</v>
      </c>
      <c r="G829" s="1">
        <v>45164</v>
      </c>
      <c r="H829" s="6">
        <f t="shared" si="24"/>
        <v>9.2916666666666874</v>
      </c>
      <c r="I829" s="7">
        <f t="shared" si="25"/>
        <v>9.2916666666666874</v>
      </c>
    </row>
    <row r="830" spans="1:9" x14ac:dyDescent="0.2">
      <c r="A830" t="s">
        <v>926</v>
      </c>
      <c r="B830">
        <v>4.0410000000000004</v>
      </c>
      <c r="C830">
        <v>5.6599999999999998E-2</v>
      </c>
      <c r="D830">
        <v>238</v>
      </c>
      <c r="E830" t="s">
        <v>926</v>
      </c>
      <c r="F830">
        <v>238</v>
      </c>
      <c r="G830" s="1">
        <v>45164</v>
      </c>
      <c r="H830" s="6">
        <f t="shared" si="24"/>
        <v>9.3020833333333535</v>
      </c>
      <c r="I830" s="7">
        <f t="shared" si="25"/>
        <v>9.3020833333333535</v>
      </c>
    </row>
    <row r="831" spans="1:9" x14ac:dyDescent="0.2">
      <c r="A831" t="s">
        <v>927</v>
      </c>
      <c r="B831">
        <v>4.0214999999999996</v>
      </c>
      <c r="C831">
        <v>5.6329999999999998E-2</v>
      </c>
      <c r="D831">
        <v>238</v>
      </c>
      <c r="E831" t="s">
        <v>927</v>
      </c>
      <c r="F831">
        <v>238</v>
      </c>
      <c r="G831" s="1">
        <v>45164</v>
      </c>
      <c r="H831" s="6">
        <f t="shared" si="24"/>
        <v>9.3125000000000195</v>
      </c>
      <c r="I831" s="7">
        <f t="shared" si="25"/>
        <v>9.3125000000000195</v>
      </c>
    </row>
    <row r="832" spans="1:9" x14ac:dyDescent="0.2">
      <c r="A832" t="s">
        <v>928</v>
      </c>
      <c r="B832" s="2" t="s">
        <v>268</v>
      </c>
      <c r="C832">
        <v>5.5985E-2</v>
      </c>
      <c r="D832">
        <v>238</v>
      </c>
      <c r="E832" t="s">
        <v>928</v>
      </c>
      <c r="F832">
        <v>238</v>
      </c>
      <c r="G832" s="1">
        <v>45164</v>
      </c>
      <c r="H832" s="6">
        <f t="shared" si="24"/>
        <v>9.3229166666666856</v>
      </c>
      <c r="I832" s="7">
        <f t="shared" si="25"/>
        <v>9.3229166666666856</v>
      </c>
    </row>
    <row r="833" spans="1:9" x14ac:dyDescent="0.2">
      <c r="A833" t="s">
        <v>929</v>
      </c>
      <c r="B833">
        <v>3.9830000000000001</v>
      </c>
      <c r="C833">
        <v>5.5780000000000003E-2</v>
      </c>
      <c r="D833">
        <v>238</v>
      </c>
      <c r="E833" t="s">
        <v>929</v>
      </c>
      <c r="F833">
        <v>238</v>
      </c>
      <c r="G833" s="1">
        <v>45164</v>
      </c>
      <c r="H833" s="6">
        <f t="shared" si="24"/>
        <v>9.3333333333333517</v>
      </c>
      <c r="I833" s="7">
        <f t="shared" si="25"/>
        <v>9.3333333333333517</v>
      </c>
    </row>
    <row r="834" spans="1:9" x14ac:dyDescent="0.2">
      <c r="A834" t="s">
        <v>930</v>
      </c>
      <c r="B834">
        <v>3.9504999999999999</v>
      </c>
      <c r="C834">
        <v>5.5335000000000002E-2</v>
      </c>
      <c r="D834">
        <v>238</v>
      </c>
      <c r="E834" t="s">
        <v>930</v>
      </c>
      <c r="F834">
        <v>238</v>
      </c>
      <c r="G834" s="1">
        <v>45164</v>
      </c>
      <c r="H834" s="6">
        <f t="shared" si="24"/>
        <v>9.3437500000000178</v>
      </c>
      <c r="I834" s="7">
        <f t="shared" si="25"/>
        <v>9.3437500000000178</v>
      </c>
    </row>
    <row r="835" spans="1:9" x14ac:dyDescent="0.2">
      <c r="A835" t="s">
        <v>931</v>
      </c>
      <c r="B835">
        <v>3.9344999999999999</v>
      </c>
      <c r="C835">
        <v>5.5105000000000001E-2</v>
      </c>
      <c r="D835">
        <v>238</v>
      </c>
      <c r="E835" t="s">
        <v>931</v>
      </c>
      <c r="F835">
        <v>238</v>
      </c>
      <c r="G835" s="1">
        <v>45164</v>
      </c>
      <c r="H835" s="6">
        <f t="shared" ref="H835:H898" si="26">H834+$K$1</f>
        <v>9.3541666666666838</v>
      </c>
      <c r="I835" s="7">
        <f t="shared" ref="I835:I898" si="27">I834+$K$1</f>
        <v>9.3541666666666838</v>
      </c>
    </row>
    <row r="836" spans="1:9" x14ac:dyDescent="0.2">
      <c r="A836" t="s">
        <v>932</v>
      </c>
      <c r="B836">
        <v>3.9</v>
      </c>
      <c r="C836">
        <v>5.4620000000000002E-2</v>
      </c>
      <c r="D836">
        <v>238</v>
      </c>
      <c r="E836" t="s">
        <v>932</v>
      </c>
      <c r="F836">
        <v>238</v>
      </c>
      <c r="G836" s="1">
        <v>45164</v>
      </c>
      <c r="H836" s="6">
        <f t="shared" si="26"/>
        <v>9.3645833333333499</v>
      </c>
      <c r="I836" s="7">
        <f t="shared" si="27"/>
        <v>9.3645833333333499</v>
      </c>
    </row>
    <row r="837" spans="1:9" x14ac:dyDescent="0.2">
      <c r="A837" t="s">
        <v>933</v>
      </c>
      <c r="B837">
        <v>3.8744999999999998</v>
      </c>
      <c r="C837">
        <v>5.4245000000000002E-2</v>
      </c>
      <c r="D837">
        <v>238</v>
      </c>
      <c r="E837" t="s">
        <v>933</v>
      </c>
      <c r="F837">
        <v>238</v>
      </c>
      <c r="G837" s="1">
        <v>45164</v>
      </c>
      <c r="H837" s="6">
        <f t="shared" si="26"/>
        <v>9.375000000000016</v>
      </c>
      <c r="I837" s="7">
        <f t="shared" si="27"/>
        <v>9.375000000000016</v>
      </c>
    </row>
    <row r="838" spans="1:9" x14ac:dyDescent="0.2">
      <c r="A838" t="s">
        <v>934</v>
      </c>
      <c r="B838">
        <v>3.835</v>
      </c>
      <c r="C838">
        <v>5.3710000000000001E-2</v>
      </c>
      <c r="D838">
        <v>238</v>
      </c>
      <c r="E838" t="s">
        <v>934</v>
      </c>
      <c r="F838">
        <v>238</v>
      </c>
      <c r="G838" s="1">
        <v>45164</v>
      </c>
      <c r="H838" s="6">
        <f t="shared" si="26"/>
        <v>9.3854166666666821</v>
      </c>
      <c r="I838" s="7">
        <f t="shared" si="27"/>
        <v>9.3854166666666821</v>
      </c>
    </row>
    <row r="839" spans="1:9" x14ac:dyDescent="0.2">
      <c r="A839" t="s">
        <v>935</v>
      </c>
      <c r="B839">
        <v>3.7890000000000001</v>
      </c>
      <c r="C839">
        <v>5.3080000000000002E-2</v>
      </c>
      <c r="D839">
        <v>238</v>
      </c>
      <c r="E839" t="s">
        <v>935</v>
      </c>
      <c r="F839">
        <v>238</v>
      </c>
      <c r="G839" s="1">
        <v>45164</v>
      </c>
      <c r="H839" s="6">
        <f t="shared" si="26"/>
        <v>9.3958333333333481</v>
      </c>
      <c r="I839" s="7">
        <f t="shared" si="27"/>
        <v>9.3958333333333481</v>
      </c>
    </row>
    <row r="840" spans="1:9" x14ac:dyDescent="0.2">
      <c r="A840" t="s">
        <v>936</v>
      </c>
      <c r="B840">
        <v>3.7555000000000001</v>
      </c>
      <c r="C840">
        <v>5.2615000000000002E-2</v>
      </c>
      <c r="D840">
        <v>238</v>
      </c>
      <c r="E840" t="s">
        <v>936</v>
      </c>
      <c r="F840">
        <v>238</v>
      </c>
      <c r="G840" s="1">
        <v>45164</v>
      </c>
      <c r="H840" s="6">
        <f t="shared" si="26"/>
        <v>9.4062500000000142</v>
      </c>
      <c r="I840" s="7">
        <f t="shared" si="27"/>
        <v>9.4062500000000142</v>
      </c>
    </row>
    <row r="841" spans="1:9" x14ac:dyDescent="0.2">
      <c r="A841" t="s">
        <v>937</v>
      </c>
      <c r="B841">
        <v>3.7029999999999998</v>
      </c>
      <c r="C841">
        <v>5.185E-2</v>
      </c>
      <c r="D841">
        <v>238</v>
      </c>
      <c r="E841" t="s">
        <v>937</v>
      </c>
      <c r="F841">
        <v>238</v>
      </c>
      <c r="G841" s="1">
        <v>45164</v>
      </c>
      <c r="H841" s="6">
        <f t="shared" si="26"/>
        <v>9.4166666666666803</v>
      </c>
      <c r="I841" s="7">
        <f t="shared" si="27"/>
        <v>9.4166666666666803</v>
      </c>
    </row>
    <row r="842" spans="1:9" x14ac:dyDescent="0.2">
      <c r="A842" t="s">
        <v>938</v>
      </c>
      <c r="B842">
        <v>3.6865000000000001</v>
      </c>
      <c r="C842">
        <v>5.1650000000000001E-2</v>
      </c>
      <c r="D842">
        <v>238</v>
      </c>
      <c r="E842" t="s">
        <v>938</v>
      </c>
      <c r="F842">
        <v>238</v>
      </c>
      <c r="G842" s="1">
        <v>45164</v>
      </c>
      <c r="H842" s="6">
        <f t="shared" si="26"/>
        <v>9.4270833333333464</v>
      </c>
      <c r="I842" s="7">
        <f t="shared" si="27"/>
        <v>9.4270833333333464</v>
      </c>
    </row>
    <row r="843" spans="1:9" x14ac:dyDescent="0.2">
      <c r="A843" t="s">
        <v>939</v>
      </c>
      <c r="B843">
        <v>3.625</v>
      </c>
      <c r="C843">
        <v>5.0775000000000001E-2</v>
      </c>
      <c r="D843">
        <v>238</v>
      </c>
      <c r="E843" t="s">
        <v>939</v>
      </c>
      <c r="F843">
        <v>238</v>
      </c>
      <c r="G843" s="1">
        <v>45164</v>
      </c>
      <c r="H843" s="6">
        <f t="shared" si="26"/>
        <v>9.4375000000000124</v>
      </c>
      <c r="I843" s="7">
        <f t="shared" si="27"/>
        <v>9.4375000000000124</v>
      </c>
    </row>
    <row r="844" spans="1:9" x14ac:dyDescent="0.2">
      <c r="A844" t="s">
        <v>940</v>
      </c>
      <c r="B844">
        <v>3.5630000000000002</v>
      </c>
      <c r="C844">
        <v>4.9910000000000003E-2</v>
      </c>
      <c r="D844">
        <v>238</v>
      </c>
      <c r="E844" t="s">
        <v>940</v>
      </c>
      <c r="F844">
        <v>238</v>
      </c>
      <c r="G844" s="1">
        <v>45164</v>
      </c>
      <c r="H844" s="6">
        <f t="shared" si="26"/>
        <v>9.4479166666666785</v>
      </c>
      <c r="I844" s="7">
        <f t="shared" si="27"/>
        <v>9.4479166666666785</v>
      </c>
    </row>
    <row r="845" spans="1:9" x14ac:dyDescent="0.2">
      <c r="A845" t="s">
        <v>941</v>
      </c>
      <c r="B845">
        <v>3.5625</v>
      </c>
      <c r="C845">
        <v>4.9904999999999998E-2</v>
      </c>
      <c r="D845">
        <v>238</v>
      </c>
      <c r="E845" t="s">
        <v>941</v>
      </c>
      <c r="F845">
        <v>238</v>
      </c>
      <c r="G845" s="1">
        <v>45164</v>
      </c>
      <c r="H845" s="6">
        <f t="shared" si="26"/>
        <v>9.4583333333333446</v>
      </c>
      <c r="I845" s="7">
        <f t="shared" si="27"/>
        <v>9.4583333333333446</v>
      </c>
    </row>
    <row r="846" spans="1:9" x14ac:dyDescent="0.2">
      <c r="A846" t="s">
        <v>942</v>
      </c>
      <c r="B846">
        <v>3.5495000000000001</v>
      </c>
      <c r="C846">
        <v>4.9715000000000002E-2</v>
      </c>
      <c r="D846">
        <v>238</v>
      </c>
      <c r="E846" t="s">
        <v>942</v>
      </c>
      <c r="F846">
        <v>238</v>
      </c>
      <c r="G846" s="1">
        <v>45164</v>
      </c>
      <c r="H846" s="6">
        <f t="shared" si="26"/>
        <v>9.4687500000000107</v>
      </c>
      <c r="I846" s="7">
        <f t="shared" si="27"/>
        <v>9.4687500000000107</v>
      </c>
    </row>
    <row r="847" spans="1:9" x14ac:dyDescent="0.2">
      <c r="A847" t="s">
        <v>943</v>
      </c>
      <c r="B847">
        <v>3.5415000000000001</v>
      </c>
      <c r="C847">
        <v>4.9610000000000001E-2</v>
      </c>
      <c r="D847">
        <v>238</v>
      </c>
      <c r="E847" t="s">
        <v>943</v>
      </c>
      <c r="F847">
        <v>238</v>
      </c>
      <c r="G847" s="1">
        <v>45164</v>
      </c>
      <c r="H847" s="6">
        <f t="shared" si="26"/>
        <v>9.4791666666666767</v>
      </c>
      <c r="I847" s="7">
        <f t="shared" si="27"/>
        <v>9.4791666666666767</v>
      </c>
    </row>
    <row r="848" spans="1:9" x14ac:dyDescent="0.2">
      <c r="A848" t="s">
        <v>944</v>
      </c>
      <c r="B848">
        <v>3.5325000000000002</v>
      </c>
      <c r="C848">
        <v>4.947E-2</v>
      </c>
      <c r="D848">
        <v>238</v>
      </c>
      <c r="E848" t="s">
        <v>944</v>
      </c>
      <c r="F848">
        <v>238</v>
      </c>
      <c r="G848" s="1">
        <v>45164</v>
      </c>
      <c r="H848" s="6">
        <f t="shared" si="26"/>
        <v>9.4895833333333428</v>
      </c>
      <c r="I848" s="7">
        <f t="shared" si="27"/>
        <v>9.4895833333333428</v>
      </c>
    </row>
    <row r="849" spans="1:9" x14ac:dyDescent="0.2">
      <c r="A849" t="s">
        <v>945</v>
      </c>
      <c r="B849">
        <v>3.504</v>
      </c>
      <c r="C849">
        <v>4.9075000000000001E-2</v>
      </c>
      <c r="D849">
        <v>238</v>
      </c>
      <c r="E849" t="s">
        <v>945</v>
      </c>
      <c r="F849">
        <v>238</v>
      </c>
      <c r="G849" s="1">
        <v>45164</v>
      </c>
      <c r="H849" s="6">
        <f t="shared" si="26"/>
        <v>9.5000000000000089</v>
      </c>
      <c r="I849" s="7">
        <f t="shared" si="27"/>
        <v>9.5000000000000089</v>
      </c>
    </row>
    <row r="850" spans="1:9" x14ac:dyDescent="0.2">
      <c r="A850" t="s">
        <v>946</v>
      </c>
      <c r="B850">
        <v>3.5005000000000002</v>
      </c>
      <c r="C850" s="2" t="s">
        <v>947</v>
      </c>
      <c r="D850">
        <v>238</v>
      </c>
      <c r="E850" t="s">
        <v>946</v>
      </c>
      <c r="F850">
        <v>238</v>
      </c>
      <c r="G850" s="1">
        <v>45164</v>
      </c>
      <c r="H850" s="6">
        <f t="shared" si="26"/>
        <v>9.510416666666675</v>
      </c>
      <c r="I850" s="7">
        <f t="shared" si="27"/>
        <v>9.510416666666675</v>
      </c>
    </row>
    <row r="851" spans="1:9" x14ac:dyDescent="0.2">
      <c r="A851" t="s">
        <v>948</v>
      </c>
      <c r="B851">
        <v>3.4925000000000002</v>
      </c>
      <c r="C851">
        <v>4.8939999999999997E-2</v>
      </c>
      <c r="D851">
        <v>238</v>
      </c>
      <c r="E851" t="s">
        <v>948</v>
      </c>
      <c r="F851">
        <v>238</v>
      </c>
      <c r="G851" s="1">
        <v>45164</v>
      </c>
      <c r="H851" s="6">
        <f t="shared" si="26"/>
        <v>9.520833333333341</v>
      </c>
      <c r="I851" s="7">
        <f t="shared" si="27"/>
        <v>9.520833333333341</v>
      </c>
    </row>
    <row r="852" spans="1:9" x14ac:dyDescent="0.2">
      <c r="A852" t="s">
        <v>949</v>
      </c>
      <c r="B852">
        <v>3.4870000000000001</v>
      </c>
      <c r="C852">
        <v>4.8845E-2</v>
      </c>
      <c r="D852">
        <v>238</v>
      </c>
      <c r="E852" t="s">
        <v>949</v>
      </c>
      <c r="F852">
        <v>238</v>
      </c>
      <c r="G852" s="1">
        <v>45164</v>
      </c>
      <c r="H852" s="6">
        <f t="shared" si="26"/>
        <v>9.5312500000000071</v>
      </c>
      <c r="I852" s="7">
        <f t="shared" si="27"/>
        <v>9.5312500000000071</v>
      </c>
    </row>
    <row r="853" spans="1:9" x14ac:dyDescent="0.2">
      <c r="A853" t="s">
        <v>950</v>
      </c>
      <c r="B853">
        <v>3.46</v>
      </c>
      <c r="C853">
        <v>4.8480000000000002E-2</v>
      </c>
      <c r="D853">
        <v>238</v>
      </c>
      <c r="E853" t="s">
        <v>950</v>
      </c>
      <c r="F853">
        <v>238</v>
      </c>
      <c r="G853" s="1">
        <v>45164</v>
      </c>
      <c r="H853" s="6">
        <f t="shared" si="26"/>
        <v>9.5416666666666732</v>
      </c>
      <c r="I853" s="7">
        <f t="shared" si="27"/>
        <v>9.5416666666666732</v>
      </c>
    </row>
    <row r="854" spans="1:9" x14ac:dyDescent="0.2">
      <c r="A854" t="s">
        <v>951</v>
      </c>
      <c r="B854">
        <v>3.4485000000000001</v>
      </c>
      <c r="C854">
        <v>4.8294999999999998E-2</v>
      </c>
      <c r="D854">
        <v>238</v>
      </c>
      <c r="E854" t="s">
        <v>951</v>
      </c>
      <c r="F854">
        <v>238</v>
      </c>
      <c r="G854" s="1">
        <v>45164</v>
      </c>
      <c r="H854" s="6">
        <f t="shared" si="26"/>
        <v>9.5520833333333393</v>
      </c>
      <c r="I854" s="7">
        <f t="shared" si="27"/>
        <v>9.5520833333333393</v>
      </c>
    </row>
    <row r="855" spans="1:9" x14ac:dyDescent="0.2">
      <c r="A855" t="s">
        <v>952</v>
      </c>
      <c r="B855">
        <v>3.431</v>
      </c>
      <c r="C855">
        <v>4.8079999999999998E-2</v>
      </c>
      <c r="D855">
        <v>238</v>
      </c>
      <c r="E855" t="s">
        <v>952</v>
      </c>
      <c r="F855">
        <v>238</v>
      </c>
      <c r="G855" s="1">
        <v>45164</v>
      </c>
      <c r="H855" s="6">
        <f t="shared" si="26"/>
        <v>9.5625000000000053</v>
      </c>
      <c r="I855" s="7">
        <f t="shared" si="27"/>
        <v>9.5625000000000053</v>
      </c>
    </row>
    <row r="856" spans="1:9" x14ac:dyDescent="0.2">
      <c r="A856" t="s">
        <v>953</v>
      </c>
      <c r="B856" s="2" t="s">
        <v>542</v>
      </c>
      <c r="C856">
        <v>4.8039999999999999E-2</v>
      </c>
      <c r="D856">
        <v>238</v>
      </c>
      <c r="E856" t="s">
        <v>953</v>
      </c>
      <c r="F856">
        <v>238</v>
      </c>
      <c r="G856" s="1">
        <v>45164</v>
      </c>
      <c r="H856" s="6">
        <f t="shared" si="26"/>
        <v>9.5729166666666714</v>
      </c>
      <c r="I856" s="7">
        <f t="shared" si="27"/>
        <v>9.5729166666666714</v>
      </c>
    </row>
    <row r="857" spans="1:9" x14ac:dyDescent="0.2">
      <c r="A857" t="s">
        <v>954</v>
      </c>
      <c r="B857">
        <v>3.4115000000000002</v>
      </c>
      <c r="C857">
        <v>4.7780000000000003E-2</v>
      </c>
      <c r="D857">
        <v>238</v>
      </c>
      <c r="E857" t="s">
        <v>954</v>
      </c>
      <c r="F857">
        <v>238</v>
      </c>
      <c r="G857" s="1">
        <v>45164</v>
      </c>
      <c r="H857" s="6">
        <f t="shared" si="26"/>
        <v>9.5833333333333375</v>
      </c>
      <c r="I857" s="7">
        <f t="shared" si="27"/>
        <v>9.5833333333333375</v>
      </c>
    </row>
    <row r="858" spans="1:9" x14ac:dyDescent="0.2">
      <c r="A858" t="s">
        <v>955</v>
      </c>
      <c r="B858">
        <v>3.3795000000000002</v>
      </c>
      <c r="C858">
        <v>4.7335000000000002E-2</v>
      </c>
      <c r="D858">
        <v>238</v>
      </c>
      <c r="E858" t="s">
        <v>955</v>
      </c>
      <c r="F858">
        <v>238</v>
      </c>
      <c r="G858" s="1">
        <v>45164</v>
      </c>
      <c r="H858" s="6">
        <f t="shared" si="26"/>
        <v>9.5937500000000036</v>
      </c>
      <c r="I858" s="7">
        <f t="shared" si="27"/>
        <v>9.5937500000000036</v>
      </c>
    </row>
    <row r="859" spans="1:9" x14ac:dyDescent="0.2">
      <c r="A859" t="s">
        <v>956</v>
      </c>
      <c r="B859">
        <v>3.371</v>
      </c>
      <c r="C859">
        <v>4.7234999999999999E-2</v>
      </c>
      <c r="D859">
        <v>238</v>
      </c>
      <c r="E859" t="s">
        <v>956</v>
      </c>
      <c r="F859">
        <v>238</v>
      </c>
      <c r="G859" s="1">
        <v>45164</v>
      </c>
      <c r="H859" s="6">
        <f t="shared" si="26"/>
        <v>9.6041666666666696</v>
      </c>
      <c r="I859" s="7">
        <f t="shared" si="27"/>
        <v>9.6041666666666696</v>
      </c>
    </row>
    <row r="860" spans="1:9" x14ac:dyDescent="0.2">
      <c r="A860" t="s">
        <v>957</v>
      </c>
      <c r="B860">
        <v>3.3334999999999999</v>
      </c>
      <c r="C860">
        <v>4.6699999999999998E-2</v>
      </c>
      <c r="D860">
        <v>238</v>
      </c>
      <c r="E860" t="s">
        <v>957</v>
      </c>
      <c r="F860">
        <v>238</v>
      </c>
      <c r="G860" s="1">
        <v>45164</v>
      </c>
      <c r="H860" s="6">
        <f t="shared" si="26"/>
        <v>9.6145833333333357</v>
      </c>
      <c r="I860" s="7">
        <f t="shared" si="27"/>
        <v>9.6145833333333357</v>
      </c>
    </row>
    <row r="861" spans="1:9" x14ac:dyDescent="0.2">
      <c r="A861" t="s">
        <v>958</v>
      </c>
      <c r="B861">
        <v>3.3279999999999998</v>
      </c>
      <c r="C861">
        <v>4.6614999999999997E-2</v>
      </c>
      <c r="D861">
        <v>238</v>
      </c>
      <c r="E861" t="s">
        <v>958</v>
      </c>
      <c r="F861">
        <v>238</v>
      </c>
      <c r="G861" s="1">
        <v>45164</v>
      </c>
      <c r="H861" s="6">
        <f t="shared" si="26"/>
        <v>9.6250000000000018</v>
      </c>
      <c r="I861" s="7">
        <f t="shared" si="27"/>
        <v>9.6250000000000018</v>
      </c>
    </row>
    <row r="862" spans="1:9" x14ac:dyDescent="0.2">
      <c r="A862" t="s">
        <v>959</v>
      </c>
      <c r="B862">
        <v>3.3115000000000001</v>
      </c>
      <c r="C862">
        <v>4.6379999999999998E-2</v>
      </c>
      <c r="D862">
        <v>238</v>
      </c>
      <c r="E862" t="s">
        <v>959</v>
      </c>
      <c r="F862">
        <v>238</v>
      </c>
      <c r="G862" s="1">
        <v>45164</v>
      </c>
      <c r="H862" s="6">
        <f t="shared" si="26"/>
        <v>9.6354166666666679</v>
      </c>
      <c r="I862" s="7">
        <f t="shared" si="27"/>
        <v>9.6354166666666679</v>
      </c>
    </row>
    <row r="863" spans="1:9" x14ac:dyDescent="0.2">
      <c r="A863" t="s">
        <v>960</v>
      </c>
      <c r="B863" s="2" t="s">
        <v>961</v>
      </c>
      <c r="C863">
        <v>5.0047058823529403E-2</v>
      </c>
      <c r="D863">
        <v>238</v>
      </c>
      <c r="E863" t="s">
        <v>960</v>
      </c>
      <c r="F863">
        <v>238</v>
      </c>
      <c r="G863" s="1">
        <v>45164</v>
      </c>
      <c r="H863" s="6">
        <f t="shared" si="26"/>
        <v>9.6458333333333339</v>
      </c>
      <c r="I863" s="7">
        <f t="shared" si="27"/>
        <v>9.6458333333333339</v>
      </c>
    </row>
    <row r="864" spans="1:9" x14ac:dyDescent="0.2">
      <c r="A864" t="s">
        <v>962</v>
      </c>
      <c r="B864">
        <v>3.3380000000000001</v>
      </c>
      <c r="C864">
        <v>4.6780000000000002E-2</v>
      </c>
      <c r="D864">
        <v>238</v>
      </c>
      <c r="E864" t="s">
        <v>962</v>
      </c>
      <c r="F864">
        <v>238</v>
      </c>
      <c r="G864" s="1">
        <v>45164</v>
      </c>
      <c r="H864" s="6">
        <f t="shared" si="26"/>
        <v>9.65625</v>
      </c>
      <c r="I864" s="7">
        <f t="shared" si="27"/>
        <v>9.65625</v>
      </c>
    </row>
    <row r="865" spans="1:9" x14ac:dyDescent="0.2">
      <c r="A865" t="s">
        <v>963</v>
      </c>
      <c r="B865">
        <v>3.33</v>
      </c>
      <c r="C865">
        <v>4.666E-2</v>
      </c>
      <c r="D865">
        <v>238</v>
      </c>
      <c r="E865" t="s">
        <v>963</v>
      </c>
      <c r="F865">
        <v>238</v>
      </c>
      <c r="G865" s="1">
        <v>45164</v>
      </c>
      <c r="H865" s="6">
        <f t="shared" si="26"/>
        <v>9.6666666666666661</v>
      </c>
      <c r="I865" s="7">
        <f t="shared" si="27"/>
        <v>9.6666666666666661</v>
      </c>
    </row>
    <row r="866" spans="1:9" x14ac:dyDescent="0.2">
      <c r="A866" t="s">
        <v>964</v>
      </c>
      <c r="B866">
        <v>3.31</v>
      </c>
      <c r="C866">
        <v>4.6350000000000002E-2</v>
      </c>
      <c r="D866">
        <v>238</v>
      </c>
      <c r="E866" t="s">
        <v>964</v>
      </c>
      <c r="F866">
        <v>238</v>
      </c>
      <c r="G866" s="1">
        <v>45164</v>
      </c>
      <c r="H866" s="6">
        <f t="shared" si="26"/>
        <v>9.6770833333333321</v>
      </c>
      <c r="I866" s="7">
        <f t="shared" si="27"/>
        <v>9.6770833333333321</v>
      </c>
    </row>
    <row r="867" spans="1:9" x14ac:dyDescent="0.2">
      <c r="A867" t="s">
        <v>965</v>
      </c>
      <c r="B867">
        <v>3.3365</v>
      </c>
      <c r="C867">
        <v>4.6719999999999998E-2</v>
      </c>
      <c r="D867">
        <v>238</v>
      </c>
      <c r="E867" t="s">
        <v>965</v>
      </c>
      <c r="F867">
        <v>238</v>
      </c>
      <c r="G867" s="1">
        <v>45164</v>
      </c>
      <c r="H867" s="6">
        <f t="shared" si="26"/>
        <v>9.6874999999999982</v>
      </c>
      <c r="I867" s="7">
        <f t="shared" si="27"/>
        <v>9.6874999999999982</v>
      </c>
    </row>
    <row r="868" spans="1:9" x14ac:dyDescent="0.2">
      <c r="A868" t="s">
        <v>966</v>
      </c>
      <c r="B868">
        <v>3.355</v>
      </c>
      <c r="C868">
        <v>4.6984999999999999E-2</v>
      </c>
      <c r="D868">
        <v>238</v>
      </c>
      <c r="E868" t="s">
        <v>966</v>
      </c>
      <c r="F868">
        <v>238</v>
      </c>
      <c r="G868" s="1">
        <v>45164</v>
      </c>
      <c r="H868" s="6">
        <f t="shared" si="26"/>
        <v>9.6979166666666643</v>
      </c>
      <c r="I868" s="7">
        <f t="shared" si="27"/>
        <v>9.6979166666666643</v>
      </c>
    </row>
    <row r="869" spans="1:9" x14ac:dyDescent="0.2">
      <c r="A869" t="s">
        <v>967</v>
      </c>
      <c r="B869">
        <v>3.343</v>
      </c>
      <c r="C869">
        <v>4.6835000000000002E-2</v>
      </c>
      <c r="D869">
        <v>238</v>
      </c>
      <c r="E869" t="s">
        <v>967</v>
      </c>
      <c r="F869">
        <v>238</v>
      </c>
      <c r="G869" s="1">
        <v>45164</v>
      </c>
      <c r="H869" s="6">
        <f t="shared" si="26"/>
        <v>9.7083333333333304</v>
      </c>
      <c r="I869" s="7">
        <f t="shared" si="27"/>
        <v>9.7083333333333304</v>
      </c>
    </row>
    <row r="870" spans="1:9" x14ac:dyDescent="0.2">
      <c r="A870" t="s">
        <v>968</v>
      </c>
      <c r="B870">
        <v>3.3494999999999999</v>
      </c>
      <c r="C870">
        <v>4.6914999999999998E-2</v>
      </c>
      <c r="D870">
        <v>238</v>
      </c>
      <c r="E870" t="s">
        <v>968</v>
      </c>
      <c r="F870">
        <v>238</v>
      </c>
      <c r="G870" s="1">
        <v>45164</v>
      </c>
      <c r="H870" s="6">
        <f t="shared" si="26"/>
        <v>9.7187499999999964</v>
      </c>
      <c r="I870" s="7">
        <f t="shared" si="27"/>
        <v>9.7187499999999964</v>
      </c>
    </row>
    <row r="871" spans="1:9" x14ac:dyDescent="0.2">
      <c r="A871" t="s">
        <v>969</v>
      </c>
      <c r="B871">
        <v>3.3559999999999999</v>
      </c>
      <c r="C871">
        <v>4.7010000000000003E-2</v>
      </c>
      <c r="D871">
        <v>238</v>
      </c>
      <c r="E871" t="s">
        <v>969</v>
      </c>
      <c r="F871">
        <v>238</v>
      </c>
      <c r="G871" s="1">
        <v>45164</v>
      </c>
      <c r="H871" s="6">
        <f t="shared" si="26"/>
        <v>9.7291666666666625</v>
      </c>
      <c r="I871" s="7">
        <f t="shared" si="27"/>
        <v>9.7291666666666625</v>
      </c>
    </row>
    <row r="872" spans="1:9" x14ac:dyDescent="0.2">
      <c r="A872" t="s">
        <v>970</v>
      </c>
      <c r="B872">
        <v>3.3595000000000002</v>
      </c>
      <c r="C872">
        <v>4.7055E-2</v>
      </c>
      <c r="D872">
        <v>238</v>
      </c>
      <c r="E872" t="s">
        <v>970</v>
      </c>
      <c r="F872">
        <v>238</v>
      </c>
      <c r="G872" s="1">
        <v>45164</v>
      </c>
      <c r="H872" s="6">
        <f t="shared" si="26"/>
        <v>9.7395833333333286</v>
      </c>
      <c r="I872" s="7">
        <f t="shared" si="27"/>
        <v>9.7395833333333286</v>
      </c>
    </row>
    <row r="873" spans="1:9" x14ac:dyDescent="0.2">
      <c r="A873" t="s">
        <v>971</v>
      </c>
      <c r="B873">
        <v>3.3374999999999999</v>
      </c>
      <c r="C873" s="2" t="s">
        <v>972</v>
      </c>
      <c r="D873">
        <v>239</v>
      </c>
      <c r="E873" t="s">
        <v>971</v>
      </c>
      <c r="F873">
        <v>238</v>
      </c>
      <c r="G873" s="1">
        <v>45164</v>
      </c>
      <c r="H873" s="6">
        <f t="shared" si="26"/>
        <v>9.7499999999999947</v>
      </c>
      <c r="I873" s="7">
        <f t="shared" si="27"/>
        <v>9.7499999999999947</v>
      </c>
    </row>
    <row r="874" spans="1:9" x14ac:dyDescent="0.2">
      <c r="A874" t="s">
        <v>973</v>
      </c>
      <c r="B874">
        <v>3.3855</v>
      </c>
      <c r="C874">
        <v>4.7399999999999998E-2</v>
      </c>
      <c r="D874">
        <v>239</v>
      </c>
      <c r="E874" t="s">
        <v>973</v>
      </c>
      <c r="F874">
        <v>238</v>
      </c>
      <c r="G874" s="1">
        <v>45164</v>
      </c>
      <c r="H874" s="6">
        <f t="shared" si="26"/>
        <v>9.7604166666666607</v>
      </c>
      <c r="I874" s="7">
        <f t="shared" si="27"/>
        <v>9.7604166666666607</v>
      </c>
    </row>
    <row r="875" spans="1:9" x14ac:dyDescent="0.2">
      <c r="A875" t="s">
        <v>974</v>
      </c>
      <c r="B875">
        <v>3.3734999999999999</v>
      </c>
      <c r="C875">
        <v>4.7234999999999999E-2</v>
      </c>
      <c r="D875">
        <v>239</v>
      </c>
      <c r="E875" t="s">
        <v>974</v>
      </c>
      <c r="F875">
        <v>238</v>
      </c>
      <c r="G875" s="1">
        <v>45164</v>
      </c>
      <c r="H875" s="6">
        <f t="shared" si="26"/>
        <v>9.7708333333333268</v>
      </c>
      <c r="I875" s="7">
        <f t="shared" si="27"/>
        <v>9.7708333333333268</v>
      </c>
    </row>
    <row r="876" spans="1:9" x14ac:dyDescent="0.2">
      <c r="A876" t="s">
        <v>975</v>
      </c>
      <c r="B876">
        <v>3.4095</v>
      </c>
      <c r="C876">
        <v>4.7750000000000001E-2</v>
      </c>
      <c r="D876">
        <v>239</v>
      </c>
      <c r="E876" t="s">
        <v>975</v>
      </c>
      <c r="F876">
        <v>238</v>
      </c>
      <c r="G876" s="1">
        <v>45164</v>
      </c>
      <c r="H876" s="6">
        <f t="shared" si="26"/>
        <v>9.7812499999999929</v>
      </c>
      <c r="I876" s="7">
        <f t="shared" si="27"/>
        <v>9.7812499999999929</v>
      </c>
    </row>
    <row r="877" spans="1:9" x14ac:dyDescent="0.2">
      <c r="A877" t="s">
        <v>976</v>
      </c>
      <c r="B877">
        <v>3.4064999999999999</v>
      </c>
      <c r="C877">
        <v>4.7695000000000001E-2</v>
      </c>
      <c r="D877">
        <v>239</v>
      </c>
      <c r="E877" t="s">
        <v>976</v>
      </c>
      <c r="F877">
        <v>238</v>
      </c>
      <c r="G877" s="1">
        <v>45164</v>
      </c>
      <c r="H877" s="6">
        <f t="shared" si="26"/>
        <v>9.791666666666659</v>
      </c>
      <c r="I877" s="7">
        <f t="shared" si="27"/>
        <v>9.791666666666659</v>
      </c>
    </row>
    <row r="878" spans="1:9" x14ac:dyDescent="0.2">
      <c r="A878" t="s">
        <v>977</v>
      </c>
      <c r="B878">
        <v>3.4235000000000002</v>
      </c>
      <c r="C878">
        <v>4.7945000000000002E-2</v>
      </c>
      <c r="D878">
        <v>239</v>
      </c>
      <c r="E878" t="s">
        <v>977</v>
      </c>
      <c r="F878">
        <v>238</v>
      </c>
      <c r="G878" s="1">
        <v>45164</v>
      </c>
      <c r="H878" s="6">
        <f t="shared" si="26"/>
        <v>9.802083333333325</v>
      </c>
      <c r="I878" s="7">
        <f t="shared" si="27"/>
        <v>9.802083333333325</v>
      </c>
    </row>
    <row r="879" spans="1:9" x14ac:dyDescent="0.2">
      <c r="A879" t="s">
        <v>978</v>
      </c>
      <c r="B879">
        <v>3.4344999999999999</v>
      </c>
      <c r="C879">
        <v>4.8099999999999997E-2</v>
      </c>
      <c r="D879">
        <v>239</v>
      </c>
      <c r="E879" t="s">
        <v>978</v>
      </c>
      <c r="F879">
        <v>238</v>
      </c>
      <c r="G879" s="1">
        <v>45164</v>
      </c>
      <c r="H879" s="6">
        <f t="shared" si="26"/>
        <v>9.8124999999999911</v>
      </c>
      <c r="I879" s="7">
        <f t="shared" si="27"/>
        <v>9.8124999999999911</v>
      </c>
    </row>
    <row r="880" spans="1:9" x14ac:dyDescent="0.2">
      <c r="A880" t="s">
        <v>979</v>
      </c>
      <c r="B880">
        <v>3.4205000000000001</v>
      </c>
      <c r="C880">
        <v>4.7919999999999997E-2</v>
      </c>
      <c r="D880">
        <v>239</v>
      </c>
      <c r="E880" t="s">
        <v>979</v>
      </c>
      <c r="F880">
        <v>238</v>
      </c>
      <c r="G880" s="1">
        <v>45164</v>
      </c>
      <c r="H880" s="6">
        <f t="shared" si="26"/>
        <v>9.8229166666666572</v>
      </c>
      <c r="I880" s="7">
        <f t="shared" si="27"/>
        <v>9.8229166666666572</v>
      </c>
    </row>
    <row r="881" spans="1:9" x14ac:dyDescent="0.2">
      <c r="A881" t="s">
        <v>980</v>
      </c>
      <c r="B881">
        <v>3.4359999999999999</v>
      </c>
      <c r="C881" s="2" t="s">
        <v>981</v>
      </c>
      <c r="D881">
        <v>239</v>
      </c>
      <c r="E881" t="s">
        <v>980</v>
      </c>
      <c r="F881">
        <v>238</v>
      </c>
      <c r="G881" s="1">
        <v>45164</v>
      </c>
      <c r="H881" s="6">
        <f t="shared" si="26"/>
        <v>9.8333333333333233</v>
      </c>
      <c r="I881" s="7">
        <f t="shared" si="27"/>
        <v>9.8333333333333233</v>
      </c>
    </row>
    <row r="882" spans="1:9" x14ac:dyDescent="0.2">
      <c r="A882" t="s">
        <v>982</v>
      </c>
      <c r="B882">
        <v>3.4550000000000001</v>
      </c>
      <c r="C882">
        <v>4.8370000000000003E-2</v>
      </c>
      <c r="D882">
        <v>239</v>
      </c>
      <c r="E882" t="s">
        <v>982</v>
      </c>
      <c r="F882">
        <v>238</v>
      </c>
      <c r="G882" s="1">
        <v>45164</v>
      </c>
      <c r="H882" s="6">
        <f t="shared" si="26"/>
        <v>9.8437499999999893</v>
      </c>
      <c r="I882" s="7">
        <f t="shared" si="27"/>
        <v>9.8437499999999893</v>
      </c>
    </row>
    <row r="883" spans="1:9" x14ac:dyDescent="0.2">
      <c r="A883" t="s">
        <v>983</v>
      </c>
      <c r="B883">
        <v>3.4630000000000001</v>
      </c>
      <c r="C883">
        <v>4.8520000000000001E-2</v>
      </c>
      <c r="D883">
        <v>239</v>
      </c>
      <c r="E883" t="s">
        <v>983</v>
      </c>
      <c r="F883">
        <v>238</v>
      </c>
      <c r="G883" s="1">
        <v>45164</v>
      </c>
      <c r="H883" s="6">
        <f t="shared" si="26"/>
        <v>9.8541666666666554</v>
      </c>
      <c r="I883" s="7">
        <f t="shared" si="27"/>
        <v>9.8541666666666554</v>
      </c>
    </row>
    <row r="884" spans="1:9" x14ac:dyDescent="0.2">
      <c r="A884" t="s">
        <v>984</v>
      </c>
      <c r="B884">
        <v>3.516</v>
      </c>
      <c r="C884">
        <v>4.9259999999999998E-2</v>
      </c>
      <c r="D884">
        <v>239</v>
      </c>
      <c r="E884" t="s">
        <v>984</v>
      </c>
      <c r="F884">
        <v>238</v>
      </c>
      <c r="G884" s="1">
        <v>45164</v>
      </c>
      <c r="H884" s="6">
        <f t="shared" si="26"/>
        <v>9.8645833333333215</v>
      </c>
      <c r="I884" s="7">
        <f t="shared" si="27"/>
        <v>9.8645833333333215</v>
      </c>
    </row>
    <row r="885" spans="1:9" x14ac:dyDescent="0.2">
      <c r="A885" t="s">
        <v>985</v>
      </c>
      <c r="B885" s="2" t="s">
        <v>986</v>
      </c>
      <c r="C885">
        <v>4.9149999999999999E-2</v>
      </c>
      <c r="D885">
        <v>239</v>
      </c>
      <c r="E885" t="s">
        <v>985</v>
      </c>
      <c r="F885">
        <v>238</v>
      </c>
      <c r="G885" s="1">
        <v>45164</v>
      </c>
      <c r="H885" s="6">
        <f t="shared" si="26"/>
        <v>9.8749999999999876</v>
      </c>
      <c r="I885" s="7">
        <f t="shared" si="27"/>
        <v>9.8749999999999876</v>
      </c>
    </row>
    <row r="886" spans="1:9" x14ac:dyDescent="0.2">
      <c r="A886" t="s">
        <v>987</v>
      </c>
      <c r="B886">
        <v>3.5445000000000002</v>
      </c>
      <c r="C886">
        <v>4.9660000000000003E-2</v>
      </c>
      <c r="D886">
        <v>239</v>
      </c>
      <c r="E886" t="s">
        <v>987</v>
      </c>
      <c r="F886">
        <v>238</v>
      </c>
      <c r="G886" s="1">
        <v>45164</v>
      </c>
      <c r="H886" s="6">
        <f t="shared" si="26"/>
        <v>9.8854166666666536</v>
      </c>
      <c r="I886" s="7">
        <f t="shared" si="27"/>
        <v>9.8854166666666536</v>
      </c>
    </row>
    <row r="887" spans="1:9" x14ac:dyDescent="0.2">
      <c r="A887" t="s">
        <v>988</v>
      </c>
      <c r="B887">
        <v>3.6095000000000002</v>
      </c>
      <c r="C887">
        <v>5.0540000000000002E-2</v>
      </c>
      <c r="D887">
        <v>239</v>
      </c>
      <c r="E887" t="s">
        <v>988</v>
      </c>
      <c r="F887">
        <v>238</v>
      </c>
      <c r="G887" s="1">
        <v>45164</v>
      </c>
      <c r="H887" s="6">
        <f t="shared" si="26"/>
        <v>9.8958333333333197</v>
      </c>
      <c r="I887" s="7">
        <f t="shared" si="27"/>
        <v>9.8958333333333197</v>
      </c>
    </row>
    <row r="888" spans="1:9" x14ac:dyDescent="0.2">
      <c r="A888" t="s">
        <v>989</v>
      </c>
      <c r="B888">
        <v>3.6105</v>
      </c>
      <c r="C888">
        <v>5.0575000000000002E-2</v>
      </c>
      <c r="D888">
        <v>239</v>
      </c>
      <c r="E888" t="s">
        <v>989</v>
      </c>
      <c r="F888">
        <v>238</v>
      </c>
      <c r="G888" s="1">
        <v>45164</v>
      </c>
      <c r="H888" s="6">
        <f t="shared" si="26"/>
        <v>9.9062499999999858</v>
      </c>
      <c r="I888" s="7">
        <f t="shared" si="27"/>
        <v>9.9062499999999858</v>
      </c>
    </row>
    <row r="889" spans="1:9" x14ac:dyDescent="0.2">
      <c r="A889" t="s">
        <v>990</v>
      </c>
      <c r="B889">
        <v>3.673</v>
      </c>
      <c r="C889">
        <v>5.1459999999999999E-2</v>
      </c>
      <c r="D889">
        <v>239</v>
      </c>
      <c r="E889" t="s">
        <v>990</v>
      </c>
      <c r="F889">
        <v>238</v>
      </c>
      <c r="G889" s="1">
        <v>45164</v>
      </c>
      <c r="H889" s="6">
        <f t="shared" si="26"/>
        <v>9.9166666666666519</v>
      </c>
      <c r="I889" s="7">
        <f t="shared" si="27"/>
        <v>9.9166666666666519</v>
      </c>
    </row>
    <row r="890" spans="1:9" x14ac:dyDescent="0.2">
      <c r="A890" t="s">
        <v>991</v>
      </c>
      <c r="B890">
        <v>3.7284999999999999</v>
      </c>
      <c r="C890">
        <v>5.2225000000000001E-2</v>
      </c>
      <c r="D890">
        <v>239</v>
      </c>
      <c r="E890" t="s">
        <v>991</v>
      </c>
      <c r="F890">
        <v>238</v>
      </c>
      <c r="G890" s="1">
        <v>45164</v>
      </c>
      <c r="H890" s="6">
        <f t="shared" si="26"/>
        <v>9.9270833333333179</v>
      </c>
      <c r="I890" s="7">
        <f t="shared" si="27"/>
        <v>9.9270833333333179</v>
      </c>
    </row>
    <row r="891" spans="1:9" x14ac:dyDescent="0.2">
      <c r="A891" t="s">
        <v>992</v>
      </c>
      <c r="B891">
        <v>3.7559999999999998</v>
      </c>
      <c r="C891">
        <v>5.2595000000000003E-2</v>
      </c>
      <c r="D891">
        <v>239</v>
      </c>
      <c r="E891" t="s">
        <v>992</v>
      </c>
      <c r="F891">
        <v>238</v>
      </c>
      <c r="G891" s="1">
        <v>45164</v>
      </c>
      <c r="H891" s="6">
        <f t="shared" si="26"/>
        <v>9.937499999999984</v>
      </c>
      <c r="I891" s="7">
        <f t="shared" si="27"/>
        <v>9.937499999999984</v>
      </c>
    </row>
    <row r="892" spans="1:9" x14ac:dyDescent="0.2">
      <c r="A892" t="s">
        <v>993</v>
      </c>
      <c r="B892">
        <v>3.7845</v>
      </c>
      <c r="C892">
        <v>5.3004999999999997E-2</v>
      </c>
      <c r="D892">
        <v>239</v>
      </c>
      <c r="E892" t="s">
        <v>993</v>
      </c>
      <c r="F892">
        <v>238</v>
      </c>
      <c r="G892" s="1">
        <v>45164</v>
      </c>
      <c r="H892" s="6">
        <f t="shared" si="26"/>
        <v>9.9479166666666501</v>
      </c>
      <c r="I892" s="7">
        <f t="shared" si="27"/>
        <v>9.9479166666666501</v>
      </c>
    </row>
    <row r="893" spans="1:9" x14ac:dyDescent="0.2">
      <c r="A893" t="s">
        <v>994</v>
      </c>
      <c r="B893">
        <v>3.8795000000000002</v>
      </c>
      <c r="C893">
        <v>5.4350000000000002E-2</v>
      </c>
      <c r="D893">
        <v>239</v>
      </c>
      <c r="E893" t="s">
        <v>994</v>
      </c>
      <c r="F893">
        <v>238</v>
      </c>
      <c r="G893" s="1">
        <v>45164</v>
      </c>
      <c r="H893" s="6">
        <f t="shared" si="26"/>
        <v>9.9583333333333162</v>
      </c>
      <c r="I893" s="7">
        <f t="shared" si="27"/>
        <v>9.9583333333333162</v>
      </c>
    </row>
    <row r="894" spans="1:9" x14ac:dyDescent="0.2">
      <c r="A894" t="s">
        <v>995</v>
      </c>
      <c r="B894">
        <v>3.9089999999999998</v>
      </c>
      <c r="C894">
        <v>5.4760000000000003E-2</v>
      </c>
      <c r="D894">
        <v>239</v>
      </c>
      <c r="E894" t="s">
        <v>995</v>
      </c>
      <c r="F894">
        <v>238</v>
      </c>
      <c r="G894" s="1">
        <v>45164</v>
      </c>
      <c r="H894" s="6">
        <f t="shared" si="26"/>
        <v>9.9687499999999822</v>
      </c>
      <c r="I894" s="7">
        <f t="shared" si="27"/>
        <v>9.9687499999999822</v>
      </c>
    </row>
    <row r="895" spans="1:9" x14ac:dyDescent="0.2">
      <c r="A895" t="s">
        <v>996</v>
      </c>
      <c r="B895">
        <v>3.9205000000000001</v>
      </c>
      <c r="C895">
        <v>5.4925000000000002E-2</v>
      </c>
      <c r="D895">
        <v>239</v>
      </c>
      <c r="E895" t="s">
        <v>996</v>
      </c>
      <c r="F895">
        <v>238</v>
      </c>
      <c r="G895" s="1">
        <v>45164</v>
      </c>
      <c r="H895" s="6">
        <f t="shared" si="26"/>
        <v>9.9791666666666483</v>
      </c>
      <c r="I895" s="7">
        <f t="shared" si="27"/>
        <v>9.9791666666666483</v>
      </c>
    </row>
    <row r="896" spans="1:9" x14ac:dyDescent="0.2">
      <c r="A896" t="s">
        <v>997</v>
      </c>
      <c r="B896">
        <v>4.0220000000000002</v>
      </c>
      <c r="C896">
        <v>5.6349999999999997E-2</v>
      </c>
      <c r="D896">
        <v>239</v>
      </c>
      <c r="E896" t="s">
        <v>997</v>
      </c>
      <c r="F896">
        <v>238</v>
      </c>
      <c r="G896" s="1">
        <v>45164</v>
      </c>
      <c r="H896" s="6">
        <f t="shared" si="26"/>
        <v>9.9895833333333144</v>
      </c>
      <c r="I896" s="7">
        <f t="shared" si="27"/>
        <v>9.9895833333333144</v>
      </c>
    </row>
    <row r="897" spans="1:9" x14ac:dyDescent="0.2">
      <c r="A897" t="s">
        <v>998</v>
      </c>
      <c r="B897">
        <v>4.0449999999999999</v>
      </c>
      <c r="C897">
        <v>5.6669999999999998E-2</v>
      </c>
      <c r="D897">
        <v>239</v>
      </c>
      <c r="E897" t="s">
        <v>998</v>
      </c>
      <c r="F897">
        <v>239</v>
      </c>
      <c r="G897" s="1">
        <v>45165</v>
      </c>
      <c r="H897" s="6">
        <f t="shared" si="26"/>
        <v>9.9999999999999805</v>
      </c>
      <c r="I897" s="7">
        <f t="shared" si="27"/>
        <v>9.9999999999999805</v>
      </c>
    </row>
    <row r="898" spans="1:9" x14ac:dyDescent="0.2">
      <c r="A898" t="s">
        <v>999</v>
      </c>
      <c r="B898">
        <v>4.0750000000000002</v>
      </c>
      <c r="C898">
        <v>5.7099999999999998E-2</v>
      </c>
      <c r="D898">
        <v>239</v>
      </c>
      <c r="E898" t="s">
        <v>999</v>
      </c>
      <c r="F898">
        <v>239</v>
      </c>
      <c r="G898" s="1">
        <v>45165</v>
      </c>
      <c r="H898" s="6">
        <f t="shared" si="26"/>
        <v>10.010416666666647</v>
      </c>
      <c r="I898" s="7">
        <f t="shared" si="27"/>
        <v>10.010416666666647</v>
      </c>
    </row>
    <row r="899" spans="1:9" x14ac:dyDescent="0.2">
      <c r="A899" t="s">
        <v>1000</v>
      </c>
      <c r="B899">
        <v>4.1044999999999998</v>
      </c>
      <c r="C899">
        <v>5.7494999999999997E-2</v>
      </c>
      <c r="D899">
        <v>239</v>
      </c>
      <c r="E899" t="s">
        <v>1000</v>
      </c>
      <c r="F899">
        <v>239</v>
      </c>
      <c r="G899" s="1">
        <v>45165</v>
      </c>
      <c r="H899" s="6">
        <f t="shared" ref="H899:H962" si="28">H898+$K$1</f>
        <v>10.020833333333313</v>
      </c>
      <c r="I899" s="7">
        <f t="shared" ref="I899:I962" si="29">I898+$K$1</f>
        <v>10.020833333333313</v>
      </c>
    </row>
    <row r="900" spans="1:9" x14ac:dyDescent="0.2">
      <c r="A900" t="s">
        <v>1001</v>
      </c>
      <c r="B900">
        <v>4.1254999999999997</v>
      </c>
      <c r="C900">
        <v>5.7790000000000001E-2</v>
      </c>
      <c r="D900">
        <v>239</v>
      </c>
      <c r="E900" t="s">
        <v>1001</v>
      </c>
      <c r="F900">
        <v>239</v>
      </c>
      <c r="G900" s="1">
        <v>45165</v>
      </c>
      <c r="H900" s="6">
        <f t="shared" si="28"/>
        <v>10.031249999999979</v>
      </c>
      <c r="I900" s="7">
        <f t="shared" si="29"/>
        <v>10.031249999999979</v>
      </c>
    </row>
    <row r="901" spans="1:9" x14ac:dyDescent="0.2">
      <c r="A901" t="s">
        <v>1002</v>
      </c>
      <c r="B901" s="2" t="s">
        <v>1003</v>
      </c>
      <c r="C901">
        <v>5.7825000000000001E-2</v>
      </c>
      <c r="D901">
        <v>239</v>
      </c>
      <c r="E901" t="s">
        <v>1002</v>
      </c>
      <c r="F901">
        <v>239</v>
      </c>
      <c r="G901" s="1">
        <v>45165</v>
      </c>
      <c r="H901" s="6">
        <f t="shared" si="28"/>
        <v>10.041666666666645</v>
      </c>
      <c r="I901" s="7">
        <f t="shared" si="29"/>
        <v>10.041666666666645</v>
      </c>
    </row>
    <row r="902" spans="1:9" x14ac:dyDescent="0.2">
      <c r="A902" t="s">
        <v>1004</v>
      </c>
      <c r="B902">
        <v>4.1539999999999999</v>
      </c>
      <c r="C902">
        <v>5.8205E-2</v>
      </c>
      <c r="D902">
        <v>239</v>
      </c>
      <c r="E902" t="s">
        <v>1004</v>
      </c>
      <c r="F902">
        <v>239</v>
      </c>
      <c r="G902" s="1">
        <v>45165</v>
      </c>
      <c r="H902" s="6">
        <f t="shared" si="28"/>
        <v>10.052083333333311</v>
      </c>
      <c r="I902" s="7">
        <f t="shared" si="29"/>
        <v>10.052083333333311</v>
      </c>
    </row>
    <row r="903" spans="1:9" x14ac:dyDescent="0.2">
      <c r="A903" t="s">
        <v>1005</v>
      </c>
      <c r="B903" s="2" t="s">
        <v>1006</v>
      </c>
      <c r="C903">
        <v>5.8474999999999999E-2</v>
      </c>
      <c r="D903">
        <v>239</v>
      </c>
      <c r="E903" t="s">
        <v>1005</v>
      </c>
      <c r="F903">
        <v>239</v>
      </c>
      <c r="G903" s="1">
        <v>45165</v>
      </c>
      <c r="H903" s="6">
        <f t="shared" si="28"/>
        <v>10.062499999999977</v>
      </c>
      <c r="I903" s="7">
        <f t="shared" si="29"/>
        <v>10.062499999999977</v>
      </c>
    </row>
    <row r="904" spans="1:9" x14ac:dyDescent="0.2">
      <c r="A904" t="s">
        <v>1007</v>
      </c>
      <c r="B904">
        <v>4.1025</v>
      </c>
      <c r="C904">
        <v>5.7474999999999998E-2</v>
      </c>
      <c r="D904">
        <v>239</v>
      </c>
      <c r="E904" t="s">
        <v>1007</v>
      </c>
      <c r="F904">
        <v>239</v>
      </c>
      <c r="G904" s="1">
        <v>45165</v>
      </c>
      <c r="H904" s="6">
        <f t="shared" si="28"/>
        <v>10.072916666666643</v>
      </c>
      <c r="I904" s="7">
        <f t="shared" si="29"/>
        <v>10.072916666666643</v>
      </c>
    </row>
    <row r="905" spans="1:9" x14ac:dyDescent="0.2">
      <c r="A905" t="s">
        <v>1008</v>
      </c>
      <c r="B905">
        <v>4.1769999999999996</v>
      </c>
      <c r="C905">
        <v>5.849E-2</v>
      </c>
      <c r="D905">
        <v>239</v>
      </c>
      <c r="E905" t="s">
        <v>1008</v>
      </c>
      <c r="F905">
        <v>239</v>
      </c>
      <c r="G905" s="1">
        <v>45165</v>
      </c>
      <c r="H905" s="6">
        <f t="shared" si="28"/>
        <v>10.083333333333309</v>
      </c>
      <c r="I905" s="7">
        <f t="shared" si="29"/>
        <v>10.083333333333309</v>
      </c>
    </row>
    <row r="906" spans="1:9" x14ac:dyDescent="0.2">
      <c r="A906" t="s">
        <v>1009</v>
      </c>
      <c r="B906">
        <v>4.1745000000000001</v>
      </c>
      <c r="C906">
        <v>5.8485000000000002E-2</v>
      </c>
      <c r="D906">
        <v>239</v>
      </c>
      <c r="E906" t="s">
        <v>1009</v>
      </c>
      <c r="F906">
        <v>239</v>
      </c>
      <c r="G906" s="1">
        <v>45165</v>
      </c>
      <c r="H906" s="6">
        <f t="shared" si="28"/>
        <v>10.093749999999975</v>
      </c>
      <c r="I906" s="7">
        <f t="shared" si="29"/>
        <v>10.093749999999975</v>
      </c>
    </row>
    <row r="907" spans="1:9" x14ac:dyDescent="0.2">
      <c r="A907" t="s">
        <v>1010</v>
      </c>
      <c r="B907">
        <v>4.1630000000000003</v>
      </c>
      <c r="C907">
        <v>5.8299999999999998E-2</v>
      </c>
      <c r="D907">
        <v>239</v>
      </c>
      <c r="E907" t="s">
        <v>1010</v>
      </c>
      <c r="F907">
        <v>239</v>
      </c>
      <c r="G907" s="1">
        <v>45165</v>
      </c>
      <c r="H907" s="6">
        <f t="shared" si="28"/>
        <v>10.104166666666641</v>
      </c>
      <c r="I907" s="7">
        <f t="shared" si="29"/>
        <v>10.104166666666641</v>
      </c>
    </row>
    <row r="908" spans="1:9" x14ac:dyDescent="0.2">
      <c r="A908" t="s">
        <v>1011</v>
      </c>
      <c r="B908">
        <v>4.1524999999999999</v>
      </c>
      <c r="C908">
        <v>5.8160000000000003E-2</v>
      </c>
      <c r="D908">
        <v>239</v>
      </c>
      <c r="E908" t="s">
        <v>1011</v>
      </c>
      <c r="F908">
        <v>239</v>
      </c>
      <c r="G908" s="1">
        <v>45165</v>
      </c>
      <c r="H908" s="6">
        <f t="shared" si="28"/>
        <v>10.114583333333307</v>
      </c>
      <c r="I908" s="7">
        <f t="shared" si="29"/>
        <v>10.114583333333307</v>
      </c>
    </row>
    <row r="909" spans="1:9" x14ac:dyDescent="0.2">
      <c r="A909" t="s">
        <v>1012</v>
      </c>
      <c r="B909">
        <v>4.1500000000000004</v>
      </c>
      <c r="C909">
        <v>5.8125000000000003E-2</v>
      </c>
      <c r="D909">
        <v>239</v>
      </c>
      <c r="E909" t="s">
        <v>1012</v>
      </c>
      <c r="F909">
        <v>239</v>
      </c>
      <c r="G909" s="1">
        <v>45165</v>
      </c>
      <c r="H909" s="6">
        <f t="shared" si="28"/>
        <v>10.124999999999973</v>
      </c>
      <c r="I909" s="7">
        <f t="shared" si="29"/>
        <v>10.124999999999973</v>
      </c>
    </row>
    <row r="910" spans="1:9" x14ac:dyDescent="0.2">
      <c r="A910" t="s">
        <v>1013</v>
      </c>
      <c r="B910">
        <v>4.1840000000000002</v>
      </c>
      <c r="C910">
        <v>5.8615E-2</v>
      </c>
      <c r="D910">
        <v>239</v>
      </c>
      <c r="E910" t="s">
        <v>1013</v>
      </c>
      <c r="F910">
        <v>239</v>
      </c>
      <c r="G910" s="1">
        <v>45165</v>
      </c>
      <c r="H910" s="6">
        <f t="shared" si="28"/>
        <v>10.135416666666639</v>
      </c>
      <c r="I910" s="7">
        <f t="shared" si="29"/>
        <v>10.135416666666639</v>
      </c>
    </row>
    <row r="911" spans="1:9" x14ac:dyDescent="0.2">
      <c r="A911" t="s">
        <v>1014</v>
      </c>
      <c r="B911">
        <v>4.1710000000000003</v>
      </c>
      <c r="C911">
        <v>5.8404999999999999E-2</v>
      </c>
      <c r="D911">
        <v>239</v>
      </c>
      <c r="E911" t="s">
        <v>1014</v>
      </c>
      <c r="F911">
        <v>239</v>
      </c>
      <c r="G911" s="1">
        <v>45165</v>
      </c>
      <c r="H911" s="6">
        <f t="shared" si="28"/>
        <v>10.145833333333306</v>
      </c>
      <c r="I911" s="7">
        <f t="shared" si="29"/>
        <v>10.145833333333306</v>
      </c>
    </row>
    <row r="912" spans="1:9" x14ac:dyDescent="0.2">
      <c r="A912" t="s">
        <v>1015</v>
      </c>
      <c r="B912">
        <v>4.17</v>
      </c>
      <c r="C912">
        <v>5.8395000000000002E-2</v>
      </c>
      <c r="D912">
        <v>239</v>
      </c>
      <c r="E912" t="s">
        <v>1015</v>
      </c>
      <c r="F912">
        <v>239</v>
      </c>
      <c r="G912" s="1">
        <v>45165</v>
      </c>
      <c r="H912" s="6">
        <f t="shared" si="28"/>
        <v>10.156249999999972</v>
      </c>
      <c r="I912" s="7">
        <f t="shared" si="29"/>
        <v>10.156249999999972</v>
      </c>
    </row>
    <row r="913" spans="1:9" x14ac:dyDescent="0.2">
      <c r="A913" t="s">
        <v>1016</v>
      </c>
      <c r="B913">
        <v>4.1745000000000001</v>
      </c>
      <c r="C913">
        <v>5.8479999999999997E-2</v>
      </c>
      <c r="D913">
        <v>239</v>
      </c>
      <c r="E913" t="s">
        <v>1016</v>
      </c>
      <c r="F913">
        <v>239</v>
      </c>
      <c r="G913" s="1">
        <v>45165</v>
      </c>
      <c r="H913" s="6">
        <f t="shared" si="28"/>
        <v>10.166666666666638</v>
      </c>
      <c r="I913" s="7">
        <f t="shared" si="29"/>
        <v>10.166666666666638</v>
      </c>
    </row>
    <row r="914" spans="1:9" x14ac:dyDescent="0.2">
      <c r="A914" t="s">
        <v>1017</v>
      </c>
      <c r="B914">
        <v>4.1520000000000001</v>
      </c>
      <c r="C914">
        <v>5.8174999999999998E-2</v>
      </c>
      <c r="D914">
        <v>239</v>
      </c>
      <c r="E914" t="s">
        <v>1017</v>
      </c>
      <c r="F914">
        <v>239</v>
      </c>
      <c r="G914" s="1">
        <v>45165</v>
      </c>
      <c r="H914" s="6">
        <f t="shared" si="28"/>
        <v>10.177083333333304</v>
      </c>
      <c r="I914" s="7">
        <f t="shared" si="29"/>
        <v>10.177083333333304</v>
      </c>
    </row>
    <row r="915" spans="1:9" x14ac:dyDescent="0.2">
      <c r="A915" t="s">
        <v>1018</v>
      </c>
      <c r="B915">
        <v>4.1520000000000001</v>
      </c>
      <c r="C915">
        <v>5.8139999999999997E-2</v>
      </c>
      <c r="D915">
        <v>239</v>
      </c>
      <c r="E915" t="s">
        <v>1018</v>
      </c>
      <c r="F915">
        <v>239</v>
      </c>
      <c r="G915" s="1">
        <v>45165</v>
      </c>
      <c r="H915" s="6">
        <f t="shared" si="28"/>
        <v>10.18749999999997</v>
      </c>
      <c r="I915" s="7">
        <f t="shared" si="29"/>
        <v>10.18749999999997</v>
      </c>
    </row>
    <row r="916" spans="1:9" x14ac:dyDescent="0.2">
      <c r="A916" t="s">
        <v>1019</v>
      </c>
      <c r="B916">
        <v>4.1595000000000004</v>
      </c>
      <c r="C916">
        <v>5.8270000000000002E-2</v>
      </c>
      <c r="D916">
        <v>239</v>
      </c>
      <c r="E916" t="s">
        <v>1019</v>
      </c>
      <c r="F916">
        <v>239</v>
      </c>
      <c r="G916" s="1">
        <v>45165</v>
      </c>
      <c r="H916" s="6">
        <f t="shared" si="28"/>
        <v>10.197916666666636</v>
      </c>
      <c r="I916" s="7">
        <f t="shared" si="29"/>
        <v>10.197916666666636</v>
      </c>
    </row>
    <row r="917" spans="1:9" x14ac:dyDescent="0.2">
      <c r="A917" t="s">
        <v>1020</v>
      </c>
      <c r="B917">
        <v>4.1725000000000003</v>
      </c>
      <c r="C917">
        <v>5.8424999999999998E-2</v>
      </c>
      <c r="D917">
        <v>239</v>
      </c>
      <c r="E917" t="s">
        <v>1020</v>
      </c>
      <c r="F917">
        <v>239</v>
      </c>
      <c r="G917" s="1">
        <v>45165</v>
      </c>
      <c r="H917" s="6">
        <f t="shared" si="28"/>
        <v>10.208333333333302</v>
      </c>
      <c r="I917" s="7">
        <f t="shared" si="29"/>
        <v>10.208333333333302</v>
      </c>
    </row>
    <row r="918" spans="1:9" x14ac:dyDescent="0.2">
      <c r="A918" t="s">
        <v>1021</v>
      </c>
      <c r="B918">
        <v>4.1660000000000004</v>
      </c>
      <c r="C918">
        <v>5.8325000000000002E-2</v>
      </c>
      <c r="D918">
        <v>239</v>
      </c>
      <c r="E918" t="s">
        <v>1021</v>
      </c>
      <c r="F918">
        <v>239</v>
      </c>
      <c r="G918" s="1">
        <v>45165</v>
      </c>
      <c r="H918" s="6">
        <f t="shared" si="28"/>
        <v>10.218749999999968</v>
      </c>
      <c r="I918" s="7">
        <f t="shared" si="29"/>
        <v>10.218749999999968</v>
      </c>
    </row>
    <row r="919" spans="1:9" x14ac:dyDescent="0.2">
      <c r="A919" t="s">
        <v>1022</v>
      </c>
      <c r="B919">
        <v>4.1580000000000004</v>
      </c>
      <c r="C919">
        <v>5.8229999999999997E-2</v>
      </c>
      <c r="D919">
        <v>239</v>
      </c>
      <c r="E919" t="s">
        <v>1022</v>
      </c>
      <c r="F919">
        <v>239</v>
      </c>
      <c r="G919" s="1">
        <v>45165</v>
      </c>
      <c r="H919" s="6">
        <f t="shared" si="28"/>
        <v>10.229166666666634</v>
      </c>
      <c r="I919" s="7">
        <f t="shared" si="29"/>
        <v>10.229166666666634</v>
      </c>
    </row>
    <row r="920" spans="1:9" x14ac:dyDescent="0.2">
      <c r="A920" t="s">
        <v>1023</v>
      </c>
      <c r="B920">
        <v>4.1425000000000001</v>
      </c>
      <c r="C920">
        <v>5.8025E-2</v>
      </c>
      <c r="D920">
        <v>239</v>
      </c>
      <c r="E920" t="s">
        <v>1023</v>
      </c>
      <c r="F920">
        <v>239</v>
      </c>
      <c r="G920" s="1">
        <v>45165</v>
      </c>
      <c r="H920" s="6">
        <f t="shared" si="28"/>
        <v>10.2395833333333</v>
      </c>
      <c r="I920" s="7">
        <f t="shared" si="29"/>
        <v>10.2395833333333</v>
      </c>
    </row>
    <row r="921" spans="1:9" x14ac:dyDescent="0.2">
      <c r="A921" t="s">
        <v>1024</v>
      </c>
      <c r="B921">
        <v>4.17</v>
      </c>
      <c r="C921">
        <v>5.8389999999999997E-2</v>
      </c>
      <c r="D921">
        <v>239</v>
      </c>
      <c r="E921" t="s">
        <v>1024</v>
      </c>
      <c r="F921">
        <v>239</v>
      </c>
      <c r="G921" s="1">
        <v>45165</v>
      </c>
      <c r="H921" s="6">
        <f t="shared" si="28"/>
        <v>10.249999999999966</v>
      </c>
      <c r="I921" s="7">
        <f t="shared" si="29"/>
        <v>10.249999999999966</v>
      </c>
    </row>
    <row r="922" spans="1:9" x14ac:dyDescent="0.2">
      <c r="A922" t="s">
        <v>1025</v>
      </c>
      <c r="B922">
        <v>4.181</v>
      </c>
      <c r="C922">
        <v>5.8569999999999997E-2</v>
      </c>
      <c r="D922">
        <v>239</v>
      </c>
      <c r="E922" t="s">
        <v>1025</v>
      </c>
      <c r="F922">
        <v>239</v>
      </c>
      <c r="G922" s="1">
        <v>45165</v>
      </c>
      <c r="H922" s="6">
        <f t="shared" si="28"/>
        <v>10.260416666666632</v>
      </c>
      <c r="I922" s="7">
        <f t="shared" si="29"/>
        <v>10.260416666666632</v>
      </c>
    </row>
    <row r="923" spans="1:9" x14ac:dyDescent="0.2">
      <c r="A923" t="s">
        <v>1026</v>
      </c>
      <c r="B923">
        <v>4.1914999999999996</v>
      </c>
      <c r="C923">
        <v>5.8689999999999999E-2</v>
      </c>
      <c r="D923">
        <v>239</v>
      </c>
      <c r="E923" t="s">
        <v>1026</v>
      </c>
      <c r="F923">
        <v>239</v>
      </c>
      <c r="G923" s="1">
        <v>45165</v>
      </c>
      <c r="H923" s="6">
        <f t="shared" si="28"/>
        <v>10.270833333333298</v>
      </c>
      <c r="I923" s="7">
        <f t="shared" si="29"/>
        <v>10.270833333333298</v>
      </c>
    </row>
    <row r="924" spans="1:9" x14ac:dyDescent="0.2">
      <c r="A924" t="s">
        <v>1027</v>
      </c>
      <c r="B924">
        <v>4.1595000000000004</v>
      </c>
      <c r="C924">
        <v>5.8244999999999998E-2</v>
      </c>
      <c r="D924">
        <v>239</v>
      </c>
      <c r="E924" t="s">
        <v>1027</v>
      </c>
      <c r="F924">
        <v>239</v>
      </c>
      <c r="G924" s="1">
        <v>45165</v>
      </c>
      <c r="H924" s="6">
        <f t="shared" si="28"/>
        <v>10.281249999999964</v>
      </c>
      <c r="I924" s="7">
        <f t="shared" si="29"/>
        <v>10.281249999999964</v>
      </c>
    </row>
    <row r="925" spans="1:9" x14ac:dyDescent="0.2">
      <c r="A925" t="s">
        <v>1028</v>
      </c>
      <c r="B925">
        <v>4.1395</v>
      </c>
      <c r="C925">
        <v>5.799E-2</v>
      </c>
      <c r="D925">
        <v>239</v>
      </c>
      <c r="E925" t="s">
        <v>1028</v>
      </c>
      <c r="F925">
        <v>239</v>
      </c>
      <c r="G925" s="1">
        <v>45165</v>
      </c>
      <c r="H925" s="6">
        <f t="shared" si="28"/>
        <v>10.291666666666631</v>
      </c>
      <c r="I925" s="7">
        <f t="shared" si="29"/>
        <v>10.291666666666631</v>
      </c>
    </row>
    <row r="926" spans="1:9" x14ac:dyDescent="0.2">
      <c r="A926" t="s">
        <v>1029</v>
      </c>
      <c r="B926">
        <v>4.1364999999999998</v>
      </c>
      <c r="C926">
        <v>5.7970000000000001E-2</v>
      </c>
      <c r="D926">
        <v>239</v>
      </c>
      <c r="E926" t="s">
        <v>1029</v>
      </c>
      <c r="F926">
        <v>239</v>
      </c>
      <c r="G926" s="1">
        <v>45165</v>
      </c>
      <c r="H926" s="6">
        <f t="shared" si="28"/>
        <v>10.302083333333297</v>
      </c>
      <c r="I926" s="7">
        <f t="shared" si="29"/>
        <v>10.302083333333297</v>
      </c>
    </row>
    <row r="927" spans="1:9" x14ac:dyDescent="0.2">
      <c r="A927" t="s">
        <v>1030</v>
      </c>
      <c r="B927">
        <v>4.1105</v>
      </c>
      <c r="C927">
        <v>5.7590000000000002E-2</v>
      </c>
      <c r="D927">
        <v>239</v>
      </c>
      <c r="E927" t="s">
        <v>1030</v>
      </c>
      <c r="F927">
        <v>239</v>
      </c>
      <c r="G927" s="1">
        <v>45165</v>
      </c>
      <c r="H927" s="6">
        <f t="shared" si="28"/>
        <v>10.312499999999963</v>
      </c>
      <c r="I927" s="7">
        <f t="shared" si="29"/>
        <v>10.312499999999963</v>
      </c>
    </row>
    <row r="928" spans="1:9" x14ac:dyDescent="0.2">
      <c r="A928" t="s">
        <v>1031</v>
      </c>
      <c r="B928">
        <v>4.1174999999999997</v>
      </c>
      <c r="C928">
        <v>5.7665000000000001E-2</v>
      </c>
      <c r="D928">
        <v>239</v>
      </c>
      <c r="E928" t="s">
        <v>1031</v>
      </c>
      <c r="F928">
        <v>239</v>
      </c>
      <c r="G928" s="1">
        <v>45165</v>
      </c>
      <c r="H928" s="6">
        <f t="shared" si="28"/>
        <v>10.322916666666629</v>
      </c>
      <c r="I928" s="7">
        <f t="shared" si="29"/>
        <v>10.322916666666629</v>
      </c>
    </row>
    <row r="929" spans="1:9" x14ac:dyDescent="0.2">
      <c r="A929" t="s">
        <v>1032</v>
      </c>
      <c r="B929">
        <v>4.0789999999999997</v>
      </c>
      <c r="C929">
        <v>5.7134999999999998E-2</v>
      </c>
      <c r="D929">
        <v>239</v>
      </c>
      <c r="E929" t="s">
        <v>1032</v>
      </c>
      <c r="F929">
        <v>239</v>
      </c>
      <c r="G929" s="1">
        <v>45165</v>
      </c>
      <c r="H929" s="6">
        <f t="shared" si="28"/>
        <v>10.333333333333295</v>
      </c>
      <c r="I929" s="7">
        <f t="shared" si="29"/>
        <v>10.333333333333295</v>
      </c>
    </row>
    <row r="930" spans="1:9" x14ac:dyDescent="0.2">
      <c r="A930" t="s">
        <v>1033</v>
      </c>
      <c r="B930">
        <v>4.0629999999999997</v>
      </c>
      <c r="C930">
        <v>5.6915E-2</v>
      </c>
      <c r="D930">
        <v>239</v>
      </c>
      <c r="E930" t="s">
        <v>1033</v>
      </c>
      <c r="F930">
        <v>239</v>
      </c>
      <c r="G930" s="1">
        <v>45165</v>
      </c>
      <c r="H930" s="6">
        <f t="shared" si="28"/>
        <v>10.343749999999961</v>
      </c>
      <c r="I930" s="7">
        <f t="shared" si="29"/>
        <v>10.343749999999961</v>
      </c>
    </row>
    <row r="931" spans="1:9" x14ac:dyDescent="0.2">
      <c r="A931" t="s">
        <v>1034</v>
      </c>
      <c r="B931">
        <v>4.0205000000000002</v>
      </c>
      <c r="C931">
        <v>5.6314999999999997E-2</v>
      </c>
      <c r="D931">
        <v>239</v>
      </c>
      <c r="E931" t="s">
        <v>1034</v>
      </c>
      <c r="F931">
        <v>239</v>
      </c>
      <c r="G931" s="1">
        <v>45165</v>
      </c>
      <c r="H931" s="6">
        <f t="shared" si="28"/>
        <v>10.354166666666627</v>
      </c>
      <c r="I931" s="7">
        <f t="shared" si="29"/>
        <v>10.354166666666627</v>
      </c>
    </row>
    <row r="932" spans="1:9" x14ac:dyDescent="0.2">
      <c r="A932" t="s">
        <v>1035</v>
      </c>
      <c r="B932">
        <v>4.0095000000000001</v>
      </c>
      <c r="C932">
        <v>5.6160000000000002E-2</v>
      </c>
      <c r="D932">
        <v>239</v>
      </c>
      <c r="E932" t="s">
        <v>1035</v>
      </c>
      <c r="F932">
        <v>239</v>
      </c>
      <c r="G932" s="1">
        <v>45165</v>
      </c>
      <c r="H932" s="6">
        <f t="shared" si="28"/>
        <v>10.364583333333293</v>
      </c>
      <c r="I932" s="7">
        <f t="shared" si="29"/>
        <v>10.364583333333293</v>
      </c>
    </row>
    <row r="933" spans="1:9" x14ac:dyDescent="0.2">
      <c r="A933" t="s">
        <v>1036</v>
      </c>
      <c r="B933">
        <v>3.9584999999999999</v>
      </c>
      <c r="C933">
        <v>5.543E-2</v>
      </c>
      <c r="D933">
        <v>239</v>
      </c>
      <c r="E933" t="s">
        <v>1036</v>
      </c>
      <c r="F933">
        <v>239</v>
      </c>
      <c r="G933" s="1">
        <v>45165</v>
      </c>
      <c r="H933" s="6">
        <f t="shared" si="28"/>
        <v>10.374999999999959</v>
      </c>
      <c r="I933" s="7">
        <f t="shared" si="29"/>
        <v>10.374999999999959</v>
      </c>
    </row>
    <row r="934" spans="1:9" x14ac:dyDescent="0.2">
      <c r="A934" t="s">
        <v>1037</v>
      </c>
      <c r="B934">
        <v>3.92</v>
      </c>
      <c r="C934">
        <v>5.4885000000000003E-2</v>
      </c>
      <c r="D934">
        <v>239</v>
      </c>
      <c r="E934" t="s">
        <v>1037</v>
      </c>
      <c r="F934">
        <v>239</v>
      </c>
      <c r="G934" s="1">
        <v>45165</v>
      </c>
      <c r="H934" s="6">
        <f t="shared" si="28"/>
        <v>10.385416666666625</v>
      </c>
      <c r="I934" s="7">
        <f t="shared" si="29"/>
        <v>10.385416666666625</v>
      </c>
    </row>
    <row r="935" spans="1:9" x14ac:dyDescent="0.2">
      <c r="A935" t="s">
        <v>1038</v>
      </c>
      <c r="B935" s="2" t="s">
        <v>1039</v>
      </c>
      <c r="C935">
        <v>5.3870000000000001E-2</v>
      </c>
      <c r="D935">
        <v>239</v>
      </c>
      <c r="E935" t="s">
        <v>1038</v>
      </c>
      <c r="F935">
        <v>239</v>
      </c>
      <c r="G935" s="1">
        <v>45165</v>
      </c>
      <c r="H935" s="6">
        <f t="shared" si="28"/>
        <v>10.395833333333291</v>
      </c>
      <c r="I935" s="7">
        <f t="shared" si="29"/>
        <v>10.395833333333291</v>
      </c>
    </row>
    <row r="936" spans="1:9" x14ac:dyDescent="0.2">
      <c r="A936" t="s">
        <v>1040</v>
      </c>
      <c r="B936">
        <v>3.8239999999999998</v>
      </c>
      <c r="C936">
        <v>5.3560000000000003E-2</v>
      </c>
      <c r="D936">
        <v>239</v>
      </c>
      <c r="E936" t="s">
        <v>1040</v>
      </c>
      <c r="F936">
        <v>239</v>
      </c>
      <c r="G936" s="1">
        <v>45165</v>
      </c>
      <c r="H936" s="6">
        <f t="shared" si="28"/>
        <v>10.406249999999957</v>
      </c>
      <c r="I936" s="7">
        <f t="shared" si="29"/>
        <v>10.406249999999957</v>
      </c>
    </row>
    <row r="937" spans="1:9" x14ac:dyDescent="0.2">
      <c r="A937" t="s">
        <v>1041</v>
      </c>
      <c r="B937">
        <v>3.7429999999999999</v>
      </c>
      <c r="C937">
        <v>5.2440000000000001E-2</v>
      </c>
      <c r="D937">
        <v>239</v>
      </c>
      <c r="E937" t="s">
        <v>1041</v>
      </c>
      <c r="F937">
        <v>239</v>
      </c>
      <c r="G937" s="1">
        <v>45165</v>
      </c>
      <c r="H937" s="6">
        <f t="shared" si="28"/>
        <v>10.416666666666623</v>
      </c>
      <c r="I937" s="7">
        <f t="shared" si="29"/>
        <v>10.416666666666623</v>
      </c>
    </row>
    <row r="938" spans="1:9" x14ac:dyDescent="0.2">
      <c r="A938" t="s">
        <v>1042</v>
      </c>
      <c r="B938">
        <v>3.7349999999999999</v>
      </c>
      <c r="C938">
        <v>5.2330000000000002E-2</v>
      </c>
      <c r="D938">
        <v>239</v>
      </c>
      <c r="E938" t="s">
        <v>1042</v>
      </c>
      <c r="F938">
        <v>239</v>
      </c>
      <c r="G938" s="1">
        <v>45165</v>
      </c>
      <c r="H938" s="6">
        <f t="shared" si="28"/>
        <v>10.42708333333329</v>
      </c>
      <c r="I938" s="7">
        <f t="shared" si="29"/>
        <v>10.42708333333329</v>
      </c>
    </row>
    <row r="939" spans="1:9" x14ac:dyDescent="0.2">
      <c r="A939" t="s">
        <v>1043</v>
      </c>
      <c r="B939">
        <v>3.6669999999999998</v>
      </c>
      <c r="C939">
        <v>5.1369999999999999E-2</v>
      </c>
      <c r="D939">
        <v>239</v>
      </c>
      <c r="E939" t="s">
        <v>1043</v>
      </c>
      <c r="F939">
        <v>239</v>
      </c>
      <c r="G939" s="1">
        <v>45165</v>
      </c>
      <c r="H939" s="6">
        <f t="shared" si="28"/>
        <v>10.437499999999956</v>
      </c>
      <c r="I939" s="7">
        <f t="shared" si="29"/>
        <v>10.437499999999956</v>
      </c>
    </row>
    <row r="940" spans="1:9" x14ac:dyDescent="0.2">
      <c r="A940" t="s">
        <v>1044</v>
      </c>
      <c r="B940">
        <v>3.6040000000000001</v>
      </c>
      <c r="C940">
        <v>5.0470000000000001E-2</v>
      </c>
      <c r="D940">
        <v>239</v>
      </c>
      <c r="E940" t="s">
        <v>1044</v>
      </c>
      <c r="F940">
        <v>239</v>
      </c>
      <c r="G940" s="1">
        <v>45165</v>
      </c>
      <c r="H940" s="6">
        <f t="shared" si="28"/>
        <v>10.447916666666622</v>
      </c>
      <c r="I940" s="7">
        <f t="shared" si="29"/>
        <v>10.447916666666622</v>
      </c>
    </row>
    <row r="941" spans="1:9" x14ac:dyDescent="0.2">
      <c r="A941" t="s">
        <v>1045</v>
      </c>
      <c r="B941">
        <v>3.5655000000000001</v>
      </c>
      <c r="C941">
        <v>4.9950000000000001E-2</v>
      </c>
      <c r="D941">
        <v>239</v>
      </c>
      <c r="E941" t="s">
        <v>1045</v>
      </c>
      <c r="F941">
        <v>239</v>
      </c>
      <c r="G941" s="1">
        <v>45165</v>
      </c>
      <c r="H941" s="6">
        <f t="shared" si="28"/>
        <v>10.458333333333288</v>
      </c>
      <c r="I941" s="7">
        <f t="shared" si="29"/>
        <v>10.458333333333288</v>
      </c>
    </row>
    <row r="942" spans="1:9" x14ac:dyDescent="0.2">
      <c r="A942" t="s">
        <v>1046</v>
      </c>
      <c r="B942" s="2" t="s">
        <v>1047</v>
      </c>
      <c r="C942">
        <v>4.9814999999999998E-2</v>
      </c>
      <c r="D942">
        <v>239</v>
      </c>
      <c r="E942" t="s">
        <v>1046</v>
      </c>
      <c r="F942">
        <v>239</v>
      </c>
      <c r="G942" s="1">
        <v>45165</v>
      </c>
      <c r="H942" s="6">
        <f t="shared" si="28"/>
        <v>10.468749999999954</v>
      </c>
      <c r="I942" s="7">
        <f t="shared" si="29"/>
        <v>10.468749999999954</v>
      </c>
    </row>
    <row r="943" spans="1:9" x14ac:dyDescent="0.2">
      <c r="A943" t="s">
        <v>1048</v>
      </c>
      <c r="B943">
        <v>3.5335000000000001</v>
      </c>
      <c r="C943">
        <v>4.9489999999999999E-2</v>
      </c>
      <c r="D943">
        <v>239</v>
      </c>
      <c r="E943" t="s">
        <v>1048</v>
      </c>
      <c r="F943">
        <v>239</v>
      </c>
      <c r="G943" s="1">
        <v>45165</v>
      </c>
      <c r="H943" s="6">
        <f t="shared" si="28"/>
        <v>10.47916666666662</v>
      </c>
      <c r="I943" s="7">
        <f t="shared" si="29"/>
        <v>10.47916666666662</v>
      </c>
    </row>
    <row r="944" spans="1:9" x14ac:dyDescent="0.2">
      <c r="A944" t="s">
        <v>1049</v>
      </c>
      <c r="B944">
        <v>3.5105</v>
      </c>
      <c r="C944">
        <v>4.9169999999999998E-2</v>
      </c>
      <c r="D944">
        <v>239</v>
      </c>
      <c r="E944" t="s">
        <v>1049</v>
      </c>
      <c r="F944">
        <v>239</v>
      </c>
      <c r="G944" s="1">
        <v>45165</v>
      </c>
      <c r="H944" s="6">
        <f t="shared" si="28"/>
        <v>10.489583333333286</v>
      </c>
      <c r="I944" s="7">
        <f t="shared" si="29"/>
        <v>10.489583333333286</v>
      </c>
    </row>
    <row r="945" spans="1:9" x14ac:dyDescent="0.2">
      <c r="A945" t="s">
        <v>1050</v>
      </c>
      <c r="B945">
        <v>3.4904999999999999</v>
      </c>
      <c r="C945">
        <v>4.8895000000000001E-2</v>
      </c>
      <c r="D945">
        <v>239</v>
      </c>
      <c r="E945" t="s">
        <v>1050</v>
      </c>
      <c r="F945">
        <v>239</v>
      </c>
      <c r="G945" s="1">
        <v>45165</v>
      </c>
      <c r="H945" s="6">
        <f t="shared" si="28"/>
        <v>10.499999999999952</v>
      </c>
      <c r="I945" s="7">
        <f t="shared" si="29"/>
        <v>10.499999999999952</v>
      </c>
    </row>
    <row r="946" spans="1:9" x14ac:dyDescent="0.2">
      <c r="A946" t="s">
        <v>1051</v>
      </c>
      <c r="B946">
        <v>3.4990000000000001</v>
      </c>
      <c r="C946">
        <v>4.9020000000000001E-2</v>
      </c>
      <c r="D946">
        <v>239</v>
      </c>
      <c r="E946" t="s">
        <v>1051</v>
      </c>
      <c r="F946">
        <v>239</v>
      </c>
      <c r="G946" s="1">
        <v>45165</v>
      </c>
      <c r="H946" s="6">
        <f t="shared" si="28"/>
        <v>10.510416666666618</v>
      </c>
      <c r="I946" s="7">
        <f t="shared" si="29"/>
        <v>10.510416666666618</v>
      </c>
    </row>
    <row r="947" spans="1:9" x14ac:dyDescent="0.2">
      <c r="A947" t="s">
        <v>1052</v>
      </c>
      <c r="B947">
        <v>3.5005000000000002</v>
      </c>
      <c r="C947">
        <v>4.9035000000000002E-2</v>
      </c>
      <c r="D947">
        <v>239</v>
      </c>
      <c r="E947" t="s">
        <v>1052</v>
      </c>
      <c r="F947">
        <v>239</v>
      </c>
      <c r="G947" s="1">
        <v>45165</v>
      </c>
      <c r="H947" s="6">
        <f t="shared" si="28"/>
        <v>10.520833333333284</v>
      </c>
      <c r="I947" s="7">
        <f t="shared" si="29"/>
        <v>10.520833333333284</v>
      </c>
    </row>
    <row r="948" spans="1:9" x14ac:dyDescent="0.2">
      <c r="A948" t="s">
        <v>1053</v>
      </c>
      <c r="B948">
        <v>3.4535</v>
      </c>
      <c r="C948">
        <v>4.8384999999999997E-2</v>
      </c>
      <c r="D948">
        <v>239</v>
      </c>
      <c r="E948" t="s">
        <v>1053</v>
      </c>
      <c r="F948">
        <v>239</v>
      </c>
      <c r="G948" s="1">
        <v>45165</v>
      </c>
      <c r="H948" s="6">
        <f t="shared" si="28"/>
        <v>10.53124999999995</v>
      </c>
      <c r="I948" s="7">
        <f t="shared" si="29"/>
        <v>10.53124999999995</v>
      </c>
    </row>
    <row r="949" spans="1:9" x14ac:dyDescent="0.2">
      <c r="A949" t="s">
        <v>1054</v>
      </c>
      <c r="B949">
        <v>3.4670000000000001</v>
      </c>
      <c r="C949">
        <v>4.8550000000000003E-2</v>
      </c>
      <c r="D949">
        <v>239</v>
      </c>
      <c r="E949" t="s">
        <v>1054</v>
      </c>
      <c r="F949">
        <v>239</v>
      </c>
      <c r="G949" s="1">
        <v>45165</v>
      </c>
      <c r="H949" s="6">
        <f t="shared" si="28"/>
        <v>10.541666666666616</v>
      </c>
      <c r="I949" s="7">
        <f t="shared" si="29"/>
        <v>10.541666666666616</v>
      </c>
    </row>
    <row r="950" spans="1:9" x14ac:dyDescent="0.2">
      <c r="A950" t="s">
        <v>1055</v>
      </c>
      <c r="B950">
        <v>3.4424999999999999</v>
      </c>
      <c r="C950">
        <v>4.8224999999999997E-2</v>
      </c>
      <c r="D950">
        <v>239</v>
      </c>
      <c r="E950" t="s">
        <v>1055</v>
      </c>
      <c r="F950">
        <v>239</v>
      </c>
      <c r="G950" s="1">
        <v>45165</v>
      </c>
      <c r="H950" s="6">
        <f t="shared" si="28"/>
        <v>10.552083333333282</v>
      </c>
      <c r="I950" s="7">
        <f t="shared" si="29"/>
        <v>10.552083333333282</v>
      </c>
    </row>
    <row r="951" spans="1:9" x14ac:dyDescent="0.2">
      <c r="A951" t="s">
        <v>1056</v>
      </c>
      <c r="B951">
        <v>3.4220000000000002</v>
      </c>
      <c r="C951">
        <v>4.7934999999999998E-2</v>
      </c>
      <c r="D951">
        <v>239</v>
      </c>
      <c r="E951" t="s">
        <v>1056</v>
      </c>
      <c r="F951">
        <v>239</v>
      </c>
      <c r="G951" s="1">
        <v>45165</v>
      </c>
      <c r="H951" s="6">
        <f t="shared" si="28"/>
        <v>10.562499999999948</v>
      </c>
      <c r="I951" s="7">
        <f t="shared" si="29"/>
        <v>10.562499999999948</v>
      </c>
    </row>
    <row r="952" spans="1:9" x14ac:dyDescent="0.2">
      <c r="A952" t="s">
        <v>1057</v>
      </c>
      <c r="B952">
        <v>3.3845000000000001</v>
      </c>
      <c r="C952">
        <v>4.7405000000000003E-2</v>
      </c>
      <c r="D952">
        <v>239</v>
      </c>
      <c r="E952" t="s">
        <v>1057</v>
      </c>
      <c r="F952">
        <v>239</v>
      </c>
      <c r="G952" s="1">
        <v>45165</v>
      </c>
      <c r="H952" s="6">
        <f t="shared" si="28"/>
        <v>10.572916666666615</v>
      </c>
      <c r="I952" s="7">
        <f t="shared" si="29"/>
        <v>10.572916666666615</v>
      </c>
    </row>
    <row r="953" spans="1:9" x14ac:dyDescent="0.2">
      <c r="A953" t="s">
        <v>1058</v>
      </c>
      <c r="B953">
        <v>3.3879999999999999</v>
      </c>
      <c r="C953">
        <v>4.7465E-2</v>
      </c>
      <c r="D953">
        <v>239</v>
      </c>
      <c r="E953" t="s">
        <v>1058</v>
      </c>
      <c r="F953">
        <v>239</v>
      </c>
      <c r="G953" s="1">
        <v>45165</v>
      </c>
      <c r="H953" s="6">
        <f t="shared" si="28"/>
        <v>10.583333333333281</v>
      </c>
      <c r="I953" s="7">
        <f t="shared" si="29"/>
        <v>10.583333333333281</v>
      </c>
    </row>
    <row r="954" spans="1:9" x14ac:dyDescent="0.2">
      <c r="A954" t="s">
        <v>1059</v>
      </c>
      <c r="B954">
        <v>3.3744999999999998</v>
      </c>
      <c r="C954">
        <v>4.7280000000000003E-2</v>
      </c>
      <c r="D954">
        <v>239</v>
      </c>
      <c r="E954" t="s">
        <v>1059</v>
      </c>
      <c r="F954">
        <v>239</v>
      </c>
      <c r="G954" s="1">
        <v>45165</v>
      </c>
      <c r="H954" s="6">
        <f t="shared" si="28"/>
        <v>10.593749999999947</v>
      </c>
      <c r="I954" s="7">
        <f t="shared" si="29"/>
        <v>10.593749999999947</v>
      </c>
    </row>
    <row r="955" spans="1:9" x14ac:dyDescent="0.2">
      <c r="A955" t="s">
        <v>1060</v>
      </c>
      <c r="B955">
        <v>3.363</v>
      </c>
      <c r="C955">
        <v>4.7085000000000002E-2</v>
      </c>
      <c r="D955">
        <v>239</v>
      </c>
      <c r="E955" t="s">
        <v>1060</v>
      </c>
      <c r="F955">
        <v>239</v>
      </c>
      <c r="G955" s="1">
        <v>45165</v>
      </c>
      <c r="H955" s="6">
        <f t="shared" si="28"/>
        <v>10.604166666666613</v>
      </c>
      <c r="I955" s="7">
        <f t="shared" si="29"/>
        <v>10.604166666666613</v>
      </c>
    </row>
    <row r="956" spans="1:9" x14ac:dyDescent="0.2">
      <c r="A956" t="s">
        <v>1061</v>
      </c>
      <c r="B956">
        <v>3.3384999999999998</v>
      </c>
      <c r="C956">
        <v>4.6760000000000003E-2</v>
      </c>
      <c r="D956">
        <v>239</v>
      </c>
      <c r="E956" t="s">
        <v>1061</v>
      </c>
      <c r="F956">
        <v>239</v>
      </c>
      <c r="G956" s="1">
        <v>45165</v>
      </c>
      <c r="H956" s="6">
        <f t="shared" si="28"/>
        <v>10.614583333333279</v>
      </c>
      <c r="I956" s="7">
        <f t="shared" si="29"/>
        <v>10.614583333333279</v>
      </c>
    </row>
    <row r="957" spans="1:9" x14ac:dyDescent="0.2">
      <c r="A957" t="s">
        <v>1062</v>
      </c>
      <c r="B957">
        <v>3.3235000000000001</v>
      </c>
      <c r="C957">
        <v>4.6550000000000001E-2</v>
      </c>
      <c r="D957">
        <v>239</v>
      </c>
      <c r="E957" t="s">
        <v>1062</v>
      </c>
      <c r="F957">
        <v>239</v>
      </c>
      <c r="G957" s="1">
        <v>45165</v>
      </c>
      <c r="H957" s="6">
        <f t="shared" si="28"/>
        <v>10.624999999999945</v>
      </c>
      <c r="I957" s="7">
        <f t="shared" si="29"/>
        <v>10.624999999999945</v>
      </c>
    </row>
    <row r="958" spans="1:9" x14ac:dyDescent="0.2">
      <c r="A958" t="s">
        <v>1063</v>
      </c>
      <c r="B958">
        <v>3.3195000000000001</v>
      </c>
      <c r="C958">
        <v>4.6504999999999998E-2</v>
      </c>
      <c r="D958">
        <v>239</v>
      </c>
      <c r="E958" t="s">
        <v>1063</v>
      </c>
      <c r="F958">
        <v>239</v>
      </c>
      <c r="G958" s="1">
        <v>45165</v>
      </c>
      <c r="H958" s="6">
        <f t="shared" si="28"/>
        <v>10.635416666666611</v>
      </c>
      <c r="I958" s="7">
        <f t="shared" si="29"/>
        <v>10.635416666666611</v>
      </c>
    </row>
    <row r="959" spans="1:9" x14ac:dyDescent="0.2">
      <c r="A959" t="s">
        <v>1064</v>
      </c>
      <c r="B959">
        <v>3.3045</v>
      </c>
      <c r="C959">
        <v>4.6304999999999999E-2</v>
      </c>
      <c r="D959">
        <v>239</v>
      </c>
      <c r="E959" t="s">
        <v>1064</v>
      </c>
      <c r="F959">
        <v>239</v>
      </c>
      <c r="G959" s="1">
        <v>45165</v>
      </c>
      <c r="H959" s="6">
        <f t="shared" si="28"/>
        <v>10.645833333333277</v>
      </c>
      <c r="I959" s="7">
        <f t="shared" si="29"/>
        <v>10.645833333333277</v>
      </c>
    </row>
    <row r="960" spans="1:9" x14ac:dyDescent="0.2">
      <c r="A960" t="s">
        <v>1065</v>
      </c>
      <c r="B960">
        <v>3.2930000000000001</v>
      </c>
      <c r="C960">
        <v>4.6115000000000003E-2</v>
      </c>
      <c r="D960">
        <v>239</v>
      </c>
      <c r="E960" t="s">
        <v>1065</v>
      </c>
      <c r="F960">
        <v>239</v>
      </c>
      <c r="G960" s="1">
        <v>45165</v>
      </c>
      <c r="H960" s="6">
        <f t="shared" si="28"/>
        <v>10.656249999999943</v>
      </c>
      <c r="I960" s="7">
        <f t="shared" si="29"/>
        <v>10.656249999999943</v>
      </c>
    </row>
    <row r="961" spans="1:9" x14ac:dyDescent="0.2">
      <c r="A961" t="s">
        <v>1066</v>
      </c>
      <c r="B961">
        <v>3.2854999999999999</v>
      </c>
      <c r="C961">
        <v>4.6015E-2</v>
      </c>
      <c r="D961">
        <v>239</v>
      </c>
      <c r="E961" t="s">
        <v>1066</v>
      </c>
      <c r="F961">
        <v>239</v>
      </c>
      <c r="G961" s="1">
        <v>45165</v>
      </c>
      <c r="H961" s="6">
        <f t="shared" si="28"/>
        <v>10.666666666666609</v>
      </c>
      <c r="I961" s="7">
        <f t="shared" si="29"/>
        <v>10.666666666666609</v>
      </c>
    </row>
    <row r="962" spans="1:9" x14ac:dyDescent="0.2">
      <c r="A962" t="s">
        <v>1067</v>
      </c>
      <c r="B962">
        <v>3.2885</v>
      </c>
      <c r="C962">
        <v>4.6065000000000002E-2</v>
      </c>
      <c r="D962">
        <v>239</v>
      </c>
      <c r="E962" t="s">
        <v>1067</v>
      </c>
      <c r="F962">
        <v>239</v>
      </c>
      <c r="G962" s="1">
        <v>45165</v>
      </c>
      <c r="H962" s="6">
        <f t="shared" si="28"/>
        <v>10.677083333333275</v>
      </c>
      <c r="I962" s="7">
        <f t="shared" si="29"/>
        <v>10.677083333333275</v>
      </c>
    </row>
    <row r="963" spans="1:9" x14ac:dyDescent="0.2">
      <c r="A963" t="s">
        <v>1068</v>
      </c>
      <c r="B963">
        <v>3.2959999999999998</v>
      </c>
      <c r="C963">
        <v>4.6175000000000001E-2</v>
      </c>
      <c r="D963">
        <v>239</v>
      </c>
      <c r="E963" t="s">
        <v>1068</v>
      </c>
      <c r="F963">
        <v>239</v>
      </c>
      <c r="G963" s="1">
        <v>45165</v>
      </c>
      <c r="H963" s="6">
        <f t="shared" ref="H963:H1026" si="30">H962+$K$1</f>
        <v>10.687499999999941</v>
      </c>
      <c r="I963" s="7">
        <f t="shared" ref="I963:I1026" si="31">I962+$K$1</f>
        <v>10.687499999999941</v>
      </c>
    </row>
    <row r="964" spans="1:9" x14ac:dyDescent="0.2">
      <c r="A964" t="s">
        <v>1069</v>
      </c>
      <c r="B964">
        <v>3.3094999999999999</v>
      </c>
      <c r="C964">
        <v>4.6390000000000001E-2</v>
      </c>
      <c r="D964">
        <v>239</v>
      </c>
      <c r="E964" t="s">
        <v>1069</v>
      </c>
      <c r="F964">
        <v>239</v>
      </c>
      <c r="G964" s="1">
        <v>45165</v>
      </c>
      <c r="H964" s="6">
        <f t="shared" si="30"/>
        <v>10.697916666666607</v>
      </c>
      <c r="I964" s="7">
        <f t="shared" si="31"/>
        <v>10.697916666666607</v>
      </c>
    </row>
    <row r="965" spans="1:9" x14ac:dyDescent="0.2">
      <c r="A965" t="s">
        <v>1070</v>
      </c>
      <c r="B965" s="2" t="s">
        <v>1071</v>
      </c>
      <c r="C965">
        <v>4.6085000000000001E-2</v>
      </c>
      <c r="D965">
        <v>239</v>
      </c>
      <c r="E965" t="s">
        <v>1070</v>
      </c>
      <c r="F965">
        <v>239</v>
      </c>
      <c r="G965" s="1">
        <v>45165</v>
      </c>
      <c r="H965" s="6">
        <f t="shared" si="30"/>
        <v>10.708333333333274</v>
      </c>
      <c r="I965" s="7">
        <f t="shared" si="31"/>
        <v>10.708333333333274</v>
      </c>
    </row>
    <row r="966" spans="1:9" x14ac:dyDescent="0.2">
      <c r="A966" t="s">
        <v>1072</v>
      </c>
      <c r="B966" s="2" t="s">
        <v>1073</v>
      </c>
      <c r="C966">
        <v>4.6039999999999998E-2</v>
      </c>
      <c r="D966">
        <v>239</v>
      </c>
      <c r="E966" t="s">
        <v>1072</v>
      </c>
      <c r="F966">
        <v>239</v>
      </c>
      <c r="G966" s="1">
        <v>45165</v>
      </c>
      <c r="H966" s="6">
        <f t="shared" si="30"/>
        <v>10.71874999999994</v>
      </c>
      <c r="I966" s="7">
        <f t="shared" si="31"/>
        <v>10.71874999999994</v>
      </c>
    </row>
    <row r="967" spans="1:9" x14ac:dyDescent="0.2">
      <c r="A967" t="s">
        <v>1074</v>
      </c>
      <c r="B967">
        <v>3.29</v>
      </c>
      <c r="C967">
        <v>4.6080000000000003E-2</v>
      </c>
      <c r="D967">
        <v>239</v>
      </c>
      <c r="E967" t="s">
        <v>1074</v>
      </c>
      <c r="F967">
        <v>239</v>
      </c>
      <c r="G967" s="1">
        <v>45165</v>
      </c>
      <c r="H967" s="6">
        <f t="shared" si="30"/>
        <v>10.729166666666606</v>
      </c>
      <c r="I967" s="7">
        <f t="shared" si="31"/>
        <v>10.729166666666606</v>
      </c>
    </row>
    <row r="968" spans="1:9" x14ac:dyDescent="0.2">
      <c r="A968" t="s">
        <v>1075</v>
      </c>
      <c r="B968">
        <v>3.3125</v>
      </c>
      <c r="C968">
        <v>4.6405000000000002E-2</v>
      </c>
      <c r="D968">
        <v>239</v>
      </c>
      <c r="E968" t="s">
        <v>1075</v>
      </c>
      <c r="F968">
        <v>239</v>
      </c>
      <c r="G968" s="1">
        <v>45165</v>
      </c>
      <c r="H968" s="6">
        <f t="shared" si="30"/>
        <v>10.739583333333272</v>
      </c>
      <c r="I968" s="7">
        <f t="shared" si="31"/>
        <v>10.739583333333272</v>
      </c>
    </row>
    <row r="969" spans="1:9" x14ac:dyDescent="0.2">
      <c r="A969" t="s">
        <v>1076</v>
      </c>
      <c r="B969">
        <v>3.3180000000000001</v>
      </c>
      <c r="C969">
        <v>4.6464999999999999E-2</v>
      </c>
      <c r="D969">
        <v>240</v>
      </c>
      <c r="E969" t="s">
        <v>1076</v>
      </c>
      <c r="F969">
        <v>239</v>
      </c>
      <c r="G969" s="1">
        <v>45165</v>
      </c>
      <c r="H969" s="6">
        <f t="shared" si="30"/>
        <v>10.749999999999938</v>
      </c>
      <c r="I969" s="7">
        <f t="shared" si="31"/>
        <v>10.749999999999938</v>
      </c>
    </row>
    <row r="970" spans="1:9" x14ac:dyDescent="0.2">
      <c r="A970" t="s">
        <v>1077</v>
      </c>
      <c r="B970">
        <v>3.3734999999999999</v>
      </c>
      <c r="C970">
        <v>4.7230000000000001E-2</v>
      </c>
      <c r="D970">
        <v>240</v>
      </c>
      <c r="E970" t="s">
        <v>1077</v>
      </c>
      <c r="F970">
        <v>239</v>
      </c>
      <c r="G970" s="1">
        <v>45165</v>
      </c>
      <c r="H970" s="6">
        <f t="shared" si="30"/>
        <v>10.760416666666604</v>
      </c>
      <c r="I970" s="7">
        <f t="shared" si="31"/>
        <v>10.760416666666604</v>
      </c>
    </row>
    <row r="971" spans="1:9" x14ac:dyDescent="0.2">
      <c r="A971" t="s">
        <v>1078</v>
      </c>
      <c r="B971">
        <v>3.3159999999999998</v>
      </c>
      <c r="C971">
        <v>4.6455000000000003E-2</v>
      </c>
      <c r="D971">
        <v>240</v>
      </c>
      <c r="E971" t="s">
        <v>1078</v>
      </c>
      <c r="F971">
        <v>239</v>
      </c>
      <c r="G971" s="1">
        <v>45165</v>
      </c>
      <c r="H971" s="6">
        <f t="shared" si="30"/>
        <v>10.77083333333327</v>
      </c>
      <c r="I971" s="7">
        <f t="shared" si="31"/>
        <v>10.77083333333327</v>
      </c>
    </row>
    <row r="972" spans="1:9" x14ac:dyDescent="0.2">
      <c r="A972" t="s">
        <v>1079</v>
      </c>
      <c r="B972">
        <v>3.3315000000000001</v>
      </c>
      <c r="C972">
        <v>4.6670000000000003E-2</v>
      </c>
      <c r="D972">
        <v>240</v>
      </c>
      <c r="E972" t="s">
        <v>1079</v>
      </c>
      <c r="F972">
        <v>239</v>
      </c>
      <c r="G972" s="1">
        <v>45165</v>
      </c>
      <c r="H972" s="6">
        <f t="shared" si="30"/>
        <v>10.781249999999936</v>
      </c>
      <c r="I972" s="7">
        <f t="shared" si="31"/>
        <v>10.781249999999936</v>
      </c>
    </row>
    <row r="973" spans="1:9" x14ac:dyDescent="0.2">
      <c r="A973" t="s">
        <v>1080</v>
      </c>
      <c r="B973">
        <v>3.3660000000000001</v>
      </c>
      <c r="C973">
        <v>4.7149999999999997E-2</v>
      </c>
      <c r="D973">
        <v>240</v>
      </c>
      <c r="E973" t="s">
        <v>1080</v>
      </c>
      <c r="F973">
        <v>239</v>
      </c>
      <c r="G973" s="1">
        <v>45165</v>
      </c>
      <c r="H973" s="6">
        <f t="shared" si="30"/>
        <v>10.791666666666602</v>
      </c>
      <c r="I973" s="7">
        <f t="shared" si="31"/>
        <v>10.791666666666602</v>
      </c>
    </row>
    <row r="974" spans="1:9" x14ac:dyDescent="0.2">
      <c r="A974" t="s">
        <v>1081</v>
      </c>
      <c r="B974">
        <v>3.3580000000000001</v>
      </c>
      <c r="C974">
        <v>4.7030000000000002E-2</v>
      </c>
      <c r="D974">
        <v>240</v>
      </c>
      <c r="E974" t="s">
        <v>1081</v>
      </c>
      <c r="F974">
        <v>239</v>
      </c>
      <c r="G974" s="1">
        <v>45165</v>
      </c>
      <c r="H974" s="6">
        <f t="shared" si="30"/>
        <v>10.802083333333268</v>
      </c>
      <c r="I974" s="7">
        <f t="shared" si="31"/>
        <v>10.802083333333268</v>
      </c>
    </row>
    <row r="975" spans="1:9" x14ac:dyDescent="0.2">
      <c r="A975" t="s">
        <v>1082</v>
      </c>
      <c r="B975">
        <v>3.3540000000000001</v>
      </c>
      <c r="C975">
        <v>4.6960000000000002E-2</v>
      </c>
      <c r="D975">
        <v>240</v>
      </c>
      <c r="E975" t="s">
        <v>1082</v>
      </c>
      <c r="F975">
        <v>239</v>
      </c>
      <c r="G975" s="1">
        <v>45165</v>
      </c>
      <c r="H975" s="6">
        <f t="shared" si="30"/>
        <v>10.812499999999934</v>
      </c>
      <c r="I975" s="7">
        <f t="shared" si="31"/>
        <v>10.812499999999934</v>
      </c>
    </row>
    <row r="976" spans="1:9" x14ac:dyDescent="0.2">
      <c r="A976" t="s">
        <v>1083</v>
      </c>
      <c r="B976">
        <v>3.3780000000000001</v>
      </c>
      <c r="C976">
        <v>4.7305E-2</v>
      </c>
      <c r="D976">
        <v>240</v>
      </c>
      <c r="E976" t="s">
        <v>1083</v>
      </c>
      <c r="F976">
        <v>239</v>
      </c>
      <c r="G976" s="1">
        <v>45165</v>
      </c>
      <c r="H976" s="6">
        <f t="shared" si="30"/>
        <v>10.8229166666666</v>
      </c>
      <c r="I976" s="7">
        <f t="shared" si="31"/>
        <v>10.8229166666666</v>
      </c>
    </row>
    <row r="977" spans="1:9" x14ac:dyDescent="0.2">
      <c r="A977" t="s">
        <v>1084</v>
      </c>
      <c r="B977">
        <v>3.38</v>
      </c>
      <c r="C977">
        <v>4.7335000000000002E-2</v>
      </c>
      <c r="D977">
        <v>240</v>
      </c>
      <c r="E977" t="s">
        <v>1084</v>
      </c>
      <c r="F977">
        <v>239</v>
      </c>
      <c r="G977" s="1">
        <v>45165</v>
      </c>
      <c r="H977" s="6">
        <f t="shared" si="30"/>
        <v>10.833333333333266</v>
      </c>
      <c r="I977" s="7">
        <f t="shared" si="31"/>
        <v>10.833333333333266</v>
      </c>
    </row>
    <row r="978" spans="1:9" x14ac:dyDescent="0.2">
      <c r="A978" t="s">
        <v>1085</v>
      </c>
      <c r="B978">
        <v>3.3765000000000001</v>
      </c>
      <c r="C978">
        <v>4.7285000000000001E-2</v>
      </c>
      <c r="D978">
        <v>240</v>
      </c>
      <c r="E978" t="s">
        <v>1085</v>
      </c>
      <c r="F978">
        <v>239</v>
      </c>
      <c r="G978" s="1">
        <v>45165</v>
      </c>
      <c r="H978" s="6">
        <f t="shared" si="30"/>
        <v>10.843749999999932</v>
      </c>
      <c r="I978" s="7">
        <f t="shared" si="31"/>
        <v>10.843749999999932</v>
      </c>
    </row>
    <row r="979" spans="1:9" x14ac:dyDescent="0.2">
      <c r="A979" t="s">
        <v>1086</v>
      </c>
      <c r="B979">
        <v>3.3795000000000002</v>
      </c>
      <c r="C979">
        <v>4.7344999999999998E-2</v>
      </c>
      <c r="D979">
        <v>240</v>
      </c>
      <c r="E979" t="s">
        <v>1086</v>
      </c>
      <c r="F979">
        <v>239</v>
      </c>
      <c r="G979" s="1">
        <v>45165</v>
      </c>
      <c r="H979" s="6">
        <f t="shared" si="30"/>
        <v>10.854166666666599</v>
      </c>
      <c r="I979" s="7">
        <f t="shared" si="31"/>
        <v>10.854166666666599</v>
      </c>
    </row>
    <row r="980" spans="1:9" x14ac:dyDescent="0.2">
      <c r="A980" t="s">
        <v>1087</v>
      </c>
      <c r="B980">
        <v>3.4344999999999999</v>
      </c>
      <c r="C980">
        <v>4.8105000000000002E-2</v>
      </c>
      <c r="D980">
        <v>240</v>
      </c>
      <c r="E980" t="s">
        <v>1087</v>
      </c>
      <c r="F980">
        <v>239</v>
      </c>
      <c r="G980" s="1">
        <v>45165</v>
      </c>
      <c r="H980" s="6">
        <f t="shared" si="30"/>
        <v>10.864583333333265</v>
      </c>
      <c r="I980" s="7">
        <f t="shared" si="31"/>
        <v>10.864583333333265</v>
      </c>
    </row>
    <row r="981" spans="1:9" x14ac:dyDescent="0.2">
      <c r="A981" t="s">
        <v>1088</v>
      </c>
      <c r="B981">
        <v>3.4464999999999999</v>
      </c>
      <c r="C981">
        <v>4.8250000000000001E-2</v>
      </c>
      <c r="D981">
        <v>240</v>
      </c>
      <c r="E981" t="s">
        <v>1088</v>
      </c>
      <c r="F981">
        <v>239</v>
      </c>
      <c r="G981" s="1">
        <v>45165</v>
      </c>
      <c r="H981" s="6">
        <f t="shared" si="30"/>
        <v>10.874999999999931</v>
      </c>
      <c r="I981" s="7">
        <f t="shared" si="31"/>
        <v>10.874999999999931</v>
      </c>
    </row>
    <row r="982" spans="1:9" x14ac:dyDescent="0.2">
      <c r="A982" t="s">
        <v>1089</v>
      </c>
      <c r="B982">
        <v>3.4744999999999999</v>
      </c>
      <c r="C982">
        <v>4.8680000000000001E-2</v>
      </c>
      <c r="D982">
        <v>240</v>
      </c>
      <c r="E982" t="s">
        <v>1089</v>
      </c>
      <c r="F982">
        <v>239</v>
      </c>
      <c r="G982" s="1">
        <v>45165</v>
      </c>
      <c r="H982" s="6">
        <f t="shared" si="30"/>
        <v>10.885416666666597</v>
      </c>
      <c r="I982" s="7">
        <f t="shared" si="31"/>
        <v>10.885416666666597</v>
      </c>
    </row>
    <row r="983" spans="1:9" x14ac:dyDescent="0.2">
      <c r="A983" t="s">
        <v>1090</v>
      </c>
      <c r="B983">
        <v>3.496</v>
      </c>
      <c r="C983" s="2" t="s">
        <v>1091</v>
      </c>
      <c r="D983">
        <v>240</v>
      </c>
      <c r="E983" t="s">
        <v>1090</v>
      </c>
      <c r="F983">
        <v>239</v>
      </c>
      <c r="G983" s="1">
        <v>45165</v>
      </c>
      <c r="H983" s="6">
        <f t="shared" si="30"/>
        <v>10.895833333333263</v>
      </c>
      <c r="I983" s="7">
        <f t="shared" si="31"/>
        <v>10.895833333333263</v>
      </c>
    </row>
    <row r="984" spans="1:9" x14ac:dyDescent="0.2">
      <c r="A984" t="s">
        <v>1092</v>
      </c>
      <c r="B984">
        <v>3.54</v>
      </c>
      <c r="C984">
        <v>4.9595E-2</v>
      </c>
      <c r="D984">
        <v>240</v>
      </c>
      <c r="E984" t="s">
        <v>1092</v>
      </c>
      <c r="F984">
        <v>239</v>
      </c>
      <c r="G984" s="1">
        <v>45165</v>
      </c>
      <c r="H984" s="6">
        <f t="shared" si="30"/>
        <v>10.906249999999929</v>
      </c>
      <c r="I984" s="7">
        <f t="shared" si="31"/>
        <v>10.906249999999929</v>
      </c>
    </row>
    <row r="985" spans="1:9" x14ac:dyDescent="0.2">
      <c r="A985" t="s">
        <v>1093</v>
      </c>
      <c r="B985">
        <v>3.5905</v>
      </c>
      <c r="C985">
        <v>5.0314999999999999E-2</v>
      </c>
      <c r="D985">
        <v>240</v>
      </c>
      <c r="E985" t="s">
        <v>1093</v>
      </c>
      <c r="F985">
        <v>239</v>
      </c>
      <c r="G985" s="1">
        <v>45165</v>
      </c>
      <c r="H985" s="6">
        <f t="shared" si="30"/>
        <v>10.916666666666595</v>
      </c>
      <c r="I985" s="7">
        <f t="shared" si="31"/>
        <v>10.916666666666595</v>
      </c>
    </row>
    <row r="986" spans="1:9" x14ac:dyDescent="0.2">
      <c r="A986" t="s">
        <v>1094</v>
      </c>
      <c r="B986">
        <v>3.5434999999999999</v>
      </c>
      <c r="C986" s="2" t="s">
        <v>1095</v>
      </c>
      <c r="D986">
        <v>240</v>
      </c>
      <c r="E986" t="s">
        <v>1094</v>
      </c>
      <c r="F986">
        <v>239</v>
      </c>
      <c r="G986" s="1">
        <v>45165</v>
      </c>
      <c r="H986" s="6">
        <f t="shared" si="30"/>
        <v>10.927083333333261</v>
      </c>
      <c r="I986" s="7">
        <f t="shared" si="31"/>
        <v>10.927083333333261</v>
      </c>
    </row>
    <row r="987" spans="1:9" x14ac:dyDescent="0.2">
      <c r="A987" t="s">
        <v>1096</v>
      </c>
      <c r="B987">
        <v>3.7305000000000001</v>
      </c>
      <c r="C987">
        <v>5.2260000000000001E-2</v>
      </c>
      <c r="D987">
        <v>240</v>
      </c>
      <c r="E987" t="s">
        <v>1096</v>
      </c>
      <c r="F987">
        <v>239</v>
      </c>
      <c r="G987" s="1">
        <v>45165</v>
      </c>
      <c r="H987" s="6">
        <f t="shared" si="30"/>
        <v>10.937499999999927</v>
      </c>
      <c r="I987" s="7">
        <f t="shared" si="31"/>
        <v>10.937499999999927</v>
      </c>
    </row>
    <row r="988" spans="1:9" x14ac:dyDescent="0.2">
      <c r="A988" t="s">
        <v>1097</v>
      </c>
      <c r="B988">
        <v>3.778</v>
      </c>
      <c r="C988">
        <v>5.2925E-2</v>
      </c>
      <c r="D988">
        <v>240</v>
      </c>
      <c r="E988" t="s">
        <v>1097</v>
      </c>
      <c r="F988">
        <v>239</v>
      </c>
      <c r="G988" s="1">
        <v>45165</v>
      </c>
      <c r="H988" s="6">
        <f t="shared" si="30"/>
        <v>10.947916666666593</v>
      </c>
      <c r="I988" s="7">
        <f t="shared" si="31"/>
        <v>10.947916666666593</v>
      </c>
    </row>
    <row r="989" spans="1:9" x14ac:dyDescent="0.2">
      <c r="A989" t="s">
        <v>1098</v>
      </c>
      <c r="B989">
        <v>3.8464999999999998</v>
      </c>
      <c r="C989">
        <v>5.3859999999999998E-2</v>
      </c>
      <c r="D989">
        <v>240</v>
      </c>
      <c r="E989" t="s">
        <v>1098</v>
      </c>
      <c r="F989">
        <v>239</v>
      </c>
      <c r="G989" s="1">
        <v>45165</v>
      </c>
      <c r="H989" s="6">
        <f t="shared" si="30"/>
        <v>10.958333333333259</v>
      </c>
      <c r="I989" s="7">
        <f t="shared" si="31"/>
        <v>10.958333333333259</v>
      </c>
    </row>
    <row r="990" spans="1:9" x14ac:dyDescent="0.2">
      <c r="A990" t="s">
        <v>1099</v>
      </c>
      <c r="B990">
        <v>3.8795000000000002</v>
      </c>
      <c r="C990">
        <v>5.4339999999999999E-2</v>
      </c>
      <c r="D990">
        <v>240</v>
      </c>
      <c r="E990" t="s">
        <v>1099</v>
      </c>
      <c r="F990">
        <v>239</v>
      </c>
      <c r="G990" s="1">
        <v>45165</v>
      </c>
      <c r="H990" s="6">
        <f t="shared" si="30"/>
        <v>10.968749999999925</v>
      </c>
      <c r="I990" s="7">
        <f t="shared" si="31"/>
        <v>10.968749999999925</v>
      </c>
    </row>
    <row r="991" spans="1:9" x14ac:dyDescent="0.2">
      <c r="A991" t="s">
        <v>1100</v>
      </c>
      <c r="B991">
        <v>3.9285000000000001</v>
      </c>
      <c r="C991">
        <v>5.5039999999999999E-2</v>
      </c>
      <c r="D991">
        <v>240</v>
      </c>
      <c r="E991" t="s">
        <v>1100</v>
      </c>
      <c r="F991">
        <v>239</v>
      </c>
      <c r="G991" s="1">
        <v>45165</v>
      </c>
      <c r="H991" s="6">
        <f t="shared" si="30"/>
        <v>10.979166666666591</v>
      </c>
      <c r="I991" s="7">
        <f t="shared" si="31"/>
        <v>10.979166666666591</v>
      </c>
    </row>
    <row r="992" spans="1:9" x14ac:dyDescent="0.2">
      <c r="A992" t="s">
        <v>1101</v>
      </c>
      <c r="B992">
        <v>3.9975000000000001</v>
      </c>
      <c r="C992">
        <v>5.5989999999999998E-2</v>
      </c>
      <c r="D992">
        <v>240</v>
      </c>
      <c r="E992" t="s">
        <v>1101</v>
      </c>
      <c r="F992">
        <v>239</v>
      </c>
      <c r="G992" s="1">
        <v>45165</v>
      </c>
      <c r="H992" s="6">
        <f t="shared" si="30"/>
        <v>10.989583333333258</v>
      </c>
      <c r="I992" s="7">
        <f t="shared" si="31"/>
        <v>10.989583333333258</v>
      </c>
    </row>
    <row r="993" spans="1:9" x14ac:dyDescent="0.2">
      <c r="A993" t="s">
        <v>1102</v>
      </c>
      <c r="B993">
        <v>4.0214999999999996</v>
      </c>
      <c r="C993">
        <v>5.6335000000000003E-2</v>
      </c>
      <c r="D993">
        <v>240</v>
      </c>
      <c r="E993" t="s">
        <v>1102</v>
      </c>
      <c r="F993">
        <v>240</v>
      </c>
      <c r="G993" s="1">
        <v>45166</v>
      </c>
      <c r="H993" s="6">
        <f t="shared" si="30"/>
        <v>10.999999999999924</v>
      </c>
      <c r="I993" s="7">
        <f t="shared" si="31"/>
        <v>10.999999999999924</v>
      </c>
    </row>
    <row r="994" spans="1:9" x14ac:dyDescent="0.2">
      <c r="A994" t="s">
        <v>1103</v>
      </c>
      <c r="B994" s="2" t="s">
        <v>1104</v>
      </c>
      <c r="C994">
        <v>5.6945000000000003E-2</v>
      </c>
      <c r="D994">
        <v>240</v>
      </c>
      <c r="E994" t="s">
        <v>1103</v>
      </c>
      <c r="F994">
        <v>240</v>
      </c>
      <c r="G994" s="1">
        <v>45166</v>
      </c>
      <c r="H994" s="6">
        <f t="shared" si="30"/>
        <v>11.01041666666659</v>
      </c>
      <c r="I994" s="7">
        <f t="shared" si="31"/>
        <v>11.01041666666659</v>
      </c>
    </row>
    <row r="995" spans="1:9" x14ac:dyDescent="0.2">
      <c r="A995" t="s">
        <v>1105</v>
      </c>
      <c r="B995">
        <v>4.0495000000000001</v>
      </c>
      <c r="C995">
        <v>5.6724999999999998E-2</v>
      </c>
      <c r="D995">
        <v>240</v>
      </c>
      <c r="E995" t="s">
        <v>1105</v>
      </c>
      <c r="F995">
        <v>240</v>
      </c>
      <c r="G995" s="1">
        <v>45166</v>
      </c>
      <c r="H995" s="6">
        <f t="shared" si="30"/>
        <v>11.020833333333256</v>
      </c>
      <c r="I995" s="7">
        <f t="shared" si="31"/>
        <v>11.020833333333256</v>
      </c>
    </row>
    <row r="996" spans="1:9" x14ac:dyDescent="0.2">
      <c r="A996" t="s">
        <v>1106</v>
      </c>
      <c r="B996">
        <v>4.0960000000000001</v>
      </c>
      <c r="C996">
        <v>5.7369999999999997E-2</v>
      </c>
      <c r="D996">
        <v>240</v>
      </c>
      <c r="E996" t="s">
        <v>1106</v>
      </c>
      <c r="F996">
        <v>240</v>
      </c>
      <c r="G996" s="1">
        <v>45166</v>
      </c>
      <c r="H996" s="6">
        <f t="shared" si="30"/>
        <v>11.031249999999922</v>
      </c>
      <c r="I996" s="7">
        <f t="shared" si="31"/>
        <v>11.031249999999922</v>
      </c>
    </row>
    <row r="997" spans="1:9" x14ac:dyDescent="0.2">
      <c r="A997" t="s">
        <v>1107</v>
      </c>
      <c r="B997">
        <v>4.0869999999999997</v>
      </c>
      <c r="C997">
        <v>5.7235000000000001E-2</v>
      </c>
      <c r="D997">
        <v>240</v>
      </c>
      <c r="E997" t="s">
        <v>1107</v>
      </c>
      <c r="F997">
        <v>240</v>
      </c>
      <c r="G997" s="1">
        <v>45166</v>
      </c>
      <c r="H997" s="6">
        <f t="shared" si="30"/>
        <v>11.041666666666588</v>
      </c>
      <c r="I997" s="7">
        <f t="shared" si="31"/>
        <v>11.041666666666588</v>
      </c>
    </row>
    <row r="998" spans="1:9" x14ac:dyDescent="0.2">
      <c r="A998" t="s">
        <v>1108</v>
      </c>
      <c r="B998" s="2" t="s">
        <v>1109</v>
      </c>
      <c r="C998">
        <v>5.7384999999999999E-2</v>
      </c>
      <c r="D998">
        <v>240</v>
      </c>
      <c r="E998" t="s">
        <v>1108</v>
      </c>
      <c r="F998">
        <v>240</v>
      </c>
      <c r="G998" s="1">
        <v>45166</v>
      </c>
      <c r="H998" s="6">
        <f t="shared" si="30"/>
        <v>11.052083333333254</v>
      </c>
      <c r="I998" s="7">
        <f t="shared" si="31"/>
        <v>11.052083333333254</v>
      </c>
    </row>
    <row r="999" spans="1:9" x14ac:dyDescent="0.2">
      <c r="A999" t="s">
        <v>1110</v>
      </c>
      <c r="B999">
        <v>4.1185</v>
      </c>
      <c r="C999">
        <v>5.7680000000000002E-2</v>
      </c>
      <c r="D999">
        <v>240</v>
      </c>
      <c r="E999" t="s">
        <v>1110</v>
      </c>
      <c r="F999">
        <v>240</v>
      </c>
      <c r="G999" s="1">
        <v>45166</v>
      </c>
      <c r="H999" s="6">
        <f t="shared" si="30"/>
        <v>11.06249999999992</v>
      </c>
      <c r="I999" s="7">
        <f t="shared" si="31"/>
        <v>11.06249999999992</v>
      </c>
    </row>
    <row r="1000" spans="1:9" x14ac:dyDescent="0.2">
      <c r="A1000" t="s">
        <v>1111</v>
      </c>
      <c r="B1000">
        <v>4.13</v>
      </c>
      <c r="C1000" s="2" t="s">
        <v>1112</v>
      </c>
      <c r="D1000">
        <v>240</v>
      </c>
      <c r="E1000" t="s">
        <v>1111</v>
      </c>
      <c r="F1000">
        <v>240</v>
      </c>
      <c r="G1000" s="1">
        <v>45166</v>
      </c>
      <c r="H1000" s="6">
        <f t="shared" si="30"/>
        <v>11.072916666666586</v>
      </c>
      <c r="I1000" s="7">
        <f t="shared" si="31"/>
        <v>11.072916666666586</v>
      </c>
    </row>
    <row r="1001" spans="1:9" x14ac:dyDescent="0.2">
      <c r="A1001" t="s">
        <v>1113</v>
      </c>
      <c r="B1001">
        <v>4.1360000000000001</v>
      </c>
      <c r="C1001">
        <v>5.79E-2</v>
      </c>
      <c r="D1001">
        <v>240</v>
      </c>
      <c r="E1001" t="s">
        <v>1113</v>
      </c>
      <c r="F1001">
        <v>240</v>
      </c>
      <c r="G1001" s="1">
        <v>45166</v>
      </c>
      <c r="H1001" s="6">
        <f t="shared" si="30"/>
        <v>11.083333333333252</v>
      </c>
      <c r="I1001" s="7">
        <f t="shared" si="31"/>
        <v>11.083333333333252</v>
      </c>
    </row>
    <row r="1002" spans="1:9" x14ac:dyDescent="0.2">
      <c r="A1002" t="s">
        <v>1114</v>
      </c>
      <c r="B1002" s="2" t="s">
        <v>1003</v>
      </c>
      <c r="C1002">
        <v>5.7829999999999999E-2</v>
      </c>
      <c r="D1002">
        <v>240</v>
      </c>
      <c r="E1002" t="s">
        <v>1114</v>
      </c>
      <c r="F1002">
        <v>240</v>
      </c>
      <c r="G1002" s="1">
        <v>45166</v>
      </c>
      <c r="H1002" s="6">
        <f t="shared" si="30"/>
        <v>11.093749999999918</v>
      </c>
      <c r="I1002" s="7">
        <f t="shared" si="31"/>
        <v>11.093749999999918</v>
      </c>
    </row>
    <row r="1003" spans="1:9" x14ac:dyDescent="0.2">
      <c r="A1003" t="s">
        <v>1115</v>
      </c>
      <c r="B1003">
        <v>4.1444999999999999</v>
      </c>
      <c r="C1003">
        <v>5.8029999999999998E-2</v>
      </c>
      <c r="D1003">
        <v>240</v>
      </c>
      <c r="E1003" t="s">
        <v>1115</v>
      </c>
      <c r="F1003">
        <v>240</v>
      </c>
      <c r="G1003" s="1">
        <v>45166</v>
      </c>
      <c r="H1003" s="6">
        <f t="shared" si="30"/>
        <v>11.104166666666584</v>
      </c>
      <c r="I1003" s="7">
        <f t="shared" si="31"/>
        <v>11.104166666666584</v>
      </c>
    </row>
    <row r="1004" spans="1:9" x14ac:dyDescent="0.2">
      <c r="A1004" t="s">
        <v>1116</v>
      </c>
      <c r="B1004" s="2" t="s">
        <v>1117</v>
      </c>
      <c r="C1004">
        <v>5.8090000000000003E-2</v>
      </c>
      <c r="D1004">
        <v>240</v>
      </c>
      <c r="E1004" t="s">
        <v>1116</v>
      </c>
      <c r="F1004">
        <v>240</v>
      </c>
      <c r="G1004" s="1">
        <v>45166</v>
      </c>
      <c r="H1004" s="6">
        <f t="shared" si="30"/>
        <v>11.11458333333325</v>
      </c>
      <c r="I1004" s="7">
        <f t="shared" si="31"/>
        <v>11.11458333333325</v>
      </c>
    </row>
    <row r="1005" spans="1:9" x14ac:dyDescent="0.2">
      <c r="A1005" t="s">
        <v>1118</v>
      </c>
      <c r="B1005">
        <v>4.1429999999999998</v>
      </c>
      <c r="C1005">
        <v>5.8025E-2</v>
      </c>
      <c r="D1005">
        <v>240</v>
      </c>
      <c r="E1005" t="s">
        <v>1118</v>
      </c>
      <c r="F1005">
        <v>240</v>
      </c>
      <c r="G1005" s="1">
        <v>45166</v>
      </c>
      <c r="H1005" s="6">
        <f t="shared" si="30"/>
        <v>11.124999999999917</v>
      </c>
      <c r="I1005" s="7">
        <f t="shared" si="31"/>
        <v>11.124999999999917</v>
      </c>
    </row>
    <row r="1006" spans="1:9" x14ac:dyDescent="0.2">
      <c r="A1006" t="s">
        <v>1119</v>
      </c>
      <c r="B1006">
        <v>4.1524999999999999</v>
      </c>
      <c r="C1006">
        <v>5.8169999999999999E-2</v>
      </c>
      <c r="D1006">
        <v>240</v>
      </c>
      <c r="E1006" t="s">
        <v>1119</v>
      </c>
      <c r="F1006">
        <v>240</v>
      </c>
      <c r="G1006" s="1">
        <v>45166</v>
      </c>
      <c r="H1006" s="6">
        <f t="shared" si="30"/>
        <v>11.135416666666583</v>
      </c>
      <c r="I1006" s="7">
        <f t="shared" si="31"/>
        <v>11.135416666666583</v>
      </c>
    </row>
    <row r="1007" spans="1:9" x14ac:dyDescent="0.2">
      <c r="A1007" t="s">
        <v>1120</v>
      </c>
      <c r="B1007">
        <v>4.1479999999999997</v>
      </c>
      <c r="C1007" s="2" t="s">
        <v>1121</v>
      </c>
      <c r="D1007">
        <v>240</v>
      </c>
      <c r="E1007" t="s">
        <v>1120</v>
      </c>
      <c r="F1007">
        <v>240</v>
      </c>
      <c r="G1007" s="1">
        <v>45166</v>
      </c>
      <c r="H1007" s="6">
        <f t="shared" si="30"/>
        <v>11.145833333333249</v>
      </c>
      <c r="I1007" s="7">
        <f t="shared" si="31"/>
        <v>11.145833333333249</v>
      </c>
    </row>
    <row r="1008" spans="1:9" x14ac:dyDescent="0.2">
      <c r="A1008" t="s">
        <v>1122</v>
      </c>
      <c r="B1008" s="2" t="s">
        <v>1123</v>
      </c>
      <c r="C1008">
        <v>5.7945000000000003E-2</v>
      </c>
      <c r="D1008">
        <v>240</v>
      </c>
      <c r="E1008" t="s">
        <v>1122</v>
      </c>
      <c r="F1008">
        <v>240</v>
      </c>
      <c r="G1008" s="1">
        <v>45166</v>
      </c>
      <c r="H1008" s="6">
        <f t="shared" si="30"/>
        <v>11.156249999999915</v>
      </c>
      <c r="I1008" s="7">
        <f t="shared" si="31"/>
        <v>11.156249999999915</v>
      </c>
    </row>
    <row r="1009" spans="1:9" x14ac:dyDescent="0.2">
      <c r="A1009" t="s">
        <v>1124</v>
      </c>
      <c r="B1009">
        <v>4.1479999999999997</v>
      </c>
      <c r="C1009">
        <v>5.8104999999999997E-2</v>
      </c>
      <c r="D1009">
        <v>240</v>
      </c>
      <c r="E1009" t="s">
        <v>1124</v>
      </c>
      <c r="F1009">
        <v>240</v>
      </c>
      <c r="G1009" s="1">
        <v>45166</v>
      </c>
      <c r="H1009" s="6">
        <f t="shared" si="30"/>
        <v>11.166666666666581</v>
      </c>
      <c r="I1009" s="7">
        <f t="shared" si="31"/>
        <v>11.166666666666581</v>
      </c>
    </row>
    <row r="1010" spans="1:9" x14ac:dyDescent="0.2">
      <c r="A1010" t="s">
        <v>1125</v>
      </c>
      <c r="B1010">
        <v>4.1334999999999997</v>
      </c>
      <c r="C1010">
        <v>5.7880000000000001E-2</v>
      </c>
      <c r="D1010">
        <v>240</v>
      </c>
      <c r="E1010" t="s">
        <v>1125</v>
      </c>
      <c r="F1010">
        <v>240</v>
      </c>
      <c r="G1010" s="1">
        <v>45166</v>
      </c>
      <c r="H1010" s="6">
        <f t="shared" si="30"/>
        <v>11.177083333333247</v>
      </c>
      <c r="I1010" s="7">
        <f t="shared" si="31"/>
        <v>11.177083333333247</v>
      </c>
    </row>
    <row r="1011" spans="1:9" x14ac:dyDescent="0.2">
      <c r="A1011" t="s">
        <v>1126</v>
      </c>
      <c r="B1011">
        <v>4.1139999999999999</v>
      </c>
      <c r="C1011">
        <v>5.7630000000000001E-2</v>
      </c>
      <c r="D1011">
        <v>240</v>
      </c>
      <c r="E1011" t="s">
        <v>1126</v>
      </c>
      <c r="F1011">
        <v>240</v>
      </c>
      <c r="G1011" s="1">
        <v>45166</v>
      </c>
      <c r="H1011" s="6">
        <f t="shared" si="30"/>
        <v>11.187499999999913</v>
      </c>
      <c r="I1011" s="7">
        <f t="shared" si="31"/>
        <v>11.187499999999913</v>
      </c>
    </row>
    <row r="1012" spans="1:9" x14ac:dyDescent="0.2">
      <c r="A1012" t="s">
        <v>1127</v>
      </c>
      <c r="B1012">
        <v>4.1485000000000003</v>
      </c>
      <c r="C1012">
        <v>5.8110000000000002E-2</v>
      </c>
      <c r="D1012">
        <v>240</v>
      </c>
      <c r="E1012" t="s">
        <v>1127</v>
      </c>
      <c r="F1012">
        <v>240</v>
      </c>
      <c r="G1012" s="1">
        <v>45166</v>
      </c>
      <c r="H1012" s="6">
        <f t="shared" si="30"/>
        <v>11.197916666666579</v>
      </c>
      <c r="I1012" s="7">
        <f t="shared" si="31"/>
        <v>11.197916666666579</v>
      </c>
    </row>
    <row r="1013" spans="1:9" x14ac:dyDescent="0.2">
      <c r="A1013" t="s">
        <v>1128</v>
      </c>
      <c r="B1013">
        <v>4.1414999999999997</v>
      </c>
      <c r="C1013">
        <v>5.8009999999999999E-2</v>
      </c>
      <c r="D1013">
        <v>240</v>
      </c>
      <c r="E1013" t="s">
        <v>1128</v>
      </c>
      <c r="F1013">
        <v>240</v>
      </c>
      <c r="G1013" s="1">
        <v>45166</v>
      </c>
      <c r="H1013" s="6">
        <f t="shared" si="30"/>
        <v>11.208333333333245</v>
      </c>
      <c r="I1013" s="7">
        <f t="shared" si="31"/>
        <v>11.208333333333245</v>
      </c>
    </row>
    <row r="1014" spans="1:9" x14ac:dyDescent="0.2">
      <c r="A1014" t="s">
        <v>1129</v>
      </c>
      <c r="B1014">
        <v>4.1369999999999996</v>
      </c>
      <c r="C1014" s="2" t="s">
        <v>1130</v>
      </c>
      <c r="D1014">
        <v>240</v>
      </c>
      <c r="E1014" t="s">
        <v>1129</v>
      </c>
      <c r="F1014">
        <v>240</v>
      </c>
      <c r="G1014" s="1">
        <v>45166</v>
      </c>
      <c r="H1014" s="6">
        <f t="shared" si="30"/>
        <v>11.218749999999911</v>
      </c>
      <c r="I1014" s="7">
        <f t="shared" si="31"/>
        <v>11.218749999999911</v>
      </c>
    </row>
    <row r="1015" spans="1:9" x14ac:dyDescent="0.2">
      <c r="A1015" t="s">
        <v>1131</v>
      </c>
      <c r="B1015" s="2" t="s">
        <v>1132</v>
      </c>
      <c r="C1015">
        <v>5.7970000000000001E-2</v>
      </c>
      <c r="D1015">
        <v>240</v>
      </c>
      <c r="E1015" t="s">
        <v>1131</v>
      </c>
      <c r="F1015">
        <v>240</v>
      </c>
      <c r="G1015" s="1">
        <v>45166</v>
      </c>
      <c r="H1015" s="6">
        <f t="shared" si="30"/>
        <v>11.229166666666577</v>
      </c>
      <c r="I1015" s="7">
        <f t="shared" si="31"/>
        <v>11.229166666666577</v>
      </c>
    </row>
    <row r="1016" spans="1:9" x14ac:dyDescent="0.2">
      <c r="A1016" t="s">
        <v>1133</v>
      </c>
      <c r="B1016">
        <v>4.1375000000000002</v>
      </c>
      <c r="C1016" s="2" t="s">
        <v>1130</v>
      </c>
      <c r="D1016">
        <v>240</v>
      </c>
      <c r="E1016" t="s">
        <v>1133</v>
      </c>
      <c r="F1016">
        <v>240</v>
      </c>
      <c r="G1016" s="1">
        <v>45166</v>
      </c>
      <c r="H1016" s="6">
        <f t="shared" si="30"/>
        <v>11.239583333333243</v>
      </c>
      <c r="I1016" s="7">
        <f t="shared" si="31"/>
        <v>11.239583333333243</v>
      </c>
    </row>
    <row r="1017" spans="1:9" x14ac:dyDescent="0.2">
      <c r="A1017" t="s">
        <v>1134</v>
      </c>
      <c r="B1017">
        <v>4.12</v>
      </c>
      <c r="C1017">
        <v>5.7715000000000002E-2</v>
      </c>
      <c r="D1017">
        <v>240</v>
      </c>
      <c r="E1017" t="s">
        <v>1134</v>
      </c>
      <c r="F1017">
        <v>240</v>
      </c>
      <c r="G1017" s="1">
        <v>45166</v>
      </c>
      <c r="H1017" s="6">
        <f t="shared" si="30"/>
        <v>11.249999999999909</v>
      </c>
      <c r="I1017" s="7">
        <f t="shared" si="31"/>
        <v>11.249999999999909</v>
      </c>
    </row>
    <row r="1018" spans="1:9" x14ac:dyDescent="0.2">
      <c r="A1018" t="s">
        <v>1135</v>
      </c>
      <c r="B1018">
        <v>4.1395</v>
      </c>
      <c r="C1018">
        <v>5.7974999999999999E-2</v>
      </c>
      <c r="D1018">
        <v>240</v>
      </c>
      <c r="E1018" t="s">
        <v>1135</v>
      </c>
      <c r="F1018">
        <v>240</v>
      </c>
      <c r="G1018" s="1">
        <v>45166</v>
      </c>
      <c r="H1018" s="6">
        <f t="shared" si="30"/>
        <v>11.260416666666575</v>
      </c>
      <c r="I1018" s="7">
        <f t="shared" si="31"/>
        <v>11.260416666666575</v>
      </c>
    </row>
    <row r="1019" spans="1:9" x14ac:dyDescent="0.2">
      <c r="A1019" t="s">
        <v>1136</v>
      </c>
      <c r="B1019">
        <v>4.1485000000000003</v>
      </c>
      <c r="C1019">
        <v>5.8090000000000003E-2</v>
      </c>
      <c r="D1019">
        <v>240</v>
      </c>
      <c r="E1019" t="s">
        <v>1136</v>
      </c>
      <c r="F1019">
        <v>240</v>
      </c>
      <c r="G1019" s="1">
        <v>45166</v>
      </c>
      <c r="H1019" s="6">
        <f t="shared" si="30"/>
        <v>11.270833333333242</v>
      </c>
      <c r="I1019" s="7">
        <f t="shared" si="31"/>
        <v>11.270833333333242</v>
      </c>
    </row>
    <row r="1020" spans="1:9" x14ac:dyDescent="0.2">
      <c r="A1020" t="s">
        <v>1137</v>
      </c>
      <c r="B1020">
        <v>4.1364999999999998</v>
      </c>
      <c r="C1020">
        <v>5.7919999999999999E-2</v>
      </c>
      <c r="D1020">
        <v>240</v>
      </c>
      <c r="E1020" t="s">
        <v>1137</v>
      </c>
      <c r="F1020">
        <v>240</v>
      </c>
      <c r="G1020" s="1">
        <v>45166</v>
      </c>
      <c r="H1020" s="6">
        <f t="shared" si="30"/>
        <v>11.281249999999908</v>
      </c>
      <c r="I1020" s="7">
        <f t="shared" si="31"/>
        <v>11.281249999999908</v>
      </c>
    </row>
    <row r="1021" spans="1:9" x14ac:dyDescent="0.2">
      <c r="A1021" t="s">
        <v>1138</v>
      </c>
      <c r="B1021">
        <v>4.1044999999999998</v>
      </c>
      <c r="C1021">
        <v>5.7494999999999997E-2</v>
      </c>
      <c r="D1021">
        <v>240</v>
      </c>
      <c r="E1021" t="s">
        <v>1138</v>
      </c>
      <c r="F1021">
        <v>240</v>
      </c>
      <c r="G1021" s="1">
        <v>45166</v>
      </c>
      <c r="H1021" s="6">
        <f t="shared" si="30"/>
        <v>11.291666666666574</v>
      </c>
      <c r="I1021" s="7">
        <f t="shared" si="31"/>
        <v>11.291666666666574</v>
      </c>
    </row>
    <row r="1022" spans="1:9" x14ac:dyDescent="0.2">
      <c r="A1022" t="s">
        <v>1139</v>
      </c>
      <c r="B1022">
        <v>4.1079999999999997</v>
      </c>
      <c r="C1022">
        <v>5.7540000000000001E-2</v>
      </c>
      <c r="D1022">
        <v>240</v>
      </c>
      <c r="E1022" t="s">
        <v>1139</v>
      </c>
      <c r="F1022">
        <v>240</v>
      </c>
      <c r="G1022" s="1">
        <v>45166</v>
      </c>
      <c r="H1022" s="6">
        <f t="shared" si="30"/>
        <v>11.30208333333324</v>
      </c>
      <c r="I1022" s="7">
        <f t="shared" si="31"/>
        <v>11.30208333333324</v>
      </c>
    </row>
    <row r="1023" spans="1:9" x14ac:dyDescent="0.2">
      <c r="A1023" t="s">
        <v>1140</v>
      </c>
      <c r="B1023">
        <v>4.0960000000000001</v>
      </c>
      <c r="C1023">
        <v>5.7389999999999997E-2</v>
      </c>
      <c r="D1023">
        <v>240</v>
      </c>
      <c r="E1023" t="s">
        <v>1140</v>
      </c>
      <c r="F1023">
        <v>240</v>
      </c>
      <c r="G1023" s="1">
        <v>45166</v>
      </c>
      <c r="H1023" s="6">
        <f t="shared" si="30"/>
        <v>11.312499999999906</v>
      </c>
      <c r="I1023" s="7">
        <f t="shared" si="31"/>
        <v>11.312499999999906</v>
      </c>
    </row>
    <row r="1024" spans="1:9" x14ac:dyDescent="0.2">
      <c r="A1024" t="s">
        <v>1141</v>
      </c>
      <c r="B1024">
        <v>4.0880000000000001</v>
      </c>
      <c r="C1024">
        <v>5.7244999999999997E-2</v>
      </c>
      <c r="D1024">
        <v>240</v>
      </c>
      <c r="E1024" t="s">
        <v>1141</v>
      </c>
      <c r="F1024">
        <v>240</v>
      </c>
      <c r="G1024" s="1">
        <v>45166</v>
      </c>
      <c r="H1024" s="6">
        <f t="shared" si="30"/>
        <v>11.322916666666572</v>
      </c>
      <c r="I1024" s="7">
        <f t="shared" si="31"/>
        <v>11.322916666666572</v>
      </c>
    </row>
    <row r="1025" spans="1:9" x14ac:dyDescent="0.2">
      <c r="A1025" t="s">
        <v>1142</v>
      </c>
      <c r="B1025">
        <v>4.0694999999999997</v>
      </c>
      <c r="C1025">
        <v>5.7009999999999998E-2</v>
      </c>
      <c r="D1025">
        <v>240</v>
      </c>
      <c r="E1025" t="s">
        <v>1142</v>
      </c>
      <c r="F1025">
        <v>240</v>
      </c>
      <c r="G1025" s="1">
        <v>45166</v>
      </c>
      <c r="H1025" s="6">
        <f t="shared" si="30"/>
        <v>11.333333333333238</v>
      </c>
      <c r="I1025" s="7">
        <f t="shared" si="31"/>
        <v>11.333333333333238</v>
      </c>
    </row>
    <row r="1026" spans="1:9" x14ac:dyDescent="0.2">
      <c r="A1026" t="s">
        <v>1143</v>
      </c>
      <c r="B1026">
        <v>4.0575000000000001</v>
      </c>
      <c r="C1026">
        <v>5.6845E-2</v>
      </c>
      <c r="D1026">
        <v>240</v>
      </c>
      <c r="E1026" t="s">
        <v>1143</v>
      </c>
      <c r="F1026">
        <v>240</v>
      </c>
      <c r="G1026" s="1">
        <v>45166</v>
      </c>
      <c r="H1026" s="6">
        <f t="shared" si="30"/>
        <v>11.343749999999904</v>
      </c>
      <c r="I1026" s="7">
        <f t="shared" si="31"/>
        <v>11.343749999999904</v>
      </c>
    </row>
    <row r="1027" spans="1:9" x14ac:dyDescent="0.2">
      <c r="A1027" t="s">
        <v>1144</v>
      </c>
      <c r="B1027">
        <v>4.0439999999999996</v>
      </c>
      <c r="C1027">
        <v>5.6640000000000003E-2</v>
      </c>
      <c r="D1027">
        <v>240</v>
      </c>
      <c r="E1027" t="s">
        <v>1144</v>
      </c>
      <c r="F1027">
        <v>240</v>
      </c>
      <c r="G1027" s="1">
        <v>45166</v>
      </c>
      <c r="H1027" s="6">
        <f t="shared" ref="H1027:H1090" si="32">H1026+$K$1</f>
        <v>11.35416666666657</v>
      </c>
      <c r="I1027" s="7">
        <f t="shared" ref="I1027:I1090" si="33">I1026+$K$1</f>
        <v>11.35416666666657</v>
      </c>
    </row>
    <row r="1028" spans="1:9" x14ac:dyDescent="0.2">
      <c r="A1028" t="s">
        <v>1145</v>
      </c>
      <c r="B1028">
        <v>3.9744999999999999</v>
      </c>
      <c r="C1028">
        <v>5.5675000000000002E-2</v>
      </c>
      <c r="D1028">
        <v>240</v>
      </c>
      <c r="E1028" t="s">
        <v>1145</v>
      </c>
      <c r="F1028">
        <v>240</v>
      </c>
      <c r="G1028" s="1">
        <v>45166</v>
      </c>
      <c r="H1028" s="6">
        <f t="shared" si="32"/>
        <v>11.364583333333236</v>
      </c>
      <c r="I1028" s="7">
        <f t="shared" si="33"/>
        <v>11.364583333333236</v>
      </c>
    </row>
    <row r="1029" spans="1:9" x14ac:dyDescent="0.2">
      <c r="A1029" t="s">
        <v>1146</v>
      </c>
      <c r="B1029">
        <v>3.9710000000000001</v>
      </c>
      <c r="C1029">
        <v>5.5590000000000001E-2</v>
      </c>
      <c r="D1029">
        <v>240</v>
      </c>
      <c r="E1029" t="s">
        <v>1146</v>
      </c>
      <c r="F1029">
        <v>240</v>
      </c>
      <c r="G1029" s="1">
        <v>45166</v>
      </c>
      <c r="H1029" s="6">
        <f t="shared" si="32"/>
        <v>11.374999999999902</v>
      </c>
      <c r="I1029" s="7">
        <f t="shared" si="33"/>
        <v>11.374999999999902</v>
      </c>
    </row>
    <row r="1030" spans="1:9" x14ac:dyDescent="0.2">
      <c r="A1030" t="s">
        <v>1147</v>
      </c>
      <c r="B1030">
        <v>3.9329999999999998</v>
      </c>
      <c r="C1030">
        <v>5.5100000000000003E-2</v>
      </c>
      <c r="D1030">
        <v>240</v>
      </c>
      <c r="E1030" t="s">
        <v>1147</v>
      </c>
      <c r="F1030">
        <v>240</v>
      </c>
      <c r="G1030" s="1">
        <v>45166</v>
      </c>
      <c r="H1030" s="6">
        <f t="shared" si="32"/>
        <v>11.385416666666568</v>
      </c>
      <c r="I1030" s="7">
        <f t="shared" si="33"/>
        <v>11.385416666666568</v>
      </c>
    </row>
    <row r="1031" spans="1:9" x14ac:dyDescent="0.2">
      <c r="A1031" t="s">
        <v>1148</v>
      </c>
      <c r="B1031">
        <v>3.8635000000000002</v>
      </c>
      <c r="C1031">
        <v>5.4129999999999998E-2</v>
      </c>
      <c r="D1031">
        <v>240</v>
      </c>
      <c r="E1031" t="s">
        <v>1148</v>
      </c>
      <c r="F1031">
        <v>240</v>
      </c>
      <c r="G1031" s="1">
        <v>45166</v>
      </c>
      <c r="H1031" s="6">
        <f t="shared" si="32"/>
        <v>11.395833333333234</v>
      </c>
      <c r="I1031" s="7">
        <f t="shared" si="33"/>
        <v>11.395833333333234</v>
      </c>
    </row>
    <row r="1032" spans="1:9" x14ac:dyDescent="0.2">
      <c r="A1032" t="s">
        <v>1149</v>
      </c>
      <c r="B1032">
        <v>3.8115000000000001</v>
      </c>
      <c r="C1032">
        <v>5.3400000000000003E-2</v>
      </c>
      <c r="D1032">
        <v>240</v>
      </c>
      <c r="E1032" t="s">
        <v>1149</v>
      </c>
      <c r="F1032">
        <v>240</v>
      </c>
      <c r="G1032" s="1">
        <v>45166</v>
      </c>
      <c r="H1032" s="6">
        <f t="shared" si="32"/>
        <v>11.406249999999901</v>
      </c>
      <c r="I1032" s="7">
        <f t="shared" si="33"/>
        <v>11.406249999999901</v>
      </c>
    </row>
    <row r="1033" spans="1:9" x14ac:dyDescent="0.2">
      <c r="A1033" t="s">
        <v>1150</v>
      </c>
      <c r="B1033">
        <v>3.7324999999999999</v>
      </c>
      <c r="C1033">
        <v>5.2290000000000003E-2</v>
      </c>
      <c r="D1033">
        <v>240</v>
      </c>
      <c r="E1033" t="s">
        <v>1150</v>
      </c>
      <c r="F1033">
        <v>240</v>
      </c>
      <c r="G1033" s="1">
        <v>45166</v>
      </c>
      <c r="H1033" s="6">
        <f t="shared" si="32"/>
        <v>11.416666666666567</v>
      </c>
      <c r="I1033" s="7">
        <f t="shared" si="33"/>
        <v>11.416666666666567</v>
      </c>
    </row>
    <row r="1034" spans="1:9" x14ac:dyDescent="0.2">
      <c r="A1034" t="s">
        <v>1151</v>
      </c>
      <c r="B1034">
        <v>3.7170000000000001</v>
      </c>
      <c r="C1034" s="2" t="s">
        <v>1152</v>
      </c>
      <c r="D1034">
        <v>240</v>
      </c>
      <c r="E1034" t="s">
        <v>1151</v>
      </c>
      <c r="F1034">
        <v>240</v>
      </c>
      <c r="G1034" s="1">
        <v>45166</v>
      </c>
      <c r="H1034" s="6">
        <f t="shared" si="32"/>
        <v>11.427083333333233</v>
      </c>
      <c r="I1034" s="7">
        <f t="shared" si="33"/>
        <v>11.427083333333233</v>
      </c>
    </row>
    <row r="1035" spans="1:9" x14ac:dyDescent="0.2">
      <c r="A1035" t="s">
        <v>1153</v>
      </c>
      <c r="B1035">
        <v>3.6629999999999998</v>
      </c>
      <c r="C1035" s="2" t="s">
        <v>1154</v>
      </c>
      <c r="D1035">
        <v>240</v>
      </c>
      <c r="E1035" t="s">
        <v>1153</v>
      </c>
      <c r="F1035">
        <v>240</v>
      </c>
      <c r="G1035" s="1">
        <v>45166</v>
      </c>
      <c r="H1035" s="6">
        <f t="shared" si="32"/>
        <v>11.437499999999899</v>
      </c>
      <c r="I1035" s="7">
        <f t="shared" si="33"/>
        <v>11.437499999999899</v>
      </c>
    </row>
    <row r="1036" spans="1:9" x14ac:dyDescent="0.2">
      <c r="A1036" t="s">
        <v>1155</v>
      </c>
      <c r="B1036">
        <v>3.625</v>
      </c>
      <c r="C1036">
        <v>5.0770000000000003E-2</v>
      </c>
      <c r="D1036">
        <v>240</v>
      </c>
      <c r="E1036" t="s">
        <v>1155</v>
      </c>
      <c r="F1036">
        <v>240</v>
      </c>
      <c r="G1036" s="1">
        <v>45166</v>
      </c>
      <c r="H1036" s="6">
        <f t="shared" si="32"/>
        <v>11.447916666666565</v>
      </c>
      <c r="I1036" s="7">
        <f t="shared" si="33"/>
        <v>11.447916666666565</v>
      </c>
    </row>
    <row r="1037" spans="1:9" x14ac:dyDescent="0.2">
      <c r="A1037" t="s">
        <v>1156</v>
      </c>
      <c r="B1037">
        <v>3.5994999999999999</v>
      </c>
      <c r="C1037">
        <v>5.0404999999999998E-2</v>
      </c>
      <c r="D1037">
        <v>240</v>
      </c>
      <c r="E1037" t="s">
        <v>1156</v>
      </c>
      <c r="F1037">
        <v>240</v>
      </c>
      <c r="G1037" s="1">
        <v>45166</v>
      </c>
      <c r="H1037" s="6">
        <f t="shared" si="32"/>
        <v>11.458333333333231</v>
      </c>
      <c r="I1037" s="7">
        <f t="shared" si="33"/>
        <v>11.458333333333231</v>
      </c>
    </row>
    <row r="1038" spans="1:9" x14ac:dyDescent="0.2">
      <c r="A1038" t="s">
        <v>1157</v>
      </c>
      <c r="B1038">
        <v>3.5655000000000001</v>
      </c>
      <c r="C1038">
        <v>4.9939999999999998E-2</v>
      </c>
      <c r="D1038">
        <v>240</v>
      </c>
      <c r="E1038" t="s">
        <v>1157</v>
      </c>
      <c r="F1038">
        <v>240</v>
      </c>
      <c r="G1038" s="1">
        <v>45166</v>
      </c>
      <c r="H1038" s="6">
        <f t="shared" si="32"/>
        <v>11.468749999999897</v>
      </c>
      <c r="I1038" s="7">
        <f t="shared" si="33"/>
        <v>11.468749999999897</v>
      </c>
    </row>
    <row r="1039" spans="1:9" x14ac:dyDescent="0.2">
      <c r="A1039" t="s">
        <v>1158</v>
      </c>
      <c r="B1039">
        <v>3.5289999999999999</v>
      </c>
      <c r="C1039">
        <v>4.9410000000000003E-2</v>
      </c>
      <c r="D1039">
        <v>240</v>
      </c>
      <c r="E1039" t="s">
        <v>1158</v>
      </c>
      <c r="F1039">
        <v>240</v>
      </c>
      <c r="G1039" s="1">
        <v>45166</v>
      </c>
      <c r="H1039" s="6">
        <f t="shared" si="32"/>
        <v>11.479166666666563</v>
      </c>
      <c r="I1039" s="7">
        <f t="shared" si="33"/>
        <v>11.479166666666563</v>
      </c>
    </row>
    <row r="1040" spans="1:9" x14ac:dyDescent="0.2">
      <c r="A1040" t="s">
        <v>1159</v>
      </c>
      <c r="B1040">
        <v>3.56</v>
      </c>
      <c r="C1040">
        <v>4.9854999999999997E-2</v>
      </c>
      <c r="D1040">
        <v>240</v>
      </c>
      <c r="E1040" t="s">
        <v>1159</v>
      </c>
      <c r="F1040">
        <v>240</v>
      </c>
      <c r="G1040" s="1">
        <v>45166</v>
      </c>
      <c r="H1040" s="6">
        <f t="shared" si="32"/>
        <v>11.489583333333229</v>
      </c>
      <c r="I1040" s="7">
        <f t="shared" si="33"/>
        <v>11.489583333333229</v>
      </c>
    </row>
    <row r="1041" spans="1:9" x14ac:dyDescent="0.2">
      <c r="A1041" t="s">
        <v>1160</v>
      </c>
      <c r="B1041">
        <v>3.5095000000000001</v>
      </c>
      <c r="C1041">
        <v>4.9149999999999999E-2</v>
      </c>
      <c r="D1041">
        <v>240</v>
      </c>
      <c r="E1041" t="s">
        <v>1160</v>
      </c>
      <c r="F1041">
        <v>240</v>
      </c>
      <c r="G1041" s="1">
        <v>45166</v>
      </c>
      <c r="H1041" s="6">
        <f t="shared" si="32"/>
        <v>11.499999999999895</v>
      </c>
      <c r="I1041" s="7">
        <f t="shared" si="33"/>
        <v>11.499999999999895</v>
      </c>
    </row>
    <row r="1042" spans="1:9" x14ac:dyDescent="0.2">
      <c r="A1042" t="s">
        <v>1161</v>
      </c>
      <c r="B1042">
        <v>3.51</v>
      </c>
      <c r="C1042">
        <v>4.9165E-2</v>
      </c>
      <c r="D1042">
        <v>240</v>
      </c>
      <c r="E1042" t="s">
        <v>1161</v>
      </c>
      <c r="F1042">
        <v>240</v>
      </c>
      <c r="G1042" s="1">
        <v>45166</v>
      </c>
      <c r="H1042" s="6">
        <f t="shared" si="32"/>
        <v>11.510416666666561</v>
      </c>
      <c r="I1042" s="7">
        <f t="shared" si="33"/>
        <v>11.510416666666561</v>
      </c>
    </row>
    <row r="1043" spans="1:9" x14ac:dyDescent="0.2">
      <c r="A1043" t="s">
        <v>1162</v>
      </c>
      <c r="B1043">
        <v>3.4925000000000002</v>
      </c>
      <c r="C1043">
        <v>4.8939999999999997E-2</v>
      </c>
      <c r="D1043">
        <v>240</v>
      </c>
      <c r="E1043" t="s">
        <v>1162</v>
      </c>
      <c r="F1043">
        <v>240</v>
      </c>
      <c r="G1043" s="1">
        <v>45166</v>
      </c>
      <c r="H1043" s="6">
        <f t="shared" si="32"/>
        <v>11.520833333333227</v>
      </c>
      <c r="I1043" s="7">
        <f t="shared" si="33"/>
        <v>11.520833333333227</v>
      </c>
    </row>
    <row r="1044" spans="1:9" x14ac:dyDescent="0.2">
      <c r="A1044" t="s">
        <v>1163</v>
      </c>
      <c r="B1044">
        <v>3.4704999999999999</v>
      </c>
      <c r="C1044">
        <v>4.861E-2</v>
      </c>
      <c r="D1044">
        <v>240</v>
      </c>
      <c r="E1044" t="s">
        <v>1163</v>
      </c>
      <c r="F1044">
        <v>240</v>
      </c>
      <c r="G1044" s="1">
        <v>45166</v>
      </c>
      <c r="H1044" s="6">
        <f t="shared" si="32"/>
        <v>11.531249999999893</v>
      </c>
      <c r="I1044" s="7">
        <f t="shared" si="33"/>
        <v>11.531249999999893</v>
      </c>
    </row>
    <row r="1045" spans="1:9" x14ac:dyDescent="0.2">
      <c r="A1045" t="s">
        <v>1164</v>
      </c>
      <c r="B1045">
        <v>3.4769999999999999</v>
      </c>
      <c r="C1045">
        <v>4.8695000000000002E-2</v>
      </c>
      <c r="D1045">
        <v>240</v>
      </c>
      <c r="E1045" t="s">
        <v>1164</v>
      </c>
      <c r="F1045">
        <v>240</v>
      </c>
      <c r="G1045" s="1">
        <v>45166</v>
      </c>
      <c r="H1045" s="6">
        <f t="shared" si="32"/>
        <v>11.541666666666559</v>
      </c>
      <c r="I1045" s="7">
        <f t="shared" si="33"/>
        <v>11.541666666666559</v>
      </c>
    </row>
    <row r="1046" spans="1:9" x14ac:dyDescent="0.2">
      <c r="A1046" t="s">
        <v>1165</v>
      </c>
      <c r="B1046">
        <v>3.4744999999999999</v>
      </c>
      <c r="C1046" s="2" t="s">
        <v>1166</v>
      </c>
      <c r="D1046">
        <v>240</v>
      </c>
      <c r="E1046" t="s">
        <v>1165</v>
      </c>
      <c r="F1046">
        <v>240</v>
      </c>
      <c r="G1046" s="1">
        <v>45166</v>
      </c>
      <c r="H1046" s="6">
        <f t="shared" si="32"/>
        <v>11.552083333333226</v>
      </c>
      <c r="I1046" s="7">
        <f t="shared" si="33"/>
        <v>11.552083333333226</v>
      </c>
    </row>
    <row r="1047" spans="1:9" x14ac:dyDescent="0.2">
      <c r="A1047" t="s">
        <v>1167</v>
      </c>
      <c r="B1047" s="2" t="s">
        <v>1168</v>
      </c>
      <c r="C1047">
        <v>4.8149999999999998E-2</v>
      </c>
      <c r="D1047">
        <v>240</v>
      </c>
      <c r="E1047" t="s">
        <v>1167</v>
      </c>
      <c r="F1047">
        <v>240</v>
      </c>
      <c r="G1047" s="1">
        <v>45166</v>
      </c>
      <c r="H1047" s="6">
        <f t="shared" si="32"/>
        <v>11.562499999999892</v>
      </c>
      <c r="I1047" s="7">
        <f t="shared" si="33"/>
        <v>11.562499999999892</v>
      </c>
    </row>
    <row r="1048" spans="1:9" x14ac:dyDescent="0.2">
      <c r="A1048" t="s">
        <v>1169</v>
      </c>
      <c r="B1048" s="2" t="s">
        <v>1170</v>
      </c>
      <c r="C1048">
        <v>4.7350000000000003E-2</v>
      </c>
      <c r="D1048">
        <v>240</v>
      </c>
      <c r="E1048" t="s">
        <v>1169</v>
      </c>
      <c r="F1048">
        <v>240</v>
      </c>
      <c r="G1048" s="1">
        <v>45166</v>
      </c>
      <c r="H1048" s="6">
        <f t="shared" si="32"/>
        <v>11.572916666666558</v>
      </c>
      <c r="I1048" s="7">
        <f t="shared" si="33"/>
        <v>11.572916666666558</v>
      </c>
    </row>
    <row r="1049" spans="1:9" x14ac:dyDescent="0.2">
      <c r="A1049" t="s">
        <v>1171</v>
      </c>
      <c r="B1049">
        <v>3.4104999999999999</v>
      </c>
      <c r="C1049">
        <v>4.7765000000000002E-2</v>
      </c>
      <c r="D1049">
        <v>240</v>
      </c>
      <c r="E1049" t="s">
        <v>1171</v>
      </c>
      <c r="F1049">
        <v>240</v>
      </c>
      <c r="G1049" s="1">
        <v>45166</v>
      </c>
      <c r="H1049" s="6">
        <f t="shared" si="32"/>
        <v>11.583333333333224</v>
      </c>
      <c r="I1049" s="7">
        <f t="shared" si="33"/>
        <v>11.583333333333224</v>
      </c>
    </row>
    <row r="1050" spans="1:9" x14ac:dyDescent="0.2">
      <c r="A1050" t="s">
        <v>1172</v>
      </c>
      <c r="B1050">
        <v>3.3820000000000001</v>
      </c>
      <c r="C1050">
        <v>4.7364999999999997E-2</v>
      </c>
      <c r="D1050">
        <v>240</v>
      </c>
      <c r="E1050" t="s">
        <v>1172</v>
      </c>
      <c r="F1050">
        <v>240</v>
      </c>
      <c r="G1050" s="1">
        <v>45166</v>
      </c>
      <c r="H1050" s="6">
        <f t="shared" si="32"/>
        <v>11.59374999999989</v>
      </c>
      <c r="I1050" s="7">
        <f t="shared" si="33"/>
        <v>11.59374999999989</v>
      </c>
    </row>
    <row r="1051" spans="1:9" x14ac:dyDescent="0.2">
      <c r="A1051" t="s">
        <v>1173</v>
      </c>
      <c r="B1051">
        <v>3.367</v>
      </c>
      <c r="C1051">
        <v>4.7175000000000002E-2</v>
      </c>
      <c r="D1051">
        <v>240</v>
      </c>
      <c r="E1051" t="s">
        <v>1173</v>
      </c>
      <c r="F1051">
        <v>240</v>
      </c>
      <c r="G1051" s="1">
        <v>45166</v>
      </c>
      <c r="H1051" s="6">
        <f t="shared" si="32"/>
        <v>11.604166666666556</v>
      </c>
      <c r="I1051" s="7">
        <f t="shared" si="33"/>
        <v>11.604166666666556</v>
      </c>
    </row>
    <row r="1052" spans="1:9" x14ac:dyDescent="0.2">
      <c r="A1052" t="s">
        <v>1174</v>
      </c>
      <c r="B1052">
        <v>3.3344999999999998</v>
      </c>
      <c r="C1052">
        <v>4.6715E-2</v>
      </c>
      <c r="D1052">
        <v>240</v>
      </c>
      <c r="E1052" t="s">
        <v>1174</v>
      </c>
      <c r="F1052">
        <v>240</v>
      </c>
      <c r="G1052" s="1">
        <v>45166</v>
      </c>
      <c r="H1052" s="6">
        <f t="shared" si="32"/>
        <v>11.614583333333222</v>
      </c>
      <c r="I1052" s="7">
        <f t="shared" si="33"/>
        <v>11.614583333333222</v>
      </c>
    </row>
    <row r="1053" spans="1:9" x14ac:dyDescent="0.2">
      <c r="A1053" t="s">
        <v>1175</v>
      </c>
      <c r="B1053">
        <v>3.3405</v>
      </c>
      <c r="C1053">
        <v>4.6789999999999998E-2</v>
      </c>
      <c r="D1053">
        <v>240</v>
      </c>
      <c r="E1053" t="s">
        <v>1175</v>
      </c>
      <c r="F1053">
        <v>240</v>
      </c>
      <c r="G1053" s="1">
        <v>45166</v>
      </c>
      <c r="H1053" s="6">
        <f t="shared" si="32"/>
        <v>11.624999999999888</v>
      </c>
      <c r="I1053" s="7">
        <f t="shared" si="33"/>
        <v>11.624999999999888</v>
      </c>
    </row>
    <row r="1054" spans="1:9" x14ac:dyDescent="0.2">
      <c r="A1054" t="s">
        <v>1176</v>
      </c>
      <c r="B1054">
        <v>3.3075000000000001</v>
      </c>
      <c r="C1054">
        <v>4.6335000000000001E-2</v>
      </c>
      <c r="D1054">
        <v>240</v>
      </c>
      <c r="E1054" t="s">
        <v>1176</v>
      </c>
      <c r="F1054">
        <v>240</v>
      </c>
      <c r="G1054" s="1">
        <v>45166</v>
      </c>
      <c r="H1054" s="6">
        <f t="shared" si="32"/>
        <v>11.635416666666554</v>
      </c>
      <c r="I1054" s="7">
        <f t="shared" si="33"/>
        <v>11.635416666666554</v>
      </c>
    </row>
    <row r="1055" spans="1:9" x14ac:dyDescent="0.2">
      <c r="A1055" t="s">
        <v>1177</v>
      </c>
      <c r="B1055">
        <v>3.2909999999999999</v>
      </c>
      <c r="C1055">
        <v>4.6094999999999997E-2</v>
      </c>
      <c r="D1055">
        <v>240</v>
      </c>
      <c r="E1055" t="s">
        <v>1177</v>
      </c>
      <c r="F1055">
        <v>240</v>
      </c>
      <c r="G1055" s="1">
        <v>45166</v>
      </c>
      <c r="H1055" s="6">
        <f t="shared" si="32"/>
        <v>11.64583333333322</v>
      </c>
      <c r="I1055" s="7">
        <f t="shared" si="33"/>
        <v>11.64583333333322</v>
      </c>
    </row>
    <row r="1056" spans="1:9" x14ac:dyDescent="0.2">
      <c r="A1056" t="s">
        <v>1178</v>
      </c>
      <c r="B1056">
        <v>3.3025000000000002</v>
      </c>
      <c r="C1056">
        <v>4.6254999999999998E-2</v>
      </c>
      <c r="D1056">
        <v>240</v>
      </c>
      <c r="E1056" t="s">
        <v>1178</v>
      </c>
      <c r="F1056">
        <v>240</v>
      </c>
      <c r="G1056" s="1">
        <v>45166</v>
      </c>
      <c r="H1056" s="6">
        <f t="shared" si="32"/>
        <v>11.656249999999886</v>
      </c>
      <c r="I1056" s="7">
        <f t="shared" si="33"/>
        <v>11.656249999999886</v>
      </c>
    </row>
    <row r="1057" spans="1:9" x14ac:dyDescent="0.2">
      <c r="A1057" t="s">
        <v>1179</v>
      </c>
      <c r="B1057">
        <v>3.2709999999999999</v>
      </c>
      <c r="C1057">
        <v>4.5830000000000003E-2</v>
      </c>
      <c r="D1057">
        <v>240</v>
      </c>
      <c r="E1057" t="s">
        <v>1179</v>
      </c>
      <c r="F1057">
        <v>240</v>
      </c>
      <c r="G1057" s="1">
        <v>45166</v>
      </c>
      <c r="H1057" s="6">
        <f t="shared" si="32"/>
        <v>11.666666666666552</v>
      </c>
      <c r="I1057" s="7">
        <f t="shared" si="33"/>
        <v>11.666666666666552</v>
      </c>
    </row>
    <row r="1058" spans="1:9" x14ac:dyDescent="0.2">
      <c r="A1058" t="s">
        <v>1180</v>
      </c>
      <c r="B1058">
        <v>3.2835000000000001</v>
      </c>
      <c r="C1058">
        <v>4.5995000000000001E-2</v>
      </c>
      <c r="D1058">
        <v>240</v>
      </c>
      <c r="E1058" t="s">
        <v>1180</v>
      </c>
      <c r="F1058">
        <v>240</v>
      </c>
      <c r="G1058" s="1">
        <v>45166</v>
      </c>
      <c r="H1058" s="6">
        <f t="shared" si="32"/>
        <v>11.677083333333218</v>
      </c>
      <c r="I1058" s="7">
        <f t="shared" si="33"/>
        <v>11.677083333333218</v>
      </c>
    </row>
    <row r="1059" spans="1:9" x14ac:dyDescent="0.2">
      <c r="A1059" t="s">
        <v>1181</v>
      </c>
      <c r="B1059">
        <v>3.3029999999999999</v>
      </c>
      <c r="C1059">
        <v>4.6254999999999998E-2</v>
      </c>
      <c r="D1059">
        <v>240</v>
      </c>
      <c r="E1059" t="s">
        <v>1181</v>
      </c>
      <c r="F1059">
        <v>240</v>
      </c>
      <c r="G1059" s="1">
        <v>45166</v>
      </c>
      <c r="H1059" s="6">
        <f t="shared" si="32"/>
        <v>11.687499999999885</v>
      </c>
      <c r="I1059" s="7">
        <f t="shared" si="33"/>
        <v>11.687499999999885</v>
      </c>
    </row>
    <row r="1060" spans="1:9" x14ac:dyDescent="0.2">
      <c r="A1060" t="s">
        <v>1182</v>
      </c>
      <c r="B1060">
        <v>3.28</v>
      </c>
      <c r="C1060">
        <v>4.5925000000000001E-2</v>
      </c>
      <c r="D1060">
        <v>240</v>
      </c>
      <c r="E1060" t="s">
        <v>1182</v>
      </c>
      <c r="F1060">
        <v>240</v>
      </c>
      <c r="G1060" s="1">
        <v>45166</v>
      </c>
      <c r="H1060" s="6">
        <f t="shared" si="32"/>
        <v>11.697916666666551</v>
      </c>
      <c r="I1060" s="7">
        <f t="shared" si="33"/>
        <v>11.697916666666551</v>
      </c>
    </row>
    <row r="1061" spans="1:9" x14ac:dyDescent="0.2">
      <c r="A1061" t="s">
        <v>1183</v>
      </c>
      <c r="B1061">
        <v>3.3075000000000001</v>
      </c>
      <c r="C1061">
        <v>4.6324999999999998E-2</v>
      </c>
      <c r="D1061">
        <v>240</v>
      </c>
      <c r="E1061" t="s">
        <v>1183</v>
      </c>
      <c r="F1061">
        <v>240</v>
      </c>
      <c r="G1061" s="1">
        <v>45166</v>
      </c>
      <c r="H1061" s="6">
        <f t="shared" si="32"/>
        <v>11.708333333333217</v>
      </c>
      <c r="I1061" s="7">
        <f t="shared" si="33"/>
        <v>11.708333333333217</v>
      </c>
    </row>
    <row r="1062" spans="1:9" x14ac:dyDescent="0.2">
      <c r="A1062" t="s">
        <v>1184</v>
      </c>
      <c r="B1062">
        <v>3.3460000000000001</v>
      </c>
      <c r="C1062">
        <v>4.6844999999999998E-2</v>
      </c>
      <c r="D1062">
        <v>240</v>
      </c>
      <c r="E1062" t="s">
        <v>1184</v>
      </c>
      <c r="F1062">
        <v>240</v>
      </c>
      <c r="G1062" s="1">
        <v>45166</v>
      </c>
      <c r="H1062" s="6">
        <f t="shared" si="32"/>
        <v>11.718749999999883</v>
      </c>
      <c r="I1062" s="7">
        <f t="shared" si="33"/>
        <v>11.718749999999883</v>
      </c>
    </row>
    <row r="1063" spans="1:9" x14ac:dyDescent="0.2">
      <c r="A1063" t="s">
        <v>1185</v>
      </c>
      <c r="B1063" s="2" t="s">
        <v>1186</v>
      </c>
      <c r="C1063">
        <v>4.6295000000000003E-2</v>
      </c>
      <c r="D1063">
        <v>240</v>
      </c>
      <c r="E1063" t="s">
        <v>1185</v>
      </c>
      <c r="F1063">
        <v>240</v>
      </c>
      <c r="G1063" s="1">
        <v>45166</v>
      </c>
      <c r="H1063" s="6">
        <f t="shared" si="32"/>
        <v>11.729166666666549</v>
      </c>
      <c r="I1063" s="7">
        <f t="shared" si="33"/>
        <v>11.729166666666549</v>
      </c>
    </row>
    <row r="1064" spans="1:9" x14ac:dyDescent="0.2">
      <c r="A1064" t="s">
        <v>1187</v>
      </c>
      <c r="B1064">
        <v>3.3180000000000001</v>
      </c>
      <c r="C1064">
        <v>4.648E-2</v>
      </c>
      <c r="D1064">
        <v>240</v>
      </c>
      <c r="E1064" t="s">
        <v>1187</v>
      </c>
      <c r="F1064">
        <v>240</v>
      </c>
      <c r="G1064" s="1">
        <v>45166</v>
      </c>
      <c r="H1064" s="6">
        <f t="shared" si="32"/>
        <v>11.739583333333215</v>
      </c>
      <c r="I1064" s="7">
        <f t="shared" si="33"/>
        <v>11.739583333333215</v>
      </c>
    </row>
    <row r="1065" spans="1:9" x14ac:dyDescent="0.2">
      <c r="A1065" t="s">
        <v>1188</v>
      </c>
      <c r="B1065">
        <v>3.302</v>
      </c>
      <c r="C1065">
        <v>4.6265000000000001E-2</v>
      </c>
      <c r="D1065">
        <v>241</v>
      </c>
      <c r="E1065" t="s">
        <v>1188</v>
      </c>
      <c r="F1065">
        <v>240</v>
      </c>
      <c r="G1065" s="1">
        <v>45166</v>
      </c>
      <c r="H1065" s="6">
        <f t="shared" si="32"/>
        <v>11.749999999999881</v>
      </c>
      <c r="I1065" s="7">
        <f t="shared" si="33"/>
        <v>11.749999999999881</v>
      </c>
    </row>
    <row r="1066" spans="1:9" x14ac:dyDescent="0.2">
      <c r="A1066" t="s">
        <v>1189</v>
      </c>
      <c r="B1066">
        <v>3.306</v>
      </c>
      <c r="C1066">
        <v>4.6300000000000001E-2</v>
      </c>
      <c r="D1066">
        <v>241</v>
      </c>
      <c r="E1066" t="s">
        <v>1189</v>
      </c>
      <c r="F1066">
        <v>240</v>
      </c>
      <c r="G1066" s="1">
        <v>45166</v>
      </c>
      <c r="H1066" s="6">
        <f t="shared" si="32"/>
        <v>11.760416666666547</v>
      </c>
      <c r="I1066" s="7">
        <f t="shared" si="33"/>
        <v>11.760416666666547</v>
      </c>
    </row>
    <row r="1067" spans="1:9" x14ac:dyDescent="0.2">
      <c r="A1067" t="s">
        <v>1190</v>
      </c>
      <c r="B1067">
        <v>3.327</v>
      </c>
      <c r="C1067">
        <v>4.6594999999999998E-2</v>
      </c>
      <c r="D1067">
        <v>241</v>
      </c>
      <c r="E1067" t="s">
        <v>1190</v>
      </c>
      <c r="F1067">
        <v>240</v>
      </c>
      <c r="G1067" s="1">
        <v>45166</v>
      </c>
      <c r="H1067" s="6">
        <f t="shared" si="32"/>
        <v>11.770833333333213</v>
      </c>
      <c r="I1067" s="7">
        <f t="shared" si="33"/>
        <v>11.770833333333213</v>
      </c>
    </row>
    <row r="1068" spans="1:9" x14ac:dyDescent="0.2">
      <c r="A1068" t="s">
        <v>1191</v>
      </c>
      <c r="B1068">
        <v>3.3334999999999999</v>
      </c>
      <c r="C1068">
        <v>4.6675000000000001E-2</v>
      </c>
      <c r="D1068">
        <v>241</v>
      </c>
      <c r="E1068" t="s">
        <v>1191</v>
      </c>
      <c r="F1068">
        <v>240</v>
      </c>
      <c r="G1068" s="1">
        <v>45166</v>
      </c>
      <c r="H1068" s="6">
        <f t="shared" si="32"/>
        <v>11.781249999999879</v>
      </c>
      <c r="I1068" s="7">
        <f t="shared" si="33"/>
        <v>11.781249999999879</v>
      </c>
    </row>
    <row r="1069" spans="1:9" x14ac:dyDescent="0.2">
      <c r="A1069" t="s">
        <v>1192</v>
      </c>
      <c r="B1069">
        <v>3.3205</v>
      </c>
      <c r="C1069">
        <v>4.6504999999999998E-2</v>
      </c>
      <c r="D1069">
        <v>241</v>
      </c>
      <c r="E1069" t="s">
        <v>1192</v>
      </c>
      <c r="F1069">
        <v>240</v>
      </c>
      <c r="G1069" s="1">
        <v>45166</v>
      </c>
      <c r="H1069" s="6">
        <f t="shared" si="32"/>
        <v>11.791666666666545</v>
      </c>
      <c r="I1069" s="7">
        <f t="shared" si="33"/>
        <v>11.791666666666545</v>
      </c>
    </row>
    <row r="1070" spans="1:9" x14ac:dyDescent="0.2">
      <c r="A1070" t="s">
        <v>1193</v>
      </c>
      <c r="B1070">
        <v>3.3479999999999999</v>
      </c>
      <c r="C1070">
        <v>4.6905000000000002E-2</v>
      </c>
      <c r="D1070">
        <v>241</v>
      </c>
      <c r="E1070" t="s">
        <v>1193</v>
      </c>
      <c r="F1070">
        <v>240</v>
      </c>
      <c r="G1070" s="1">
        <v>45166</v>
      </c>
      <c r="H1070" s="6">
        <f t="shared" si="32"/>
        <v>11.802083333333211</v>
      </c>
      <c r="I1070" s="7">
        <f t="shared" si="33"/>
        <v>11.802083333333211</v>
      </c>
    </row>
    <row r="1071" spans="1:9" x14ac:dyDescent="0.2">
      <c r="A1071" t="s">
        <v>1194</v>
      </c>
      <c r="B1071">
        <v>3.339</v>
      </c>
      <c r="C1071">
        <v>4.6780000000000002E-2</v>
      </c>
      <c r="D1071">
        <v>241</v>
      </c>
      <c r="E1071" t="s">
        <v>1194</v>
      </c>
      <c r="F1071">
        <v>240</v>
      </c>
      <c r="G1071" s="1">
        <v>45166</v>
      </c>
      <c r="H1071" s="6">
        <f t="shared" si="32"/>
        <v>11.812499999999877</v>
      </c>
      <c r="I1071" s="7">
        <f t="shared" si="33"/>
        <v>11.812499999999877</v>
      </c>
    </row>
    <row r="1072" spans="1:9" x14ac:dyDescent="0.2">
      <c r="A1072" t="s">
        <v>1195</v>
      </c>
      <c r="B1072">
        <v>3.105</v>
      </c>
      <c r="C1072">
        <v>4.3479999999999998E-2</v>
      </c>
      <c r="D1072">
        <v>241</v>
      </c>
      <c r="E1072" t="s">
        <v>1195</v>
      </c>
      <c r="F1072">
        <v>240</v>
      </c>
      <c r="G1072" s="1">
        <v>45166</v>
      </c>
      <c r="H1072" s="6">
        <f t="shared" si="32"/>
        <v>11.822916666666544</v>
      </c>
      <c r="I1072" s="7">
        <f t="shared" si="33"/>
        <v>11.822916666666544</v>
      </c>
    </row>
    <row r="1073" spans="1:9" x14ac:dyDescent="0.2">
      <c r="A1073" t="s">
        <v>1196</v>
      </c>
      <c r="B1073">
        <v>3.363</v>
      </c>
      <c r="C1073">
        <v>4.7114999999999997E-2</v>
      </c>
      <c r="D1073">
        <v>241</v>
      </c>
      <c r="E1073" t="s">
        <v>1196</v>
      </c>
      <c r="F1073">
        <v>240</v>
      </c>
      <c r="G1073" s="1">
        <v>45166</v>
      </c>
      <c r="H1073" s="6">
        <f t="shared" si="32"/>
        <v>11.83333333333321</v>
      </c>
      <c r="I1073" s="7">
        <f t="shared" si="33"/>
        <v>11.83333333333321</v>
      </c>
    </row>
    <row r="1074" spans="1:9" x14ac:dyDescent="0.2">
      <c r="A1074" t="s">
        <v>1197</v>
      </c>
      <c r="B1074">
        <v>3.3780000000000001</v>
      </c>
      <c r="C1074">
        <v>4.7305E-2</v>
      </c>
      <c r="D1074">
        <v>241</v>
      </c>
      <c r="E1074" t="s">
        <v>1197</v>
      </c>
      <c r="F1074">
        <v>240</v>
      </c>
      <c r="G1074" s="1">
        <v>45166</v>
      </c>
      <c r="H1074" s="6">
        <f t="shared" si="32"/>
        <v>11.843749999999876</v>
      </c>
      <c r="I1074" s="7">
        <f t="shared" si="33"/>
        <v>11.843749999999876</v>
      </c>
    </row>
    <row r="1075" spans="1:9" x14ac:dyDescent="0.2">
      <c r="A1075" t="s">
        <v>1198</v>
      </c>
      <c r="B1075">
        <v>3.4215</v>
      </c>
      <c r="C1075">
        <v>4.7934999999999998E-2</v>
      </c>
      <c r="D1075">
        <v>241</v>
      </c>
      <c r="E1075" t="s">
        <v>1198</v>
      </c>
      <c r="F1075">
        <v>240</v>
      </c>
      <c r="G1075" s="1">
        <v>45166</v>
      </c>
      <c r="H1075" s="6">
        <f t="shared" si="32"/>
        <v>11.854166666666542</v>
      </c>
      <c r="I1075" s="7">
        <f t="shared" si="33"/>
        <v>11.854166666666542</v>
      </c>
    </row>
    <row r="1076" spans="1:9" x14ac:dyDescent="0.2">
      <c r="A1076" t="s">
        <v>1199</v>
      </c>
      <c r="B1076">
        <v>3.4155000000000002</v>
      </c>
      <c r="C1076">
        <v>4.7835000000000003E-2</v>
      </c>
      <c r="D1076">
        <v>241</v>
      </c>
      <c r="E1076" t="s">
        <v>1199</v>
      </c>
      <c r="F1076">
        <v>240</v>
      </c>
      <c r="G1076" s="1">
        <v>45166</v>
      </c>
      <c r="H1076" s="6">
        <f t="shared" si="32"/>
        <v>11.864583333333208</v>
      </c>
      <c r="I1076" s="7">
        <f t="shared" si="33"/>
        <v>11.864583333333208</v>
      </c>
    </row>
    <row r="1077" spans="1:9" x14ac:dyDescent="0.2">
      <c r="A1077" t="s">
        <v>1200</v>
      </c>
      <c r="B1077">
        <v>3.4315000000000002</v>
      </c>
      <c r="C1077">
        <v>4.8070000000000002E-2</v>
      </c>
      <c r="D1077">
        <v>241</v>
      </c>
      <c r="E1077" t="s">
        <v>1200</v>
      </c>
      <c r="F1077">
        <v>240</v>
      </c>
      <c r="G1077" s="1">
        <v>45166</v>
      </c>
      <c r="H1077" s="6">
        <f t="shared" si="32"/>
        <v>11.874999999999874</v>
      </c>
      <c r="I1077" s="7">
        <f t="shared" si="33"/>
        <v>11.874999999999874</v>
      </c>
    </row>
    <row r="1078" spans="1:9" x14ac:dyDescent="0.2">
      <c r="A1078" t="s">
        <v>1201</v>
      </c>
      <c r="B1078">
        <v>3.4994999999999998</v>
      </c>
      <c r="C1078">
        <v>4.9015000000000003E-2</v>
      </c>
      <c r="D1078">
        <v>241</v>
      </c>
      <c r="E1078" t="s">
        <v>1201</v>
      </c>
      <c r="F1078">
        <v>240</v>
      </c>
      <c r="G1078" s="1">
        <v>45166</v>
      </c>
      <c r="H1078" s="6">
        <f t="shared" si="32"/>
        <v>11.88541666666654</v>
      </c>
      <c r="I1078" s="7">
        <f t="shared" si="33"/>
        <v>11.88541666666654</v>
      </c>
    </row>
    <row r="1079" spans="1:9" x14ac:dyDescent="0.2">
      <c r="A1079" t="s">
        <v>1202</v>
      </c>
      <c r="B1079">
        <v>3.5185</v>
      </c>
      <c r="C1079">
        <v>4.929E-2</v>
      </c>
      <c r="D1079">
        <v>241</v>
      </c>
      <c r="E1079" t="s">
        <v>1202</v>
      </c>
      <c r="F1079">
        <v>240</v>
      </c>
      <c r="G1079" s="1">
        <v>45166</v>
      </c>
      <c r="H1079" s="6">
        <f t="shared" si="32"/>
        <v>11.895833333333206</v>
      </c>
      <c r="I1079" s="7">
        <f t="shared" si="33"/>
        <v>11.895833333333206</v>
      </c>
    </row>
    <row r="1080" spans="1:9" x14ac:dyDescent="0.2">
      <c r="A1080" t="s">
        <v>1203</v>
      </c>
      <c r="B1080">
        <v>3.5674999999999999</v>
      </c>
      <c r="C1080">
        <v>4.9974999999999999E-2</v>
      </c>
      <c r="D1080">
        <v>241</v>
      </c>
      <c r="E1080" t="s">
        <v>1203</v>
      </c>
      <c r="F1080">
        <v>240</v>
      </c>
      <c r="G1080" s="1">
        <v>45166</v>
      </c>
      <c r="H1080" s="6">
        <f t="shared" si="32"/>
        <v>11.906249999999872</v>
      </c>
      <c r="I1080" s="7">
        <f t="shared" si="33"/>
        <v>11.906249999999872</v>
      </c>
    </row>
    <row r="1081" spans="1:9" x14ac:dyDescent="0.2">
      <c r="A1081" t="s">
        <v>1204</v>
      </c>
      <c r="B1081">
        <v>3.59</v>
      </c>
      <c r="C1081">
        <v>5.0285000000000003E-2</v>
      </c>
      <c r="D1081">
        <v>241</v>
      </c>
      <c r="E1081" t="s">
        <v>1204</v>
      </c>
      <c r="F1081">
        <v>240</v>
      </c>
      <c r="G1081" s="1">
        <v>45166</v>
      </c>
      <c r="H1081" s="6">
        <f t="shared" si="32"/>
        <v>11.916666666666538</v>
      </c>
      <c r="I1081" s="7">
        <f t="shared" si="33"/>
        <v>11.916666666666538</v>
      </c>
    </row>
    <row r="1082" spans="1:9" x14ac:dyDescent="0.2">
      <c r="A1082" t="s">
        <v>1205</v>
      </c>
      <c r="B1082">
        <v>3.6835</v>
      </c>
      <c r="C1082">
        <v>5.1604999999999998E-2</v>
      </c>
      <c r="D1082">
        <v>241</v>
      </c>
      <c r="E1082" t="s">
        <v>1205</v>
      </c>
      <c r="F1082">
        <v>240</v>
      </c>
      <c r="G1082" s="1">
        <v>45166</v>
      </c>
      <c r="H1082" s="6">
        <f t="shared" si="32"/>
        <v>11.927083333333204</v>
      </c>
      <c r="I1082" s="7">
        <f t="shared" si="33"/>
        <v>11.927083333333204</v>
      </c>
    </row>
    <row r="1083" spans="1:9" x14ac:dyDescent="0.2">
      <c r="A1083" t="s">
        <v>1206</v>
      </c>
      <c r="B1083">
        <v>3.6955</v>
      </c>
      <c r="C1083">
        <v>5.1764999999999999E-2</v>
      </c>
      <c r="D1083">
        <v>241</v>
      </c>
      <c r="E1083" t="s">
        <v>1206</v>
      </c>
      <c r="F1083">
        <v>240</v>
      </c>
      <c r="G1083" s="1">
        <v>45166</v>
      </c>
      <c r="H1083" s="6">
        <f t="shared" si="32"/>
        <v>11.93749999999987</v>
      </c>
      <c r="I1083" s="7">
        <f t="shared" si="33"/>
        <v>11.93749999999987</v>
      </c>
    </row>
    <row r="1084" spans="1:9" x14ac:dyDescent="0.2">
      <c r="A1084" t="s">
        <v>1207</v>
      </c>
      <c r="B1084">
        <v>3.766</v>
      </c>
      <c r="C1084">
        <v>5.2729999999999999E-2</v>
      </c>
      <c r="D1084">
        <v>241</v>
      </c>
      <c r="E1084" t="s">
        <v>1207</v>
      </c>
      <c r="F1084">
        <v>240</v>
      </c>
      <c r="G1084" s="1">
        <v>45166</v>
      </c>
      <c r="H1084" s="6">
        <f t="shared" si="32"/>
        <v>11.947916666666536</v>
      </c>
      <c r="I1084" s="7">
        <f t="shared" si="33"/>
        <v>11.947916666666536</v>
      </c>
    </row>
    <row r="1085" spans="1:9" x14ac:dyDescent="0.2">
      <c r="A1085" t="s">
        <v>1208</v>
      </c>
      <c r="B1085">
        <v>3.827</v>
      </c>
      <c r="C1085">
        <v>5.3609999999999998E-2</v>
      </c>
      <c r="D1085">
        <v>241</v>
      </c>
      <c r="E1085" t="s">
        <v>1208</v>
      </c>
      <c r="F1085">
        <v>240</v>
      </c>
      <c r="G1085" s="1">
        <v>45166</v>
      </c>
      <c r="H1085" s="6">
        <f t="shared" si="32"/>
        <v>11.958333333333202</v>
      </c>
      <c r="I1085" s="7">
        <f t="shared" si="33"/>
        <v>11.958333333333202</v>
      </c>
    </row>
    <row r="1086" spans="1:9" x14ac:dyDescent="0.2">
      <c r="A1086" t="s">
        <v>1209</v>
      </c>
      <c r="B1086">
        <v>3.8570000000000002</v>
      </c>
      <c r="C1086" s="2" t="s">
        <v>1210</v>
      </c>
      <c r="D1086">
        <v>241</v>
      </c>
      <c r="E1086" t="s">
        <v>1209</v>
      </c>
      <c r="F1086">
        <v>240</v>
      </c>
      <c r="G1086" s="1">
        <v>45166</v>
      </c>
      <c r="H1086" s="6">
        <f t="shared" si="32"/>
        <v>11.968749999999869</v>
      </c>
      <c r="I1086" s="7">
        <f t="shared" si="33"/>
        <v>11.968749999999869</v>
      </c>
    </row>
    <row r="1087" spans="1:9" x14ac:dyDescent="0.2">
      <c r="A1087" t="s">
        <v>1211</v>
      </c>
      <c r="B1087">
        <v>3.9359999999999999</v>
      </c>
      <c r="C1087">
        <v>5.5135000000000003E-2</v>
      </c>
      <c r="D1087">
        <v>241</v>
      </c>
      <c r="E1087" t="s">
        <v>1211</v>
      </c>
      <c r="F1087">
        <v>240</v>
      </c>
      <c r="G1087" s="1">
        <v>45166</v>
      </c>
      <c r="H1087" s="6">
        <f t="shared" si="32"/>
        <v>11.979166666666535</v>
      </c>
      <c r="I1087" s="7">
        <f t="shared" si="33"/>
        <v>11.979166666666535</v>
      </c>
    </row>
    <row r="1088" spans="1:9" x14ac:dyDescent="0.2">
      <c r="A1088" t="s">
        <v>1212</v>
      </c>
      <c r="B1088">
        <v>3.9845000000000002</v>
      </c>
      <c r="C1088">
        <v>5.5825E-2</v>
      </c>
      <c r="D1088">
        <v>241</v>
      </c>
      <c r="E1088" t="s">
        <v>1212</v>
      </c>
      <c r="F1088">
        <v>240</v>
      </c>
      <c r="G1088" s="1">
        <v>45166</v>
      </c>
      <c r="H1088" s="6">
        <f t="shared" si="32"/>
        <v>11.989583333333201</v>
      </c>
      <c r="I1088" s="7">
        <f t="shared" si="33"/>
        <v>11.989583333333201</v>
      </c>
    </row>
    <row r="1089" spans="1:9" x14ac:dyDescent="0.2">
      <c r="A1089" t="s">
        <v>1213</v>
      </c>
      <c r="B1089">
        <v>4.0209999999999999</v>
      </c>
      <c r="C1089" s="2" t="s">
        <v>1214</v>
      </c>
      <c r="D1089">
        <v>241</v>
      </c>
      <c r="E1089" t="s">
        <v>1213</v>
      </c>
      <c r="F1089">
        <v>241</v>
      </c>
      <c r="G1089" s="1">
        <v>45167</v>
      </c>
      <c r="H1089" s="6">
        <f t="shared" si="32"/>
        <v>11.999999999999867</v>
      </c>
      <c r="I1089" s="7">
        <f t="shared" si="33"/>
        <v>11.999999999999867</v>
      </c>
    </row>
    <row r="1090" spans="1:9" x14ac:dyDescent="0.2">
      <c r="A1090" t="s">
        <v>1215</v>
      </c>
      <c r="B1090">
        <v>4.0445000000000002</v>
      </c>
      <c r="C1090" s="2" t="s">
        <v>1216</v>
      </c>
      <c r="D1090">
        <v>241</v>
      </c>
      <c r="E1090" t="s">
        <v>1215</v>
      </c>
      <c r="F1090">
        <v>241</v>
      </c>
      <c r="G1090" s="1">
        <v>45167</v>
      </c>
      <c r="H1090" s="6">
        <f t="shared" si="32"/>
        <v>12.010416666666533</v>
      </c>
      <c r="I1090" s="7">
        <f t="shared" si="33"/>
        <v>12.010416666666533</v>
      </c>
    </row>
    <row r="1091" spans="1:9" x14ac:dyDescent="0.2">
      <c r="A1091" t="s">
        <v>1217</v>
      </c>
      <c r="B1091">
        <v>4.0735000000000001</v>
      </c>
      <c r="C1091">
        <v>5.7049999999999997E-2</v>
      </c>
      <c r="D1091">
        <v>241</v>
      </c>
      <c r="E1091" t="s">
        <v>1217</v>
      </c>
      <c r="F1091">
        <v>241</v>
      </c>
      <c r="G1091" s="1">
        <v>45167</v>
      </c>
      <c r="H1091" s="6">
        <f t="shared" ref="H1091:H1154" si="34">H1090+$K$1</f>
        <v>12.020833333333199</v>
      </c>
      <c r="I1091" s="7">
        <f t="shared" ref="I1091:I1154" si="35">I1090+$K$1</f>
        <v>12.020833333333199</v>
      </c>
    </row>
    <row r="1092" spans="1:9" x14ac:dyDescent="0.2">
      <c r="A1092" t="s">
        <v>1218</v>
      </c>
      <c r="B1092">
        <v>4.1304999999999996</v>
      </c>
      <c r="C1092">
        <v>5.7860000000000002E-2</v>
      </c>
      <c r="D1092">
        <v>241</v>
      </c>
      <c r="E1092" t="s">
        <v>1218</v>
      </c>
      <c r="F1092">
        <v>241</v>
      </c>
      <c r="G1092" s="1">
        <v>45167</v>
      </c>
      <c r="H1092" s="6">
        <f t="shared" si="34"/>
        <v>12.031249999999865</v>
      </c>
      <c r="I1092" s="7">
        <f t="shared" si="35"/>
        <v>12.031249999999865</v>
      </c>
    </row>
    <row r="1093" spans="1:9" x14ac:dyDescent="0.2">
      <c r="A1093" t="s">
        <v>1219</v>
      </c>
      <c r="B1093">
        <v>4.1124999999999998</v>
      </c>
      <c r="C1093">
        <v>5.7599999999999998E-2</v>
      </c>
      <c r="D1093">
        <v>241</v>
      </c>
      <c r="E1093" t="s">
        <v>1219</v>
      </c>
      <c r="F1093">
        <v>241</v>
      </c>
      <c r="G1093" s="1">
        <v>45167</v>
      </c>
      <c r="H1093" s="6">
        <f t="shared" si="34"/>
        <v>12.041666666666531</v>
      </c>
      <c r="I1093" s="7">
        <f t="shared" si="35"/>
        <v>12.041666666666531</v>
      </c>
    </row>
    <row r="1094" spans="1:9" x14ac:dyDescent="0.2">
      <c r="A1094" t="s">
        <v>1220</v>
      </c>
      <c r="B1094">
        <v>4.1135000000000002</v>
      </c>
      <c r="C1094">
        <v>5.7610000000000001E-2</v>
      </c>
      <c r="D1094">
        <v>241</v>
      </c>
      <c r="E1094" t="s">
        <v>1220</v>
      </c>
      <c r="F1094">
        <v>241</v>
      </c>
      <c r="G1094" s="1">
        <v>45167</v>
      </c>
      <c r="H1094" s="6">
        <f t="shared" si="34"/>
        <v>12.052083333333197</v>
      </c>
      <c r="I1094" s="7">
        <f t="shared" si="35"/>
        <v>12.052083333333197</v>
      </c>
    </row>
    <row r="1095" spans="1:9" x14ac:dyDescent="0.2">
      <c r="A1095" t="s">
        <v>1221</v>
      </c>
      <c r="B1095">
        <v>4.1559999999999997</v>
      </c>
      <c r="C1095" s="2" t="s">
        <v>1222</v>
      </c>
      <c r="D1095">
        <v>241</v>
      </c>
      <c r="E1095" t="s">
        <v>1221</v>
      </c>
      <c r="F1095">
        <v>241</v>
      </c>
      <c r="G1095" s="1">
        <v>45167</v>
      </c>
      <c r="H1095" s="6">
        <f t="shared" si="34"/>
        <v>12.062499999999863</v>
      </c>
      <c r="I1095" s="7">
        <f t="shared" si="35"/>
        <v>12.062499999999863</v>
      </c>
    </row>
    <row r="1096" spans="1:9" x14ac:dyDescent="0.2">
      <c r="A1096" t="s">
        <v>1223</v>
      </c>
      <c r="B1096">
        <v>4.1440000000000001</v>
      </c>
      <c r="C1096">
        <v>5.8040000000000001E-2</v>
      </c>
      <c r="D1096">
        <v>241</v>
      </c>
      <c r="E1096" t="s">
        <v>1223</v>
      </c>
      <c r="F1096">
        <v>241</v>
      </c>
      <c r="G1096" s="1">
        <v>45167</v>
      </c>
      <c r="H1096" s="6">
        <f t="shared" si="34"/>
        <v>12.072916666666529</v>
      </c>
      <c r="I1096" s="7">
        <f t="shared" si="35"/>
        <v>12.072916666666529</v>
      </c>
    </row>
    <row r="1097" spans="1:9" x14ac:dyDescent="0.2">
      <c r="A1097" t="s">
        <v>1224</v>
      </c>
      <c r="B1097">
        <v>4.1379999999999999</v>
      </c>
      <c r="C1097">
        <v>5.7965000000000003E-2</v>
      </c>
      <c r="D1097">
        <v>241</v>
      </c>
      <c r="E1097" t="s">
        <v>1224</v>
      </c>
      <c r="F1097">
        <v>241</v>
      </c>
      <c r="G1097" s="1">
        <v>45167</v>
      </c>
      <c r="H1097" s="6">
        <f t="shared" si="34"/>
        <v>12.083333333333195</v>
      </c>
      <c r="I1097" s="7">
        <f t="shared" si="35"/>
        <v>12.083333333333195</v>
      </c>
    </row>
    <row r="1098" spans="1:9" x14ac:dyDescent="0.2">
      <c r="A1098" t="s">
        <v>1225</v>
      </c>
      <c r="B1098">
        <v>4.1420000000000003</v>
      </c>
      <c r="C1098">
        <v>5.8009999999999999E-2</v>
      </c>
      <c r="D1098">
        <v>241</v>
      </c>
      <c r="E1098" t="s">
        <v>1225</v>
      </c>
      <c r="F1098">
        <v>241</v>
      </c>
      <c r="G1098" s="1">
        <v>45167</v>
      </c>
      <c r="H1098" s="6">
        <f t="shared" si="34"/>
        <v>12.093749999999861</v>
      </c>
      <c r="I1098" s="7">
        <f t="shared" si="35"/>
        <v>12.093749999999861</v>
      </c>
    </row>
    <row r="1099" spans="1:9" x14ac:dyDescent="0.2">
      <c r="A1099" t="s">
        <v>1226</v>
      </c>
      <c r="B1099">
        <v>4.1375000000000002</v>
      </c>
      <c r="C1099">
        <v>5.7945000000000003E-2</v>
      </c>
      <c r="D1099">
        <v>241</v>
      </c>
      <c r="E1099" t="s">
        <v>1226</v>
      </c>
      <c r="F1099">
        <v>241</v>
      </c>
      <c r="G1099" s="1">
        <v>45167</v>
      </c>
      <c r="H1099" s="6">
        <f t="shared" si="34"/>
        <v>12.104166666666528</v>
      </c>
      <c r="I1099" s="7">
        <f t="shared" si="35"/>
        <v>12.104166666666528</v>
      </c>
    </row>
    <row r="1100" spans="1:9" x14ac:dyDescent="0.2">
      <c r="A1100" t="s">
        <v>1227</v>
      </c>
      <c r="B1100">
        <v>4.1550000000000002</v>
      </c>
      <c r="C1100">
        <v>5.8205E-2</v>
      </c>
      <c r="D1100">
        <v>241</v>
      </c>
      <c r="E1100" t="s">
        <v>1227</v>
      </c>
      <c r="F1100">
        <v>241</v>
      </c>
      <c r="G1100" s="1">
        <v>45167</v>
      </c>
      <c r="H1100" s="6">
        <f t="shared" si="34"/>
        <v>12.114583333333194</v>
      </c>
      <c r="I1100" s="7">
        <f t="shared" si="35"/>
        <v>12.114583333333194</v>
      </c>
    </row>
    <row r="1101" spans="1:9" x14ac:dyDescent="0.2">
      <c r="A1101" t="s">
        <v>1228</v>
      </c>
      <c r="B1101">
        <v>4.1520000000000001</v>
      </c>
      <c r="C1101">
        <v>5.815E-2</v>
      </c>
      <c r="D1101">
        <v>241</v>
      </c>
      <c r="E1101" t="s">
        <v>1228</v>
      </c>
      <c r="F1101">
        <v>241</v>
      </c>
      <c r="G1101" s="1">
        <v>45167</v>
      </c>
      <c r="H1101" s="6">
        <f t="shared" si="34"/>
        <v>12.12499999999986</v>
      </c>
      <c r="I1101" s="7">
        <f t="shared" si="35"/>
        <v>12.12499999999986</v>
      </c>
    </row>
    <row r="1102" spans="1:9" x14ac:dyDescent="0.2">
      <c r="A1102" t="s">
        <v>1229</v>
      </c>
      <c r="B1102">
        <v>4.1414999999999997</v>
      </c>
      <c r="C1102">
        <v>5.7985000000000002E-2</v>
      </c>
      <c r="D1102">
        <v>241</v>
      </c>
      <c r="E1102" t="s">
        <v>1229</v>
      </c>
      <c r="F1102">
        <v>241</v>
      </c>
      <c r="G1102" s="1">
        <v>45167</v>
      </c>
      <c r="H1102" s="6">
        <f t="shared" si="34"/>
        <v>12.135416666666526</v>
      </c>
      <c r="I1102" s="7">
        <f t="shared" si="35"/>
        <v>12.135416666666526</v>
      </c>
    </row>
    <row r="1103" spans="1:9" x14ac:dyDescent="0.2">
      <c r="A1103" t="s">
        <v>1230</v>
      </c>
      <c r="B1103">
        <v>4.1544999999999996</v>
      </c>
      <c r="C1103">
        <v>5.8180000000000003E-2</v>
      </c>
      <c r="D1103">
        <v>241</v>
      </c>
      <c r="E1103" t="s">
        <v>1230</v>
      </c>
      <c r="F1103">
        <v>241</v>
      </c>
      <c r="G1103" s="1">
        <v>45167</v>
      </c>
      <c r="H1103" s="6">
        <f t="shared" si="34"/>
        <v>12.145833333333192</v>
      </c>
      <c r="I1103" s="7">
        <f t="shared" si="35"/>
        <v>12.145833333333192</v>
      </c>
    </row>
    <row r="1104" spans="1:9" x14ac:dyDescent="0.2">
      <c r="A1104" t="s">
        <v>1231</v>
      </c>
      <c r="B1104">
        <v>4.1550000000000002</v>
      </c>
      <c r="C1104">
        <v>5.8200000000000002E-2</v>
      </c>
      <c r="D1104">
        <v>241</v>
      </c>
      <c r="E1104" t="s">
        <v>1231</v>
      </c>
      <c r="F1104">
        <v>241</v>
      </c>
      <c r="G1104" s="1">
        <v>45167</v>
      </c>
      <c r="H1104" s="6">
        <f t="shared" si="34"/>
        <v>12.156249999999858</v>
      </c>
      <c r="I1104" s="7">
        <f t="shared" si="35"/>
        <v>12.156249999999858</v>
      </c>
    </row>
    <row r="1105" spans="1:9" x14ac:dyDescent="0.2">
      <c r="A1105" t="s">
        <v>1232</v>
      </c>
      <c r="B1105">
        <v>4.1509999999999998</v>
      </c>
      <c r="C1105">
        <v>5.8145000000000002E-2</v>
      </c>
      <c r="D1105">
        <v>241</v>
      </c>
      <c r="E1105" t="s">
        <v>1232</v>
      </c>
      <c r="F1105">
        <v>241</v>
      </c>
      <c r="G1105" s="1">
        <v>45167</v>
      </c>
      <c r="H1105" s="6">
        <f t="shared" si="34"/>
        <v>12.166666666666524</v>
      </c>
      <c r="I1105" s="7">
        <f t="shared" si="35"/>
        <v>12.166666666666524</v>
      </c>
    </row>
    <row r="1106" spans="1:9" x14ac:dyDescent="0.2">
      <c r="A1106" t="s">
        <v>1233</v>
      </c>
      <c r="B1106">
        <v>4.1555</v>
      </c>
      <c r="C1106" s="2" t="s">
        <v>1234</v>
      </c>
      <c r="D1106">
        <v>241</v>
      </c>
      <c r="E1106" t="s">
        <v>1233</v>
      </c>
      <c r="F1106">
        <v>241</v>
      </c>
      <c r="G1106" s="1">
        <v>45167</v>
      </c>
      <c r="H1106" s="6">
        <f t="shared" si="34"/>
        <v>12.17708333333319</v>
      </c>
      <c r="I1106" s="7">
        <f t="shared" si="35"/>
        <v>12.17708333333319</v>
      </c>
    </row>
    <row r="1107" spans="1:9" x14ac:dyDescent="0.2">
      <c r="A1107" t="s">
        <v>1235</v>
      </c>
      <c r="B1107">
        <v>4.141</v>
      </c>
      <c r="C1107">
        <v>5.8005000000000001E-2</v>
      </c>
      <c r="D1107">
        <v>241</v>
      </c>
      <c r="E1107" t="s">
        <v>1235</v>
      </c>
      <c r="F1107">
        <v>241</v>
      </c>
      <c r="G1107" s="1">
        <v>45167</v>
      </c>
      <c r="H1107" s="6">
        <f t="shared" si="34"/>
        <v>12.187499999999856</v>
      </c>
      <c r="I1107" s="7">
        <f t="shared" si="35"/>
        <v>12.187499999999856</v>
      </c>
    </row>
    <row r="1108" spans="1:9" x14ac:dyDescent="0.2">
      <c r="A1108" t="s">
        <v>1236</v>
      </c>
      <c r="B1108">
        <v>4.1479999999999997</v>
      </c>
      <c r="C1108">
        <v>5.8084999999999998E-2</v>
      </c>
      <c r="D1108">
        <v>241</v>
      </c>
      <c r="E1108" t="s">
        <v>1236</v>
      </c>
      <c r="F1108">
        <v>241</v>
      </c>
      <c r="G1108" s="1">
        <v>45167</v>
      </c>
      <c r="H1108" s="6">
        <f t="shared" si="34"/>
        <v>12.197916666666522</v>
      </c>
      <c r="I1108" s="7">
        <f t="shared" si="35"/>
        <v>12.197916666666522</v>
      </c>
    </row>
    <row r="1109" spans="1:9" x14ac:dyDescent="0.2">
      <c r="A1109" t="s">
        <v>1237</v>
      </c>
      <c r="B1109">
        <v>4.1144999999999996</v>
      </c>
      <c r="C1109">
        <v>5.7639999999999997E-2</v>
      </c>
      <c r="D1109">
        <v>241</v>
      </c>
      <c r="E1109" t="s">
        <v>1237</v>
      </c>
      <c r="F1109">
        <v>241</v>
      </c>
      <c r="G1109" s="1">
        <v>45167</v>
      </c>
      <c r="H1109" s="6">
        <f t="shared" si="34"/>
        <v>12.208333333333188</v>
      </c>
      <c r="I1109" s="7">
        <f t="shared" si="35"/>
        <v>12.208333333333188</v>
      </c>
    </row>
    <row r="1110" spans="1:9" x14ac:dyDescent="0.2">
      <c r="A1110" t="s">
        <v>1238</v>
      </c>
      <c r="B1110">
        <v>4.1180000000000003</v>
      </c>
      <c r="C1110">
        <v>5.7669999999999999E-2</v>
      </c>
      <c r="D1110">
        <v>241</v>
      </c>
      <c r="E1110" t="s">
        <v>1238</v>
      </c>
      <c r="F1110">
        <v>241</v>
      </c>
      <c r="G1110" s="1">
        <v>45167</v>
      </c>
      <c r="H1110" s="6">
        <f t="shared" si="34"/>
        <v>12.218749999999854</v>
      </c>
      <c r="I1110" s="7">
        <f t="shared" si="35"/>
        <v>12.218749999999854</v>
      </c>
    </row>
    <row r="1111" spans="1:9" x14ac:dyDescent="0.2">
      <c r="A1111" t="s">
        <v>1239</v>
      </c>
      <c r="B1111">
        <v>4.1174999999999997</v>
      </c>
      <c r="C1111">
        <v>5.7674999999999997E-2</v>
      </c>
      <c r="D1111">
        <v>241</v>
      </c>
      <c r="E1111" t="s">
        <v>1239</v>
      </c>
      <c r="F1111">
        <v>241</v>
      </c>
      <c r="G1111" s="1">
        <v>45167</v>
      </c>
      <c r="H1111" s="6">
        <f t="shared" si="34"/>
        <v>12.22916666666652</v>
      </c>
      <c r="I1111" s="7">
        <f t="shared" si="35"/>
        <v>12.22916666666652</v>
      </c>
    </row>
    <row r="1112" spans="1:9" x14ac:dyDescent="0.2">
      <c r="A1112" t="s">
        <v>1240</v>
      </c>
      <c r="B1112">
        <v>4.12</v>
      </c>
      <c r="C1112">
        <v>5.772E-2</v>
      </c>
      <c r="D1112">
        <v>241</v>
      </c>
      <c r="E1112" t="s">
        <v>1240</v>
      </c>
      <c r="F1112">
        <v>241</v>
      </c>
      <c r="G1112" s="1">
        <v>45167</v>
      </c>
      <c r="H1112" s="6">
        <f t="shared" si="34"/>
        <v>12.239583333333186</v>
      </c>
      <c r="I1112" s="7">
        <f t="shared" si="35"/>
        <v>12.239583333333186</v>
      </c>
    </row>
    <row r="1113" spans="1:9" x14ac:dyDescent="0.2">
      <c r="A1113" t="s">
        <v>1241</v>
      </c>
      <c r="B1113">
        <v>4.117</v>
      </c>
      <c r="C1113">
        <v>5.7669999999999999E-2</v>
      </c>
      <c r="D1113">
        <v>241</v>
      </c>
      <c r="E1113" t="s">
        <v>1241</v>
      </c>
      <c r="F1113">
        <v>241</v>
      </c>
      <c r="G1113" s="1">
        <v>45167</v>
      </c>
      <c r="H1113" s="6">
        <f t="shared" si="34"/>
        <v>12.249999999999853</v>
      </c>
      <c r="I1113" s="7">
        <f t="shared" si="35"/>
        <v>12.249999999999853</v>
      </c>
    </row>
    <row r="1114" spans="1:9" x14ac:dyDescent="0.2">
      <c r="A1114" t="s">
        <v>1242</v>
      </c>
      <c r="B1114">
        <v>4.1085000000000003</v>
      </c>
      <c r="C1114">
        <v>5.7544999999999999E-2</v>
      </c>
      <c r="D1114">
        <v>241</v>
      </c>
      <c r="E1114" t="s">
        <v>1242</v>
      </c>
      <c r="F1114">
        <v>241</v>
      </c>
      <c r="G1114" s="1">
        <v>45167</v>
      </c>
      <c r="H1114" s="6">
        <f t="shared" si="34"/>
        <v>12.260416666666519</v>
      </c>
      <c r="I1114" s="7">
        <f t="shared" si="35"/>
        <v>12.260416666666519</v>
      </c>
    </row>
    <row r="1115" spans="1:9" x14ac:dyDescent="0.2">
      <c r="A1115" t="s">
        <v>1243</v>
      </c>
      <c r="B1115">
        <v>4.117</v>
      </c>
      <c r="C1115">
        <v>5.7654999999999998E-2</v>
      </c>
      <c r="D1115">
        <v>241</v>
      </c>
      <c r="E1115" t="s">
        <v>1243</v>
      </c>
      <c r="F1115">
        <v>241</v>
      </c>
      <c r="G1115" s="1">
        <v>45167</v>
      </c>
      <c r="H1115" s="6">
        <f t="shared" si="34"/>
        <v>12.270833333333185</v>
      </c>
      <c r="I1115" s="7">
        <f t="shared" si="35"/>
        <v>12.270833333333185</v>
      </c>
    </row>
    <row r="1116" spans="1:9" x14ac:dyDescent="0.2">
      <c r="A1116" t="s">
        <v>1244</v>
      </c>
      <c r="B1116">
        <v>4.1064999999999996</v>
      </c>
      <c r="C1116">
        <v>5.7509999999999999E-2</v>
      </c>
      <c r="D1116">
        <v>241</v>
      </c>
      <c r="E1116" t="s">
        <v>1244</v>
      </c>
      <c r="F1116">
        <v>241</v>
      </c>
      <c r="G1116" s="1">
        <v>45167</v>
      </c>
      <c r="H1116" s="6">
        <f t="shared" si="34"/>
        <v>12.281249999999851</v>
      </c>
      <c r="I1116" s="7">
        <f t="shared" si="35"/>
        <v>12.281249999999851</v>
      </c>
    </row>
    <row r="1117" spans="1:9" x14ac:dyDescent="0.2">
      <c r="A1117" t="s">
        <v>1245</v>
      </c>
      <c r="B1117">
        <v>4.0845000000000002</v>
      </c>
      <c r="C1117">
        <v>5.7224999999999998E-2</v>
      </c>
      <c r="D1117">
        <v>241</v>
      </c>
      <c r="E1117" t="s">
        <v>1245</v>
      </c>
      <c r="F1117">
        <v>241</v>
      </c>
      <c r="G1117" s="1">
        <v>45167</v>
      </c>
      <c r="H1117" s="6">
        <f t="shared" si="34"/>
        <v>12.291666666666517</v>
      </c>
      <c r="I1117" s="7">
        <f t="shared" si="35"/>
        <v>12.291666666666517</v>
      </c>
    </row>
    <row r="1118" spans="1:9" x14ac:dyDescent="0.2">
      <c r="A1118" t="s">
        <v>1246</v>
      </c>
      <c r="B1118">
        <v>4.0839999999999996</v>
      </c>
      <c r="C1118">
        <v>5.7185E-2</v>
      </c>
      <c r="D1118">
        <v>241</v>
      </c>
      <c r="E1118" t="s">
        <v>1246</v>
      </c>
      <c r="F1118">
        <v>241</v>
      </c>
      <c r="G1118" s="1">
        <v>45167</v>
      </c>
      <c r="H1118" s="6">
        <f t="shared" si="34"/>
        <v>12.302083333333183</v>
      </c>
      <c r="I1118" s="7">
        <f t="shared" si="35"/>
        <v>12.302083333333183</v>
      </c>
    </row>
    <row r="1119" spans="1:9" x14ac:dyDescent="0.2">
      <c r="A1119" t="s">
        <v>1247</v>
      </c>
      <c r="B1119">
        <v>4.0919999999999996</v>
      </c>
      <c r="C1119">
        <v>5.731E-2</v>
      </c>
      <c r="D1119">
        <v>241</v>
      </c>
      <c r="E1119" t="s">
        <v>1247</v>
      </c>
      <c r="F1119">
        <v>241</v>
      </c>
      <c r="G1119" s="1">
        <v>45167</v>
      </c>
      <c r="H1119" s="6">
        <f t="shared" si="34"/>
        <v>12.312499999999849</v>
      </c>
      <c r="I1119" s="7">
        <f t="shared" si="35"/>
        <v>12.312499999999849</v>
      </c>
    </row>
    <row r="1120" spans="1:9" x14ac:dyDescent="0.2">
      <c r="A1120" t="s">
        <v>1248</v>
      </c>
      <c r="B1120">
        <v>4.0490000000000004</v>
      </c>
      <c r="C1120">
        <v>5.672E-2</v>
      </c>
      <c r="D1120">
        <v>241</v>
      </c>
      <c r="E1120" t="s">
        <v>1248</v>
      </c>
      <c r="F1120">
        <v>241</v>
      </c>
      <c r="G1120" s="1">
        <v>45167</v>
      </c>
      <c r="H1120" s="6">
        <f t="shared" si="34"/>
        <v>12.322916666666515</v>
      </c>
      <c r="I1120" s="7">
        <f t="shared" si="35"/>
        <v>12.322916666666515</v>
      </c>
    </row>
    <row r="1121" spans="1:9" x14ac:dyDescent="0.2">
      <c r="A1121" t="s">
        <v>1249</v>
      </c>
      <c r="B1121">
        <v>4.0439999999999996</v>
      </c>
      <c r="C1121">
        <v>5.6654999999999997E-2</v>
      </c>
      <c r="D1121">
        <v>241</v>
      </c>
      <c r="E1121" t="s">
        <v>1249</v>
      </c>
      <c r="F1121">
        <v>241</v>
      </c>
      <c r="G1121" s="1">
        <v>45167</v>
      </c>
      <c r="H1121" s="6">
        <f t="shared" si="34"/>
        <v>12.333333333333181</v>
      </c>
      <c r="I1121" s="7">
        <f t="shared" si="35"/>
        <v>12.333333333333181</v>
      </c>
    </row>
    <row r="1122" spans="1:9" x14ac:dyDescent="0.2">
      <c r="A1122" t="s">
        <v>1250</v>
      </c>
      <c r="B1122">
        <v>4.0259999999999998</v>
      </c>
      <c r="C1122">
        <v>5.6375000000000001E-2</v>
      </c>
      <c r="D1122">
        <v>241</v>
      </c>
      <c r="E1122" t="s">
        <v>1250</v>
      </c>
      <c r="F1122">
        <v>241</v>
      </c>
      <c r="G1122" s="1">
        <v>45167</v>
      </c>
      <c r="H1122" s="6">
        <f t="shared" si="34"/>
        <v>12.343749999999847</v>
      </c>
      <c r="I1122" s="7">
        <f t="shared" si="35"/>
        <v>12.343749999999847</v>
      </c>
    </row>
    <row r="1123" spans="1:9" x14ac:dyDescent="0.2">
      <c r="A1123" t="s">
        <v>1251</v>
      </c>
      <c r="B1123">
        <v>3.9969999999999999</v>
      </c>
      <c r="C1123">
        <v>5.5969999999999999E-2</v>
      </c>
      <c r="D1123">
        <v>241</v>
      </c>
      <c r="E1123" t="s">
        <v>1251</v>
      </c>
      <c r="F1123">
        <v>241</v>
      </c>
      <c r="G1123" s="1">
        <v>45167</v>
      </c>
      <c r="H1123" s="6">
        <f t="shared" si="34"/>
        <v>12.354166666666513</v>
      </c>
      <c r="I1123" s="7">
        <f t="shared" si="35"/>
        <v>12.354166666666513</v>
      </c>
    </row>
    <row r="1124" spans="1:9" x14ac:dyDescent="0.2">
      <c r="A1124" t="s">
        <v>1252</v>
      </c>
      <c r="B1124">
        <v>3.9685000000000001</v>
      </c>
      <c r="C1124">
        <v>5.5585000000000002E-2</v>
      </c>
      <c r="D1124">
        <v>241</v>
      </c>
      <c r="E1124" t="s">
        <v>1252</v>
      </c>
      <c r="F1124">
        <v>241</v>
      </c>
      <c r="G1124" s="1">
        <v>45167</v>
      </c>
      <c r="H1124" s="6">
        <f t="shared" si="34"/>
        <v>12.364583333333179</v>
      </c>
      <c r="I1124" s="7">
        <f t="shared" si="35"/>
        <v>12.364583333333179</v>
      </c>
    </row>
    <row r="1125" spans="1:9" x14ac:dyDescent="0.2">
      <c r="A1125" t="s">
        <v>1253</v>
      </c>
      <c r="B1125">
        <v>3.9550000000000001</v>
      </c>
      <c r="C1125">
        <v>5.5399999999999998E-2</v>
      </c>
      <c r="D1125">
        <v>241</v>
      </c>
      <c r="E1125" t="s">
        <v>1253</v>
      </c>
      <c r="F1125">
        <v>241</v>
      </c>
      <c r="G1125" s="1">
        <v>45167</v>
      </c>
      <c r="H1125" s="6">
        <f t="shared" si="34"/>
        <v>12.374999999999845</v>
      </c>
      <c r="I1125" s="7">
        <f t="shared" si="35"/>
        <v>12.374999999999845</v>
      </c>
    </row>
    <row r="1126" spans="1:9" x14ac:dyDescent="0.2">
      <c r="A1126" t="s">
        <v>1254</v>
      </c>
      <c r="B1126">
        <v>3.9119999999999999</v>
      </c>
      <c r="C1126">
        <v>5.4815000000000003E-2</v>
      </c>
      <c r="D1126">
        <v>241</v>
      </c>
      <c r="E1126" t="s">
        <v>1254</v>
      </c>
      <c r="F1126">
        <v>241</v>
      </c>
      <c r="G1126" s="1">
        <v>45167</v>
      </c>
      <c r="H1126" s="6">
        <f t="shared" si="34"/>
        <v>12.385416666666512</v>
      </c>
      <c r="I1126" s="7">
        <f t="shared" si="35"/>
        <v>12.385416666666512</v>
      </c>
    </row>
    <row r="1127" spans="1:9" x14ac:dyDescent="0.2">
      <c r="A1127" t="s">
        <v>1255</v>
      </c>
      <c r="B1127">
        <v>3.8294999999999999</v>
      </c>
      <c r="C1127">
        <v>5.3644999999999998E-2</v>
      </c>
      <c r="D1127">
        <v>241</v>
      </c>
      <c r="E1127" t="s">
        <v>1255</v>
      </c>
      <c r="F1127">
        <v>241</v>
      </c>
      <c r="G1127" s="1">
        <v>45167</v>
      </c>
      <c r="H1127" s="6">
        <f t="shared" si="34"/>
        <v>12.395833333333178</v>
      </c>
      <c r="I1127" s="7">
        <f t="shared" si="35"/>
        <v>12.395833333333178</v>
      </c>
    </row>
    <row r="1128" spans="1:9" x14ac:dyDescent="0.2">
      <c r="A1128" t="s">
        <v>1256</v>
      </c>
      <c r="B1128">
        <v>3.7995000000000001</v>
      </c>
      <c r="C1128">
        <v>5.321E-2</v>
      </c>
      <c r="D1128">
        <v>241</v>
      </c>
      <c r="E1128" t="s">
        <v>1256</v>
      </c>
      <c r="F1128">
        <v>241</v>
      </c>
      <c r="G1128" s="1">
        <v>45167</v>
      </c>
      <c r="H1128" s="6">
        <f t="shared" si="34"/>
        <v>12.406249999999844</v>
      </c>
      <c r="I1128" s="7">
        <f t="shared" si="35"/>
        <v>12.406249999999844</v>
      </c>
    </row>
    <row r="1129" spans="1:9" x14ac:dyDescent="0.2">
      <c r="A1129" t="s">
        <v>1257</v>
      </c>
      <c r="B1129">
        <v>3.742</v>
      </c>
      <c r="C1129">
        <v>5.2420000000000001E-2</v>
      </c>
      <c r="D1129">
        <v>241</v>
      </c>
      <c r="E1129" t="s">
        <v>1257</v>
      </c>
      <c r="F1129">
        <v>241</v>
      </c>
      <c r="G1129" s="1">
        <v>45167</v>
      </c>
      <c r="H1129" s="6">
        <f t="shared" si="34"/>
        <v>12.41666666666651</v>
      </c>
      <c r="I1129" s="7">
        <f t="shared" si="35"/>
        <v>12.41666666666651</v>
      </c>
    </row>
    <row r="1130" spans="1:9" x14ac:dyDescent="0.2">
      <c r="A1130" t="s">
        <v>1258</v>
      </c>
      <c r="B1130">
        <v>3.7189999999999999</v>
      </c>
      <c r="C1130">
        <v>5.2104999999999999E-2</v>
      </c>
      <c r="D1130">
        <v>241</v>
      </c>
      <c r="E1130" t="s">
        <v>1258</v>
      </c>
      <c r="F1130">
        <v>241</v>
      </c>
      <c r="G1130" s="1">
        <v>45167</v>
      </c>
      <c r="H1130" s="6">
        <f t="shared" si="34"/>
        <v>12.427083333333176</v>
      </c>
      <c r="I1130" s="7">
        <f t="shared" si="35"/>
        <v>12.427083333333176</v>
      </c>
    </row>
    <row r="1131" spans="1:9" x14ac:dyDescent="0.2">
      <c r="A1131" t="s">
        <v>1259</v>
      </c>
      <c r="B1131">
        <v>3.6669999999999998</v>
      </c>
      <c r="C1131">
        <v>5.135E-2</v>
      </c>
      <c r="D1131">
        <v>241</v>
      </c>
      <c r="E1131" t="s">
        <v>1259</v>
      </c>
      <c r="F1131">
        <v>241</v>
      </c>
      <c r="G1131" s="1">
        <v>45167</v>
      </c>
      <c r="H1131" s="6">
        <f t="shared" si="34"/>
        <v>12.437499999999842</v>
      </c>
      <c r="I1131" s="7">
        <f t="shared" si="35"/>
        <v>12.437499999999842</v>
      </c>
    </row>
    <row r="1132" spans="1:9" x14ac:dyDescent="0.2">
      <c r="A1132" t="s">
        <v>1260</v>
      </c>
      <c r="B1132">
        <v>3.6259999999999999</v>
      </c>
      <c r="C1132">
        <v>5.0805000000000003E-2</v>
      </c>
      <c r="D1132">
        <v>241</v>
      </c>
      <c r="E1132" t="s">
        <v>1260</v>
      </c>
      <c r="F1132">
        <v>241</v>
      </c>
      <c r="G1132" s="1">
        <v>45167</v>
      </c>
      <c r="H1132" s="6">
        <f t="shared" si="34"/>
        <v>12.447916666666508</v>
      </c>
      <c r="I1132" s="7">
        <f t="shared" si="35"/>
        <v>12.447916666666508</v>
      </c>
    </row>
    <row r="1133" spans="1:9" x14ac:dyDescent="0.2">
      <c r="A1133" t="s">
        <v>1261</v>
      </c>
      <c r="B1133">
        <v>3.5790000000000002</v>
      </c>
      <c r="C1133">
        <v>5.0130000000000001E-2</v>
      </c>
      <c r="D1133">
        <v>241</v>
      </c>
      <c r="E1133" t="s">
        <v>1261</v>
      </c>
      <c r="F1133">
        <v>241</v>
      </c>
      <c r="G1133" s="1">
        <v>45167</v>
      </c>
      <c r="H1133" s="6">
        <f t="shared" si="34"/>
        <v>12.458333333333174</v>
      </c>
      <c r="I1133" s="7">
        <f t="shared" si="35"/>
        <v>12.458333333333174</v>
      </c>
    </row>
    <row r="1134" spans="1:9" x14ac:dyDescent="0.2">
      <c r="A1134" t="s">
        <v>1262</v>
      </c>
      <c r="B1134">
        <v>3.573</v>
      </c>
      <c r="C1134" s="2" t="s">
        <v>1263</v>
      </c>
      <c r="D1134">
        <v>241</v>
      </c>
      <c r="E1134" t="s">
        <v>1262</v>
      </c>
      <c r="F1134">
        <v>241</v>
      </c>
      <c r="G1134" s="1">
        <v>45167</v>
      </c>
      <c r="H1134" s="6">
        <f t="shared" si="34"/>
        <v>12.46874999999984</v>
      </c>
      <c r="I1134" s="7">
        <f t="shared" si="35"/>
        <v>12.46874999999984</v>
      </c>
    </row>
    <row r="1135" spans="1:9" x14ac:dyDescent="0.2">
      <c r="A1135" t="s">
        <v>1264</v>
      </c>
      <c r="B1135">
        <v>3.532</v>
      </c>
      <c r="C1135">
        <v>4.9485000000000001E-2</v>
      </c>
      <c r="D1135">
        <v>241</v>
      </c>
      <c r="E1135" t="s">
        <v>1264</v>
      </c>
      <c r="F1135">
        <v>241</v>
      </c>
      <c r="G1135" s="1">
        <v>45167</v>
      </c>
      <c r="H1135" s="6">
        <f t="shared" si="34"/>
        <v>12.479166666666506</v>
      </c>
      <c r="I1135" s="7">
        <f t="shared" si="35"/>
        <v>12.479166666666506</v>
      </c>
    </row>
    <row r="1136" spans="1:9" x14ac:dyDescent="0.2">
      <c r="A1136" t="s">
        <v>1265</v>
      </c>
      <c r="B1136">
        <v>3.5114999999999998</v>
      </c>
      <c r="C1136">
        <v>4.9189999999999998E-2</v>
      </c>
      <c r="D1136">
        <v>241</v>
      </c>
      <c r="E1136" t="s">
        <v>1265</v>
      </c>
      <c r="F1136">
        <v>241</v>
      </c>
      <c r="G1136" s="1">
        <v>45167</v>
      </c>
      <c r="H1136" s="6">
        <f t="shared" si="34"/>
        <v>12.489583333333172</v>
      </c>
      <c r="I1136" s="7">
        <f t="shared" si="35"/>
        <v>12.489583333333172</v>
      </c>
    </row>
    <row r="1137" spans="1:9" x14ac:dyDescent="0.2">
      <c r="A1137" t="s">
        <v>1266</v>
      </c>
      <c r="B1137">
        <v>3.5354999999999999</v>
      </c>
      <c r="C1137">
        <v>4.9529999999999998E-2</v>
      </c>
      <c r="D1137">
        <v>241</v>
      </c>
      <c r="E1137" t="s">
        <v>1266</v>
      </c>
      <c r="F1137">
        <v>241</v>
      </c>
      <c r="G1137" s="1">
        <v>45167</v>
      </c>
      <c r="H1137" s="6">
        <f t="shared" si="34"/>
        <v>12.499999999999838</v>
      </c>
      <c r="I1137" s="7">
        <f t="shared" si="35"/>
        <v>12.499999999999838</v>
      </c>
    </row>
    <row r="1138" spans="1:9" x14ac:dyDescent="0.2">
      <c r="A1138" t="s">
        <v>1267</v>
      </c>
      <c r="B1138">
        <v>3.5145</v>
      </c>
      <c r="C1138">
        <v>4.9224999999999998E-2</v>
      </c>
      <c r="D1138">
        <v>241</v>
      </c>
      <c r="E1138" t="s">
        <v>1267</v>
      </c>
      <c r="F1138">
        <v>241</v>
      </c>
      <c r="G1138" s="1">
        <v>45167</v>
      </c>
      <c r="H1138" s="6">
        <f t="shared" si="34"/>
        <v>12.510416666666504</v>
      </c>
      <c r="I1138" s="7">
        <f t="shared" si="35"/>
        <v>12.510416666666504</v>
      </c>
    </row>
    <row r="1139" spans="1:9" x14ac:dyDescent="0.2">
      <c r="A1139" t="s">
        <v>1268</v>
      </c>
      <c r="B1139">
        <v>3.504</v>
      </c>
      <c r="C1139">
        <v>4.9075000000000001E-2</v>
      </c>
      <c r="D1139">
        <v>241</v>
      </c>
      <c r="E1139" t="s">
        <v>1268</v>
      </c>
      <c r="F1139">
        <v>241</v>
      </c>
      <c r="G1139" s="1">
        <v>45167</v>
      </c>
      <c r="H1139" s="6">
        <f t="shared" si="34"/>
        <v>12.520833333333171</v>
      </c>
      <c r="I1139" s="7">
        <f t="shared" si="35"/>
        <v>12.520833333333171</v>
      </c>
    </row>
    <row r="1140" spans="1:9" x14ac:dyDescent="0.2">
      <c r="A1140" t="s">
        <v>1269</v>
      </c>
      <c r="B1140">
        <v>3.4904999999999999</v>
      </c>
      <c r="C1140">
        <v>4.8899999999999999E-2</v>
      </c>
      <c r="D1140">
        <v>241</v>
      </c>
      <c r="E1140" t="s">
        <v>1269</v>
      </c>
      <c r="F1140">
        <v>241</v>
      </c>
      <c r="G1140" s="1">
        <v>45167</v>
      </c>
      <c r="H1140" s="6">
        <f t="shared" si="34"/>
        <v>12.531249999999837</v>
      </c>
      <c r="I1140" s="7">
        <f t="shared" si="35"/>
        <v>12.531249999999837</v>
      </c>
    </row>
    <row r="1141" spans="1:9" x14ac:dyDescent="0.2">
      <c r="A1141" t="s">
        <v>1270</v>
      </c>
      <c r="B1141">
        <v>3.4445000000000001</v>
      </c>
      <c r="C1141">
        <v>4.8230000000000002E-2</v>
      </c>
      <c r="D1141">
        <v>241</v>
      </c>
      <c r="E1141" t="s">
        <v>1270</v>
      </c>
      <c r="F1141">
        <v>241</v>
      </c>
      <c r="G1141" s="1">
        <v>45167</v>
      </c>
      <c r="H1141" s="6">
        <f t="shared" si="34"/>
        <v>12.541666666666503</v>
      </c>
      <c r="I1141" s="7">
        <f t="shared" si="35"/>
        <v>12.541666666666503</v>
      </c>
    </row>
    <row r="1142" spans="1:9" x14ac:dyDescent="0.2">
      <c r="A1142" t="s">
        <v>1271</v>
      </c>
      <c r="B1142">
        <v>3.4220000000000002</v>
      </c>
      <c r="C1142">
        <v>4.7934999999999998E-2</v>
      </c>
      <c r="D1142">
        <v>241</v>
      </c>
      <c r="E1142" t="s">
        <v>1271</v>
      </c>
      <c r="F1142">
        <v>241</v>
      </c>
      <c r="G1142" s="1">
        <v>45167</v>
      </c>
      <c r="H1142" s="6">
        <f t="shared" si="34"/>
        <v>12.552083333333169</v>
      </c>
      <c r="I1142" s="7">
        <f t="shared" si="35"/>
        <v>12.552083333333169</v>
      </c>
    </row>
    <row r="1143" spans="1:9" x14ac:dyDescent="0.2">
      <c r="A1143" t="s">
        <v>1272</v>
      </c>
      <c r="B1143">
        <v>3.4319999999999999</v>
      </c>
      <c r="C1143">
        <v>4.8079999999999998E-2</v>
      </c>
      <c r="D1143">
        <v>241</v>
      </c>
      <c r="E1143" t="s">
        <v>1272</v>
      </c>
      <c r="F1143">
        <v>241</v>
      </c>
      <c r="G1143" s="1">
        <v>45167</v>
      </c>
      <c r="H1143" s="6">
        <f t="shared" si="34"/>
        <v>12.562499999999835</v>
      </c>
      <c r="I1143" s="7">
        <f t="shared" si="35"/>
        <v>12.562499999999835</v>
      </c>
    </row>
    <row r="1144" spans="1:9" x14ac:dyDescent="0.2">
      <c r="A1144" t="s">
        <v>1273</v>
      </c>
      <c r="B1144">
        <v>3.3795000000000002</v>
      </c>
      <c r="C1144">
        <v>4.7335000000000002E-2</v>
      </c>
      <c r="D1144">
        <v>241</v>
      </c>
      <c r="E1144" t="s">
        <v>1273</v>
      </c>
      <c r="F1144">
        <v>241</v>
      </c>
      <c r="G1144" s="1">
        <v>45167</v>
      </c>
      <c r="H1144" s="6">
        <f t="shared" si="34"/>
        <v>12.572916666666501</v>
      </c>
      <c r="I1144" s="7">
        <f t="shared" si="35"/>
        <v>12.572916666666501</v>
      </c>
    </row>
    <row r="1145" spans="1:9" x14ac:dyDescent="0.2">
      <c r="A1145" t="s">
        <v>1274</v>
      </c>
      <c r="B1145">
        <v>3.3860000000000001</v>
      </c>
      <c r="C1145">
        <v>4.743E-2</v>
      </c>
      <c r="D1145">
        <v>241</v>
      </c>
      <c r="E1145" t="s">
        <v>1274</v>
      </c>
      <c r="F1145">
        <v>241</v>
      </c>
      <c r="G1145" s="1">
        <v>45167</v>
      </c>
      <c r="H1145" s="6">
        <f t="shared" si="34"/>
        <v>12.583333333333167</v>
      </c>
      <c r="I1145" s="7">
        <f t="shared" si="35"/>
        <v>12.583333333333167</v>
      </c>
    </row>
    <row r="1146" spans="1:9" x14ac:dyDescent="0.2">
      <c r="A1146" t="s">
        <v>1275</v>
      </c>
      <c r="B1146">
        <v>3.3759999999999999</v>
      </c>
      <c r="C1146">
        <v>4.7274999999999998E-2</v>
      </c>
      <c r="D1146">
        <v>241</v>
      </c>
      <c r="E1146" t="s">
        <v>1275</v>
      </c>
      <c r="F1146">
        <v>241</v>
      </c>
      <c r="G1146" s="1">
        <v>45167</v>
      </c>
      <c r="H1146" s="6">
        <f t="shared" si="34"/>
        <v>12.593749999999833</v>
      </c>
      <c r="I1146" s="7">
        <f t="shared" si="35"/>
        <v>12.593749999999833</v>
      </c>
    </row>
    <row r="1147" spans="1:9" x14ac:dyDescent="0.2">
      <c r="A1147" t="s">
        <v>1276</v>
      </c>
      <c r="B1147" s="2" t="s">
        <v>1277</v>
      </c>
      <c r="C1147">
        <v>4.7309999999999998E-2</v>
      </c>
      <c r="D1147">
        <v>241</v>
      </c>
      <c r="E1147" t="s">
        <v>1276</v>
      </c>
      <c r="F1147">
        <v>241</v>
      </c>
      <c r="G1147" s="1">
        <v>45167</v>
      </c>
      <c r="H1147" s="6">
        <f t="shared" si="34"/>
        <v>12.604166666666499</v>
      </c>
      <c r="I1147" s="7">
        <f t="shared" si="35"/>
        <v>12.604166666666499</v>
      </c>
    </row>
    <row r="1148" spans="1:9" x14ac:dyDescent="0.2">
      <c r="A1148" t="s">
        <v>1278</v>
      </c>
      <c r="B1148">
        <v>3.3744999999999998</v>
      </c>
      <c r="C1148">
        <v>4.7254999999999998E-2</v>
      </c>
      <c r="D1148">
        <v>241</v>
      </c>
      <c r="E1148" t="s">
        <v>1278</v>
      </c>
      <c r="F1148">
        <v>241</v>
      </c>
      <c r="G1148" s="1">
        <v>45167</v>
      </c>
      <c r="H1148" s="6">
        <f t="shared" si="34"/>
        <v>12.614583333333165</v>
      </c>
      <c r="I1148" s="7">
        <f t="shared" si="35"/>
        <v>12.614583333333165</v>
      </c>
    </row>
    <row r="1149" spans="1:9" x14ac:dyDescent="0.2">
      <c r="A1149" t="s">
        <v>1279</v>
      </c>
      <c r="B1149">
        <v>3.3245</v>
      </c>
      <c r="C1149">
        <v>4.6554999999999999E-2</v>
      </c>
      <c r="D1149">
        <v>241</v>
      </c>
      <c r="E1149" t="s">
        <v>1279</v>
      </c>
      <c r="F1149">
        <v>241</v>
      </c>
      <c r="G1149" s="1">
        <v>45167</v>
      </c>
      <c r="H1149" s="6">
        <f t="shared" si="34"/>
        <v>12.624999999999831</v>
      </c>
      <c r="I1149" s="7">
        <f t="shared" si="35"/>
        <v>12.624999999999831</v>
      </c>
    </row>
    <row r="1150" spans="1:9" x14ac:dyDescent="0.2">
      <c r="A1150" t="s">
        <v>1280</v>
      </c>
      <c r="B1150">
        <v>3.3220000000000001</v>
      </c>
      <c r="C1150">
        <v>4.6519999999999999E-2</v>
      </c>
      <c r="D1150">
        <v>241</v>
      </c>
      <c r="E1150" t="s">
        <v>1280</v>
      </c>
      <c r="F1150">
        <v>241</v>
      </c>
      <c r="G1150" s="1">
        <v>45167</v>
      </c>
      <c r="H1150" s="6">
        <f t="shared" si="34"/>
        <v>12.635416666666497</v>
      </c>
      <c r="I1150" s="7">
        <f t="shared" si="35"/>
        <v>12.635416666666497</v>
      </c>
    </row>
    <row r="1151" spans="1:9" x14ac:dyDescent="0.2">
      <c r="A1151" t="s">
        <v>1281</v>
      </c>
      <c r="B1151">
        <v>3.3045</v>
      </c>
      <c r="C1151">
        <v>4.6274999999999997E-2</v>
      </c>
      <c r="D1151">
        <v>241</v>
      </c>
      <c r="E1151" t="s">
        <v>1281</v>
      </c>
      <c r="F1151">
        <v>241</v>
      </c>
      <c r="G1151" s="1">
        <v>45167</v>
      </c>
      <c r="H1151" s="6">
        <f t="shared" si="34"/>
        <v>12.645833333333163</v>
      </c>
      <c r="I1151" s="7">
        <f t="shared" si="35"/>
        <v>12.645833333333163</v>
      </c>
    </row>
    <row r="1152" spans="1:9" x14ac:dyDescent="0.2">
      <c r="A1152" t="s">
        <v>1282</v>
      </c>
      <c r="B1152">
        <v>3.3050000000000002</v>
      </c>
      <c r="C1152">
        <v>4.6295000000000003E-2</v>
      </c>
      <c r="D1152">
        <v>241</v>
      </c>
      <c r="E1152" t="s">
        <v>1282</v>
      </c>
      <c r="F1152">
        <v>241</v>
      </c>
      <c r="G1152" s="1">
        <v>45167</v>
      </c>
      <c r="H1152" s="6">
        <f t="shared" si="34"/>
        <v>12.656249999999829</v>
      </c>
      <c r="I1152" s="7">
        <f t="shared" si="35"/>
        <v>12.656249999999829</v>
      </c>
    </row>
    <row r="1153" spans="1:9" x14ac:dyDescent="0.2">
      <c r="A1153" t="s">
        <v>1283</v>
      </c>
      <c r="B1153">
        <v>3.319</v>
      </c>
      <c r="C1153">
        <v>4.6484999999999999E-2</v>
      </c>
      <c r="D1153">
        <v>241</v>
      </c>
      <c r="E1153" t="s">
        <v>1283</v>
      </c>
      <c r="F1153">
        <v>241</v>
      </c>
      <c r="G1153" s="1">
        <v>45167</v>
      </c>
      <c r="H1153" s="6">
        <f t="shared" si="34"/>
        <v>12.666666666666496</v>
      </c>
      <c r="I1153" s="7">
        <f t="shared" si="35"/>
        <v>12.666666666666496</v>
      </c>
    </row>
    <row r="1154" spans="1:9" x14ac:dyDescent="0.2">
      <c r="A1154" t="s">
        <v>1284</v>
      </c>
      <c r="B1154">
        <v>3.2755000000000001</v>
      </c>
      <c r="C1154">
        <v>4.589E-2</v>
      </c>
      <c r="D1154">
        <v>241</v>
      </c>
      <c r="E1154" t="s">
        <v>1284</v>
      </c>
      <c r="F1154">
        <v>241</v>
      </c>
      <c r="G1154" s="1">
        <v>45167</v>
      </c>
      <c r="H1154" s="6">
        <f t="shared" si="34"/>
        <v>12.677083333333162</v>
      </c>
      <c r="I1154" s="7">
        <f t="shared" si="35"/>
        <v>12.677083333333162</v>
      </c>
    </row>
    <row r="1155" spans="1:9" x14ac:dyDescent="0.2">
      <c r="A1155" t="s">
        <v>1285</v>
      </c>
      <c r="B1155">
        <v>3.3290000000000002</v>
      </c>
      <c r="C1155">
        <v>4.6635000000000003E-2</v>
      </c>
      <c r="D1155">
        <v>241</v>
      </c>
      <c r="E1155" t="s">
        <v>1285</v>
      </c>
      <c r="F1155">
        <v>241</v>
      </c>
      <c r="G1155" s="1">
        <v>45167</v>
      </c>
      <c r="H1155" s="6">
        <f t="shared" ref="H1155:H1218" si="36">H1154+$K$1</f>
        <v>12.687499999999828</v>
      </c>
      <c r="I1155" s="7">
        <f t="shared" ref="I1155:I1218" si="37">I1154+$K$1</f>
        <v>12.687499999999828</v>
      </c>
    </row>
    <row r="1156" spans="1:9" x14ac:dyDescent="0.2">
      <c r="A1156" t="s">
        <v>1286</v>
      </c>
      <c r="B1156">
        <v>3.31</v>
      </c>
      <c r="C1156">
        <v>4.6350000000000002E-2</v>
      </c>
      <c r="D1156">
        <v>241</v>
      </c>
      <c r="E1156" t="s">
        <v>1286</v>
      </c>
      <c r="F1156">
        <v>241</v>
      </c>
      <c r="G1156" s="1">
        <v>45167</v>
      </c>
      <c r="H1156" s="6">
        <f t="shared" si="36"/>
        <v>12.697916666666494</v>
      </c>
      <c r="I1156" s="7">
        <f t="shared" si="37"/>
        <v>12.697916666666494</v>
      </c>
    </row>
    <row r="1157" spans="1:9" x14ac:dyDescent="0.2">
      <c r="A1157" t="s">
        <v>1287</v>
      </c>
      <c r="B1157">
        <v>3.2955000000000001</v>
      </c>
      <c r="C1157">
        <v>4.616E-2</v>
      </c>
      <c r="D1157">
        <v>241</v>
      </c>
      <c r="E1157" t="s">
        <v>1287</v>
      </c>
      <c r="F1157">
        <v>241</v>
      </c>
      <c r="G1157" s="1">
        <v>45167</v>
      </c>
      <c r="H1157" s="6">
        <f t="shared" si="36"/>
        <v>12.70833333333316</v>
      </c>
      <c r="I1157" s="7">
        <f t="shared" si="37"/>
        <v>12.70833333333316</v>
      </c>
    </row>
    <row r="1158" spans="1:9" x14ac:dyDescent="0.2">
      <c r="A1158" t="s">
        <v>1288</v>
      </c>
      <c r="B1158">
        <v>3.3414999999999999</v>
      </c>
      <c r="C1158">
        <v>4.6774999999999997E-2</v>
      </c>
      <c r="D1158">
        <v>241</v>
      </c>
      <c r="E1158" t="s">
        <v>1288</v>
      </c>
      <c r="F1158">
        <v>241</v>
      </c>
      <c r="G1158" s="1">
        <v>45167</v>
      </c>
      <c r="H1158" s="6">
        <f t="shared" si="36"/>
        <v>12.718749999999826</v>
      </c>
      <c r="I1158" s="7">
        <f t="shared" si="37"/>
        <v>12.718749999999826</v>
      </c>
    </row>
    <row r="1159" spans="1:9" x14ac:dyDescent="0.2">
      <c r="A1159" t="s">
        <v>1289</v>
      </c>
      <c r="B1159">
        <v>3.3149999999999999</v>
      </c>
      <c r="C1159">
        <v>4.6440000000000002E-2</v>
      </c>
      <c r="D1159">
        <v>241</v>
      </c>
      <c r="E1159" t="s">
        <v>1289</v>
      </c>
      <c r="F1159">
        <v>241</v>
      </c>
      <c r="G1159" s="1">
        <v>45167</v>
      </c>
      <c r="H1159" s="6">
        <f t="shared" si="36"/>
        <v>12.729166666666492</v>
      </c>
      <c r="I1159" s="7">
        <f t="shared" si="37"/>
        <v>12.729166666666492</v>
      </c>
    </row>
    <row r="1160" spans="1:9" x14ac:dyDescent="0.2">
      <c r="A1160" t="s">
        <v>1290</v>
      </c>
      <c r="B1160">
        <v>3.3544999999999998</v>
      </c>
      <c r="C1160">
        <v>4.6995000000000002E-2</v>
      </c>
      <c r="D1160">
        <v>241</v>
      </c>
      <c r="E1160" t="s">
        <v>1290</v>
      </c>
      <c r="F1160">
        <v>241</v>
      </c>
      <c r="G1160" s="1">
        <v>45167</v>
      </c>
      <c r="H1160" s="6">
        <f t="shared" si="36"/>
        <v>12.739583333333158</v>
      </c>
      <c r="I1160" s="7">
        <f t="shared" si="37"/>
        <v>12.739583333333158</v>
      </c>
    </row>
    <row r="1161" spans="1:9" x14ac:dyDescent="0.2">
      <c r="A1161" t="s">
        <v>1291</v>
      </c>
      <c r="B1161">
        <v>3.3405</v>
      </c>
      <c r="C1161">
        <v>4.6789999999999998E-2</v>
      </c>
      <c r="D1161">
        <v>242</v>
      </c>
      <c r="E1161" t="s">
        <v>1291</v>
      </c>
      <c r="F1161">
        <v>241</v>
      </c>
      <c r="G1161" s="1">
        <v>45167</v>
      </c>
      <c r="H1161" s="6">
        <f t="shared" si="36"/>
        <v>12.749999999999824</v>
      </c>
      <c r="I1161" s="7">
        <f t="shared" si="37"/>
        <v>12.749999999999824</v>
      </c>
    </row>
    <row r="1162" spans="1:9" x14ac:dyDescent="0.2">
      <c r="A1162" t="s">
        <v>1292</v>
      </c>
      <c r="B1162">
        <v>3.3424999999999998</v>
      </c>
      <c r="C1162">
        <v>4.6795000000000003E-2</v>
      </c>
      <c r="D1162">
        <v>242</v>
      </c>
      <c r="E1162" t="s">
        <v>1292</v>
      </c>
      <c r="F1162">
        <v>241</v>
      </c>
      <c r="G1162" s="1">
        <v>45167</v>
      </c>
      <c r="H1162" s="6">
        <f t="shared" si="36"/>
        <v>12.76041666666649</v>
      </c>
      <c r="I1162" s="7">
        <f t="shared" si="37"/>
        <v>12.76041666666649</v>
      </c>
    </row>
    <row r="1163" spans="1:9" x14ac:dyDescent="0.2">
      <c r="A1163" t="s">
        <v>1293</v>
      </c>
      <c r="B1163">
        <v>3.3210000000000002</v>
      </c>
      <c r="C1163">
        <v>4.6510000000000003E-2</v>
      </c>
      <c r="D1163">
        <v>242</v>
      </c>
      <c r="E1163" t="s">
        <v>1293</v>
      </c>
      <c r="F1163">
        <v>241</v>
      </c>
      <c r="G1163" s="1">
        <v>45167</v>
      </c>
      <c r="H1163" s="6">
        <f t="shared" si="36"/>
        <v>12.770833333333156</v>
      </c>
      <c r="I1163" s="7">
        <f t="shared" si="37"/>
        <v>12.770833333333156</v>
      </c>
    </row>
    <row r="1164" spans="1:9" x14ac:dyDescent="0.2">
      <c r="A1164" t="s">
        <v>1294</v>
      </c>
      <c r="B1164">
        <v>3.3359999999999999</v>
      </c>
      <c r="C1164">
        <v>4.6730000000000001E-2</v>
      </c>
      <c r="D1164">
        <v>242</v>
      </c>
      <c r="E1164" t="s">
        <v>1294</v>
      </c>
      <c r="F1164">
        <v>241</v>
      </c>
      <c r="G1164" s="1">
        <v>45167</v>
      </c>
      <c r="H1164" s="6">
        <f t="shared" si="36"/>
        <v>12.781249999999822</v>
      </c>
      <c r="I1164" s="7">
        <f t="shared" si="37"/>
        <v>12.781249999999822</v>
      </c>
    </row>
    <row r="1165" spans="1:9" x14ac:dyDescent="0.2">
      <c r="A1165" t="s">
        <v>1295</v>
      </c>
      <c r="B1165">
        <v>3.2974999999999999</v>
      </c>
      <c r="C1165" s="2" t="s">
        <v>1296</v>
      </c>
      <c r="D1165">
        <v>242</v>
      </c>
      <c r="E1165" t="s">
        <v>1295</v>
      </c>
      <c r="F1165">
        <v>241</v>
      </c>
      <c r="G1165" s="1">
        <v>45167</v>
      </c>
      <c r="H1165" s="6">
        <f t="shared" si="36"/>
        <v>12.791666666666488</v>
      </c>
      <c r="I1165" s="7">
        <f t="shared" si="37"/>
        <v>12.791666666666488</v>
      </c>
    </row>
    <row r="1166" spans="1:9" x14ac:dyDescent="0.2">
      <c r="A1166" t="s">
        <v>1297</v>
      </c>
      <c r="B1166">
        <v>3.302</v>
      </c>
      <c r="C1166">
        <v>4.6249999999999999E-2</v>
      </c>
      <c r="D1166">
        <v>242</v>
      </c>
      <c r="E1166" t="s">
        <v>1297</v>
      </c>
      <c r="F1166">
        <v>241</v>
      </c>
      <c r="G1166" s="1">
        <v>45167</v>
      </c>
      <c r="H1166" s="6">
        <f t="shared" si="36"/>
        <v>12.802083333333155</v>
      </c>
      <c r="I1166" s="7">
        <f t="shared" si="37"/>
        <v>12.802083333333155</v>
      </c>
    </row>
    <row r="1167" spans="1:9" x14ac:dyDescent="0.2">
      <c r="A1167" t="s">
        <v>1298</v>
      </c>
      <c r="B1167">
        <v>3.34</v>
      </c>
      <c r="C1167">
        <v>4.6769999999999999E-2</v>
      </c>
      <c r="D1167">
        <v>242</v>
      </c>
      <c r="E1167" t="s">
        <v>1298</v>
      </c>
      <c r="F1167">
        <v>241</v>
      </c>
      <c r="G1167" s="1">
        <v>45167</v>
      </c>
      <c r="H1167" s="6">
        <f t="shared" si="36"/>
        <v>12.812499999999821</v>
      </c>
      <c r="I1167" s="7">
        <f t="shared" si="37"/>
        <v>12.812499999999821</v>
      </c>
    </row>
    <row r="1168" spans="1:9" x14ac:dyDescent="0.2">
      <c r="A1168" t="s">
        <v>1299</v>
      </c>
      <c r="B1168">
        <v>3.3239999999999998</v>
      </c>
      <c r="C1168">
        <v>4.657E-2</v>
      </c>
      <c r="D1168">
        <v>242</v>
      </c>
      <c r="E1168" t="s">
        <v>1299</v>
      </c>
      <c r="F1168">
        <v>241</v>
      </c>
      <c r="G1168" s="1">
        <v>45167</v>
      </c>
      <c r="H1168" s="6">
        <f t="shared" si="36"/>
        <v>12.822916666666487</v>
      </c>
      <c r="I1168" s="7">
        <f t="shared" si="37"/>
        <v>12.822916666666487</v>
      </c>
    </row>
    <row r="1169" spans="1:9" x14ac:dyDescent="0.2">
      <c r="A1169" t="s">
        <v>1300</v>
      </c>
      <c r="B1169">
        <v>3.3365</v>
      </c>
      <c r="C1169">
        <v>4.6734999999999999E-2</v>
      </c>
      <c r="D1169">
        <v>242</v>
      </c>
      <c r="E1169" t="s">
        <v>1300</v>
      </c>
      <c r="F1169">
        <v>241</v>
      </c>
      <c r="G1169" s="1">
        <v>45167</v>
      </c>
      <c r="H1169" s="6">
        <f t="shared" si="36"/>
        <v>12.833333333333153</v>
      </c>
      <c r="I1169" s="7">
        <f t="shared" si="37"/>
        <v>12.833333333333153</v>
      </c>
    </row>
    <row r="1170" spans="1:9" x14ac:dyDescent="0.2">
      <c r="A1170" t="s">
        <v>1301</v>
      </c>
      <c r="B1170">
        <v>3.3664999999999998</v>
      </c>
      <c r="C1170">
        <v>4.7155000000000002E-2</v>
      </c>
      <c r="D1170">
        <v>242</v>
      </c>
      <c r="E1170" t="s">
        <v>1301</v>
      </c>
      <c r="F1170">
        <v>241</v>
      </c>
      <c r="G1170" s="1">
        <v>45167</v>
      </c>
      <c r="H1170" s="6">
        <f t="shared" si="36"/>
        <v>12.843749999999819</v>
      </c>
      <c r="I1170" s="7">
        <f t="shared" si="37"/>
        <v>12.843749999999819</v>
      </c>
    </row>
    <row r="1171" spans="1:9" x14ac:dyDescent="0.2">
      <c r="A1171" t="s">
        <v>1302</v>
      </c>
      <c r="B1171">
        <v>3.371</v>
      </c>
      <c r="C1171">
        <v>4.7199999999999999E-2</v>
      </c>
      <c r="D1171">
        <v>242</v>
      </c>
      <c r="E1171" t="s">
        <v>1302</v>
      </c>
      <c r="F1171">
        <v>241</v>
      </c>
      <c r="G1171" s="1">
        <v>45167</v>
      </c>
      <c r="H1171" s="6">
        <f t="shared" si="36"/>
        <v>12.854166666666485</v>
      </c>
      <c r="I1171" s="7">
        <f t="shared" si="37"/>
        <v>12.854166666666485</v>
      </c>
    </row>
    <row r="1172" spans="1:9" x14ac:dyDescent="0.2">
      <c r="A1172" t="s">
        <v>1303</v>
      </c>
      <c r="B1172" s="2" t="s">
        <v>1304</v>
      </c>
      <c r="C1172">
        <v>4.8230000000000002E-2</v>
      </c>
      <c r="D1172">
        <v>242</v>
      </c>
      <c r="E1172" t="s">
        <v>1303</v>
      </c>
      <c r="F1172">
        <v>241</v>
      </c>
      <c r="G1172" s="1">
        <v>45167</v>
      </c>
      <c r="H1172" s="6">
        <f t="shared" si="36"/>
        <v>12.864583333333151</v>
      </c>
      <c r="I1172" s="7">
        <f t="shared" si="37"/>
        <v>12.864583333333151</v>
      </c>
    </row>
    <row r="1173" spans="1:9" x14ac:dyDescent="0.2">
      <c r="A1173" t="s">
        <v>1305</v>
      </c>
      <c r="B1173">
        <v>3.4430000000000001</v>
      </c>
      <c r="C1173">
        <v>4.8219999999999999E-2</v>
      </c>
      <c r="D1173">
        <v>242</v>
      </c>
      <c r="E1173" t="s">
        <v>1305</v>
      </c>
      <c r="F1173">
        <v>241</v>
      </c>
      <c r="G1173" s="1">
        <v>45167</v>
      </c>
      <c r="H1173" s="6">
        <f t="shared" si="36"/>
        <v>12.874999999999817</v>
      </c>
      <c r="I1173" s="7">
        <f t="shared" si="37"/>
        <v>12.874999999999817</v>
      </c>
    </row>
    <row r="1174" spans="1:9" x14ac:dyDescent="0.2">
      <c r="A1174" t="s">
        <v>1306</v>
      </c>
      <c r="B1174">
        <v>3.5105</v>
      </c>
      <c r="C1174">
        <v>4.9185E-2</v>
      </c>
      <c r="D1174">
        <v>242</v>
      </c>
      <c r="E1174" t="s">
        <v>1306</v>
      </c>
      <c r="F1174">
        <v>241</v>
      </c>
      <c r="G1174" s="1">
        <v>45167</v>
      </c>
      <c r="H1174" s="6">
        <f t="shared" si="36"/>
        <v>12.885416666666483</v>
      </c>
      <c r="I1174" s="7">
        <f t="shared" si="37"/>
        <v>12.885416666666483</v>
      </c>
    </row>
    <row r="1175" spans="1:9" x14ac:dyDescent="0.2">
      <c r="A1175" t="s">
        <v>1307</v>
      </c>
      <c r="B1175">
        <v>3.6059999999999999</v>
      </c>
      <c r="C1175">
        <v>5.0525E-2</v>
      </c>
      <c r="D1175">
        <v>242</v>
      </c>
      <c r="E1175" t="s">
        <v>1307</v>
      </c>
      <c r="F1175">
        <v>241</v>
      </c>
      <c r="G1175" s="1">
        <v>45167</v>
      </c>
      <c r="H1175" s="6">
        <f t="shared" si="36"/>
        <v>12.895833333333149</v>
      </c>
      <c r="I1175" s="7">
        <f t="shared" si="37"/>
        <v>12.895833333333149</v>
      </c>
    </row>
    <row r="1176" spans="1:9" x14ac:dyDescent="0.2">
      <c r="A1176" t="s">
        <v>1308</v>
      </c>
      <c r="B1176">
        <v>3.6455000000000002</v>
      </c>
      <c r="C1176">
        <v>5.1069999999999997E-2</v>
      </c>
      <c r="D1176">
        <v>242</v>
      </c>
      <c r="E1176" t="s">
        <v>1308</v>
      </c>
      <c r="F1176">
        <v>241</v>
      </c>
      <c r="G1176" s="1">
        <v>45167</v>
      </c>
      <c r="H1176" s="6">
        <f t="shared" si="36"/>
        <v>12.906249999999815</v>
      </c>
      <c r="I1176" s="7">
        <f t="shared" si="37"/>
        <v>12.906249999999815</v>
      </c>
    </row>
    <row r="1177" spans="1:9" x14ac:dyDescent="0.2">
      <c r="A1177" t="s">
        <v>1309</v>
      </c>
      <c r="B1177">
        <v>3.7284999999999999</v>
      </c>
      <c r="C1177">
        <v>5.2205000000000001E-2</v>
      </c>
      <c r="D1177">
        <v>242</v>
      </c>
      <c r="E1177" t="s">
        <v>1309</v>
      </c>
      <c r="F1177">
        <v>241</v>
      </c>
      <c r="G1177" s="1">
        <v>45167</v>
      </c>
      <c r="H1177" s="6">
        <f t="shared" si="36"/>
        <v>12.916666666666481</v>
      </c>
      <c r="I1177" s="7">
        <f t="shared" si="37"/>
        <v>12.916666666666481</v>
      </c>
    </row>
    <row r="1178" spans="1:9" x14ac:dyDescent="0.2">
      <c r="A1178" t="s">
        <v>1310</v>
      </c>
      <c r="B1178">
        <v>3.8170000000000002</v>
      </c>
      <c r="C1178" s="2" t="s">
        <v>1311</v>
      </c>
      <c r="D1178">
        <v>242</v>
      </c>
      <c r="E1178" t="s">
        <v>1310</v>
      </c>
      <c r="F1178">
        <v>241</v>
      </c>
      <c r="G1178" s="1">
        <v>45167</v>
      </c>
      <c r="H1178" s="6">
        <f t="shared" si="36"/>
        <v>12.927083333333147</v>
      </c>
      <c r="I1178" s="7">
        <f t="shared" si="37"/>
        <v>12.927083333333147</v>
      </c>
    </row>
    <row r="1179" spans="1:9" x14ac:dyDescent="0.2">
      <c r="A1179" t="s">
        <v>1312</v>
      </c>
      <c r="B1179">
        <v>3.9125000000000001</v>
      </c>
      <c r="C1179">
        <v>5.4800000000000001E-2</v>
      </c>
      <c r="D1179">
        <v>242</v>
      </c>
      <c r="E1179" t="s">
        <v>1312</v>
      </c>
      <c r="F1179">
        <v>241</v>
      </c>
      <c r="G1179" s="1">
        <v>45167</v>
      </c>
      <c r="H1179" s="6">
        <f t="shared" si="36"/>
        <v>12.937499999999813</v>
      </c>
      <c r="I1179" s="7">
        <f t="shared" si="37"/>
        <v>12.937499999999813</v>
      </c>
    </row>
    <row r="1180" spans="1:9" x14ac:dyDescent="0.2">
      <c r="A1180" t="s">
        <v>1313</v>
      </c>
      <c r="B1180">
        <v>3.956</v>
      </c>
      <c r="C1180">
        <v>5.5399999999999998E-2</v>
      </c>
      <c r="D1180">
        <v>242</v>
      </c>
      <c r="E1180" t="s">
        <v>1313</v>
      </c>
      <c r="F1180">
        <v>241</v>
      </c>
      <c r="G1180" s="1">
        <v>45167</v>
      </c>
      <c r="H1180" s="6">
        <f t="shared" si="36"/>
        <v>12.94791666666648</v>
      </c>
      <c r="I1180" s="7">
        <f t="shared" si="37"/>
        <v>12.94791666666648</v>
      </c>
    </row>
    <row r="1181" spans="1:9" x14ac:dyDescent="0.2">
      <c r="A1181" t="s">
        <v>1314</v>
      </c>
      <c r="B1181">
        <v>4.0019999999999998</v>
      </c>
      <c r="C1181" s="2" t="s">
        <v>1315</v>
      </c>
      <c r="D1181">
        <v>242</v>
      </c>
      <c r="E1181" t="s">
        <v>1314</v>
      </c>
      <c r="F1181">
        <v>241</v>
      </c>
      <c r="G1181" s="1">
        <v>45167</v>
      </c>
      <c r="H1181" s="6">
        <f t="shared" si="36"/>
        <v>12.958333333333146</v>
      </c>
      <c r="I1181" s="7">
        <f t="shared" si="37"/>
        <v>12.958333333333146</v>
      </c>
    </row>
    <row r="1182" spans="1:9" x14ac:dyDescent="0.2">
      <c r="A1182" t="s">
        <v>1316</v>
      </c>
      <c r="B1182">
        <v>4.1165000000000003</v>
      </c>
      <c r="C1182">
        <v>5.7645000000000002E-2</v>
      </c>
      <c r="D1182">
        <v>242</v>
      </c>
      <c r="E1182" t="s">
        <v>1316</v>
      </c>
      <c r="F1182">
        <v>241</v>
      </c>
      <c r="G1182" s="1">
        <v>45167</v>
      </c>
      <c r="H1182" s="6">
        <f t="shared" si="36"/>
        <v>12.968749999999812</v>
      </c>
      <c r="I1182" s="7">
        <f t="shared" si="37"/>
        <v>12.968749999999812</v>
      </c>
    </row>
    <row r="1183" spans="1:9" x14ac:dyDescent="0.2">
      <c r="A1183" t="s">
        <v>1317</v>
      </c>
      <c r="B1183">
        <v>4.1315</v>
      </c>
      <c r="C1183">
        <v>5.7889999999999997E-2</v>
      </c>
      <c r="D1183">
        <v>242</v>
      </c>
      <c r="E1183" t="s">
        <v>1317</v>
      </c>
      <c r="F1183">
        <v>241</v>
      </c>
      <c r="G1183" s="1">
        <v>45167</v>
      </c>
      <c r="H1183" s="6">
        <f t="shared" si="36"/>
        <v>12.979166666666478</v>
      </c>
      <c r="I1183" s="7">
        <f t="shared" si="37"/>
        <v>12.979166666666478</v>
      </c>
    </row>
    <row r="1184" spans="1:9" x14ac:dyDescent="0.2">
      <c r="A1184" t="s">
        <v>1318</v>
      </c>
      <c r="B1184">
        <v>4.1635</v>
      </c>
      <c r="C1184">
        <v>5.8334999999999998E-2</v>
      </c>
      <c r="D1184">
        <v>242</v>
      </c>
      <c r="E1184" t="s">
        <v>1318</v>
      </c>
      <c r="F1184">
        <v>241</v>
      </c>
      <c r="G1184" s="1">
        <v>45167</v>
      </c>
      <c r="H1184" s="6">
        <f t="shared" si="36"/>
        <v>12.989583333333144</v>
      </c>
      <c r="I1184" s="7">
        <f t="shared" si="37"/>
        <v>12.989583333333144</v>
      </c>
    </row>
    <row r="1185" spans="1:9" x14ac:dyDescent="0.2">
      <c r="A1185" t="s">
        <v>1319</v>
      </c>
      <c r="B1185">
        <v>4.2030000000000003</v>
      </c>
      <c r="C1185">
        <v>5.8860000000000003E-2</v>
      </c>
      <c r="D1185">
        <v>242</v>
      </c>
      <c r="E1185" t="s">
        <v>1319</v>
      </c>
      <c r="F1185">
        <v>242</v>
      </c>
      <c r="G1185" s="1">
        <v>45168</v>
      </c>
      <c r="H1185" s="6">
        <f t="shared" si="36"/>
        <v>12.99999999999981</v>
      </c>
      <c r="I1185" s="7">
        <f t="shared" si="37"/>
        <v>12.99999999999981</v>
      </c>
    </row>
    <row r="1186" spans="1:9" x14ac:dyDescent="0.2">
      <c r="A1186" t="s">
        <v>1320</v>
      </c>
      <c r="B1186" s="2" t="s">
        <v>1321</v>
      </c>
      <c r="C1186">
        <v>5.9334999999999999E-2</v>
      </c>
      <c r="D1186">
        <v>242</v>
      </c>
      <c r="E1186" t="s">
        <v>1320</v>
      </c>
      <c r="F1186">
        <v>242</v>
      </c>
      <c r="G1186" s="1">
        <v>45168</v>
      </c>
      <c r="H1186" s="6">
        <f t="shared" si="36"/>
        <v>13.010416666666476</v>
      </c>
      <c r="I1186" s="7">
        <f t="shared" si="37"/>
        <v>13.010416666666476</v>
      </c>
    </row>
    <row r="1187" spans="1:9" x14ac:dyDescent="0.2">
      <c r="A1187" t="s">
        <v>1322</v>
      </c>
      <c r="B1187">
        <v>4.2729999999999997</v>
      </c>
      <c r="C1187">
        <v>5.9839999999999997E-2</v>
      </c>
      <c r="D1187">
        <v>242</v>
      </c>
      <c r="E1187" t="s">
        <v>1322</v>
      </c>
      <c r="F1187">
        <v>242</v>
      </c>
      <c r="G1187" s="1">
        <v>45168</v>
      </c>
      <c r="H1187" s="6">
        <f t="shared" si="36"/>
        <v>13.020833333333142</v>
      </c>
      <c r="I1187" s="7">
        <f t="shared" si="37"/>
        <v>13.020833333333142</v>
      </c>
    </row>
    <row r="1188" spans="1:9" x14ac:dyDescent="0.2">
      <c r="A1188" t="s">
        <v>1323</v>
      </c>
      <c r="B1188">
        <v>4.2554999999999996</v>
      </c>
      <c r="C1188">
        <v>5.9604999999999998E-2</v>
      </c>
      <c r="D1188">
        <v>242</v>
      </c>
      <c r="E1188" t="s">
        <v>1323</v>
      </c>
      <c r="F1188">
        <v>242</v>
      </c>
      <c r="G1188" s="1">
        <v>45168</v>
      </c>
      <c r="H1188" s="6">
        <f t="shared" si="36"/>
        <v>13.031249999999808</v>
      </c>
      <c r="I1188" s="7">
        <f t="shared" si="37"/>
        <v>13.031249999999808</v>
      </c>
    </row>
    <row r="1189" spans="1:9" x14ac:dyDescent="0.2">
      <c r="A1189" t="s">
        <v>1324</v>
      </c>
      <c r="B1189">
        <v>4.2565</v>
      </c>
      <c r="C1189">
        <v>5.9604999999999998E-2</v>
      </c>
      <c r="D1189">
        <v>242</v>
      </c>
      <c r="E1189" t="s">
        <v>1324</v>
      </c>
      <c r="F1189">
        <v>242</v>
      </c>
      <c r="G1189" s="1">
        <v>45168</v>
      </c>
      <c r="H1189" s="6">
        <f t="shared" si="36"/>
        <v>13.041666666666474</v>
      </c>
      <c r="I1189" s="7">
        <f t="shared" si="37"/>
        <v>13.041666666666474</v>
      </c>
    </row>
    <row r="1190" spans="1:9" x14ac:dyDescent="0.2">
      <c r="A1190" t="s">
        <v>1325</v>
      </c>
      <c r="B1190">
        <v>4.2625000000000002</v>
      </c>
      <c r="C1190">
        <v>5.9694999999999998E-2</v>
      </c>
      <c r="D1190">
        <v>242</v>
      </c>
      <c r="E1190" t="s">
        <v>1325</v>
      </c>
      <c r="F1190">
        <v>242</v>
      </c>
      <c r="G1190" s="1">
        <v>45168</v>
      </c>
      <c r="H1190" s="6">
        <f t="shared" si="36"/>
        <v>13.05208333333314</v>
      </c>
      <c r="I1190" s="7">
        <f t="shared" si="37"/>
        <v>13.05208333333314</v>
      </c>
    </row>
    <row r="1191" spans="1:9" x14ac:dyDescent="0.2">
      <c r="A1191" t="s">
        <v>1326</v>
      </c>
      <c r="B1191">
        <v>4.2629999999999999</v>
      </c>
      <c r="C1191">
        <v>5.9714999999999997E-2</v>
      </c>
      <c r="D1191">
        <v>242</v>
      </c>
      <c r="E1191" t="s">
        <v>1326</v>
      </c>
      <c r="F1191">
        <v>242</v>
      </c>
      <c r="G1191" s="1">
        <v>45168</v>
      </c>
      <c r="H1191" s="6">
        <f t="shared" si="36"/>
        <v>13.062499999999806</v>
      </c>
      <c r="I1191" s="7">
        <f t="shared" si="37"/>
        <v>13.062499999999806</v>
      </c>
    </row>
    <row r="1192" spans="1:9" x14ac:dyDescent="0.2">
      <c r="A1192" t="s">
        <v>1327</v>
      </c>
      <c r="B1192">
        <v>4.2614999999999998</v>
      </c>
      <c r="C1192">
        <v>5.9700000000000003E-2</v>
      </c>
      <c r="D1192">
        <v>242</v>
      </c>
      <c r="E1192" t="s">
        <v>1327</v>
      </c>
      <c r="F1192">
        <v>242</v>
      </c>
      <c r="G1192" s="1">
        <v>45168</v>
      </c>
      <c r="H1192" s="6">
        <f t="shared" si="36"/>
        <v>13.072916666666472</v>
      </c>
      <c r="I1192" s="7">
        <f t="shared" si="37"/>
        <v>13.072916666666472</v>
      </c>
    </row>
    <row r="1193" spans="1:9" x14ac:dyDescent="0.2">
      <c r="A1193" t="s">
        <v>1328</v>
      </c>
      <c r="B1193">
        <v>4.266</v>
      </c>
      <c r="C1193">
        <v>5.9760000000000001E-2</v>
      </c>
      <c r="D1193">
        <v>242</v>
      </c>
      <c r="E1193" t="s">
        <v>1328</v>
      </c>
      <c r="F1193">
        <v>242</v>
      </c>
      <c r="G1193" s="1">
        <v>45168</v>
      </c>
      <c r="H1193" s="6">
        <f t="shared" si="36"/>
        <v>13.083333333333139</v>
      </c>
      <c r="I1193" s="7">
        <f t="shared" si="37"/>
        <v>13.083333333333139</v>
      </c>
    </row>
    <row r="1194" spans="1:9" x14ac:dyDescent="0.2">
      <c r="A1194" t="s">
        <v>1329</v>
      </c>
      <c r="B1194">
        <v>4.242</v>
      </c>
      <c r="C1194">
        <v>5.9409999999999998E-2</v>
      </c>
      <c r="D1194">
        <v>242</v>
      </c>
      <c r="E1194" t="s">
        <v>1329</v>
      </c>
      <c r="F1194">
        <v>242</v>
      </c>
      <c r="G1194" s="1">
        <v>45168</v>
      </c>
      <c r="H1194" s="6">
        <f t="shared" si="36"/>
        <v>13.093749999999805</v>
      </c>
      <c r="I1194" s="7">
        <f t="shared" si="37"/>
        <v>13.093749999999805</v>
      </c>
    </row>
    <row r="1195" spans="1:9" x14ac:dyDescent="0.2">
      <c r="A1195" t="s">
        <v>1330</v>
      </c>
      <c r="B1195">
        <v>4.2805</v>
      </c>
      <c r="C1195">
        <v>5.9935000000000002E-2</v>
      </c>
      <c r="D1195">
        <v>242</v>
      </c>
      <c r="E1195" t="s">
        <v>1330</v>
      </c>
      <c r="F1195">
        <v>242</v>
      </c>
      <c r="G1195" s="1">
        <v>45168</v>
      </c>
      <c r="H1195" s="6">
        <f t="shared" si="36"/>
        <v>13.104166666666471</v>
      </c>
      <c r="I1195" s="7">
        <f t="shared" si="37"/>
        <v>13.104166666666471</v>
      </c>
    </row>
    <row r="1196" spans="1:9" x14ac:dyDescent="0.2">
      <c r="A1196" t="s">
        <v>1331</v>
      </c>
      <c r="B1196">
        <v>4.2515000000000001</v>
      </c>
      <c r="C1196">
        <v>5.9554999999999997E-2</v>
      </c>
      <c r="D1196">
        <v>242</v>
      </c>
      <c r="E1196" t="s">
        <v>1331</v>
      </c>
      <c r="F1196">
        <v>242</v>
      </c>
      <c r="G1196" s="1">
        <v>45168</v>
      </c>
      <c r="H1196" s="6">
        <f t="shared" si="36"/>
        <v>13.114583333333137</v>
      </c>
      <c r="I1196" s="7">
        <f t="shared" si="37"/>
        <v>13.114583333333137</v>
      </c>
    </row>
    <row r="1197" spans="1:9" x14ac:dyDescent="0.2">
      <c r="A1197" t="s">
        <v>1332</v>
      </c>
      <c r="B1197">
        <v>4.2450000000000001</v>
      </c>
      <c r="C1197">
        <v>5.9464999999999997E-2</v>
      </c>
      <c r="D1197">
        <v>242</v>
      </c>
      <c r="E1197" t="s">
        <v>1332</v>
      </c>
      <c r="F1197">
        <v>242</v>
      </c>
      <c r="G1197" s="1">
        <v>45168</v>
      </c>
      <c r="H1197" s="6">
        <f t="shared" si="36"/>
        <v>13.124999999999803</v>
      </c>
      <c r="I1197" s="7">
        <f t="shared" si="37"/>
        <v>13.124999999999803</v>
      </c>
    </row>
    <row r="1198" spans="1:9" x14ac:dyDescent="0.2">
      <c r="A1198" t="s">
        <v>1333</v>
      </c>
      <c r="B1198">
        <v>4.2439999999999998</v>
      </c>
      <c r="C1198">
        <v>5.9450000000000003E-2</v>
      </c>
      <c r="D1198">
        <v>242</v>
      </c>
      <c r="E1198" t="s">
        <v>1333</v>
      </c>
      <c r="F1198">
        <v>242</v>
      </c>
      <c r="G1198" s="1">
        <v>45168</v>
      </c>
      <c r="H1198" s="6">
        <f t="shared" si="36"/>
        <v>13.135416666666469</v>
      </c>
      <c r="I1198" s="7">
        <f t="shared" si="37"/>
        <v>13.135416666666469</v>
      </c>
    </row>
    <row r="1199" spans="1:9" x14ac:dyDescent="0.2">
      <c r="A1199" t="s">
        <v>1334</v>
      </c>
      <c r="B1199">
        <v>4.2309999999999999</v>
      </c>
      <c r="C1199">
        <v>5.9275000000000001E-2</v>
      </c>
      <c r="D1199">
        <v>242</v>
      </c>
      <c r="E1199" t="s">
        <v>1334</v>
      </c>
      <c r="F1199">
        <v>242</v>
      </c>
      <c r="G1199" s="1">
        <v>45168</v>
      </c>
      <c r="H1199" s="6">
        <f t="shared" si="36"/>
        <v>13.145833333333135</v>
      </c>
      <c r="I1199" s="7">
        <f t="shared" si="37"/>
        <v>13.145833333333135</v>
      </c>
    </row>
    <row r="1200" spans="1:9" x14ac:dyDescent="0.2">
      <c r="A1200" t="s">
        <v>1335</v>
      </c>
      <c r="B1200">
        <v>4.2145000000000001</v>
      </c>
      <c r="C1200">
        <v>5.9029999999999999E-2</v>
      </c>
      <c r="D1200">
        <v>242</v>
      </c>
      <c r="E1200" t="s">
        <v>1335</v>
      </c>
      <c r="F1200">
        <v>242</v>
      </c>
      <c r="G1200" s="1">
        <v>45168</v>
      </c>
      <c r="H1200" s="6">
        <f t="shared" si="36"/>
        <v>13.156249999999801</v>
      </c>
      <c r="I1200" s="7">
        <f t="shared" si="37"/>
        <v>13.156249999999801</v>
      </c>
    </row>
    <row r="1201" spans="1:9" x14ac:dyDescent="0.2">
      <c r="A1201" t="s">
        <v>1336</v>
      </c>
      <c r="B1201">
        <v>4.2115</v>
      </c>
      <c r="C1201">
        <v>5.8985000000000003E-2</v>
      </c>
      <c r="D1201">
        <v>242</v>
      </c>
      <c r="E1201" t="s">
        <v>1336</v>
      </c>
      <c r="F1201">
        <v>242</v>
      </c>
      <c r="G1201" s="1">
        <v>45168</v>
      </c>
      <c r="H1201" s="6">
        <f t="shared" si="36"/>
        <v>13.166666666666467</v>
      </c>
      <c r="I1201" s="7">
        <f t="shared" si="37"/>
        <v>13.166666666666467</v>
      </c>
    </row>
    <row r="1202" spans="1:9" x14ac:dyDescent="0.2">
      <c r="A1202" t="s">
        <v>1337</v>
      </c>
      <c r="B1202">
        <v>4.1820000000000004</v>
      </c>
      <c r="C1202">
        <v>5.8564999999999999E-2</v>
      </c>
      <c r="D1202">
        <v>242</v>
      </c>
      <c r="E1202" t="s">
        <v>1337</v>
      </c>
      <c r="F1202">
        <v>242</v>
      </c>
      <c r="G1202" s="1">
        <v>45168</v>
      </c>
      <c r="H1202" s="6">
        <f t="shared" si="36"/>
        <v>13.177083333333133</v>
      </c>
      <c r="I1202" s="7">
        <f t="shared" si="37"/>
        <v>13.177083333333133</v>
      </c>
    </row>
    <row r="1203" spans="1:9" x14ac:dyDescent="0.2">
      <c r="A1203" t="s">
        <v>1338</v>
      </c>
      <c r="B1203">
        <v>4.1985000000000001</v>
      </c>
      <c r="C1203">
        <v>5.8805000000000003E-2</v>
      </c>
      <c r="D1203">
        <v>242</v>
      </c>
      <c r="E1203" t="s">
        <v>1338</v>
      </c>
      <c r="F1203">
        <v>242</v>
      </c>
      <c r="G1203" s="1">
        <v>45168</v>
      </c>
      <c r="H1203" s="6">
        <f t="shared" si="36"/>
        <v>13.187499999999799</v>
      </c>
      <c r="I1203" s="7">
        <f t="shared" si="37"/>
        <v>13.187499999999799</v>
      </c>
    </row>
    <row r="1204" spans="1:9" x14ac:dyDescent="0.2">
      <c r="A1204" t="s">
        <v>1339</v>
      </c>
      <c r="B1204">
        <v>4.2024999999999997</v>
      </c>
      <c r="C1204">
        <v>5.8869999999999999E-2</v>
      </c>
      <c r="D1204">
        <v>242</v>
      </c>
      <c r="E1204" t="s">
        <v>1339</v>
      </c>
      <c r="F1204">
        <v>242</v>
      </c>
      <c r="G1204" s="1">
        <v>45168</v>
      </c>
      <c r="H1204" s="6">
        <f t="shared" si="36"/>
        <v>13.197916666666465</v>
      </c>
      <c r="I1204" s="7">
        <f t="shared" si="37"/>
        <v>13.197916666666465</v>
      </c>
    </row>
    <row r="1205" spans="1:9" x14ac:dyDescent="0.2">
      <c r="A1205" t="s">
        <v>1340</v>
      </c>
      <c r="B1205" s="2" t="s">
        <v>1341</v>
      </c>
      <c r="C1205">
        <v>5.849E-2</v>
      </c>
      <c r="D1205">
        <v>242</v>
      </c>
      <c r="E1205" t="s">
        <v>1340</v>
      </c>
      <c r="F1205">
        <v>242</v>
      </c>
      <c r="G1205" s="1">
        <v>45168</v>
      </c>
      <c r="H1205" s="6">
        <f t="shared" si="36"/>
        <v>13.208333333333131</v>
      </c>
      <c r="I1205" s="7">
        <f t="shared" si="37"/>
        <v>13.208333333333131</v>
      </c>
    </row>
    <row r="1206" spans="1:9" x14ac:dyDescent="0.2">
      <c r="A1206" t="s">
        <v>1342</v>
      </c>
      <c r="B1206">
        <v>4.2050000000000001</v>
      </c>
      <c r="C1206">
        <v>5.8909999999999997E-2</v>
      </c>
      <c r="D1206">
        <v>242</v>
      </c>
      <c r="E1206" t="s">
        <v>1342</v>
      </c>
      <c r="F1206">
        <v>242</v>
      </c>
      <c r="G1206" s="1">
        <v>45168</v>
      </c>
      <c r="H1206" s="6">
        <f t="shared" si="36"/>
        <v>13.218749999999797</v>
      </c>
      <c r="I1206" s="7">
        <f t="shared" si="37"/>
        <v>13.218749999999797</v>
      </c>
    </row>
    <row r="1207" spans="1:9" x14ac:dyDescent="0.2">
      <c r="A1207" t="s">
        <v>1343</v>
      </c>
      <c r="B1207">
        <v>4.1769999999999996</v>
      </c>
      <c r="C1207">
        <v>5.8505000000000001E-2</v>
      </c>
      <c r="D1207">
        <v>242</v>
      </c>
      <c r="E1207" t="s">
        <v>1343</v>
      </c>
      <c r="F1207">
        <v>242</v>
      </c>
      <c r="G1207" s="1">
        <v>45168</v>
      </c>
      <c r="H1207" s="6">
        <f t="shared" si="36"/>
        <v>13.229166666666464</v>
      </c>
      <c r="I1207" s="7">
        <f t="shared" si="37"/>
        <v>13.229166666666464</v>
      </c>
    </row>
    <row r="1208" spans="1:9" x14ac:dyDescent="0.2">
      <c r="A1208" t="s">
        <v>1344</v>
      </c>
      <c r="B1208">
        <v>4.1890000000000001</v>
      </c>
      <c r="C1208">
        <v>5.8680000000000003E-2</v>
      </c>
      <c r="D1208">
        <v>242</v>
      </c>
      <c r="E1208" t="s">
        <v>1344</v>
      </c>
      <c r="F1208">
        <v>242</v>
      </c>
      <c r="G1208" s="1">
        <v>45168</v>
      </c>
      <c r="H1208" s="6">
        <f t="shared" si="36"/>
        <v>13.23958333333313</v>
      </c>
      <c r="I1208" s="7">
        <f t="shared" si="37"/>
        <v>13.23958333333313</v>
      </c>
    </row>
    <row r="1209" spans="1:9" x14ac:dyDescent="0.2">
      <c r="A1209" t="s">
        <v>1345</v>
      </c>
      <c r="B1209">
        <v>4.1885000000000003</v>
      </c>
      <c r="C1209">
        <v>5.867E-2</v>
      </c>
      <c r="D1209">
        <v>242</v>
      </c>
      <c r="E1209" t="s">
        <v>1345</v>
      </c>
      <c r="F1209">
        <v>242</v>
      </c>
      <c r="G1209" s="1">
        <v>45168</v>
      </c>
      <c r="H1209" s="6">
        <f t="shared" si="36"/>
        <v>13.249999999999796</v>
      </c>
      <c r="I1209" s="7">
        <f t="shared" si="37"/>
        <v>13.249999999999796</v>
      </c>
    </row>
    <row r="1210" spans="1:9" x14ac:dyDescent="0.2">
      <c r="A1210" t="s">
        <v>1346</v>
      </c>
      <c r="B1210">
        <v>4.1464999999999996</v>
      </c>
      <c r="C1210">
        <v>5.8095000000000001E-2</v>
      </c>
      <c r="D1210">
        <v>242</v>
      </c>
      <c r="E1210" t="s">
        <v>1346</v>
      </c>
      <c r="F1210">
        <v>242</v>
      </c>
      <c r="G1210" s="1">
        <v>45168</v>
      </c>
      <c r="H1210" s="6">
        <f t="shared" si="36"/>
        <v>13.260416666666462</v>
      </c>
      <c r="I1210" s="7">
        <f t="shared" si="37"/>
        <v>13.260416666666462</v>
      </c>
    </row>
    <row r="1211" spans="1:9" x14ac:dyDescent="0.2">
      <c r="A1211" t="s">
        <v>1347</v>
      </c>
      <c r="B1211">
        <v>4.1695000000000002</v>
      </c>
      <c r="C1211">
        <v>5.8384999999999999E-2</v>
      </c>
      <c r="D1211">
        <v>242</v>
      </c>
      <c r="E1211" t="s">
        <v>1347</v>
      </c>
      <c r="F1211">
        <v>242</v>
      </c>
      <c r="G1211" s="1">
        <v>45168</v>
      </c>
      <c r="H1211" s="6">
        <f t="shared" si="36"/>
        <v>13.270833333333128</v>
      </c>
      <c r="I1211" s="7">
        <f t="shared" si="37"/>
        <v>13.270833333333128</v>
      </c>
    </row>
    <row r="1212" spans="1:9" x14ac:dyDescent="0.2">
      <c r="A1212" t="s">
        <v>1348</v>
      </c>
      <c r="B1212">
        <v>4.1405000000000003</v>
      </c>
      <c r="C1212">
        <v>5.7994999999999998E-2</v>
      </c>
      <c r="D1212">
        <v>242</v>
      </c>
      <c r="E1212" t="s">
        <v>1348</v>
      </c>
      <c r="F1212">
        <v>242</v>
      </c>
      <c r="G1212" s="1">
        <v>45168</v>
      </c>
      <c r="H1212" s="6">
        <f t="shared" si="36"/>
        <v>13.281249999999794</v>
      </c>
      <c r="I1212" s="7">
        <f t="shared" si="37"/>
        <v>13.281249999999794</v>
      </c>
    </row>
    <row r="1213" spans="1:9" x14ac:dyDescent="0.2">
      <c r="A1213" t="s">
        <v>1349</v>
      </c>
      <c r="B1213">
        <v>4.1479999999999997</v>
      </c>
      <c r="C1213">
        <v>5.8090000000000003E-2</v>
      </c>
      <c r="D1213">
        <v>242</v>
      </c>
      <c r="E1213" t="s">
        <v>1349</v>
      </c>
      <c r="F1213">
        <v>242</v>
      </c>
      <c r="G1213" s="1">
        <v>45168</v>
      </c>
      <c r="H1213" s="6">
        <f t="shared" si="36"/>
        <v>13.29166666666646</v>
      </c>
      <c r="I1213" s="7">
        <f t="shared" si="37"/>
        <v>13.29166666666646</v>
      </c>
    </row>
    <row r="1214" spans="1:9" x14ac:dyDescent="0.2">
      <c r="A1214" t="s">
        <v>1350</v>
      </c>
      <c r="B1214">
        <v>4.1345000000000001</v>
      </c>
      <c r="C1214">
        <v>5.79E-2</v>
      </c>
      <c r="D1214">
        <v>242</v>
      </c>
      <c r="E1214" t="s">
        <v>1350</v>
      </c>
      <c r="F1214">
        <v>242</v>
      </c>
      <c r="G1214" s="1">
        <v>45168</v>
      </c>
      <c r="H1214" s="6">
        <f t="shared" si="36"/>
        <v>13.302083333333126</v>
      </c>
      <c r="I1214" s="7">
        <f t="shared" si="37"/>
        <v>13.302083333333126</v>
      </c>
    </row>
    <row r="1215" spans="1:9" x14ac:dyDescent="0.2">
      <c r="A1215" t="s">
        <v>1351</v>
      </c>
      <c r="B1215">
        <v>4.1120000000000001</v>
      </c>
      <c r="C1215">
        <v>5.7584999999999997E-2</v>
      </c>
      <c r="D1215">
        <v>242</v>
      </c>
      <c r="E1215" t="s">
        <v>1351</v>
      </c>
      <c r="F1215">
        <v>242</v>
      </c>
      <c r="G1215" s="1">
        <v>45168</v>
      </c>
      <c r="H1215" s="6">
        <f t="shared" si="36"/>
        <v>13.312499999999792</v>
      </c>
      <c r="I1215" s="7">
        <f t="shared" si="37"/>
        <v>13.312499999999792</v>
      </c>
    </row>
    <row r="1216" spans="1:9" x14ac:dyDescent="0.2">
      <c r="A1216" t="s">
        <v>1352</v>
      </c>
      <c r="B1216">
        <v>4.1064999999999996</v>
      </c>
      <c r="C1216">
        <v>5.7509999999999999E-2</v>
      </c>
      <c r="D1216">
        <v>242</v>
      </c>
      <c r="E1216" t="s">
        <v>1352</v>
      </c>
      <c r="F1216">
        <v>242</v>
      </c>
      <c r="G1216" s="1">
        <v>45168</v>
      </c>
      <c r="H1216" s="6">
        <f t="shared" si="36"/>
        <v>13.322916666666458</v>
      </c>
      <c r="I1216" s="7">
        <f t="shared" si="37"/>
        <v>13.322916666666458</v>
      </c>
    </row>
    <row r="1217" spans="1:9" x14ac:dyDescent="0.2">
      <c r="A1217" t="s">
        <v>1353</v>
      </c>
      <c r="B1217">
        <v>4.1014999999999997</v>
      </c>
      <c r="C1217">
        <v>5.7465000000000002E-2</v>
      </c>
      <c r="D1217">
        <v>242</v>
      </c>
      <c r="E1217" t="s">
        <v>1353</v>
      </c>
      <c r="F1217">
        <v>242</v>
      </c>
      <c r="G1217" s="1">
        <v>45168</v>
      </c>
      <c r="H1217" s="6">
        <f t="shared" si="36"/>
        <v>13.333333333333124</v>
      </c>
      <c r="I1217" s="7">
        <f t="shared" si="37"/>
        <v>13.333333333333124</v>
      </c>
    </row>
    <row r="1218" spans="1:9" x14ac:dyDescent="0.2">
      <c r="A1218" t="s">
        <v>1354</v>
      </c>
      <c r="B1218">
        <v>4.0629999999999997</v>
      </c>
      <c r="C1218">
        <v>5.6895000000000001E-2</v>
      </c>
      <c r="D1218">
        <v>242</v>
      </c>
      <c r="E1218" t="s">
        <v>1354</v>
      </c>
      <c r="F1218">
        <v>242</v>
      </c>
      <c r="G1218" s="1">
        <v>45168</v>
      </c>
      <c r="H1218" s="6">
        <f t="shared" si="36"/>
        <v>13.34374999999979</v>
      </c>
      <c r="I1218" s="7">
        <f t="shared" si="37"/>
        <v>13.34374999999979</v>
      </c>
    </row>
    <row r="1219" spans="1:9" x14ac:dyDescent="0.2">
      <c r="A1219" t="s">
        <v>1355</v>
      </c>
      <c r="B1219">
        <v>4.0774999999999997</v>
      </c>
      <c r="C1219">
        <v>5.7099999999999998E-2</v>
      </c>
      <c r="D1219">
        <v>242</v>
      </c>
      <c r="E1219" t="s">
        <v>1355</v>
      </c>
      <c r="F1219">
        <v>242</v>
      </c>
      <c r="G1219" s="1">
        <v>45168</v>
      </c>
      <c r="H1219" s="6">
        <f t="shared" ref="H1219:H1282" si="38">H1218+$K$1</f>
        <v>13.354166666666456</v>
      </c>
      <c r="I1219" s="7">
        <f t="shared" ref="I1219:I1282" si="39">I1218+$K$1</f>
        <v>13.354166666666456</v>
      </c>
    </row>
    <row r="1220" spans="1:9" x14ac:dyDescent="0.2">
      <c r="A1220" t="s">
        <v>1356</v>
      </c>
      <c r="B1220">
        <v>4.0575000000000001</v>
      </c>
      <c r="C1220">
        <v>5.6814999999999997E-2</v>
      </c>
      <c r="D1220">
        <v>242</v>
      </c>
      <c r="E1220" t="s">
        <v>1356</v>
      </c>
      <c r="F1220">
        <v>242</v>
      </c>
      <c r="G1220" s="1">
        <v>45168</v>
      </c>
      <c r="H1220" s="6">
        <f t="shared" si="38"/>
        <v>13.364583333333123</v>
      </c>
      <c r="I1220" s="7">
        <f t="shared" si="39"/>
        <v>13.364583333333123</v>
      </c>
    </row>
    <row r="1221" spans="1:9" x14ac:dyDescent="0.2">
      <c r="A1221" t="s">
        <v>1357</v>
      </c>
      <c r="B1221">
        <v>4.0830000000000002</v>
      </c>
      <c r="C1221">
        <v>5.7189999999999998E-2</v>
      </c>
      <c r="D1221">
        <v>242</v>
      </c>
      <c r="E1221" t="s">
        <v>1357</v>
      </c>
      <c r="F1221">
        <v>242</v>
      </c>
      <c r="G1221" s="1">
        <v>45168</v>
      </c>
      <c r="H1221" s="6">
        <f t="shared" si="38"/>
        <v>13.374999999999789</v>
      </c>
      <c r="I1221" s="7">
        <f t="shared" si="39"/>
        <v>13.374999999999789</v>
      </c>
    </row>
    <row r="1222" spans="1:9" x14ac:dyDescent="0.2">
      <c r="A1222" t="s">
        <v>1358</v>
      </c>
      <c r="B1222">
        <v>4.0415000000000001</v>
      </c>
      <c r="C1222">
        <v>5.6599999999999998E-2</v>
      </c>
      <c r="D1222">
        <v>242</v>
      </c>
      <c r="E1222" t="s">
        <v>1358</v>
      </c>
      <c r="F1222">
        <v>242</v>
      </c>
      <c r="G1222" s="1">
        <v>45168</v>
      </c>
      <c r="H1222" s="6">
        <f t="shared" si="38"/>
        <v>13.385416666666455</v>
      </c>
      <c r="I1222" s="7">
        <f t="shared" si="39"/>
        <v>13.385416666666455</v>
      </c>
    </row>
    <row r="1223" spans="1:9" x14ac:dyDescent="0.2">
      <c r="A1223" t="s">
        <v>1359</v>
      </c>
      <c r="B1223">
        <v>4.0305</v>
      </c>
      <c r="C1223">
        <v>5.6469999999999999E-2</v>
      </c>
      <c r="D1223">
        <v>242</v>
      </c>
      <c r="E1223" t="s">
        <v>1359</v>
      </c>
      <c r="F1223">
        <v>242</v>
      </c>
      <c r="G1223" s="1">
        <v>45168</v>
      </c>
      <c r="H1223" s="6">
        <f t="shared" si="38"/>
        <v>13.395833333333121</v>
      </c>
      <c r="I1223" s="7">
        <f t="shared" si="39"/>
        <v>13.395833333333121</v>
      </c>
    </row>
    <row r="1224" spans="1:9" x14ac:dyDescent="0.2">
      <c r="A1224" t="s">
        <v>1360</v>
      </c>
      <c r="B1224">
        <v>4.0129999999999999</v>
      </c>
      <c r="C1224">
        <v>5.6215000000000001E-2</v>
      </c>
      <c r="D1224">
        <v>242</v>
      </c>
      <c r="E1224" t="s">
        <v>1360</v>
      </c>
      <c r="F1224">
        <v>242</v>
      </c>
      <c r="G1224" s="1">
        <v>45168</v>
      </c>
      <c r="H1224" s="6">
        <f t="shared" si="38"/>
        <v>13.406249999999787</v>
      </c>
      <c r="I1224" s="7">
        <f t="shared" si="39"/>
        <v>13.406249999999787</v>
      </c>
    </row>
    <row r="1225" spans="1:9" x14ac:dyDescent="0.2">
      <c r="A1225" t="s">
        <v>1361</v>
      </c>
      <c r="B1225">
        <v>4.0030000000000001</v>
      </c>
      <c r="C1225">
        <v>5.6064999999999997E-2</v>
      </c>
      <c r="D1225">
        <v>242</v>
      </c>
      <c r="E1225" t="s">
        <v>1361</v>
      </c>
      <c r="F1225">
        <v>242</v>
      </c>
      <c r="G1225" s="1">
        <v>45168</v>
      </c>
      <c r="H1225" s="6">
        <f t="shared" si="38"/>
        <v>13.416666666666453</v>
      </c>
      <c r="I1225" s="7">
        <f t="shared" si="39"/>
        <v>13.416666666666453</v>
      </c>
    </row>
    <row r="1226" spans="1:9" x14ac:dyDescent="0.2">
      <c r="A1226" t="s">
        <v>1362</v>
      </c>
      <c r="B1226">
        <v>3.9975000000000001</v>
      </c>
      <c r="C1226">
        <v>5.5985E-2</v>
      </c>
      <c r="D1226">
        <v>242</v>
      </c>
      <c r="E1226" t="s">
        <v>1362</v>
      </c>
      <c r="F1226">
        <v>242</v>
      </c>
      <c r="G1226" s="1">
        <v>45168</v>
      </c>
      <c r="H1226" s="6">
        <f t="shared" si="38"/>
        <v>13.427083333333119</v>
      </c>
      <c r="I1226" s="7">
        <f t="shared" si="39"/>
        <v>13.427083333333119</v>
      </c>
    </row>
    <row r="1227" spans="1:9" x14ac:dyDescent="0.2">
      <c r="A1227" t="s">
        <v>1363</v>
      </c>
      <c r="B1227">
        <v>3.9624999999999999</v>
      </c>
      <c r="C1227">
        <v>5.5515000000000002E-2</v>
      </c>
      <c r="D1227">
        <v>242</v>
      </c>
      <c r="E1227" t="s">
        <v>1363</v>
      </c>
      <c r="F1227">
        <v>242</v>
      </c>
      <c r="G1227" s="1">
        <v>45168</v>
      </c>
      <c r="H1227" s="6">
        <f t="shared" si="38"/>
        <v>13.437499999999785</v>
      </c>
      <c r="I1227" s="7">
        <f t="shared" si="39"/>
        <v>13.437499999999785</v>
      </c>
    </row>
    <row r="1228" spans="1:9" x14ac:dyDescent="0.2">
      <c r="A1228" t="s">
        <v>1364</v>
      </c>
      <c r="B1228">
        <v>3.9344999999999999</v>
      </c>
      <c r="C1228">
        <v>5.5120000000000002E-2</v>
      </c>
      <c r="D1228">
        <v>242</v>
      </c>
      <c r="E1228" t="s">
        <v>1364</v>
      </c>
      <c r="F1228">
        <v>242</v>
      </c>
      <c r="G1228" s="1">
        <v>45168</v>
      </c>
      <c r="H1228" s="6">
        <f t="shared" si="38"/>
        <v>13.447916666666451</v>
      </c>
      <c r="I1228" s="7">
        <f t="shared" si="39"/>
        <v>13.447916666666451</v>
      </c>
    </row>
    <row r="1229" spans="1:9" x14ac:dyDescent="0.2">
      <c r="A1229" t="s">
        <v>1365</v>
      </c>
      <c r="B1229">
        <v>3.9220000000000002</v>
      </c>
      <c r="C1229">
        <v>5.493E-2</v>
      </c>
      <c r="D1229">
        <v>242</v>
      </c>
      <c r="E1229" t="s">
        <v>1365</v>
      </c>
      <c r="F1229">
        <v>242</v>
      </c>
      <c r="G1229" s="1">
        <v>45168</v>
      </c>
      <c r="H1229" s="6">
        <f t="shared" si="38"/>
        <v>13.458333333333117</v>
      </c>
      <c r="I1229" s="7">
        <f t="shared" si="39"/>
        <v>13.458333333333117</v>
      </c>
    </row>
    <row r="1230" spans="1:9" x14ac:dyDescent="0.2">
      <c r="A1230" t="s">
        <v>1366</v>
      </c>
      <c r="B1230" s="2" t="s">
        <v>1367</v>
      </c>
      <c r="C1230">
        <v>5.4969999999999998E-2</v>
      </c>
      <c r="D1230">
        <v>242</v>
      </c>
      <c r="E1230" t="s">
        <v>1366</v>
      </c>
      <c r="F1230">
        <v>242</v>
      </c>
      <c r="G1230" s="1">
        <v>45168</v>
      </c>
      <c r="H1230" s="6">
        <f t="shared" si="38"/>
        <v>13.468749999999783</v>
      </c>
      <c r="I1230" s="7">
        <f t="shared" si="39"/>
        <v>13.468749999999783</v>
      </c>
    </row>
    <row r="1231" spans="1:9" x14ac:dyDescent="0.2">
      <c r="A1231" t="s">
        <v>1368</v>
      </c>
      <c r="B1231">
        <v>3.8235000000000001</v>
      </c>
      <c r="C1231">
        <v>5.3560000000000003E-2</v>
      </c>
      <c r="D1231">
        <v>242</v>
      </c>
      <c r="E1231" t="s">
        <v>1368</v>
      </c>
      <c r="F1231">
        <v>242</v>
      </c>
      <c r="G1231" s="1">
        <v>45168</v>
      </c>
      <c r="H1231" s="6">
        <f t="shared" si="38"/>
        <v>13.479166666666449</v>
      </c>
      <c r="I1231" s="7">
        <f t="shared" si="39"/>
        <v>13.479166666666449</v>
      </c>
    </row>
    <row r="1232" spans="1:9" x14ac:dyDescent="0.2">
      <c r="A1232" t="s">
        <v>1369</v>
      </c>
      <c r="B1232">
        <v>3.883</v>
      </c>
      <c r="C1232">
        <v>5.4394999999999999E-2</v>
      </c>
      <c r="D1232">
        <v>242</v>
      </c>
      <c r="E1232" t="s">
        <v>1369</v>
      </c>
      <c r="F1232">
        <v>242</v>
      </c>
      <c r="G1232" s="1">
        <v>45168</v>
      </c>
      <c r="H1232" s="6">
        <f t="shared" si="38"/>
        <v>13.489583333333115</v>
      </c>
      <c r="I1232" s="7">
        <f t="shared" si="39"/>
        <v>13.489583333333115</v>
      </c>
    </row>
    <row r="1233" spans="1:9" x14ac:dyDescent="0.2">
      <c r="A1233" t="s">
        <v>1370</v>
      </c>
      <c r="B1233">
        <v>3.88</v>
      </c>
      <c r="C1233">
        <v>5.4350000000000002E-2</v>
      </c>
      <c r="D1233">
        <v>242</v>
      </c>
      <c r="E1233" t="s">
        <v>1370</v>
      </c>
      <c r="F1233">
        <v>242</v>
      </c>
      <c r="G1233" s="1">
        <v>45168</v>
      </c>
      <c r="H1233" s="6">
        <f t="shared" si="38"/>
        <v>13.499999999999782</v>
      </c>
      <c r="I1233" s="7">
        <f t="shared" si="39"/>
        <v>13.499999999999782</v>
      </c>
    </row>
    <row r="1234" spans="1:9" x14ac:dyDescent="0.2">
      <c r="A1234" t="s">
        <v>1371</v>
      </c>
      <c r="B1234">
        <v>3.9</v>
      </c>
      <c r="C1234">
        <v>5.4629999999999998E-2</v>
      </c>
      <c r="D1234">
        <v>242</v>
      </c>
      <c r="E1234" t="s">
        <v>1371</v>
      </c>
      <c r="F1234">
        <v>242</v>
      </c>
      <c r="G1234" s="1">
        <v>45168</v>
      </c>
      <c r="H1234" s="6">
        <f t="shared" si="38"/>
        <v>13.510416666666448</v>
      </c>
      <c r="I1234" s="7">
        <f t="shared" si="39"/>
        <v>13.510416666666448</v>
      </c>
    </row>
    <row r="1235" spans="1:9" x14ac:dyDescent="0.2">
      <c r="A1235" t="s">
        <v>1372</v>
      </c>
      <c r="B1235" s="2" t="s">
        <v>1373</v>
      </c>
      <c r="C1235">
        <v>5.4265000000000001E-2</v>
      </c>
      <c r="D1235">
        <v>242</v>
      </c>
      <c r="E1235" t="s">
        <v>1372</v>
      </c>
      <c r="F1235">
        <v>242</v>
      </c>
      <c r="G1235" s="1">
        <v>45168</v>
      </c>
      <c r="H1235" s="6">
        <f t="shared" si="38"/>
        <v>13.520833333333114</v>
      </c>
      <c r="I1235" s="7">
        <f t="shared" si="39"/>
        <v>13.520833333333114</v>
      </c>
    </row>
    <row r="1236" spans="1:9" x14ac:dyDescent="0.2">
      <c r="A1236" t="s">
        <v>1374</v>
      </c>
      <c r="B1236" s="2" t="s">
        <v>1375</v>
      </c>
      <c r="C1236">
        <v>5.3644999999999998E-2</v>
      </c>
      <c r="D1236">
        <v>242</v>
      </c>
      <c r="E1236" t="s">
        <v>1374</v>
      </c>
      <c r="F1236">
        <v>242</v>
      </c>
      <c r="G1236" s="1">
        <v>45168</v>
      </c>
      <c r="H1236" s="6">
        <f t="shared" si="38"/>
        <v>13.53124999999978</v>
      </c>
      <c r="I1236" s="7">
        <f t="shared" si="39"/>
        <v>13.53124999999978</v>
      </c>
    </row>
    <row r="1237" spans="1:9" x14ac:dyDescent="0.2">
      <c r="A1237" t="s">
        <v>1376</v>
      </c>
      <c r="B1237">
        <v>3.83</v>
      </c>
      <c r="C1237">
        <v>5.364E-2</v>
      </c>
      <c r="D1237">
        <v>242</v>
      </c>
      <c r="E1237" t="s">
        <v>1376</v>
      </c>
      <c r="F1237">
        <v>242</v>
      </c>
      <c r="G1237" s="1">
        <v>45168</v>
      </c>
      <c r="H1237" s="6">
        <f t="shared" si="38"/>
        <v>13.541666666666446</v>
      </c>
      <c r="I1237" s="7">
        <f t="shared" si="39"/>
        <v>13.541666666666446</v>
      </c>
    </row>
    <row r="1238" spans="1:9" x14ac:dyDescent="0.2">
      <c r="A1238" t="s">
        <v>1377</v>
      </c>
      <c r="B1238">
        <v>3.7879999999999998</v>
      </c>
      <c r="C1238">
        <v>5.305E-2</v>
      </c>
      <c r="D1238">
        <v>242</v>
      </c>
      <c r="E1238" t="s">
        <v>1377</v>
      </c>
      <c r="F1238">
        <v>242</v>
      </c>
      <c r="G1238" s="1">
        <v>45168</v>
      </c>
      <c r="H1238" s="6">
        <f t="shared" si="38"/>
        <v>13.552083333333112</v>
      </c>
      <c r="I1238" s="7">
        <f t="shared" si="39"/>
        <v>13.552083333333112</v>
      </c>
    </row>
    <row r="1239" spans="1:9" x14ac:dyDescent="0.2">
      <c r="A1239" t="s">
        <v>1378</v>
      </c>
      <c r="B1239">
        <v>3.7730000000000001</v>
      </c>
      <c r="C1239">
        <v>5.2830000000000002E-2</v>
      </c>
      <c r="D1239">
        <v>242</v>
      </c>
      <c r="E1239" t="s">
        <v>1378</v>
      </c>
      <c r="F1239">
        <v>242</v>
      </c>
      <c r="G1239" s="1">
        <v>45168</v>
      </c>
      <c r="H1239" s="6">
        <f t="shared" si="38"/>
        <v>13.562499999999778</v>
      </c>
      <c r="I1239" s="7">
        <f t="shared" si="39"/>
        <v>13.562499999999778</v>
      </c>
    </row>
    <row r="1240" spans="1:9" x14ac:dyDescent="0.2">
      <c r="A1240" t="s">
        <v>1379</v>
      </c>
      <c r="B1240">
        <v>3.7450000000000001</v>
      </c>
      <c r="C1240">
        <v>5.246E-2</v>
      </c>
      <c r="D1240">
        <v>242</v>
      </c>
      <c r="E1240" t="s">
        <v>1379</v>
      </c>
      <c r="F1240">
        <v>242</v>
      </c>
      <c r="G1240" s="1">
        <v>45168</v>
      </c>
      <c r="H1240" s="6">
        <f t="shared" si="38"/>
        <v>13.572916666666444</v>
      </c>
      <c r="I1240" s="7">
        <f t="shared" si="39"/>
        <v>13.572916666666444</v>
      </c>
    </row>
    <row r="1241" spans="1:9" x14ac:dyDescent="0.2">
      <c r="A1241" t="s">
        <v>1380</v>
      </c>
      <c r="B1241">
        <v>3.7395</v>
      </c>
      <c r="C1241">
        <v>5.2385000000000001E-2</v>
      </c>
      <c r="D1241">
        <v>242</v>
      </c>
      <c r="E1241" t="s">
        <v>1380</v>
      </c>
      <c r="F1241">
        <v>242</v>
      </c>
      <c r="G1241" s="1">
        <v>45168</v>
      </c>
      <c r="H1241" s="6">
        <f t="shared" si="38"/>
        <v>13.58333333333311</v>
      </c>
      <c r="I1241" s="7">
        <f t="shared" si="39"/>
        <v>13.58333333333311</v>
      </c>
    </row>
    <row r="1242" spans="1:9" x14ac:dyDescent="0.2">
      <c r="A1242" t="s">
        <v>1381</v>
      </c>
      <c r="B1242">
        <v>3.6890000000000001</v>
      </c>
      <c r="C1242">
        <v>5.1659999999999998E-2</v>
      </c>
      <c r="D1242">
        <v>242</v>
      </c>
      <c r="E1242" t="s">
        <v>1381</v>
      </c>
      <c r="F1242">
        <v>242</v>
      </c>
      <c r="G1242" s="1">
        <v>45168</v>
      </c>
      <c r="H1242" s="6">
        <f t="shared" si="38"/>
        <v>13.593749999999776</v>
      </c>
      <c r="I1242" s="7">
        <f t="shared" si="39"/>
        <v>13.593749999999776</v>
      </c>
    </row>
    <row r="1243" spans="1:9" x14ac:dyDescent="0.2">
      <c r="A1243" t="s">
        <v>1382</v>
      </c>
      <c r="B1243">
        <v>3.6909999999999998</v>
      </c>
      <c r="C1243">
        <v>5.1694999999999998E-2</v>
      </c>
      <c r="D1243">
        <v>242</v>
      </c>
      <c r="E1243" t="s">
        <v>1382</v>
      </c>
      <c r="F1243">
        <v>242</v>
      </c>
      <c r="G1243" s="1">
        <v>45168</v>
      </c>
      <c r="H1243" s="6">
        <f t="shared" si="38"/>
        <v>13.604166666666442</v>
      </c>
      <c r="I1243" s="7">
        <f t="shared" si="39"/>
        <v>13.604166666666442</v>
      </c>
    </row>
    <row r="1244" spans="1:9" x14ac:dyDescent="0.2">
      <c r="A1244" t="s">
        <v>1383</v>
      </c>
      <c r="B1244">
        <v>3.69</v>
      </c>
      <c r="C1244">
        <v>5.1694999999999998E-2</v>
      </c>
      <c r="D1244">
        <v>242</v>
      </c>
      <c r="E1244" t="s">
        <v>1383</v>
      </c>
      <c r="F1244">
        <v>242</v>
      </c>
      <c r="G1244" s="1">
        <v>45168</v>
      </c>
      <c r="H1244" s="6">
        <f t="shared" si="38"/>
        <v>13.614583333333108</v>
      </c>
      <c r="I1244" s="7">
        <f t="shared" si="39"/>
        <v>13.614583333333108</v>
      </c>
    </row>
    <row r="1245" spans="1:9" x14ac:dyDescent="0.2">
      <c r="A1245" t="s">
        <v>1384</v>
      </c>
      <c r="B1245">
        <v>3.6859999999999999</v>
      </c>
      <c r="C1245">
        <v>5.1630000000000002E-2</v>
      </c>
      <c r="D1245">
        <v>242</v>
      </c>
      <c r="E1245" t="s">
        <v>1384</v>
      </c>
      <c r="F1245">
        <v>242</v>
      </c>
      <c r="G1245" s="1">
        <v>45168</v>
      </c>
      <c r="H1245" s="6">
        <f t="shared" si="38"/>
        <v>13.624999999999774</v>
      </c>
      <c r="I1245" s="7">
        <f t="shared" si="39"/>
        <v>13.624999999999774</v>
      </c>
    </row>
    <row r="1246" spans="1:9" x14ac:dyDescent="0.2">
      <c r="A1246" t="s">
        <v>1385</v>
      </c>
      <c r="B1246">
        <v>3.7044999999999999</v>
      </c>
      <c r="C1246">
        <v>5.1889999999999999E-2</v>
      </c>
      <c r="D1246">
        <v>242</v>
      </c>
      <c r="E1246" t="s">
        <v>1385</v>
      </c>
      <c r="F1246">
        <v>242</v>
      </c>
      <c r="G1246" s="1">
        <v>45168</v>
      </c>
      <c r="H1246" s="6">
        <f t="shared" si="38"/>
        <v>13.63541666666644</v>
      </c>
      <c r="I1246" s="7">
        <f t="shared" si="39"/>
        <v>13.63541666666644</v>
      </c>
    </row>
    <row r="1247" spans="1:9" x14ac:dyDescent="0.2">
      <c r="A1247" t="s">
        <v>1386</v>
      </c>
      <c r="B1247">
        <v>3.6795</v>
      </c>
      <c r="C1247" s="2" t="s">
        <v>1387</v>
      </c>
      <c r="D1247">
        <v>242</v>
      </c>
      <c r="E1247" t="s">
        <v>1386</v>
      </c>
      <c r="F1247">
        <v>242</v>
      </c>
      <c r="G1247" s="1">
        <v>45168</v>
      </c>
      <c r="H1247" s="6">
        <f t="shared" si="38"/>
        <v>13.645833333333107</v>
      </c>
      <c r="I1247" s="7">
        <f t="shared" si="39"/>
        <v>13.645833333333107</v>
      </c>
    </row>
    <row r="1248" spans="1:9" x14ac:dyDescent="0.2">
      <c r="A1248" t="s">
        <v>1388</v>
      </c>
      <c r="B1248" s="2" t="s">
        <v>1389</v>
      </c>
      <c r="C1248">
        <v>5.1860000000000003E-2</v>
      </c>
      <c r="D1248">
        <v>242</v>
      </c>
      <c r="E1248" t="s">
        <v>1388</v>
      </c>
      <c r="F1248">
        <v>242</v>
      </c>
      <c r="G1248" s="1">
        <v>45168</v>
      </c>
      <c r="H1248" s="6">
        <f t="shared" si="38"/>
        <v>13.656249999999773</v>
      </c>
      <c r="I1248" s="7">
        <f t="shared" si="39"/>
        <v>13.656249999999773</v>
      </c>
    </row>
    <row r="1249" spans="1:9" x14ac:dyDescent="0.2">
      <c r="A1249" t="s">
        <v>1390</v>
      </c>
      <c r="B1249">
        <v>3.7160000000000002</v>
      </c>
      <c r="C1249">
        <v>5.2045000000000001E-2</v>
      </c>
      <c r="D1249">
        <v>242</v>
      </c>
      <c r="E1249" t="s">
        <v>1390</v>
      </c>
      <c r="F1249">
        <v>242</v>
      </c>
      <c r="G1249" s="1">
        <v>45168</v>
      </c>
      <c r="H1249" s="6">
        <f t="shared" si="38"/>
        <v>13.666666666666439</v>
      </c>
      <c r="I1249" s="7">
        <f t="shared" si="39"/>
        <v>13.666666666666439</v>
      </c>
    </row>
    <row r="1250" spans="1:9" x14ac:dyDescent="0.2">
      <c r="A1250" t="s">
        <v>1391</v>
      </c>
      <c r="B1250">
        <v>3.7250000000000001</v>
      </c>
      <c r="C1250">
        <v>5.2165000000000003E-2</v>
      </c>
      <c r="D1250">
        <v>242</v>
      </c>
      <c r="E1250" t="s">
        <v>1391</v>
      </c>
      <c r="F1250">
        <v>242</v>
      </c>
      <c r="G1250" s="1">
        <v>45168</v>
      </c>
      <c r="H1250" s="6">
        <f t="shared" si="38"/>
        <v>13.677083333333105</v>
      </c>
      <c r="I1250" s="7">
        <f t="shared" si="39"/>
        <v>13.677083333333105</v>
      </c>
    </row>
    <row r="1251" spans="1:9" x14ac:dyDescent="0.2">
      <c r="A1251" t="s">
        <v>1392</v>
      </c>
      <c r="B1251">
        <v>3.7330000000000001</v>
      </c>
      <c r="C1251">
        <v>5.2299999999999999E-2</v>
      </c>
      <c r="D1251">
        <v>242</v>
      </c>
      <c r="E1251" t="s">
        <v>1392</v>
      </c>
      <c r="F1251">
        <v>242</v>
      </c>
      <c r="G1251" s="1">
        <v>45168</v>
      </c>
      <c r="H1251" s="6">
        <f t="shared" si="38"/>
        <v>13.687499999999771</v>
      </c>
      <c r="I1251" s="7">
        <f t="shared" si="39"/>
        <v>13.687499999999771</v>
      </c>
    </row>
    <row r="1252" spans="1:9" x14ac:dyDescent="0.2">
      <c r="A1252" t="s">
        <v>1393</v>
      </c>
      <c r="B1252">
        <v>3.782</v>
      </c>
      <c r="C1252">
        <v>5.2949999999999997E-2</v>
      </c>
      <c r="D1252">
        <v>242</v>
      </c>
      <c r="E1252" t="s">
        <v>1393</v>
      </c>
      <c r="F1252">
        <v>242</v>
      </c>
      <c r="G1252" s="1">
        <v>45168</v>
      </c>
      <c r="H1252" s="6">
        <f t="shared" si="38"/>
        <v>13.697916666666437</v>
      </c>
      <c r="I1252" s="7">
        <f t="shared" si="39"/>
        <v>13.697916666666437</v>
      </c>
    </row>
    <row r="1253" spans="1:9" x14ac:dyDescent="0.2">
      <c r="A1253" t="s">
        <v>1394</v>
      </c>
      <c r="B1253" s="2" t="s">
        <v>1395</v>
      </c>
      <c r="C1253">
        <v>5.2734999999999997E-2</v>
      </c>
      <c r="D1253">
        <v>242</v>
      </c>
      <c r="E1253" t="s">
        <v>1394</v>
      </c>
      <c r="F1253">
        <v>242</v>
      </c>
      <c r="G1253" s="1">
        <v>45168</v>
      </c>
      <c r="H1253" s="6">
        <f t="shared" si="38"/>
        <v>13.708333333333103</v>
      </c>
      <c r="I1253" s="7">
        <f t="shared" si="39"/>
        <v>13.708333333333103</v>
      </c>
    </row>
    <row r="1254" spans="1:9" x14ac:dyDescent="0.2">
      <c r="A1254" t="s">
        <v>1396</v>
      </c>
      <c r="B1254">
        <v>3.7810000000000001</v>
      </c>
      <c r="C1254">
        <v>5.2970000000000003E-2</v>
      </c>
      <c r="D1254">
        <v>242</v>
      </c>
      <c r="E1254" t="s">
        <v>1396</v>
      </c>
      <c r="F1254">
        <v>242</v>
      </c>
      <c r="G1254" s="1">
        <v>45168</v>
      </c>
      <c r="H1254" s="6">
        <f t="shared" si="38"/>
        <v>13.718749999999769</v>
      </c>
      <c r="I1254" s="7">
        <f t="shared" si="39"/>
        <v>13.718749999999769</v>
      </c>
    </row>
    <row r="1255" spans="1:9" x14ac:dyDescent="0.2">
      <c r="A1255" t="s">
        <v>1397</v>
      </c>
      <c r="B1255">
        <v>3.7524999999999999</v>
      </c>
      <c r="C1255">
        <v>5.2549999999999999E-2</v>
      </c>
      <c r="D1255">
        <v>242</v>
      </c>
      <c r="E1255" t="s">
        <v>1397</v>
      </c>
      <c r="F1255">
        <v>242</v>
      </c>
      <c r="G1255" s="1">
        <v>45168</v>
      </c>
      <c r="H1255" s="6">
        <f t="shared" si="38"/>
        <v>13.729166666666435</v>
      </c>
      <c r="I1255" s="7">
        <f t="shared" si="39"/>
        <v>13.729166666666435</v>
      </c>
    </row>
    <row r="1256" spans="1:9" x14ac:dyDescent="0.2">
      <c r="A1256" t="s">
        <v>1398</v>
      </c>
      <c r="B1256">
        <v>3.7425000000000002</v>
      </c>
      <c r="C1256">
        <v>5.2409999999999998E-2</v>
      </c>
      <c r="D1256">
        <v>242</v>
      </c>
      <c r="E1256" t="s">
        <v>1398</v>
      </c>
      <c r="F1256">
        <v>242</v>
      </c>
      <c r="G1256" s="1">
        <v>45168</v>
      </c>
      <c r="H1256" s="6">
        <f t="shared" si="38"/>
        <v>13.739583333333101</v>
      </c>
      <c r="I1256" s="7">
        <f t="shared" si="39"/>
        <v>13.739583333333101</v>
      </c>
    </row>
    <row r="1257" spans="1:9" x14ac:dyDescent="0.2">
      <c r="A1257" t="s">
        <v>1399</v>
      </c>
      <c r="B1257">
        <v>3.6865000000000001</v>
      </c>
      <c r="C1257">
        <v>5.1624999999999997E-2</v>
      </c>
      <c r="D1257">
        <v>243</v>
      </c>
      <c r="E1257" t="s">
        <v>1399</v>
      </c>
      <c r="F1257">
        <v>242</v>
      </c>
      <c r="G1257" s="1">
        <v>45168</v>
      </c>
      <c r="H1257" s="6">
        <f t="shared" si="38"/>
        <v>13.749999999999767</v>
      </c>
      <c r="I1257" s="7">
        <f t="shared" si="39"/>
        <v>13.749999999999767</v>
      </c>
    </row>
    <row r="1258" spans="1:9" x14ac:dyDescent="0.2">
      <c r="A1258" t="s">
        <v>1400</v>
      </c>
      <c r="B1258">
        <v>3.7545000000000002</v>
      </c>
      <c r="C1258">
        <v>5.2600000000000001E-2</v>
      </c>
      <c r="D1258">
        <v>243</v>
      </c>
      <c r="E1258" t="s">
        <v>1400</v>
      </c>
      <c r="F1258">
        <v>242</v>
      </c>
      <c r="G1258" s="1">
        <v>45168</v>
      </c>
      <c r="H1258" s="6">
        <f t="shared" si="38"/>
        <v>13.760416666666433</v>
      </c>
      <c r="I1258" s="7">
        <f t="shared" si="39"/>
        <v>13.760416666666433</v>
      </c>
    </row>
    <row r="1259" spans="1:9" x14ac:dyDescent="0.2">
      <c r="A1259" t="s">
        <v>1401</v>
      </c>
      <c r="B1259">
        <v>3.7534999999999998</v>
      </c>
      <c r="C1259">
        <v>5.2574999999999997E-2</v>
      </c>
      <c r="D1259">
        <v>243</v>
      </c>
      <c r="E1259" t="s">
        <v>1401</v>
      </c>
      <c r="F1259">
        <v>242</v>
      </c>
      <c r="G1259" s="1">
        <v>45168</v>
      </c>
      <c r="H1259" s="6">
        <f t="shared" si="38"/>
        <v>13.770833333333099</v>
      </c>
      <c r="I1259" s="7">
        <f t="shared" si="39"/>
        <v>13.770833333333099</v>
      </c>
    </row>
    <row r="1260" spans="1:9" x14ac:dyDescent="0.2">
      <c r="A1260" t="s">
        <v>1402</v>
      </c>
      <c r="B1260">
        <v>3.7614999999999998</v>
      </c>
      <c r="C1260">
        <v>5.2675E-2</v>
      </c>
      <c r="D1260">
        <v>243</v>
      </c>
      <c r="E1260" t="s">
        <v>1402</v>
      </c>
      <c r="F1260">
        <v>242</v>
      </c>
      <c r="G1260" s="1">
        <v>45168</v>
      </c>
      <c r="H1260" s="6">
        <f t="shared" si="38"/>
        <v>13.781249999999766</v>
      </c>
      <c r="I1260" s="7">
        <f t="shared" si="39"/>
        <v>13.781249999999766</v>
      </c>
    </row>
    <row r="1261" spans="1:9" x14ac:dyDescent="0.2">
      <c r="A1261" t="s">
        <v>1403</v>
      </c>
      <c r="B1261">
        <v>3.7685</v>
      </c>
      <c r="C1261">
        <v>5.28E-2</v>
      </c>
      <c r="D1261">
        <v>243</v>
      </c>
      <c r="E1261" t="s">
        <v>1403</v>
      </c>
      <c r="F1261">
        <v>242</v>
      </c>
      <c r="G1261" s="1">
        <v>45168</v>
      </c>
      <c r="H1261" s="6">
        <f t="shared" si="38"/>
        <v>13.791666666666432</v>
      </c>
      <c r="I1261" s="7">
        <f t="shared" si="39"/>
        <v>13.791666666666432</v>
      </c>
    </row>
    <row r="1262" spans="1:9" x14ac:dyDescent="0.2">
      <c r="A1262" t="s">
        <v>1404</v>
      </c>
      <c r="B1262">
        <v>3.7534999999999998</v>
      </c>
      <c r="C1262">
        <v>5.2569999999999999E-2</v>
      </c>
      <c r="D1262">
        <v>243</v>
      </c>
      <c r="E1262" t="s">
        <v>1404</v>
      </c>
      <c r="F1262">
        <v>242</v>
      </c>
      <c r="G1262" s="1">
        <v>45168</v>
      </c>
      <c r="H1262" s="6">
        <f t="shared" si="38"/>
        <v>13.802083333333098</v>
      </c>
      <c r="I1262" s="7">
        <f t="shared" si="39"/>
        <v>13.802083333333098</v>
      </c>
    </row>
    <row r="1263" spans="1:9" x14ac:dyDescent="0.2">
      <c r="A1263" t="s">
        <v>1405</v>
      </c>
      <c r="B1263">
        <v>3.7989999999999999</v>
      </c>
      <c r="C1263">
        <v>5.3205000000000002E-2</v>
      </c>
      <c r="D1263">
        <v>243</v>
      </c>
      <c r="E1263" t="s">
        <v>1405</v>
      </c>
      <c r="F1263">
        <v>242</v>
      </c>
      <c r="G1263" s="1">
        <v>45168</v>
      </c>
      <c r="H1263" s="6">
        <f t="shared" si="38"/>
        <v>13.812499999999764</v>
      </c>
      <c r="I1263" s="7">
        <f t="shared" si="39"/>
        <v>13.812499999999764</v>
      </c>
    </row>
    <row r="1264" spans="1:9" x14ac:dyDescent="0.2">
      <c r="A1264" t="s">
        <v>1406</v>
      </c>
      <c r="B1264">
        <v>3.806</v>
      </c>
      <c r="C1264">
        <v>5.3310000000000003E-2</v>
      </c>
      <c r="D1264">
        <v>243</v>
      </c>
      <c r="E1264" t="s">
        <v>1406</v>
      </c>
      <c r="F1264">
        <v>242</v>
      </c>
      <c r="G1264" s="1">
        <v>45168</v>
      </c>
      <c r="H1264" s="6">
        <f t="shared" si="38"/>
        <v>13.82291666666643</v>
      </c>
      <c r="I1264" s="7">
        <f t="shared" si="39"/>
        <v>13.82291666666643</v>
      </c>
    </row>
    <row r="1265" spans="1:9" x14ac:dyDescent="0.2">
      <c r="A1265" t="s">
        <v>1407</v>
      </c>
      <c r="B1265">
        <v>3.8195000000000001</v>
      </c>
      <c r="C1265">
        <v>5.3499999999999999E-2</v>
      </c>
      <c r="D1265">
        <v>243</v>
      </c>
      <c r="E1265" t="s">
        <v>1407</v>
      </c>
      <c r="F1265">
        <v>242</v>
      </c>
      <c r="G1265" s="1">
        <v>45168</v>
      </c>
      <c r="H1265" s="6">
        <f t="shared" si="38"/>
        <v>13.833333333333096</v>
      </c>
      <c r="I1265" s="7">
        <f t="shared" si="39"/>
        <v>13.833333333333096</v>
      </c>
    </row>
    <row r="1266" spans="1:9" x14ac:dyDescent="0.2">
      <c r="A1266" t="s">
        <v>1408</v>
      </c>
      <c r="B1266">
        <v>3.8410000000000002</v>
      </c>
      <c r="C1266">
        <v>5.3800000000000001E-2</v>
      </c>
      <c r="D1266">
        <v>243</v>
      </c>
      <c r="E1266" t="s">
        <v>1408</v>
      </c>
      <c r="F1266">
        <v>242</v>
      </c>
      <c r="G1266" s="1">
        <v>45168</v>
      </c>
      <c r="H1266" s="6">
        <f t="shared" si="38"/>
        <v>13.843749999999762</v>
      </c>
      <c r="I1266" s="7">
        <f t="shared" si="39"/>
        <v>13.843749999999762</v>
      </c>
    </row>
    <row r="1267" spans="1:9" x14ac:dyDescent="0.2">
      <c r="A1267" t="s">
        <v>1409</v>
      </c>
      <c r="B1267">
        <v>3.9005000000000001</v>
      </c>
      <c r="C1267">
        <v>5.4629999999999998E-2</v>
      </c>
      <c r="D1267">
        <v>243</v>
      </c>
      <c r="E1267" t="s">
        <v>1409</v>
      </c>
      <c r="F1267">
        <v>242</v>
      </c>
      <c r="G1267" s="1">
        <v>45168</v>
      </c>
      <c r="H1267" s="6">
        <f t="shared" si="38"/>
        <v>13.854166666666428</v>
      </c>
      <c r="I1267" s="7">
        <f t="shared" si="39"/>
        <v>13.854166666666428</v>
      </c>
    </row>
    <row r="1268" spans="1:9" x14ac:dyDescent="0.2">
      <c r="A1268" t="s">
        <v>1410</v>
      </c>
      <c r="B1268">
        <v>3.9390000000000001</v>
      </c>
      <c r="C1268">
        <v>5.5169999999999997E-2</v>
      </c>
      <c r="D1268">
        <v>243</v>
      </c>
      <c r="E1268" t="s">
        <v>1410</v>
      </c>
      <c r="F1268">
        <v>242</v>
      </c>
      <c r="G1268" s="1">
        <v>45168</v>
      </c>
      <c r="H1268" s="6">
        <f t="shared" si="38"/>
        <v>13.864583333333094</v>
      </c>
      <c r="I1268" s="7">
        <f t="shared" si="39"/>
        <v>13.864583333333094</v>
      </c>
    </row>
    <row r="1269" spans="1:9" x14ac:dyDescent="0.2">
      <c r="A1269" t="s">
        <v>1411</v>
      </c>
      <c r="B1269">
        <v>4.0190000000000001</v>
      </c>
      <c r="C1269">
        <v>5.6274999999999999E-2</v>
      </c>
      <c r="D1269">
        <v>243</v>
      </c>
      <c r="E1269" t="s">
        <v>1411</v>
      </c>
      <c r="F1269">
        <v>242</v>
      </c>
      <c r="G1269" s="1">
        <v>45168</v>
      </c>
      <c r="H1269" s="6">
        <f t="shared" si="38"/>
        <v>13.87499999999976</v>
      </c>
      <c r="I1269" s="7">
        <f t="shared" si="39"/>
        <v>13.87499999999976</v>
      </c>
    </row>
    <row r="1270" spans="1:9" x14ac:dyDescent="0.2">
      <c r="A1270" t="s">
        <v>1412</v>
      </c>
      <c r="B1270">
        <v>4.0679999999999996</v>
      </c>
      <c r="C1270">
        <v>5.6980000000000003E-2</v>
      </c>
      <c r="D1270">
        <v>243</v>
      </c>
      <c r="E1270" t="s">
        <v>1412</v>
      </c>
      <c r="F1270">
        <v>242</v>
      </c>
      <c r="G1270" s="1">
        <v>45168</v>
      </c>
      <c r="H1270" s="6">
        <f t="shared" si="38"/>
        <v>13.885416666666426</v>
      </c>
      <c r="I1270" s="7">
        <f t="shared" si="39"/>
        <v>13.885416666666426</v>
      </c>
    </row>
    <row r="1271" spans="1:9" x14ac:dyDescent="0.2">
      <c r="A1271" t="s">
        <v>1413</v>
      </c>
      <c r="B1271">
        <v>4.133</v>
      </c>
      <c r="C1271">
        <v>5.7904999999999998E-2</v>
      </c>
      <c r="D1271">
        <v>243</v>
      </c>
      <c r="E1271" t="s">
        <v>1413</v>
      </c>
      <c r="F1271">
        <v>242</v>
      </c>
      <c r="G1271" s="1">
        <v>45168</v>
      </c>
      <c r="H1271" s="6">
        <f t="shared" si="38"/>
        <v>13.895833333333092</v>
      </c>
      <c r="I1271" s="7">
        <f t="shared" si="39"/>
        <v>13.895833333333092</v>
      </c>
    </row>
    <row r="1272" spans="1:9" x14ac:dyDescent="0.2">
      <c r="A1272" t="s">
        <v>1414</v>
      </c>
      <c r="B1272">
        <v>4.2015000000000002</v>
      </c>
      <c r="C1272">
        <v>5.885E-2</v>
      </c>
      <c r="D1272">
        <v>243</v>
      </c>
      <c r="E1272" t="s">
        <v>1414</v>
      </c>
      <c r="F1272">
        <v>242</v>
      </c>
      <c r="G1272" s="1">
        <v>45168</v>
      </c>
      <c r="H1272" s="6">
        <f t="shared" si="38"/>
        <v>13.906249999999758</v>
      </c>
      <c r="I1272" s="7">
        <f t="shared" si="39"/>
        <v>13.906249999999758</v>
      </c>
    </row>
    <row r="1273" spans="1:9" x14ac:dyDescent="0.2">
      <c r="A1273" t="s">
        <v>1415</v>
      </c>
      <c r="B1273">
        <v>4.266</v>
      </c>
      <c r="C1273">
        <v>5.9764999999999999E-2</v>
      </c>
      <c r="D1273">
        <v>243</v>
      </c>
      <c r="E1273" t="s">
        <v>1415</v>
      </c>
      <c r="F1273">
        <v>242</v>
      </c>
      <c r="G1273" s="1">
        <v>45168</v>
      </c>
      <c r="H1273" s="6">
        <f t="shared" si="38"/>
        <v>13.916666666666424</v>
      </c>
      <c r="I1273" s="7">
        <f t="shared" si="39"/>
        <v>13.916666666666424</v>
      </c>
    </row>
    <row r="1274" spans="1:9" x14ac:dyDescent="0.2">
      <c r="A1274" t="s">
        <v>1416</v>
      </c>
      <c r="B1274">
        <v>4.3239999999999998</v>
      </c>
      <c r="C1274">
        <v>6.0565000000000001E-2</v>
      </c>
      <c r="D1274">
        <v>243</v>
      </c>
      <c r="E1274" t="s">
        <v>1416</v>
      </c>
      <c r="F1274">
        <v>242</v>
      </c>
      <c r="G1274" s="1">
        <v>45168</v>
      </c>
      <c r="H1274" s="6">
        <f t="shared" si="38"/>
        <v>13.927083333333091</v>
      </c>
      <c r="I1274" s="7">
        <f t="shared" si="39"/>
        <v>13.927083333333091</v>
      </c>
    </row>
    <row r="1275" spans="1:9" x14ac:dyDescent="0.2">
      <c r="A1275" t="s">
        <v>1417</v>
      </c>
      <c r="B1275">
        <v>4.4115000000000002</v>
      </c>
      <c r="C1275">
        <v>6.1769999999999999E-2</v>
      </c>
      <c r="D1275">
        <v>243</v>
      </c>
      <c r="E1275" t="s">
        <v>1417</v>
      </c>
      <c r="F1275">
        <v>242</v>
      </c>
      <c r="G1275" s="1">
        <v>45168</v>
      </c>
      <c r="H1275" s="6">
        <f t="shared" si="38"/>
        <v>13.937499999999757</v>
      </c>
      <c r="I1275" s="7">
        <f t="shared" si="39"/>
        <v>13.937499999999757</v>
      </c>
    </row>
    <row r="1276" spans="1:9" x14ac:dyDescent="0.2">
      <c r="A1276" t="s">
        <v>1418</v>
      </c>
      <c r="B1276">
        <v>4.423</v>
      </c>
      <c r="C1276">
        <v>6.1929999999999999E-2</v>
      </c>
      <c r="D1276">
        <v>243</v>
      </c>
      <c r="E1276" t="s">
        <v>1418</v>
      </c>
      <c r="F1276">
        <v>242</v>
      </c>
      <c r="G1276" s="1">
        <v>45168</v>
      </c>
      <c r="H1276" s="6">
        <f t="shared" si="38"/>
        <v>13.947916666666423</v>
      </c>
      <c r="I1276" s="7">
        <f t="shared" si="39"/>
        <v>13.947916666666423</v>
      </c>
    </row>
    <row r="1277" spans="1:9" x14ac:dyDescent="0.2">
      <c r="A1277" t="s">
        <v>1419</v>
      </c>
      <c r="B1277">
        <v>4.4779999999999998</v>
      </c>
      <c r="C1277">
        <v>6.2710000000000002E-2</v>
      </c>
      <c r="D1277">
        <v>243</v>
      </c>
      <c r="E1277" t="s">
        <v>1419</v>
      </c>
      <c r="F1277">
        <v>242</v>
      </c>
      <c r="G1277" s="1">
        <v>45168</v>
      </c>
      <c r="H1277" s="6">
        <f t="shared" si="38"/>
        <v>13.958333333333089</v>
      </c>
      <c r="I1277" s="7">
        <f t="shared" si="39"/>
        <v>13.958333333333089</v>
      </c>
    </row>
    <row r="1278" spans="1:9" x14ac:dyDescent="0.2">
      <c r="A1278" t="s">
        <v>1420</v>
      </c>
      <c r="B1278" s="2" t="s">
        <v>1421</v>
      </c>
      <c r="C1278">
        <v>6.3199999999999895E-2</v>
      </c>
      <c r="D1278">
        <v>243</v>
      </c>
      <c r="E1278" t="s">
        <v>1420</v>
      </c>
      <c r="F1278">
        <v>242</v>
      </c>
      <c r="G1278" s="1">
        <v>45168</v>
      </c>
      <c r="H1278" s="6">
        <f t="shared" si="38"/>
        <v>13.968749999999755</v>
      </c>
      <c r="I1278" s="7">
        <f t="shared" si="39"/>
        <v>13.968749999999755</v>
      </c>
    </row>
    <row r="1279" spans="1:9" x14ac:dyDescent="0.2">
      <c r="A1279" t="s">
        <v>1422</v>
      </c>
      <c r="B1279">
        <v>4.5129999999999999</v>
      </c>
      <c r="C1279">
        <v>6.3200000000000006E-2</v>
      </c>
      <c r="D1279">
        <v>243</v>
      </c>
      <c r="E1279" t="s">
        <v>1422</v>
      </c>
      <c r="F1279">
        <v>242</v>
      </c>
      <c r="G1279" s="1">
        <v>45168</v>
      </c>
      <c r="H1279" s="6">
        <f t="shared" si="38"/>
        <v>13.979166666666421</v>
      </c>
      <c r="I1279" s="7">
        <f t="shared" si="39"/>
        <v>13.979166666666421</v>
      </c>
    </row>
    <row r="1280" spans="1:9" x14ac:dyDescent="0.2">
      <c r="A1280" t="s">
        <v>1423</v>
      </c>
      <c r="B1280">
        <v>4.5274999999999999</v>
      </c>
      <c r="C1280">
        <v>6.3409999999999994E-2</v>
      </c>
      <c r="D1280">
        <v>243</v>
      </c>
      <c r="E1280" t="s">
        <v>1423</v>
      </c>
      <c r="F1280">
        <v>242</v>
      </c>
      <c r="G1280" s="1">
        <v>45168</v>
      </c>
      <c r="H1280" s="6">
        <f t="shared" si="38"/>
        <v>13.989583333333087</v>
      </c>
      <c r="I1280" s="7">
        <f t="shared" si="39"/>
        <v>13.989583333333087</v>
      </c>
    </row>
    <row r="1281" spans="1:9" x14ac:dyDescent="0.2">
      <c r="A1281" t="s">
        <v>1424</v>
      </c>
      <c r="B1281">
        <v>4.5350000000000001</v>
      </c>
      <c r="C1281">
        <v>6.3534999999999994E-2</v>
      </c>
      <c r="D1281">
        <v>243</v>
      </c>
      <c r="E1281" t="s">
        <v>1424</v>
      </c>
      <c r="F1281">
        <v>243</v>
      </c>
      <c r="G1281" s="1">
        <v>45169</v>
      </c>
      <c r="H1281" s="6">
        <f t="shared" si="38"/>
        <v>13.999999999999753</v>
      </c>
      <c r="I1281" s="7">
        <f t="shared" si="39"/>
        <v>13.999999999999753</v>
      </c>
    </row>
    <row r="1282" spans="1:9" x14ac:dyDescent="0.2">
      <c r="A1282" t="s">
        <v>1425</v>
      </c>
      <c r="B1282">
        <v>4.5465</v>
      </c>
      <c r="C1282">
        <v>6.3664999999999999E-2</v>
      </c>
      <c r="D1282">
        <v>243</v>
      </c>
      <c r="E1282" t="s">
        <v>1425</v>
      </c>
      <c r="F1282">
        <v>243</v>
      </c>
      <c r="G1282" s="1">
        <v>45169</v>
      </c>
      <c r="H1282" s="6">
        <f t="shared" si="38"/>
        <v>14.010416666666419</v>
      </c>
      <c r="I1282" s="7">
        <f t="shared" si="39"/>
        <v>14.010416666666419</v>
      </c>
    </row>
    <row r="1283" spans="1:9" x14ac:dyDescent="0.2">
      <c r="A1283" t="s">
        <v>1426</v>
      </c>
      <c r="B1283">
        <v>4.5644999999999998</v>
      </c>
      <c r="C1283">
        <v>6.3945000000000002E-2</v>
      </c>
      <c r="D1283">
        <v>243</v>
      </c>
      <c r="E1283" t="s">
        <v>1426</v>
      </c>
      <c r="F1283">
        <v>243</v>
      </c>
      <c r="G1283" s="1">
        <v>45169</v>
      </c>
      <c r="H1283" s="6">
        <f t="shared" ref="H1283:H1346" si="40">H1282+$K$1</f>
        <v>14.020833333333085</v>
      </c>
      <c r="I1283" s="7">
        <f t="shared" ref="I1283:I1346" si="41">I1282+$K$1</f>
        <v>14.020833333333085</v>
      </c>
    </row>
    <row r="1284" spans="1:9" x14ac:dyDescent="0.2">
      <c r="A1284" t="s">
        <v>1427</v>
      </c>
      <c r="B1284">
        <v>4.5605000000000002</v>
      </c>
      <c r="C1284">
        <v>6.3875000000000001E-2</v>
      </c>
      <c r="D1284">
        <v>243</v>
      </c>
      <c r="E1284" t="s">
        <v>1427</v>
      </c>
      <c r="F1284">
        <v>243</v>
      </c>
      <c r="G1284" s="1">
        <v>45169</v>
      </c>
      <c r="H1284" s="6">
        <f t="shared" si="40"/>
        <v>14.031249999999751</v>
      </c>
      <c r="I1284" s="7">
        <f t="shared" si="41"/>
        <v>14.031249999999751</v>
      </c>
    </row>
    <row r="1285" spans="1:9" x14ac:dyDescent="0.2">
      <c r="A1285" t="s">
        <v>1428</v>
      </c>
      <c r="B1285">
        <v>4.5590000000000002</v>
      </c>
      <c r="C1285">
        <v>6.3850000000000004E-2</v>
      </c>
      <c r="D1285">
        <v>243</v>
      </c>
      <c r="E1285" t="s">
        <v>1428</v>
      </c>
      <c r="F1285">
        <v>243</v>
      </c>
      <c r="G1285" s="1">
        <v>45169</v>
      </c>
      <c r="H1285" s="6">
        <f t="shared" si="40"/>
        <v>14.041666666666417</v>
      </c>
      <c r="I1285" s="7">
        <f t="shared" si="41"/>
        <v>14.041666666666417</v>
      </c>
    </row>
    <row r="1286" spans="1:9" x14ac:dyDescent="0.2">
      <c r="A1286" t="s">
        <v>1429</v>
      </c>
      <c r="B1286">
        <v>4.5555000000000003</v>
      </c>
      <c r="C1286">
        <v>6.3820000000000002E-2</v>
      </c>
      <c r="D1286">
        <v>243</v>
      </c>
      <c r="E1286" t="s">
        <v>1429</v>
      </c>
      <c r="F1286">
        <v>243</v>
      </c>
      <c r="G1286" s="1">
        <v>45169</v>
      </c>
      <c r="H1286" s="6">
        <f t="shared" si="40"/>
        <v>14.052083333333083</v>
      </c>
      <c r="I1286" s="7">
        <f t="shared" si="41"/>
        <v>14.052083333333083</v>
      </c>
    </row>
    <row r="1287" spans="1:9" x14ac:dyDescent="0.2">
      <c r="A1287" t="s">
        <v>1430</v>
      </c>
      <c r="B1287">
        <v>4.585</v>
      </c>
      <c r="C1287">
        <v>6.4219999999999999E-2</v>
      </c>
      <c r="D1287">
        <v>243</v>
      </c>
      <c r="E1287" t="s">
        <v>1430</v>
      </c>
      <c r="F1287">
        <v>243</v>
      </c>
      <c r="G1287" s="1">
        <v>45169</v>
      </c>
      <c r="H1287" s="6">
        <f t="shared" si="40"/>
        <v>14.06249999999975</v>
      </c>
      <c r="I1287" s="7">
        <f t="shared" si="41"/>
        <v>14.06249999999975</v>
      </c>
    </row>
    <row r="1288" spans="1:9" x14ac:dyDescent="0.2">
      <c r="A1288" t="s">
        <v>1431</v>
      </c>
      <c r="B1288">
        <v>4.5514999999999999</v>
      </c>
      <c r="C1288">
        <v>6.3744999999999996E-2</v>
      </c>
      <c r="D1288">
        <v>243</v>
      </c>
      <c r="E1288" t="s">
        <v>1431</v>
      </c>
      <c r="F1288">
        <v>243</v>
      </c>
      <c r="G1288" s="1">
        <v>45169</v>
      </c>
      <c r="H1288" s="6">
        <f t="shared" si="40"/>
        <v>14.072916666666416</v>
      </c>
      <c r="I1288" s="7">
        <f t="shared" si="41"/>
        <v>14.072916666666416</v>
      </c>
    </row>
    <row r="1289" spans="1:9" x14ac:dyDescent="0.2">
      <c r="A1289" t="s">
        <v>1432</v>
      </c>
      <c r="B1289">
        <v>4.5750000000000002</v>
      </c>
      <c r="C1289">
        <v>6.4074999999999993E-2</v>
      </c>
      <c r="D1289">
        <v>243</v>
      </c>
      <c r="E1289" t="s">
        <v>1432</v>
      </c>
      <c r="F1289">
        <v>243</v>
      </c>
      <c r="G1289" s="1">
        <v>45169</v>
      </c>
      <c r="H1289" s="6">
        <f t="shared" si="40"/>
        <v>14.083333333333082</v>
      </c>
      <c r="I1289" s="7">
        <f t="shared" si="41"/>
        <v>14.083333333333082</v>
      </c>
    </row>
    <row r="1290" spans="1:9" x14ac:dyDescent="0.2">
      <c r="A1290" t="s">
        <v>1433</v>
      </c>
      <c r="B1290">
        <v>4.5609999999999999</v>
      </c>
      <c r="C1290">
        <v>6.3884999999999997E-2</v>
      </c>
      <c r="D1290">
        <v>243</v>
      </c>
      <c r="E1290" t="s">
        <v>1433</v>
      </c>
      <c r="F1290">
        <v>243</v>
      </c>
      <c r="G1290" s="1">
        <v>45169</v>
      </c>
      <c r="H1290" s="6">
        <f t="shared" si="40"/>
        <v>14.093749999999748</v>
      </c>
      <c r="I1290" s="7">
        <f t="shared" si="41"/>
        <v>14.093749999999748</v>
      </c>
    </row>
    <row r="1291" spans="1:9" x14ac:dyDescent="0.2">
      <c r="A1291" t="s">
        <v>1434</v>
      </c>
      <c r="B1291">
        <v>4.5555000000000003</v>
      </c>
      <c r="C1291">
        <v>6.3814999999999997E-2</v>
      </c>
      <c r="D1291">
        <v>243</v>
      </c>
      <c r="E1291" t="s">
        <v>1434</v>
      </c>
      <c r="F1291">
        <v>243</v>
      </c>
      <c r="G1291" s="1">
        <v>45169</v>
      </c>
      <c r="H1291" s="6">
        <f t="shared" si="40"/>
        <v>14.104166666666414</v>
      </c>
      <c r="I1291" s="7">
        <f t="shared" si="41"/>
        <v>14.104166666666414</v>
      </c>
    </row>
    <row r="1292" spans="1:9" x14ac:dyDescent="0.2">
      <c r="A1292" t="s">
        <v>1435</v>
      </c>
      <c r="B1292">
        <v>4.5529999999999999</v>
      </c>
      <c r="C1292">
        <v>6.3780000000000003E-2</v>
      </c>
      <c r="D1292">
        <v>243</v>
      </c>
      <c r="E1292" t="s">
        <v>1435</v>
      </c>
      <c r="F1292">
        <v>243</v>
      </c>
      <c r="G1292" s="1">
        <v>45169</v>
      </c>
      <c r="H1292" s="6">
        <f t="shared" si="40"/>
        <v>14.11458333333308</v>
      </c>
      <c r="I1292" s="7">
        <f t="shared" si="41"/>
        <v>14.11458333333308</v>
      </c>
    </row>
    <row r="1293" spans="1:9" x14ac:dyDescent="0.2">
      <c r="A1293" t="s">
        <v>1436</v>
      </c>
      <c r="B1293">
        <v>4.5774999999999997</v>
      </c>
      <c r="C1293">
        <v>6.4125000000000001E-2</v>
      </c>
      <c r="D1293">
        <v>243</v>
      </c>
      <c r="E1293" t="s">
        <v>1436</v>
      </c>
      <c r="F1293">
        <v>243</v>
      </c>
      <c r="G1293" s="1">
        <v>45169</v>
      </c>
      <c r="H1293" s="6">
        <f t="shared" si="40"/>
        <v>14.124999999999746</v>
      </c>
      <c r="I1293" s="7">
        <f t="shared" si="41"/>
        <v>14.124999999999746</v>
      </c>
    </row>
    <row r="1294" spans="1:9" x14ac:dyDescent="0.2">
      <c r="A1294" t="s">
        <v>1437</v>
      </c>
      <c r="B1294">
        <v>4.5294999999999996</v>
      </c>
      <c r="C1294">
        <v>6.3435000000000005E-2</v>
      </c>
      <c r="D1294">
        <v>243</v>
      </c>
      <c r="E1294" t="s">
        <v>1437</v>
      </c>
      <c r="F1294">
        <v>243</v>
      </c>
      <c r="G1294" s="1">
        <v>45169</v>
      </c>
      <c r="H1294" s="6">
        <f t="shared" si="40"/>
        <v>14.135416666666412</v>
      </c>
      <c r="I1294" s="7">
        <f t="shared" si="41"/>
        <v>14.135416666666412</v>
      </c>
    </row>
    <row r="1295" spans="1:9" x14ac:dyDescent="0.2">
      <c r="A1295" t="s">
        <v>1438</v>
      </c>
      <c r="B1295">
        <v>4.5415000000000001</v>
      </c>
      <c r="C1295">
        <v>6.3600000000000004E-2</v>
      </c>
      <c r="D1295">
        <v>243</v>
      </c>
      <c r="E1295" t="s">
        <v>1438</v>
      </c>
      <c r="F1295">
        <v>243</v>
      </c>
      <c r="G1295" s="1">
        <v>45169</v>
      </c>
      <c r="H1295" s="6">
        <f t="shared" si="40"/>
        <v>14.145833333333078</v>
      </c>
      <c r="I1295" s="7">
        <f t="shared" si="41"/>
        <v>14.145833333333078</v>
      </c>
    </row>
    <row r="1296" spans="1:9" x14ac:dyDescent="0.2">
      <c r="A1296" t="s">
        <v>1439</v>
      </c>
      <c r="B1296">
        <v>4.5475000000000003</v>
      </c>
      <c r="C1296">
        <v>6.3685000000000005E-2</v>
      </c>
      <c r="D1296">
        <v>243</v>
      </c>
      <c r="E1296" t="s">
        <v>1439</v>
      </c>
      <c r="F1296">
        <v>243</v>
      </c>
      <c r="G1296" s="1">
        <v>45169</v>
      </c>
      <c r="H1296" s="6">
        <f t="shared" si="40"/>
        <v>14.156249999999744</v>
      </c>
      <c r="I1296" s="7">
        <f t="shared" si="41"/>
        <v>14.156249999999744</v>
      </c>
    </row>
    <row r="1297" spans="1:9" x14ac:dyDescent="0.2">
      <c r="A1297" t="s">
        <v>1440</v>
      </c>
      <c r="B1297">
        <v>4.5674999999999999</v>
      </c>
      <c r="C1297">
        <v>6.3954999999999998E-2</v>
      </c>
      <c r="D1297">
        <v>243</v>
      </c>
      <c r="E1297" t="s">
        <v>1440</v>
      </c>
      <c r="F1297">
        <v>243</v>
      </c>
      <c r="G1297" s="1">
        <v>45169</v>
      </c>
      <c r="H1297" s="6">
        <f t="shared" si="40"/>
        <v>14.16666666666641</v>
      </c>
      <c r="I1297" s="7">
        <f t="shared" si="41"/>
        <v>14.16666666666641</v>
      </c>
    </row>
    <row r="1298" spans="1:9" x14ac:dyDescent="0.2">
      <c r="A1298" t="s">
        <v>1441</v>
      </c>
      <c r="B1298">
        <v>4.5354999999999999</v>
      </c>
      <c r="C1298">
        <v>6.3519999999999993E-2</v>
      </c>
      <c r="D1298">
        <v>243</v>
      </c>
      <c r="E1298" t="s">
        <v>1441</v>
      </c>
      <c r="F1298">
        <v>243</v>
      </c>
      <c r="G1298" s="1">
        <v>45169</v>
      </c>
      <c r="H1298" s="6">
        <f t="shared" si="40"/>
        <v>14.177083333333076</v>
      </c>
      <c r="I1298" s="7">
        <f t="shared" si="41"/>
        <v>14.177083333333076</v>
      </c>
    </row>
    <row r="1299" spans="1:9" x14ac:dyDescent="0.2">
      <c r="A1299" t="s">
        <v>1442</v>
      </c>
      <c r="B1299">
        <v>4.5244999999999997</v>
      </c>
      <c r="C1299">
        <v>6.3369999999999996E-2</v>
      </c>
      <c r="D1299">
        <v>243</v>
      </c>
      <c r="E1299" t="s">
        <v>1442</v>
      </c>
      <c r="F1299">
        <v>243</v>
      </c>
      <c r="G1299" s="1">
        <v>45169</v>
      </c>
      <c r="H1299" s="6">
        <f t="shared" si="40"/>
        <v>14.187499999999742</v>
      </c>
      <c r="I1299" s="7">
        <f t="shared" si="41"/>
        <v>14.187499999999742</v>
      </c>
    </row>
    <row r="1300" spans="1:9" x14ac:dyDescent="0.2">
      <c r="A1300" t="s">
        <v>1443</v>
      </c>
      <c r="B1300">
        <v>4.5380000000000003</v>
      </c>
      <c r="C1300">
        <v>6.3549999999999995E-2</v>
      </c>
      <c r="D1300">
        <v>243</v>
      </c>
      <c r="E1300" t="s">
        <v>1443</v>
      </c>
      <c r="F1300">
        <v>243</v>
      </c>
      <c r="G1300" s="1">
        <v>45169</v>
      </c>
      <c r="H1300" s="6">
        <f t="shared" si="40"/>
        <v>14.197916666666409</v>
      </c>
      <c r="I1300" s="7">
        <f t="shared" si="41"/>
        <v>14.197916666666409</v>
      </c>
    </row>
    <row r="1301" spans="1:9" x14ac:dyDescent="0.2">
      <c r="A1301" t="s">
        <v>1444</v>
      </c>
      <c r="B1301">
        <v>4.5179999999999998</v>
      </c>
      <c r="C1301">
        <v>6.3280000000000003E-2</v>
      </c>
      <c r="D1301">
        <v>243</v>
      </c>
      <c r="E1301" t="s">
        <v>1444</v>
      </c>
      <c r="F1301">
        <v>243</v>
      </c>
      <c r="G1301" s="1">
        <v>45169</v>
      </c>
      <c r="H1301" s="6">
        <f t="shared" si="40"/>
        <v>14.208333333333075</v>
      </c>
      <c r="I1301" s="7">
        <f t="shared" si="41"/>
        <v>14.208333333333075</v>
      </c>
    </row>
    <row r="1302" spans="1:9" x14ac:dyDescent="0.2">
      <c r="A1302" t="s">
        <v>1445</v>
      </c>
      <c r="B1302">
        <v>4.4945000000000004</v>
      </c>
      <c r="C1302">
        <v>6.2950000000000006E-2</v>
      </c>
      <c r="D1302">
        <v>243</v>
      </c>
      <c r="E1302" t="s">
        <v>1445</v>
      </c>
      <c r="F1302">
        <v>243</v>
      </c>
      <c r="G1302" s="1">
        <v>45169</v>
      </c>
      <c r="H1302" s="6">
        <f t="shared" si="40"/>
        <v>14.218749999999741</v>
      </c>
      <c r="I1302" s="7">
        <f t="shared" si="41"/>
        <v>14.218749999999741</v>
      </c>
    </row>
    <row r="1303" spans="1:9" x14ac:dyDescent="0.2">
      <c r="A1303" t="s">
        <v>1446</v>
      </c>
      <c r="B1303">
        <v>4.5105000000000004</v>
      </c>
      <c r="C1303">
        <v>6.3174999999999995E-2</v>
      </c>
      <c r="D1303">
        <v>243</v>
      </c>
      <c r="E1303" t="s">
        <v>1446</v>
      </c>
      <c r="F1303">
        <v>243</v>
      </c>
      <c r="G1303" s="1">
        <v>45169</v>
      </c>
      <c r="H1303" s="6">
        <f t="shared" si="40"/>
        <v>14.229166666666407</v>
      </c>
      <c r="I1303" s="7">
        <f t="shared" si="41"/>
        <v>14.229166666666407</v>
      </c>
    </row>
    <row r="1304" spans="1:9" x14ac:dyDescent="0.2">
      <c r="A1304" t="s">
        <v>1447</v>
      </c>
      <c r="B1304">
        <v>4.5339999999999998</v>
      </c>
      <c r="C1304">
        <v>6.3500000000000001E-2</v>
      </c>
      <c r="D1304">
        <v>243</v>
      </c>
      <c r="E1304" t="s">
        <v>1447</v>
      </c>
      <c r="F1304">
        <v>243</v>
      </c>
      <c r="G1304" s="1">
        <v>45169</v>
      </c>
      <c r="H1304" s="6">
        <f t="shared" si="40"/>
        <v>14.239583333333073</v>
      </c>
      <c r="I1304" s="7">
        <f t="shared" si="41"/>
        <v>14.239583333333073</v>
      </c>
    </row>
    <row r="1305" spans="1:9" x14ac:dyDescent="0.2">
      <c r="A1305" t="s">
        <v>1448</v>
      </c>
      <c r="B1305">
        <v>4.5229999999999997</v>
      </c>
      <c r="C1305">
        <v>6.3354999999999995E-2</v>
      </c>
      <c r="D1305">
        <v>243</v>
      </c>
      <c r="E1305" t="s">
        <v>1448</v>
      </c>
      <c r="F1305">
        <v>243</v>
      </c>
      <c r="G1305" s="1">
        <v>45169</v>
      </c>
      <c r="H1305" s="6">
        <f t="shared" si="40"/>
        <v>14.249999999999739</v>
      </c>
      <c r="I1305" s="7">
        <f t="shared" si="41"/>
        <v>14.249999999999739</v>
      </c>
    </row>
    <row r="1306" spans="1:9" x14ac:dyDescent="0.2">
      <c r="A1306" t="s">
        <v>1449</v>
      </c>
      <c r="B1306">
        <v>4.5350000000000001</v>
      </c>
      <c r="C1306">
        <v>6.3509999999999997E-2</v>
      </c>
      <c r="D1306">
        <v>243</v>
      </c>
      <c r="E1306" t="s">
        <v>1449</v>
      </c>
      <c r="F1306">
        <v>243</v>
      </c>
      <c r="G1306" s="1">
        <v>45169</v>
      </c>
      <c r="H1306" s="6">
        <f t="shared" si="40"/>
        <v>14.260416666666405</v>
      </c>
      <c r="I1306" s="7">
        <f t="shared" si="41"/>
        <v>14.260416666666405</v>
      </c>
    </row>
    <row r="1307" spans="1:9" x14ac:dyDescent="0.2">
      <c r="A1307" t="s">
        <v>1450</v>
      </c>
      <c r="B1307">
        <v>4.5175000000000001</v>
      </c>
      <c r="C1307">
        <v>6.3255000000000006E-2</v>
      </c>
      <c r="D1307">
        <v>243</v>
      </c>
      <c r="E1307" t="s">
        <v>1450</v>
      </c>
      <c r="F1307">
        <v>243</v>
      </c>
      <c r="G1307" s="1">
        <v>45169</v>
      </c>
      <c r="H1307" s="6">
        <f t="shared" si="40"/>
        <v>14.270833333333071</v>
      </c>
      <c r="I1307" s="7">
        <f t="shared" si="41"/>
        <v>14.270833333333071</v>
      </c>
    </row>
    <row r="1308" spans="1:9" x14ac:dyDescent="0.2">
      <c r="A1308" t="s">
        <v>1451</v>
      </c>
      <c r="B1308">
        <v>4.51</v>
      </c>
      <c r="C1308">
        <v>6.3159999999999994E-2</v>
      </c>
      <c r="D1308">
        <v>243</v>
      </c>
      <c r="E1308" t="s">
        <v>1451</v>
      </c>
      <c r="F1308">
        <v>243</v>
      </c>
      <c r="G1308" s="1">
        <v>45169</v>
      </c>
      <c r="H1308" s="6">
        <f t="shared" si="40"/>
        <v>14.281249999999737</v>
      </c>
      <c r="I1308" s="7">
        <f t="shared" si="41"/>
        <v>14.281249999999737</v>
      </c>
    </row>
    <row r="1309" spans="1:9" x14ac:dyDescent="0.2">
      <c r="A1309" t="s">
        <v>1452</v>
      </c>
      <c r="B1309">
        <v>4.5194999999999999</v>
      </c>
      <c r="C1309">
        <v>6.3305E-2</v>
      </c>
      <c r="D1309">
        <v>243</v>
      </c>
      <c r="E1309" t="s">
        <v>1452</v>
      </c>
      <c r="F1309">
        <v>243</v>
      </c>
      <c r="G1309" s="1">
        <v>45169</v>
      </c>
      <c r="H1309" s="6">
        <f t="shared" si="40"/>
        <v>14.291666666666403</v>
      </c>
      <c r="I1309" s="7">
        <f t="shared" si="41"/>
        <v>14.291666666666403</v>
      </c>
    </row>
    <row r="1310" spans="1:9" x14ac:dyDescent="0.2">
      <c r="A1310" t="s">
        <v>1453</v>
      </c>
      <c r="B1310">
        <v>4.4894999999999996</v>
      </c>
      <c r="C1310">
        <v>6.2890000000000001E-2</v>
      </c>
      <c r="D1310">
        <v>243</v>
      </c>
      <c r="E1310" t="s">
        <v>1453</v>
      </c>
      <c r="F1310">
        <v>243</v>
      </c>
      <c r="G1310" s="1">
        <v>45169</v>
      </c>
      <c r="H1310" s="6">
        <f t="shared" si="40"/>
        <v>14.302083333333069</v>
      </c>
      <c r="I1310" s="7">
        <f t="shared" si="41"/>
        <v>14.302083333333069</v>
      </c>
    </row>
    <row r="1311" spans="1:9" x14ac:dyDescent="0.2">
      <c r="A1311" t="s">
        <v>1454</v>
      </c>
      <c r="B1311">
        <v>4.4829999999999997</v>
      </c>
      <c r="C1311">
        <v>6.2795000000000004E-2</v>
      </c>
      <c r="D1311">
        <v>243</v>
      </c>
      <c r="E1311" t="s">
        <v>1454</v>
      </c>
      <c r="F1311">
        <v>243</v>
      </c>
      <c r="G1311" s="1">
        <v>45169</v>
      </c>
      <c r="H1311" s="6">
        <f t="shared" si="40"/>
        <v>14.312499999999735</v>
      </c>
      <c r="I1311" s="7">
        <f t="shared" si="41"/>
        <v>14.312499999999735</v>
      </c>
    </row>
    <row r="1312" spans="1:9" x14ac:dyDescent="0.2">
      <c r="A1312" t="s">
        <v>1455</v>
      </c>
      <c r="B1312">
        <v>4.4640000000000004</v>
      </c>
      <c r="C1312">
        <v>6.2524999999999997E-2</v>
      </c>
      <c r="D1312">
        <v>243</v>
      </c>
      <c r="E1312" t="s">
        <v>1455</v>
      </c>
      <c r="F1312">
        <v>243</v>
      </c>
      <c r="G1312" s="1">
        <v>45169</v>
      </c>
      <c r="H1312" s="6">
        <f t="shared" si="40"/>
        <v>14.322916666666401</v>
      </c>
      <c r="I1312" s="7">
        <f t="shared" si="41"/>
        <v>14.322916666666401</v>
      </c>
    </row>
    <row r="1313" spans="1:9" x14ac:dyDescent="0.2">
      <c r="A1313" t="s">
        <v>1456</v>
      </c>
      <c r="B1313">
        <v>4.4889999999999999</v>
      </c>
      <c r="C1313">
        <v>6.2875E-2</v>
      </c>
      <c r="D1313">
        <v>243</v>
      </c>
      <c r="E1313" t="s">
        <v>1456</v>
      </c>
      <c r="F1313">
        <v>243</v>
      </c>
      <c r="G1313" s="1">
        <v>45169</v>
      </c>
      <c r="H1313" s="6">
        <f t="shared" si="40"/>
        <v>14.333333333333067</v>
      </c>
      <c r="I1313" s="7">
        <f t="shared" si="41"/>
        <v>14.333333333333067</v>
      </c>
    </row>
    <row r="1314" spans="1:9" x14ac:dyDescent="0.2">
      <c r="A1314" t="s">
        <v>1457</v>
      </c>
      <c r="B1314">
        <v>4.4835000000000003</v>
      </c>
      <c r="C1314">
        <v>6.2810000000000005E-2</v>
      </c>
      <c r="D1314">
        <v>243</v>
      </c>
      <c r="E1314" t="s">
        <v>1457</v>
      </c>
      <c r="F1314">
        <v>243</v>
      </c>
      <c r="G1314" s="1">
        <v>45169</v>
      </c>
      <c r="H1314" s="6">
        <f t="shared" si="40"/>
        <v>14.343749999999734</v>
      </c>
      <c r="I1314" s="7">
        <f t="shared" si="41"/>
        <v>14.343749999999734</v>
      </c>
    </row>
    <row r="1315" spans="1:9" x14ac:dyDescent="0.2">
      <c r="A1315" t="s">
        <v>1458</v>
      </c>
      <c r="B1315" s="2" t="s">
        <v>1459</v>
      </c>
      <c r="C1315">
        <v>6.2335000000000002E-2</v>
      </c>
      <c r="D1315">
        <v>243</v>
      </c>
      <c r="E1315" t="s">
        <v>1458</v>
      </c>
      <c r="F1315">
        <v>243</v>
      </c>
      <c r="G1315" s="1">
        <v>45169</v>
      </c>
      <c r="H1315" s="6">
        <f t="shared" si="40"/>
        <v>14.3541666666664</v>
      </c>
      <c r="I1315" s="7">
        <f t="shared" si="41"/>
        <v>14.3541666666664</v>
      </c>
    </row>
    <row r="1316" spans="1:9" x14ac:dyDescent="0.2">
      <c r="A1316" t="s">
        <v>1460</v>
      </c>
      <c r="B1316">
        <v>4.4574999999999996</v>
      </c>
      <c r="C1316">
        <v>6.2445000000000001E-2</v>
      </c>
      <c r="D1316">
        <v>243</v>
      </c>
      <c r="E1316" t="s">
        <v>1460</v>
      </c>
      <c r="F1316">
        <v>243</v>
      </c>
      <c r="G1316" s="1">
        <v>45169</v>
      </c>
      <c r="H1316" s="6">
        <f t="shared" si="40"/>
        <v>14.364583333333066</v>
      </c>
      <c r="I1316" s="7">
        <f t="shared" si="41"/>
        <v>14.364583333333066</v>
      </c>
    </row>
    <row r="1317" spans="1:9" x14ac:dyDescent="0.2">
      <c r="A1317" t="s">
        <v>1461</v>
      </c>
      <c r="B1317">
        <v>4.4775</v>
      </c>
      <c r="C1317">
        <v>6.2729999999999994E-2</v>
      </c>
      <c r="D1317">
        <v>243</v>
      </c>
      <c r="E1317" t="s">
        <v>1461</v>
      </c>
      <c r="F1317">
        <v>243</v>
      </c>
      <c r="G1317" s="1">
        <v>45169</v>
      </c>
      <c r="H1317" s="6">
        <f t="shared" si="40"/>
        <v>14.374999999999732</v>
      </c>
      <c r="I1317" s="7">
        <f t="shared" si="41"/>
        <v>14.374999999999732</v>
      </c>
    </row>
    <row r="1318" spans="1:9" x14ac:dyDescent="0.2">
      <c r="A1318" t="s">
        <v>1462</v>
      </c>
      <c r="B1318">
        <v>4.4565000000000001</v>
      </c>
      <c r="C1318">
        <v>6.2440000000000002E-2</v>
      </c>
      <c r="D1318">
        <v>243</v>
      </c>
      <c r="E1318" t="s">
        <v>1462</v>
      </c>
      <c r="F1318">
        <v>243</v>
      </c>
      <c r="G1318" s="1">
        <v>45169</v>
      </c>
      <c r="H1318" s="6">
        <f t="shared" si="40"/>
        <v>14.385416666666398</v>
      </c>
      <c r="I1318" s="7">
        <f t="shared" si="41"/>
        <v>14.385416666666398</v>
      </c>
    </row>
    <row r="1319" spans="1:9" x14ac:dyDescent="0.2">
      <c r="A1319" t="s">
        <v>1463</v>
      </c>
      <c r="B1319">
        <v>4.4329999999999998</v>
      </c>
      <c r="C1319">
        <v>6.2105E-2</v>
      </c>
      <c r="D1319">
        <v>243</v>
      </c>
      <c r="E1319" t="s">
        <v>1463</v>
      </c>
      <c r="F1319">
        <v>243</v>
      </c>
      <c r="G1319" s="1">
        <v>45169</v>
      </c>
      <c r="H1319" s="6">
        <f t="shared" si="40"/>
        <v>14.395833333333064</v>
      </c>
      <c r="I1319" s="7">
        <f t="shared" si="41"/>
        <v>14.395833333333064</v>
      </c>
    </row>
    <row r="1320" spans="1:9" x14ac:dyDescent="0.2">
      <c r="A1320" t="s">
        <v>1464</v>
      </c>
      <c r="B1320">
        <v>4.4305000000000003</v>
      </c>
      <c r="C1320">
        <v>6.207E-2</v>
      </c>
      <c r="D1320">
        <v>243</v>
      </c>
      <c r="E1320" t="s">
        <v>1464</v>
      </c>
      <c r="F1320">
        <v>243</v>
      </c>
      <c r="G1320" s="1">
        <v>45169</v>
      </c>
      <c r="H1320" s="6">
        <f t="shared" si="40"/>
        <v>14.40624999999973</v>
      </c>
      <c r="I1320" s="7">
        <f t="shared" si="41"/>
        <v>14.40624999999973</v>
      </c>
    </row>
    <row r="1321" spans="1:9" x14ac:dyDescent="0.2">
      <c r="A1321" t="s">
        <v>1465</v>
      </c>
      <c r="B1321">
        <v>4.3875000000000002</v>
      </c>
      <c r="C1321">
        <v>6.1464999999999999E-2</v>
      </c>
      <c r="D1321">
        <v>243</v>
      </c>
      <c r="E1321" t="s">
        <v>1465</v>
      </c>
      <c r="F1321">
        <v>243</v>
      </c>
      <c r="G1321" s="1">
        <v>45169</v>
      </c>
      <c r="H1321" s="6">
        <f t="shared" si="40"/>
        <v>14.416666666666396</v>
      </c>
      <c r="I1321" s="7">
        <f t="shared" si="41"/>
        <v>14.416666666666396</v>
      </c>
    </row>
    <row r="1322" spans="1:9" x14ac:dyDescent="0.2">
      <c r="A1322" t="s">
        <v>1466</v>
      </c>
      <c r="B1322">
        <v>4.34</v>
      </c>
      <c r="C1322">
        <v>6.0795000000000002E-2</v>
      </c>
      <c r="D1322">
        <v>243</v>
      </c>
      <c r="E1322" t="s">
        <v>1466</v>
      </c>
      <c r="F1322">
        <v>243</v>
      </c>
      <c r="G1322" s="1">
        <v>45169</v>
      </c>
      <c r="H1322" s="6">
        <f t="shared" si="40"/>
        <v>14.427083333333062</v>
      </c>
      <c r="I1322" s="7">
        <f t="shared" si="41"/>
        <v>14.427083333333062</v>
      </c>
    </row>
    <row r="1323" spans="1:9" x14ac:dyDescent="0.2">
      <c r="A1323" t="s">
        <v>1467</v>
      </c>
      <c r="B1323">
        <v>4.3289999999999997</v>
      </c>
      <c r="C1323">
        <v>6.0639999999999999E-2</v>
      </c>
      <c r="D1323">
        <v>243</v>
      </c>
      <c r="E1323" t="s">
        <v>1467</v>
      </c>
      <c r="F1323">
        <v>243</v>
      </c>
      <c r="G1323" s="1">
        <v>45169</v>
      </c>
      <c r="H1323" s="6">
        <f t="shared" si="40"/>
        <v>14.437499999999728</v>
      </c>
      <c r="I1323" s="7">
        <f t="shared" si="41"/>
        <v>14.437499999999728</v>
      </c>
    </row>
    <row r="1324" spans="1:9" x14ac:dyDescent="0.2">
      <c r="A1324" t="s">
        <v>1468</v>
      </c>
      <c r="B1324">
        <v>4.2885</v>
      </c>
      <c r="C1324">
        <v>6.0075000000000003E-2</v>
      </c>
      <c r="D1324">
        <v>243</v>
      </c>
      <c r="E1324" t="s">
        <v>1468</v>
      </c>
      <c r="F1324">
        <v>243</v>
      </c>
      <c r="G1324" s="1">
        <v>45169</v>
      </c>
      <c r="H1324" s="6">
        <f t="shared" si="40"/>
        <v>14.447916666666394</v>
      </c>
      <c r="I1324" s="7">
        <f t="shared" si="41"/>
        <v>14.447916666666394</v>
      </c>
    </row>
    <row r="1325" spans="1:9" x14ac:dyDescent="0.2">
      <c r="A1325" t="s">
        <v>1469</v>
      </c>
      <c r="B1325">
        <v>4.2590000000000003</v>
      </c>
      <c r="C1325">
        <v>5.9670000000000001E-2</v>
      </c>
      <c r="D1325">
        <v>243</v>
      </c>
      <c r="E1325" t="s">
        <v>1469</v>
      </c>
      <c r="F1325">
        <v>243</v>
      </c>
      <c r="G1325" s="1">
        <v>45169</v>
      </c>
      <c r="H1325" s="6">
        <f t="shared" si="40"/>
        <v>14.45833333333306</v>
      </c>
      <c r="I1325" s="7">
        <f t="shared" si="41"/>
        <v>14.45833333333306</v>
      </c>
    </row>
    <row r="1326" spans="1:9" x14ac:dyDescent="0.2">
      <c r="A1326" t="s">
        <v>1470</v>
      </c>
      <c r="B1326">
        <v>4.2314999999999996</v>
      </c>
      <c r="C1326">
        <v>5.9244999999999999E-2</v>
      </c>
      <c r="D1326">
        <v>243</v>
      </c>
      <c r="E1326" t="s">
        <v>1470</v>
      </c>
      <c r="F1326">
        <v>243</v>
      </c>
      <c r="G1326" s="1">
        <v>45169</v>
      </c>
      <c r="H1326" s="6">
        <f t="shared" si="40"/>
        <v>14.468749999999726</v>
      </c>
      <c r="I1326" s="7">
        <f t="shared" si="41"/>
        <v>14.468749999999726</v>
      </c>
    </row>
    <row r="1327" spans="1:9" x14ac:dyDescent="0.2">
      <c r="A1327" t="s">
        <v>1471</v>
      </c>
      <c r="B1327">
        <v>4.1769999999999996</v>
      </c>
      <c r="C1327">
        <v>5.849E-2</v>
      </c>
      <c r="D1327">
        <v>243</v>
      </c>
      <c r="E1327" t="s">
        <v>1471</v>
      </c>
      <c r="F1327">
        <v>243</v>
      </c>
      <c r="G1327" s="1">
        <v>45169</v>
      </c>
      <c r="H1327" s="6">
        <f t="shared" si="40"/>
        <v>14.479166666666393</v>
      </c>
      <c r="I1327" s="7">
        <f t="shared" si="41"/>
        <v>14.479166666666393</v>
      </c>
    </row>
    <row r="1328" spans="1:9" x14ac:dyDescent="0.2">
      <c r="A1328" t="s">
        <v>1472</v>
      </c>
      <c r="B1328">
        <v>4.1639999999999997</v>
      </c>
      <c r="C1328">
        <v>5.8319999999999997E-2</v>
      </c>
      <c r="D1328">
        <v>243</v>
      </c>
      <c r="E1328" t="s">
        <v>1472</v>
      </c>
      <c r="F1328">
        <v>243</v>
      </c>
      <c r="G1328" s="1">
        <v>45169</v>
      </c>
      <c r="H1328" s="6">
        <f t="shared" si="40"/>
        <v>14.489583333333059</v>
      </c>
      <c r="I1328" s="7">
        <f t="shared" si="41"/>
        <v>14.489583333333059</v>
      </c>
    </row>
    <row r="1329" spans="1:9" x14ac:dyDescent="0.2">
      <c r="A1329" t="s">
        <v>1473</v>
      </c>
      <c r="B1329">
        <v>4.1319999999999997</v>
      </c>
      <c r="C1329">
        <v>5.7889999999999997E-2</v>
      </c>
      <c r="D1329">
        <v>243</v>
      </c>
      <c r="E1329" t="s">
        <v>1473</v>
      </c>
      <c r="F1329">
        <v>243</v>
      </c>
      <c r="G1329" s="1">
        <v>45169</v>
      </c>
      <c r="H1329" s="6">
        <f t="shared" si="40"/>
        <v>14.499999999999725</v>
      </c>
      <c r="I1329" s="7">
        <f t="shared" si="41"/>
        <v>14.499999999999725</v>
      </c>
    </row>
    <row r="1330" spans="1:9" x14ac:dyDescent="0.2">
      <c r="A1330" t="s">
        <v>1474</v>
      </c>
      <c r="B1330">
        <v>4.0709999999999997</v>
      </c>
      <c r="C1330">
        <v>5.7035000000000002E-2</v>
      </c>
      <c r="D1330">
        <v>243</v>
      </c>
      <c r="E1330" t="s">
        <v>1474</v>
      </c>
      <c r="F1330">
        <v>243</v>
      </c>
      <c r="G1330" s="1">
        <v>45169</v>
      </c>
      <c r="H1330" s="6">
        <f t="shared" si="40"/>
        <v>14.510416666666391</v>
      </c>
      <c r="I1330" s="7">
        <f t="shared" si="41"/>
        <v>14.510416666666391</v>
      </c>
    </row>
    <row r="1331" spans="1:9" x14ac:dyDescent="0.2">
      <c r="A1331" t="s">
        <v>1475</v>
      </c>
      <c r="B1331">
        <v>4.0454999999999997</v>
      </c>
      <c r="C1331">
        <v>5.6645000000000001E-2</v>
      </c>
      <c r="D1331">
        <v>243</v>
      </c>
      <c r="E1331" t="s">
        <v>1475</v>
      </c>
      <c r="F1331">
        <v>243</v>
      </c>
      <c r="G1331" s="1">
        <v>45169</v>
      </c>
      <c r="H1331" s="6">
        <f t="shared" si="40"/>
        <v>14.520833333333057</v>
      </c>
      <c r="I1331" s="7">
        <f t="shared" si="41"/>
        <v>14.520833333333057</v>
      </c>
    </row>
    <row r="1332" spans="1:9" x14ac:dyDescent="0.2">
      <c r="A1332" t="s">
        <v>1476</v>
      </c>
      <c r="B1332">
        <v>4.0134999999999996</v>
      </c>
      <c r="C1332">
        <v>5.6215000000000001E-2</v>
      </c>
      <c r="D1332">
        <v>243</v>
      </c>
      <c r="E1332" t="s">
        <v>1476</v>
      </c>
      <c r="F1332">
        <v>243</v>
      </c>
      <c r="G1332" s="1">
        <v>45169</v>
      </c>
      <c r="H1332" s="6">
        <f t="shared" si="40"/>
        <v>14.531249999999723</v>
      </c>
      <c r="I1332" s="7">
        <f t="shared" si="41"/>
        <v>14.531249999999723</v>
      </c>
    </row>
    <row r="1333" spans="1:9" x14ac:dyDescent="0.2">
      <c r="A1333" t="s">
        <v>1477</v>
      </c>
      <c r="B1333">
        <v>3.9735</v>
      </c>
      <c r="C1333">
        <v>5.5640000000000002E-2</v>
      </c>
      <c r="D1333">
        <v>243</v>
      </c>
      <c r="E1333" t="s">
        <v>1477</v>
      </c>
      <c r="F1333">
        <v>243</v>
      </c>
      <c r="G1333" s="1">
        <v>45169</v>
      </c>
      <c r="H1333" s="6">
        <f t="shared" si="40"/>
        <v>14.541666666666389</v>
      </c>
      <c r="I1333" s="7">
        <f t="shared" si="41"/>
        <v>14.541666666666389</v>
      </c>
    </row>
    <row r="1334" spans="1:9" x14ac:dyDescent="0.2">
      <c r="A1334" t="s">
        <v>1478</v>
      </c>
      <c r="B1334">
        <v>3.9809999999999999</v>
      </c>
      <c r="C1334">
        <v>5.5765000000000002E-2</v>
      </c>
      <c r="D1334">
        <v>243</v>
      </c>
      <c r="E1334" t="s">
        <v>1478</v>
      </c>
      <c r="F1334">
        <v>243</v>
      </c>
      <c r="G1334" s="1">
        <v>45169</v>
      </c>
      <c r="H1334" s="6">
        <f t="shared" si="40"/>
        <v>14.552083333333055</v>
      </c>
      <c r="I1334" s="7">
        <f t="shared" si="41"/>
        <v>14.552083333333055</v>
      </c>
    </row>
    <row r="1335" spans="1:9" x14ac:dyDescent="0.2">
      <c r="A1335" t="s">
        <v>1479</v>
      </c>
      <c r="B1335">
        <v>3.9565000000000001</v>
      </c>
      <c r="C1335">
        <v>5.5419999999999997E-2</v>
      </c>
      <c r="D1335">
        <v>243</v>
      </c>
      <c r="E1335" t="s">
        <v>1479</v>
      </c>
      <c r="F1335">
        <v>243</v>
      </c>
      <c r="G1335" s="1">
        <v>45169</v>
      </c>
      <c r="H1335" s="6">
        <f t="shared" si="40"/>
        <v>14.562499999999721</v>
      </c>
      <c r="I1335" s="7">
        <f t="shared" si="41"/>
        <v>14.562499999999721</v>
      </c>
    </row>
    <row r="1336" spans="1:9" x14ac:dyDescent="0.2">
      <c r="A1336" t="s">
        <v>1480</v>
      </c>
      <c r="B1336" s="2" t="s">
        <v>1481</v>
      </c>
      <c r="C1336">
        <v>5.5254999999999999E-2</v>
      </c>
      <c r="D1336">
        <v>243</v>
      </c>
      <c r="E1336" t="s">
        <v>1480</v>
      </c>
      <c r="F1336">
        <v>243</v>
      </c>
      <c r="G1336" s="1">
        <v>45169</v>
      </c>
      <c r="H1336" s="6">
        <f t="shared" si="40"/>
        <v>14.572916666666387</v>
      </c>
      <c r="I1336" s="7">
        <f t="shared" si="41"/>
        <v>14.572916666666387</v>
      </c>
    </row>
    <row r="1337" spans="1:9" x14ac:dyDescent="0.2">
      <c r="A1337" t="s">
        <v>1482</v>
      </c>
      <c r="B1337">
        <v>3.9140000000000001</v>
      </c>
      <c r="C1337">
        <v>5.4809999999999998E-2</v>
      </c>
      <c r="D1337">
        <v>243</v>
      </c>
      <c r="E1337" t="s">
        <v>1482</v>
      </c>
      <c r="F1337">
        <v>243</v>
      </c>
      <c r="G1337" s="1">
        <v>45169</v>
      </c>
      <c r="H1337" s="6">
        <f t="shared" si="40"/>
        <v>14.583333333333053</v>
      </c>
      <c r="I1337" s="7">
        <f t="shared" si="41"/>
        <v>14.583333333333053</v>
      </c>
    </row>
    <row r="1338" spans="1:9" x14ac:dyDescent="0.2">
      <c r="A1338" t="s">
        <v>1483</v>
      </c>
      <c r="B1338">
        <v>3.9205000000000001</v>
      </c>
      <c r="C1338">
        <v>5.4925000000000002E-2</v>
      </c>
      <c r="D1338">
        <v>243</v>
      </c>
      <c r="E1338" t="s">
        <v>1483</v>
      </c>
      <c r="F1338">
        <v>243</v>
      </c>
      <c r="G1338" s="1">
        <v>45169</v>
      </c>
      <c r="H1338" s="6">
        <f t="shared" si="40"/>
        <v>14.593749999999719</v>
      </c>
      <c r="I1338" s="7">
        <f t="shared" si="41"/>
        <v>14.593749999999719</v>
      </c>
    </row>
    <row r="1339" spans="1:9" x14ac:dyDescent="0.2">
      <c r="A1339" t="s">
        <v>1484</v>
      </c>
      <c r="B1339">
        <v>3.9424999999999999</v>
      </c>
      <c r="C1339">
        <v>5.5234999999999999E-2</v>
      </c>
      <c r="D1339">
        <v>243</v>
      </c>
      <c r="E1339" t="s">
        <v>1484</v>
      </c>
      <c r="F1339">
        <v>243</v>
      </c>
      <c r="G1339" s="1">
        <v>45169</v>
      </c>
      <c r="H1339" s="6">
        <f t="shared" si="40"/>
        <v>14.604166666666385</v>
      </c>
      <c r="I1339" s="7">
        <f t="shared" si="41"/>
        <v>14.604166666666385</v>
      </c>
    </row>
    <row r="1340" spans="1:9" x14ac:dyDescent="0.2">
      <c r="A1340" t="s">
        <v>1485</v>
      </c>
      <c r="B1340">
        <v>3.9329999999999998</v>
      </c>
      <c r="C1340">
        <v>5.509E-2</v>
      </c>
      <c r="D1340">
        <v>243</v>
      </c>
      <c r="E1340" t="s">
        <v>1485</v>
      </c>
      <c r="F1340">
        <v>243</v>
      </c>
      <c r="G1340" s="1">
        <v>45169</v>
      </c>
      <c r="H1340" s="6">
        <f t="shared" si="40"/>
        <v>14.614583333333051</v>
      </c>
      <c r="I1340" s="7">
        <f t="shared" si="41"/>
        <v>14.614583333333051</v>
      </c>
    </row>
    <row r="1341" spans="1:9" x14ac:dyDescent="0.2">
      <c r="A1341" t="s">
        <v>1486</v>
      </c>
      <c r="B1341">
        <v>3.9224999999999999</v>
      </c>
      <c r="C1341">
        <v>5.4934999999999998E-2</v>
      </c>
      <c r="D1341">
        <v>243</v>
      </c>
      <c r="E1341" t="s">
        <v>1486</v>
      </c>
      <c r="F1341">
        <v>243</v>
      </c>
      <c r="G1341" s="1">
        <v>45169</v>
      </c>
      <c r="H1341" s="6">
        <f t="shared" si="40"/>
        <v>14.624999999999718</v>
      </c>
      <c r="I1341" s="7">
        <f t="shared" si="41"/>
        <v>14.624999999999718</v>
      </c>
    </row>
    <row r="1342" spans="1:9" x14ac:dyDescent="0.2">
      <c r="A1342" t="s">
        <v>1487</v>
      </c>
      <c r="B1342">
        <v>3.9075000000000002</v>
      </c>
      <c r="C1342">
        <v>5.475E-2</v>
      </c>
      <c r="D1342">
        <v>243</v>
      </c>
      <c r="E1342" t="s">
        <v>1487</v>
      </c>
      <c r="F1342">
        <v>243</v>
      </c>
      <c r="G1342" s="1">
        <v>45169</v>
      </c>
      <c r="H1342" s="6">
        <f t="shared" si="40"/>
        <v>14.635416666666384</v>
      </c>
      <c r="I1342" s="7">
        <f t="shared" si="41"/>
        <v>14.635416666666384</v>
      </c>
    </row>
    <row r="1343" spans="1:9" x14ac:dyDescent="0.2">
      <c r="A1343" t="s">
        <v>1488</v>
      </c>
      <c r="B1343">
        <v>3.85</v>
      </c>
      <c r="C1343">
        <v>5.3925000000000001E-2</v>
      </c>
      <c r="D1343">
        <v>243</v>
      </c>
      <c r="E1343" t="s">
        <v>1488</v>
      </c>
      <c r="F1343">
        <v>243</v>
      </c>
      <c r="G1343" s="1">
        <v>45169</v>
      </c>
      <c r="H1343" s="6">
        <f t="shared" si="40"/>
        <v>14.64583333333305</v>
      </c>
      <c r="I1343" s="7">
        <f t="shared" si="41"/>
        <v>14.64583333333305</v>
      </c>
    </row>
    <row r="1344" spans="1:9" x14ac:dyDescent="0.2">
      <c r="A1344" t="s">
        <v>1489</v>
      </c>
      <c r="B1344">
        <v>3.85</v>
      </c>
      <c r="C1344">
        <v>5.3925000000000001E-2</v>
      </c>
      <c r="D1344">
        <v>243</v>
      </c>
      <c r="E1344" t="s">
        <v>1489</v>
      </c>
      <c r="F1344">
        <v>243</v>
      </c>
      <c r="G1344" s="1">
        <v>45169</v>
      </c>
      <c r="H1344" s="6">
        <f t="shared" si="40"/>
        <v>14.656249999999716</v>
      </c>
      <c r="I1344" s="7">
        <f t="shared" si="41"/>
        <v>14.656249999999716</v>
      </c>
    </row>
    <row r="1345" spans="1:9" x14ac:dyDescent="0.2">
      <c r="A1345" t="s">
        <v>1490</v>
      </c>
      <c r="B1345">
        <v>3.8435000000000001</v>
      </c>
      <c r="C1345">
        <v>5.382E-2</v>
      </c>
      <c r="D1345">
        <v>243</v>
      </c>
      <c r="E1345" t="s">
        <v>1490</v>
      </c>
      <c r="F1345">
        <v>243</v>
      </c>
      <c r="G1345" s="1">
        <v>45169</v>
      </c>
      <c r="H1345" s="6">
        <f t="shared" si="40"/>
        <v>14.666666666666382</v>
      </c>
      <c r="I1345" s="7">
        <f t="shared" si="41"/>
        <v>14.666666666666382</v>
      </c>
    </row>
    <row r="1346" spans="1:9" x14ac:dyDescent="0.2">
      <c r="A1346" t="s">
        <v>1491</v>
      </c>
      <c r="B1346">
        <v>3.8475000000000001</v>
      </c>
      <c r="C1346">
        <v>5.3885000000000002E-2</v>
      </c>
      <c r="D1346">
        <v>243</v>
      </c>
      <c r="E1346" t="s">
        <v>1491</v>
      </c>
      <c r="F1346">
        <v>243</v>
      </c>
      <c r="G1346" s="1">
        <v>45169</v>
      </c>
      <c r="H1346" s="6">
        <f t="shared" si="40"/>
        <v>14.677083333333048</v>
      </c>
      <c r="I1346" s="7">
        <f t="shared" si="41"/>
        <v>14.677083333333048</v>
      </c>
    </row>
    <row r="1347" spans="1:9" x14ac:dyDescent="0.2">
      <c r="A1347" t="s">
        <v>1492</v>
      </c>
      <c r="B1347">
        <v>3.8045</v>
      </c>
      <c r="C1347">
        <v>5.33E-2</v>
      </c>
      <c r="D1347">
        <v>243</v>
      </c>
      <c r="E1347" t="s">
        <v>1492</v>
      </c>
      <c r="F1347">
        <v>243</v>
      </c>
      <c r="G1347" s="1">
        <v>45169</v>
      </c>
      <c r="H1347" s="6">
        <f t="shared" ref="H1347:H1410" si="42">H1346+$K$1</f>
        <v>14.687499999999714</v>
      </c>
      <c r="I1347" s="7">
        <f t="shared" ref="I1347:I1410" si="43">I1346+$K$1</f>
        <v>14.687499999999714</v>
      </c>
    </row>
    <row r="1348" spans="1:9" x14ac:dyDescent="0.2">
      <c r="A1348" t="s">
        <v>1493</v>
      </c>
      <c r="B1348">
        <v>3.8205</v>
      </c>
      <c r="C1348">
        <v>5.3504999999999997E-2</v>
      </c>
      <c r="D1348">
        <v>243</v>
      </c>
      <c r="E1348" t="s">
        <v>1493</v>
      </c>
      <c r="F1348">
        <v>243</v>
      </c>
      <c r="G1348" s="1">
        <v>45169</v>
      </c>
      <c r="H1348" s="6">
        <f t="shared" si="42"/>
        <v>14.69791666666638</v>
      </c>
      <c r="I1348" s="7">
        <f t="shared" si="43"/>
        <v>14.69791666666638</v>
      </c>
    </row>
    <row r="1349" spans="1:9" x14ac:dyDescent="0.2">
      <c r="A1349" t="s">
        <v>1494</v>
      </c>
      <c r="B1349">
        <v>3.7645</v>
      </c>
      <c r="C1349">
        <v>5.2725000000000001E-2</v>
      </c>
      <c r="D1349">
        <v>243</v>
      </c>
      <c r="E1349" t="s">
        <v>1494</v>
      </c>
      <c r="F1349">
        <v>243</v>
      </c>
      <c r="G1349" s="1">
        <v>45169</v>
      </c>
      <c r="H1349" s="6">
        <f t="shared" si="42"/>
        <v>14.708333333333046</v>
      </c>
      <c r="I1349" s="7">
        <f t="shared" si="43"/>
        <v>14.708333333333046</v>
      </c>
    </row>
    <row r="1350" spans="1:9" x14ac:dyDescent="0.2">
      <c r="A1350" t="s">
        <v>1495</v>
      </c>
      <c r="B1350">
        <v>3.7534999999999998</v>
      </c>
      <c r="C1350">
        <v>5.2569999999999999E-2</v>
      </c>
      <c r="D1350">
        <v>243</v>
      </c>
      <c r="E1350" t="s">
        <v>1495</v>
      </c>
      <c r="F1350">
        <v>243</v>
      </c>
      <c r="G1350" s="1">
        <v>45169</v>
      </c>
      <c r="H1350" s="6">
        <f t="shared" si="42"/>
        <v>14.718749999999712</v>
      </c>
      <c r="I1350" s="7">
        <f t="shared" si="43"/>
        <v>14.718749999999712</v>
      </c>
    </row>
    <row r="1351" spans="1:9" x14ac:dyDescent="0.2">
      <c r="A1351" t="s">
        <v>1496</v>
      </c>
      <c r="B1351">
        <v>3.7555000000000001</v>
      </c>
      <c r="C1351" s="2" t="s">
        <v>1497</v>
      </c>
      <c r="D1351">
        <v>243</v>
      </c>
      <c r="E1351" t="s">
        <v>1496</v>
      </c>
      <c r="F1351">
        <v>243</v>
      </c>
      <c r="G1351" s="1">
        <v>45169</v>
      </c>
      <c r="H1351" s="6">
        <f t="shared" si="42"/>
        <v>14.729166666666378</v>
      </c>
      <c r="I1351" s="7">
        <f t="shared" si="43"/>
        <v>14.729166666666378</v>
      </c>
    </row>
    <row r="1352" spans="1:9" x14ac:dyDescent="0.2">
      <c r="A1352" t="s">
        <v>1498</v>
      </c>
      <c r="B1352">
        <v>3.7709999999999999</v>
      </c>
      <c r="C1352">
        <v>5.2815000000000001E-2</v>
      </c>
      <c r="D1352">
        <v>243</v>
      </c>
      <c r="E1352" t="s">
        <v>1498</v>
      </c>
      <c r="F1352">
        <v>243</v>
      </c>
      <c r="G1352" s="1">
        <v>45169</v>
      </c>
      <c r="H1352" s="6">
        <f t="shared" si="42"/>
        <v>14.739583333333044</v>
      </c>
      <c r="I1352" s="7">
        <f t="shared" si="43"/>
        <v>14.739583333333044</v>
      </c>
    </row>
    <row r="1353" spans="1:9" x14ac:dyDescent="0.2">
      <c r="A1353" t="s">
        <v>1499</v>
      </c>
      <c r="B1353">
        <v>3.7610000000000001</v>
      </c>
      <c r="C1353">
        <v>5.2675E-2</v>
      </c>
      <c r="D1353">
        <v>244</v>
      </c>
      <c r="E1353" t="s">
        <v>1499</v>
      </c>
      <c r="F1353">
        <v>243</v>
      </c>
      <c r="G1353" s="1">
        <v>45169</v>
      </c>
      <c r="H1353" s="6">
        <f t="shared" si="42"/>
        <v>14.74999999999971</v>
      </c>
      <c r="I1353" s="7">
        <f t="shared" si="43"/>
        <v>14.74999999999971</v>
      </c>
    </row>
    <row r="1354" spans="1:9" x14ac:dyDescent="0.2">
      <c r="A1354" t="s">
        <v>1500</v>
      </c>
      <c r="B1354">
        <v>3.7854999999999999</v>
      </c>
      <c r="C1354">
        <v>5.3015E-2</v>
      </c>
      <c r="D1354">
        <v>244</v>
      </c>
      <c r="E1354" t="s">
        <v>1500</v>
      </c>
      <c r="F1354">
        <v>243</v>
      </c>
      <c r="G1354" s="1">
        <v>45169</v>
      </c>
      <c r="H1354" s="6">
        <f t="shared" si="42"/>
        <v>14.760416666666377</v>
      </c>
      <c r="I1354" s="7">
        <f t="shared" si="43"/>
        <v>14.760416666666377</v>
      </c>
    </row>
    <row r="1355" spans="1:9" x14ac:dyDescent="0.2">
      <c r="A1355" t="s">
        <v>1501</v>
      </c>
      <c r="B1355">
        <v>3.7585000000000002</v>
      </c>
      <c r="C1355">
        <v>5.2635000000000001E-2</v>
      </c>
      <c r="D1355">
        <v>244</v>
      </c>
      <c r="E1355" t="s">
        <v>1501</v>
      </c>
      <c r="F1355">
        <v>243</v>
      </c>
      <c r="G1355" s="1">
        <v>45169</v>
      </c>
      <c r="H1355" s="6">
        <f t="shared" si="42"/>
        <v>14.770833333333043</v>
      </c>
      <c r="I1355" s="7">
        <f t="shared" si="43"/>
        <v>14.770833333333043</v>
      </c>
    </row>
    <row r="1356" spans="1:9" x14ac:dyDescent="0.2">
      <c r="A1356" t="s">
        <v>1502</v>
      </c>
      <c r="B1356">
        <v>3.7555000000000001</v>
      </c>
      <c r="C1356">
        <v>5.2595000000000003E-2</v>
      </c>
      <c r="D1356">
        <v>244</v>
      </c>
      <c r="E1356" t="s">
        <v>1502</v>
      </c>
      <c r="F1356">
        <v>243</v>
      </c>
      <c r="G1356" s="1">
        <v>45169</v>
      </c>
      <c r="H1356" s="6">
        <f t="shared" si="42"/>
        <v>14.781249999999709</v>
      </c>
      <c r="I1356" s="7">
        <f t="shared" si="43"/>
        <v>14.781249999999709</v>
      </c>
    </row>
    <row r="1357" spans="1:9" x14ac:dyDescent="0.2">
      <c r="A1357" t="s">
        <v>1503</v>
      </c>
      <c r="B1357">
        <v>3.7715000000000001</v>
      </c>
      <c r="C1357">
        <v>5.2839999999999998E-2</v>
      </c>
      <c r="D1357">
        <v>244</v>
      </c>
      <c r="E1357" t="s">
        <v>1503</v>
      </c>
      <c r="F1357">
        <v>243</v>
      </c>
      <c r="G1357" s="1">
        <v>45169</v>
      </c>
      <c r="H1357" s="6">
        <f t="shared" si="42"/>
        <v>14.791666666666375</v>
      </c>
      <c r="I1357" s="7">
        <f t="shared" si="43"/>
        <v>14.791666666666375</v>
      </c>
    </row>
    <row r="1358" spans="1:9" x14ac:dyDescent="0.2">
      <c r="A1358" t="s">
        <v>1504</v>
      </c>
      <c r="B1358">
        <v>3.7774999999999999</v>
      </c>
      <c r="C1358">
        <v>5.2894999999999998E-2</v>
      </c>
      <c r="D1358">
        <v>244</v>
      </c>
      <c r="E1358" t="s">
        <v>1504</v>
      </c>
      <c r="F1358">
        <v>243</v>
      </c>
      <c r="G1358" s="1">
        <v>45169</v>
      </c>
      <c r="H1358" s="6">
        <f t="shared" si="42"/>
        <v>14.802083333333041</v>
      </c>
      <c r="I1358" s="7">
        <f t="shared" si="43"/>
        <v>14.802083333333041</v>
      </c>
    </row>
    <row r="1359" spans="1:9" x14ac:dyDescent="0.2">
      <c r="A1359" t="s">
        <v>1505</v>
      </c>
      <c r="B1359">
        <v>3.77</v>
      </c>
      <c r="C1359">
        <v>5.28E-2</v>
      </c>
      <c r="D1359">
        <v>244</v>
      </c>
      <c r="E1359" t="s">
        <v>1505</v>
      </c>
      <c r="F1359">
        <v>243</v>
      </c>
      <c r="G1359" s="1">
        <v>45169</v>
      </c>
      <c r="H1359" s="6">
        <f t="shared" si="42"/>
        <v>14.812499999999707</v>
      </c>
      <c r="I1359" s="7">
        <f t="shared" si="43"/>
        <v>14.812499999999707</v>
      </c>
    </row>
    <row r="1360" spans="1:9" x14ac:dyDescent="0.2">
      <c r="A1360" t="s">
        <v>1506</v>
      </c>
      <c r="B1360">
        <v>3.7814999999999999</v>
      </c>
      <c r="C1360">
        <v>5.2984999999999997E-2</v>
      </c>
      <c r="D1360">
        <v>244</v>
      </c>
      <c r="E1360" t="s">
        <v>1506</v>
      </c>
      <c r="F1360">
        <v>243</v>
      </c>
      <c r="G1360" s="1">
        <v>45169</v>
      </c>
      <c r="H1360" s="6">
        <f t="shared" si="42"/>
        <v>14.822916666666373</v>
      </c>
      <c r="I1360" s="7">
        <f t="shared" si="43"/>
        <v>14.822916666666373</v>
      </c>
    </row>
    <row r="1361" spans="1:9" x14ac:dyDescent="0.2">
      <c r="A1361" t="s">
        <v>1507</v>
      </c>
      <c r="B1361">
        <v>3.7509999999999999</v>
      </c>
      <c r="C1361">
        <v>5.253E-2</v>
      </c>
      <c r="D1361">
        <v>244</v>
      </c>
      <c r="E1361" t="s">
        <v>1507</v>
      </c>
      <c r="F1361">
        <v>243</v>
      </c>
      <c r="G1361" s="1">
        <v>45169</v>
      </c>
      <c r="H1361" s="6">
        <f t="shared" si="42"/>
        <v>14.833333333333039</v>
      </c>
      <c r="I1361" s="7">
        <f t="shared" si="43"/>
        <v>14.833333333333039</v>
      </c>
    </row>
    <row r="1362" spans="1:9" x14ac:dyDescent="0.2">
      <c r="A1362" t="s">
        <v>1508</v>
      </c>
      <c r="B1362">
        <v>3.7685</v>
      </c>
      <c r="C1362">
        <v>5.2780000000000001E-2</v>
      </c>
      <c r="D1362">
        <v>244</v>
      </c>
      <c r="E1362" t="s">
        <v>1508</v>
      </c>
      <c r="F1362">
        <v>243</v>
      </c>
      <c r="G1362" s="1">
        <v>45169</v>
      </c>
      <c r="H1362" s="6">
        <f t="shared" si="42"/>
        <v>14.843749999999705</v>
      </c>
      <c r="I1362" s="7">
        <f t="shared" si="43"/>
        <v>14.843749999999705</v>
      </c>
    </row>
    <row r="1363" spans="1:9" x14ac:dyDescent="0.2">
      <c r="A1363" t="s">
        <v>1509</v>
      </c>
      <c r="B1363">
        <v>3.7995000000000001</v>
      </c>
      <c r="C1363">
        <v>5.323E-2</v>
      </c>
      <c r="D1363">
        <v>244</v>
      </c>
      <c r="E1363" t="s">
        <v>1509</v>
      </c>
      <c r="F1363">
        <v>243</v>
      </c>
      <c r="G1363" s="1">
        <v>45169</v>
      </c>
      <c r="H1363" s="6">
        <f t="shared" si="42"/>
        <v>14.854166666666371</v>
      </c>
      <c r="I1363" s="7">
        <f t="shared" si="43"/>
        <v>14.854166666666371</v>
      </c>
    </row>
    <row r="1364" spans="1:9" x14ac:dyDescent="0.2">
      <c r="A1364" t="s">
        <v>1510</v>
      </c>
      <c r="B1364" s="2" t="s">
        <v>1511</v>
      </c>
      <c r="C1364">
        <v>5.3484999999999998E-2</v>
      </c>
      <c r="D1364">
        <v>244</v>
      </c>
      <c r="E1364" t="s">
        <v>1510</v>
      </c>
      <c r="F1364">
        <v>243</v>
      </c>
      <c r="G1364" s="1">
        <v>45169</v>
      </c>
      <c r="H1364" s="6">
        <f t="shared" si="42"/>
        <v>14.864583333333037</v>
      </c>
      <c r="I1364" s="7">
        <f t="shared" si="43"/>
        <v>14.864583333333037</v>
      </c>
    </row>
    <row r="1365" spans="1:9" x14ac:dyDescent="0.2">
      <c r="A1365" t="s">
        <v>1512</v>
      </c>
      <c r="B1365">
        <v>3.8955000000000002</v>
      </c>
      <c r="C1365">
        <v>5.4574999999999999E-2</v>
      </c>
      <c r="D1365">
        <v>244</v>
      </c>
      <c r="E1365" t="s">
        <v>1512</v>
      </c>
      <c r="F1365">
        <v>243</v>
      </c>
      <c r="G1365" s="1">
        <v>45169</v>
      </c>
      <c r="H1365" s="6">
        <f t="shared" si="42"/>
        <v>14.874999999999703</v>
      </c>
      <c r="I1365" s="7">
        <f t="shared" si="43"/>
        <v>14.874999999999703</v>
      </c>
    </row>
    <row r="1366" spans="1:9" x14ac:dyDescent="0.2">
      <c r="A1366" t="s">
        <v>1513</v>
      </c>
      <c r="B1366">
        <v>3.96</v>
      </c>
      <c r="C1366">
        <v>5.5460000000000002E-2</v>
      </c>
      <c r="D1366">
        <v>244</v>
      </c>
      <c r="E1366" t="s">
        <v>1513</v>
      </c>
      <c r="F1366">
        <v>243</v>
      </c>
      <c r="G1366" s="1">
        <v>45169</v>
      </c>
      <c r="H1366" s="6">
        <f t="shared" si="42"/>
        <v>14.885416666666369</v>
      </c>
      <c r="I1366" s="7">
        <f t="shared" si="43"/>
        <v>14.885416666666369</v>
      </c>
    </row>
    <row r="1367" spans="1:9" x14ac:dyDescent="0.2">
      <c r="A1367" t="s">
        <v>1514</v>
      </c>
      <c r="B1367">
        <v>3.9704999999999999</v>
      </c>
      <c r="C1367" s="2" t="s">
        <v>1515</v>
      </c>
      <c r="D1367">
        <v>244</v>
      </c>
      <c r="E1367" t="s">
        <v>1514</v>
      </c>
      <c r="F1367">
        <v>243</v>
      </c>
      <c r="G1367" s="1">
        <v>45169</v>
      </c>
      <c r="H1367" s="6">
        <f t="shared" si="42"/>
        <v>14.895833333333035</v>
      </c>
      <c r="I1367" s="7">
        <f t="shared" si="43"/>
        <v>14.895833333333035</v>
      </c>
    </row>
    <row r="1368" spans="1:9" x14ac:dyDescent="0.2">
      <c r="A1368" t="s">
        <v>1516</v>
      </c>
      <c r="B1368">
        <v>4.0265000000000004</v>
      </c>
      <c r="C1368">
        <v>5.6390000000000003E-2</v>
      </c>
      <c r="D1368">
        <v>244</v>
      </c>
      <c r="E1368" t="s">
        <v>1516</v>
      </c>
      <c r="F1368">
        <v>243</v>
      </c>
      <c r="G1368" s="1">
        <v>45169</v>
      </c>
      <c r="H1368" s="6">
        <f t="shared" si="42"/>
        <v>14.906249999999702</v>
      </c>
      <c r="I1368" s="7">
        <f t="shared" si="43"/>
        <v>14.906249999999702</v>
      </c>
    </row>
    <row r="1369" spans="1:9" x14ac:dyDescent="0.2">
      <c r="A1369" t="s">
        <v>1517</v>
      </c>
      <c r="B1369" s="2" t="s">
        <v>1104</v>
      </c>
      <c r="C1369">
        <v>5.6930000000000001E-2</v>
      </c>
      <c r="D1369">
        <v>244</v>
      </c>
      <c r="E1369" t="s">
        <v>1517</v>
      </c>
      <c r="F1369">
        <v>243</v>
      </c>
      <c r="G1369" s="1">
        <v>45169</v>
      </c>
      <c r="H1369" s="6">
        <f t="shared" si="42"/>
        <v>14.916666666666368</v>
      </c>
      <c r="I1369" s="7">
        <f t="shared" si="43"/>
        <v>14.916666666666368</v>
      </c>
    </row>
    <row r="1370" spans="1:9" x14ac:dyDescent="0.2">
      <c r="A1370" t="s">
        <v>1518</v>
      </c>
      <c r="B1370">
        <v>4.1325000000000003</v>
      </c>
      <c r="C1370" s="2" t="s">
        <v>1519</v>
      </c>
      <c r="D1370">
        <v>244</v>
      </c>
      <c r="E1370" t="s">
        <v>1518</v>
      </c>
      <c r="F1370">
        <v>243</v>
      </c>
      <c r="G1370" s="1">
        <v>45169</v>
      </c>
      <c r="H1370" s="6">
        <f t="shared" si="42"/>
        <v>14.927083333333034</v>
      </c>
      <c r="I1370" s="7">
        <f t="shared" si="43"/>
        <v>14.927083333333034</v>
      </c>
    </row>
    <row r="1371" spans="1:9" x14ac:dyDescent="0.2">
      <c r="A1371" t="s">
        <v>1520</v>
      </c>
      <c r="B1371">
        <v>4.1955</v>
      </c>
      <c r="C1371">
        <v>5.8770000000000003E-2</v>
      </c>
      <c r="D1371">
        <v>244</v>
      </c>
      <c r="E1371" t="s">
        <v>1520</v>
      </c>
      <c r="F1371">
        <v>243</v>
      </c>
      <c r="G1371" s="1">
        <v>45169</v>
      </c>
      <c r="H1371" s="6">
        <f t="shared" si="42"/>
        <v>14.9374999999997</v>
      </c>
      <c r="I1371" s="7">
        <f t="shared" si="43"/>
        <v>14.9374999999997</v>
      </c>
    </row>
    <row r="1372" spans="1:9" x14ac:dyDescent="0.2">
      <c r="A1372" t="s">
        <v>1521</v>
      </c>
      <c r="B1372">
        <v>4.2675000000000001</v>
      </c>
      <c r="C1372">
        <v>5.978E-2</v>
      </c>
      <c r="D1372">
        <v>244</v>
      </c>
      <c r="E1372" t="s">
        <v>1521</v>
      </c>
      <c r="F1372">
        <v>243</v>
      </c>
      <c r="G1372" s="1">
        <v>45169</v>
      </c>
      <c r="H1372" s="6">
        <f t="shared" si="42"/>
        <v>14.947916666666366</v>
      </c>
      <c r="I1372" s="7">
        <f t="shared" si="43"/>
        <v>14.947916666666366</v>
      </c>
    </row>
    <row r="1373" spans="1:9" x14ac:dyDescent="0.2">
      <c r="A1373" t="s">
        <v>1522</v>
      </c>
      <c r="B1373">
        <v>4.2960000000000003</v>
      </c>
      <c r="C1373">
        <v>6.0150000000000002E-2</v>
      </c>
      <c r="D1373">
        <v>244</v>
      </c>
      <c r="E1373" t="s">
        <v>1522</v>
      </c>
      <c r="F1373">
        <v>243</v>
      </c>
      <c r="G1373" s="1">
        <v>45169</v>
      </c>
      <c r="H1373" s="6">
        <f t="shared" si="42"/>
        <v>14.958333333333032</v>
      </c>
      <c r="I1373" s="7">
        <f t="shared" si="43"/>
        <v>14.958333333333032</v>
      </c>
    </row>
    <row r="1374" spans="1:9" x14ac:dyDescent="0.2">
      <c r="A1374" t="s">
        <v>1523</v>
      </c>
      <c r="B1374">
        <v>4.3765000000000001</v>
      </c>
      <c r="C1374">
        <v>6.1289999999999997E-2</v>
      </c>
      <c r="D1374">
        <v>244</v>
      </c>
      <c r="E1374" t="s">
        <v>1523</v>
      </c>
      <c r="F1374">
        <v>243</v>
      </c>
      <c r="G1374" s="1">
        <v>45169</v>
      </c>
      <c r="H1374" s="6">
        <f t="shared" si="42"/>
        <v>14.968749999999698</v>
      </c>
      <c r="I1374" s="7">
        <f t="shared" si="43"/>
        <v>14.968749999999698</v>
      </c>
    </row>
    <row r="1375" spans="1:9" x14ac:dyDescent="0.2">
      <c r="A1375" t="s">
        <v>1524</v>
      </c>
      <c r="B1375">
        <v>4.3674999999999997</v>
      </c>
      <c r="C1375">
        <v>6.1175E-2</v>
      </c>
      <c r="D1375">
        <v>244</v>
      </c>
      <c r="E1375" t="s">
        <v>1524</v>
      </c>
      <c r="F1375">
        <v>243</v>
      </c>
      <c r="G1375" s="1">
        <v>45169</v>
      </c>
      <c r="H1375" s="6">
        <f t="shared" si="42"/>
        <v>14.979166666666364</v>
      </c>
      <c r="I1375" s="7">
        <f t="shared" si="43"/>
        <v>14.979166666666364</v>
      </c>
    </row>
    <row r="1376" spans="1:9" x14ac:dyDescent="0.2">
      <c r="A1376" t="s">
        <v>1525</v>
      </c>
      <c r="B1376">
        <v>4.4119999999999999</v>
      </c>
      <c r="C1376">
        <v>6.1795000000000003E-2</v>
      </c>
      <c r="D1376">
        <v>244</v>
      </c>
      <c r="E1376" t="s">
        <v>1525</v>
      </c>
      <c r="F1376">
        <v>243</v>
      </c>
      <c r="G1376" s="1">
        <v>45169</v>
      </c>
      <c r="H1376" s="6">
        <f t="shared" si="42"/>
        <v>14.98958333333303</v>
      </c>
      <c r="I1376" s="7">
        <f t="shared" si="43"/>
        <v>14.98958333333303</v>
      </c>
    </row>
    <row r="1377" spans="1:9" x14ac:dyDescent="0.2">
      <c r="A1377" t="s">
        <v>1526</v>
      </c>
      <c r="B1377">
        <v>4.4204999999999997</v>
      </c>
      <c r="C1377">
        <v>6.1905000000000002E-2</v>
      </c>
      <c r="D1377">
        <v>244</v>
      </c>
      <c r="E1377" t="s">
        <v>1526</v>
      </c>
      <c r="F1377">
        <v>244</v>
      </c>
      <c r="G1377" s="1">
        <v>45170</v>
      </c>
      <c r="H1377" s="6">
        <f t="shared" si="42"/>
        <v>14.999999999999696</v>
      </c>
      <c r="I1377" s="7">
        <f t="shared" si="43"/>
        <v>14.999999999999696</v>
      </c>
    </row>
    <row r="1378" spans="1:9" x14ac:dyDescent="0.2">
      <c r="A1378" t="s">
        <v>1527</v>
      </c>
      <c r="B1378">
        <v>4.4450000000000003</v>
      </c>
      <c r="C1378">
        <v>6.2274999999999997E-2</v>
      </c>
      <c r="D1378">
        <v>244</v>
      </c>
      <c r="E1378" t="s">
        <v>1527</v>
      </c>
      <c r="F1378">
        <v>244</v>
      </c>
      <c r="G1378" s="1">
        <v>45170</v>
      </c>
      <c r="H1378" s="6">
        <f t="shared" si="42"/>
        <v>15.010416666666362</v>
      </c>
      <c r="I1378" s="7">
        <f t="shared" si="43"/>
        <v>15.010416666666362</v>
      </c>
    </row>
    <row r="1379" spans="1:9" x14ac:dyDescent="0.2">
      <c r="A1379" t="s">
        <v>1528</v>
      </c>
      <c r="B1379">
        <v>4.4480000000000004</v>
      </c>
      <c r="C1379">
        <v>6.232E-2</v>
      </c>
      <c r="D1379">
        <v>244</v>
      </c>
      <c r="E1379" t="s">
        <v>1528</v>
      </c>
      <c r="F1379">
        <v>244</v>
      </c>
      <c r="G1379" s="1">
        <v>45170</v>
      </c>
      <c r="H1379" s="6">
        <f t="shared" si="42"/>
        <v>15.020833333333028</v>
      </c>
      <c r="I1379" s="7">
        <f t="shared" si="43"/>
        <v>15.020833333333028</v>
      </c>
    </row>
    <row r="1380" spans="1:9" x14ac:dyDescent="0.2">
      <c r="A1380" t="s">
        <v>1529</v>
      </c>
      <c r="B1380">
        <v>4.4459999999999997</v>
      </c>
      <c r="C1380">
        <v>6.2285E-2</v>
      </c>
      <c r="D1380">
        <v>244</v>
      </c>
      <c r="E1380" t="s">
        <v>1529</v>
      </c>
      <c r="F1380">
        <v>244</v>
      </c>
      <c r="G1380" s="1">
        <v>45170</v>
      </c>
      <c r="H1380" s="6">
        <f t="shared" si="42"/>
        <v>15.031249999999694</v>
      </c>
      <c r="I1380" s="7">
        <f t="shared" si="43"/>
        <v>15.031249999999694</v>
      </c>
    </row>
    <row r="1381" spans="1:9" x14ac:dyDescent="0.2">
      <c r="A1381" t="s">
        <v>1530</v>
      </c>
      <c r="B1381">
        <v>4.4675000000000002</v>
      </c>
      <c r="C1381">
        <v>6.2564999999999996E-2</v>
      </c>
      <c r="D1381">
        <v>244</v>
      </c>
      <c r="E1381" t="s">
        <v>1530</v>
      </c>
      <c r="F1381">
        <v>244</v>
      </c>
      <c r="G1381" s="1">
        <v>45170</v>
      </c>
      <c r="H1381" s="6">
        <f t="shared" si="42"/>
        <v>15.041666666666361</v>
      </c>
      <c r="I1381" s="7">
        <f t="shared" si="43"/>
        <v>15.041666666666361</v>
      </c>
    </row>
    <row r="1382" spans="1:9" x14ac:dyDescent="0.2">
      <c r="A1382" t="s">
        <v>1531</v>
      </c>
      <c r="B1382">
        <v>4.4574999999999996</v>
      </c>
      <c r="C1382">
        <v>6.2420000000000003E-2</v>
      </c>
      <c r="D1382">
        <v>244</v>
      </c>
      <c r="E1382" t="s">
        <v>1531</v>
      </c>
      <c r="F1382">
        <v>244</v>
      </c>
      <c r="G1382" s="1">
        <v>45170</v>
      </c>
      <c r="H1382" s="6">
        <f t="shared" si="42"/>
        <v>15.052083333333027</v>
      </c>
      <c r="I1382" s="7">
        <f t="shared" si="43"/>
        <v>15.052083333333027</v>
      </c>
    </row>
    <row r="1383" spans="1:9" x14ac:dyDescent="0.2">
      <c r="A1383" t="s">
        <v>1532</v>
      </c>
      <c r="B1383">
        <v>4.4595000000000002</v>
      </c>
      <c r="C1383">
        <v>6.2449999999999999E-2</v>
      </c>
      <c r="D1383">
        <v>244</v>
      </c>
      <c r="E1383" t="s">
        <v>1532</v>
      </c>
      <c r="F1383">
        <v>244</v>
      </c>
      <c r="G1383" s="1">
        <v>45170</v>
      </c>
      <c r="H1383" s="6">
        <f t="shared" si="42"/>
        <v>15.062499999999693</v>
      </c>
      <c r="I1383" s="7">
        <f t="shared" si="43"/>
        <v>15.062499999999693</v>
      </c>
    </row>
    <row r="1384" spans="1:9" x14ac:dyDescent="0.2">
      <c r="A1384" t="s">
        <v>1533</v>
      </c>
      <c r="B1384">
        <v>4.4669999999999996</v>
      </c>
      <c r="C1384">
        <v>6.2564999999999996E-2</v>
      </c>
      <c r="D1384">
        <v>244</v>
      </c>
      <c r="E1384" t="s">
        <v>1533</v>
      </c>
      <c r="F1384">
        <v>244</v>
      </c>
      <c r="G1384" s="1">
        <v>45170</v>
      </c>
      <c r="H1384" s="6">
        <f t="shared" si="42"/>
        <v>15.072916666666359</v>
      </c>
      <c r="I1384" s="7">
        <f t="shared" si="43"/>
        <v>15.072916666666359</v>
      </c>
    </row>
    <row r="1385" spans="1:9" x14ac:dyDescent="0.2">
      <c r="A1385" t="s">
        <v>1534</v>
      </c>
      <c r="B1385">
        <v>4.4790000000000001</v>
      </c>
      <c r="C1385">
        <v>6.2734999999999999E-2</v>
      </c>
      <c r="D1385">
        <v>244</v>
      </c>
      <c r="E1385" t="s">
        <v>1534</v>
      </c>
      <c r="F1385">
        <v>244</v>
      </c>
      <c r="G1385" s="1">
        <v>45170</v>
      </c>
      <c r="H1385" s="6">
        <f t="shared" si="42"/>
        <v>15.083333333333025</v>
      </c>
      <c r="I1385" s="7">
        <f t="shared" si="43"/>
        <v>15.083333333333025</v>
      </c>
    </row>
    <row r="1386" spans="1:9" x14ac:dyDescent="0.2">
      <c r="A1386" t="s">
        <v>1535</v>
      </c>
      <c r="B1386" s="2" t="s">
        <v>1536</v>
      </c>
      <c r="C1386">
        <v>6.2545000000000003E-2</v>
      </c>
      <c r="D1386">
        <v>244</v>
      </c>
      <c r="E1386" t="s">
        <v>1535</v>
      </c>
      <c r="F1386">
        <v>244</v>
      </c>
      <c r="G1386" s="1">
        <v>45170</v>
      </c>
      <c r="H1386" s="6">
        <f t="shared" si="42"/>
        <v>15.093749999999691</v>
      </c>
      <c r="I1386" s="7">
        <f t="shared" si="43"/>
        <v>15.093749999999691</v>
      </c>
    </row>
    <row r="1387" spans="1:9" x14ac:dyDescent="0.2">
      <c r="A1387" t="s">
        <v>1537</v>
      </c>
      <c r="B1387">
        <v>4.4595000000000002</v>
      </c>
      <c r="C1387">
        <v>6.2480000000000001E-2</v>
      </c>
      <c r="D1387">
        <v>244</v>
      </c>
      <c r="E1387" t="s">
        <v>1537</v>
      </c>
      <c r="F1387">
        <v>244</v>
      </c>
      <c r="G1387" s="1">
        <v>45170</v>
      </c>
      <c r="H1387" s="6">
        <f t="shared" si="42"/>
        <v>15.104166666666357</v>
      </c>
      <c r="I1387" s="7">
        <f t="shared" si="43"/>
        <v>15.104166666666357</v>
      </c>
    </row>
    <row r="1388" spans="1:9" x14ac:dyDescent="0.2">
      <c r="A1388" t="s">
        <v>1538</v>
      </c>
      <c r="B1388">
        <v>4.4344999999999999</v>
      </c>
      <c r="C1388">
        <v>6.2114999999999997E-2</v>
      </c>
      <c r="D1388">
        <v>244</v>
      </c>
      <c r="E1388" t="s">
        <v>1538</v>
      </c>
      <c r="F1388">
        <v>244</v>
      </c>
      <c r="G1388" s="1">
        <v>45170</v>
      </c>
      <c r="H1388" s="6">
        <f t="shared" si="42"/>
        <v>15.114583333333023</v>
      </c>
      <c r="I1388" s="7">
        <f t="shared" si="43"/>
        <v>15.114583333333023</v>
      </c>
    </row>
    <row r="1389" spans="1:9" x14ac:dyDescent="0.2">
      <c r="A1389" t="s">
        <v>1539</v>
      </c>
      <c r="B1389" s="2" t="s">
        <v>1540</v>
      </c>
      <c r="C1389">
        <v>6.2460000000000002E-2</v>
      </c>
      <c r="D1389">
        <v>244</v>
      </c>
      <c r="E1389" t="s">
        <v>1539</v>
      </c>
      <c r="F1389">
        <v>244</v>
      </c>
      <c r="G1389" s="1">
        <v>45170</v>
      </c>
      <c r="H1389" s="6">
        <f t="shared" si="42"/>
        <v>15.124999999999689</v>
      </c>
      <c r="I1389" s="7">
        <f t="shared" si="43"/>
        <v>15.124999999999689</v>
      </c>
    </row>
    <row r="1390" spans="1:9" x14ac:dyDescent="0.2">
      <c r="A1390" t="s">
        <v>1541</v>
      </c>
      <c r="B1390">
        <v>4.4320000000000004</v>
      </c>
      <c r="C1390">
        <v>6.207E-2</v>
      </c>
      <c r="D1390">
        <v>244</v>
      </c>
      <c r="E1390" t="s">
        <v>1541</v>
      </c>
      <c r="F1390">
        <v>244</v>
      </c>
      <c r="G1390" s="1">
        <v>45170</v>
      </c>
      <c r="H1390" s="6">
        <f t="shared" si="42"/>
        <v>15.135416666666355</v>
      </c>
      <c r="I1390" s="7">
        <f t="shared" si="43"/>
        <v>15.135416666666355</v>
      </c>
    </row>
    <row r="1391" spans="1:9" x14ac:dyDescent="0.2">
      <c r="A1391" t="s">
        <v>1542</v>
      </c>
      <c r="B1391">
        <v>4.4355000000000002</v>
      </c>
      <c r="C1391" s="2" t="s">
        <v>1543</v>
      </c>
      <c r="D1391">
        <v>244</v>
      </c>
      <c r="E1391" t="s">
        <v>1542</v>
      </c>
      <c r="F1391">
        <v>244</v>
      </c>
      <c r="G1391" s="1">
        <v>45170</v>
      </c>
      <c r="H1391" s="6">
        <f t="shared" si="42"/>
        <v>15.145833333333021</v>
      </c>
      <c r="I1391" s="7">
        <f t="shared" si="43"/>
        <v>15.145833333333021</v>
      </c>
    </row>
    <row r="1392" spans="1:9" x14ac:dyDescent="0.2">
      <c r="A1392" t="s">
        <v>1544</v>
      </c>
      <c r="B1392">
        <v>4.4219999999999997</v>
      </c>
      <c r="C1392">
        <v>6.1925000000000001E-2</v>
      </c>
      <c r="D1392">
        <v>244</v>
      </c>
      <c r="E1392" t="s">
        <v>1544</v>
      </c>
      <c r="F1392">
        <v>244</v>
      </c>
      <c r="G1392" s="1">
        <v>45170</v>
      </c>
      <c r="H1392" s="6">
        <f t="shared" si="42"/>
        <v>15.156249999999687</v>
      </c>
      <c r="I1392" s="7">
        <f t="shared" si="43"/>
        <v>15.156249999999687</v>
      </c>
    </row>
    <row r="1393" spans="1:9" x14ac:dyDescent="0.2">
      <c r="A1393" t="s">
        <v>1545</v>
      </c>
      <c r="B1393">
        <v>4.4104999999999999</v>
      </c>
      <c r="C1393">
        <v>6.1769999999999999E-2</v>
      </c>
      <c r="D1393">
        <v>244</v>
      </c>
      <c r="E1393" t="s">
        <v>1545</v>
      </c>
      <c r="F1393">
        <v>244</v>
      </c>
      <c r="G1393" s="1">
        <v>45170</v>
      </c>
      <c r="H1393" s="6">
        <f t="shared" si="42"/>
        <v>15.166666666666353</v>
      </c>
      <c r="I1393" s="7">
        <f t="shared" si="43"/>
        <v>15.166666666666353</v>
      </c>
    </row>
    <row r="1394" spans="1:9" x14ac:dyDescent="0.2">
      <c r="A1394" t="s">
        <v>1546</v>
      </c>
      <c r="B1394">
        <v>4.4489999999999998</v>
      </c>
      <c r="C1394">
        <v>6.2315000000000002E-2</v>
      </c>
      <c r="D1394">
        <v>244</v>
      </c>
      <c r="E1394" t="s">
        <v>1546</v>
      </c>
      <c r="F1394">
        <v>244</v>
      </c>
      <c r="G1394" s="1">
        <v>45170</v>
      </c>
      <c r="H1394" s="6">
        <f t="shared" si="42"/>
        <v>15.17708333333302</v>
      </c>
      <c r="I1394" s="7">
        <f t="shared" si="43"/>
        <v>15.17708333333302</v>
      </c>
    </row>
    <row r="1395" spans="1:9" x14ac:dyDescent="0.2">
      <c r="A1395" t="s">
        <v>1547</v>
      </c>
      <c r="B1395">
        <v>4.4295</v>
      </c>
      <c r="C1395">
        <v>6.2039999999999998E-2</v>
      </c>
      <c r="D1395">
        <v>244</v>
      </c>
      <c r="E1395" t="s">
        <v>1547</v>
      </c>
      <c r="F1395">
        <v>244</v>
      </c>
      <c r="G1395" s="1">
        <v>45170</v>
      </c>
      <c r="H1395" s="6">
        <f t="shared" si="42"/>
        <v>15.187499999999686</v>
      </c>
      <c r="I1395" s="7">
        <f t="shared" si="43"/>
        <v>15.187499999999686</v>
      </c>
    </row>
    <row r="1396" spans="1:9" x14ac:dyDescent="0.2">
      <c r="A1396" t="s">
        <v>1548</v>
      </c>
      <c r="B1396">
        <v>4.4145000000000003</v>
      </c>
      <c r="C1396">
        <v>6.1824999999999998E-2</v>
      </c>
      <c r="D1396">
        <v>244</v>
      </c>
      <c r="E1396" t="s">
        <v>1548</v>
      </c>
      <c r="F1396">
        <v>244</v>
      </c>
      <c r="G1396" s="1">
        <v>45170</v>
      </c>
      <c r="H1396" s="6">
        <f t="shared" si="42"/>
        <v>15.197916666666352</v>
      </c>
      <c r="I1396" s="7">
        <f t="shared" si="43"/>
        <v>15.197916666666352</v>
      </c>
    </row>
    <row r="1397" spans="1:9" x14ac:dyDescent="0.2">
      <c r="A1397" t="s">
        <v>1549</v>
      </c>
      <c r="B1397">
        <v>4.4245000000000001</v>
      </c>
      <c r="C1397">
        <v>6.1975000000000002E-2</v>
      </c>
      <c r="D1397">
        <v>244</v>
      </c>
      <c r="E1397" t="s">
        <v>1549</v>
      </c>
      <c r="F1397">
        <v>244</v>
      </c>
      <c r="G1397" s="1">
        <v>45170</v>
      </c>
      <c r="H1397" s="6">
        <f t="shared" si="42"/>
        <v>15.208333333333018</v>
      </c>
      <c r="I1397" s="7">
        <f t="shared" si="43"/>
        <v>15.208333333333018</v>
      </c>
    </row>
    <row r="1398" spans="1:9" x14ac:dyDescent="0.2">
      <c r="A1398" t="s">
        <v>1550</v>
      </c>
      <c r="B1398">
        <v>4.3985000000000003</v>
      </c>
      <c r="C1398">
        <v>6.1609999999999998E-2</v>
      </c>
      <c r="D1398">
        <v>244</v>
      </c>
      <c r="E1398" t="s">
        <v>1550</v>
      </c>
      <c r="F1398">
        <v>244</v>
      </c>
      <c r="G1398" s="1">
        <v>45170</v>
      </c>
      <c r="H1398" s="6">
        <f t="shared" si="42"/>
        <v>15.218749999999684</v>
      </c>
      <c r="I1398" s="7">
        <f t="shared" si="43"/>
        <v>15.218749999999684</v>
      </c>
    </row>
    <row r="1399" spans="1:9" x14ac:dyDescent="0.2">
      <c r="A1399" t="s">
        <v>1551</v>
      </c>
      <c r="B1399">
        <v>4.3875000000000002</v>
      </c>
      <c r="C1399" s="2" t="s">
        <v>1552</v>
      </c>
      <c r="D1399">
        <v>244</v>
      </c>
      <c r="E1399" t="s">
        <v>1551</v>
      </c>
      <c r="F1399">
        <v>244</v>
      </c>
      <c r="G1399" s="1">
        <v>45170</v>
      </c>
      <c r="H1399" s="6">
        <f t="shared" si="42"/>
        <v>15.22916666666635</v>
      </c>
      <c r="I1399" s="7">
        <f t="shared" si="43"/>
        <v>15.22916666666635</v>
      </c>
    </row>
    <row r="1400" spans="1:9" x14ac:dyDescent="0.2">
      <c r="A1400" t="s">
        <v>1553</v>
      </c>
      <c r="B1400" s="2" t="s">
        <v>1554</v>
      </c>
      <c r="C1400">
        <v>6.1545000000000002E-2</v>
      </c>
      <c r="D1400">
        <v>244</v>
      </c>
      <c r="E1400" t="s">
        <v>1553</v>
      </c>
      <c r="F1400">
        <v>244</v>
      </c>
      <c r="G1400" s="1">
        <v>45170</v>
      </c>
      <c r="H1400" s="6">
        <f t="shared" si="42"/>
        <v>15.239583333333016</v>
      </c>
      <c r="I1400" s="7">
        <f t="shared" si="43"/>
        <v>15.239583333333016</v>
      </c>
    </row>
    <row r="1401" spans="1:9" x14ac:dyDescent="0.2">
      <c r="A1401" t="s">
        <v>1555</v>
      </c>
      <c r="B1401">
        <v>4.4119999999999999</v>
      </c>
      <c r="C1401">
        <v>6.1795000000000003E-2</v>
      </c>
      <c r="D1401">
        <v>244</v>
      </c>
      <c r="E1401" t="s">
        <v>1555</v>
      </c>
      <c r="F1401">
        <v>244</v>
      </c>
      <c r="G1401" s="1">
        <v>45170</v>
      </c>
      <c r="H1401" s="6">
        <f t="shared" si="42"/>
        <v>15.249999999999682</v>
      </c>
      <c r="I1401" s="7">
        <f t="shared" si="43"/>
        <v>15.249999999999682</v>
      </c>
    </row>
    <row r="1402" spans="1:9" x14ac:dyDescent="0.2">
      <c r="A1402" t="s">
        <v>1556</v>
      </c>
      <c r="B1402">
        <v>4.4180000000000001</v>
      </c>
      <c r="C1402">
        <v>6.1874999999999999E-2</v>
      </c>
      <c r="D1402">
        <v>244</v>
      </c>
      <c r="E1402" t="s">
        <v>1556</v>
      </c>
      <c r="F1402">
        <v>244</v>
      </c>
      <c r="G1402" s="1">
        <v>45170</v>
      </c>
      <c r="H1402" s="6">
        <f t="shared" si="42"/>
        <v>15.260416666666348</v>
      </c>
      <c r="I1402" s="7">
        <f t="shared" si="43"/>
        <v>15.260416666666348</v>
      </c>
    </row>
    <row r="1403" spans="1:9" x14ac:dyDescent="0.2">
      <c r="A1403" t="s">
        <v>1557</v>
      </c>
      <c r="B1403">
        <v>4.3985000000000003</v>
      </c>
      <c r="C1403">
        <v>6.1605E-2</v>
      </c>
      <c r="D1403">
        <v>244</v>
      </c>
      <c r="E1403" t="s">
        <v>1557</v>
      </c>
      <c r="F1403">
        <v>244</v>
      </c>
      <c r="G1403" s="1">
        <v>45170</v>
      </c>
      <c r="H1403" s="6">
        <f t="shared" si="42"/>
        <v>15.270833333333014</v>
      </c>
      <c r="I1403" s="7">
        <f t="shared" si="43"/>
        <v>15.270833333333014</v>
      </c>
    </row>
    <row r="1404" spans="1:9" x14ac:dyDescent="0.2">
      <c r="A1404" t="s">
        <v>1558</v>
      </c>
      <c r="B1404">
        <v>4.3739999999999997</v>
      </c>
      <c r="C1404">
        <v>6.1289999999999997E-2</v>
      </c>
      <c r="D1404">
        <v>244</v>
      </c>
      <c r="E1404" t="s">
        <v>1558</v>
      </c>
      <c r="F1404">
        <v>244</v>
      </c>
      <c r="G1404" s="1">
        <v>45170</v>
      </c>
      <c r="H1404" s="6">
        <f t="shared" si="42"/>
        <v>15.28124999999968</v>
      </c>
      <c r="I1404" s="7">
        <f t="shared" si="43"/>
        <v>15.28124999999968</v>
      </c>
    </row>
    <row r="1405" spans="1:9" x14ac:dyDescent="0.2">
      <c r="A1405" t="s">
        <v>1559</v>
      </c>
      <c r="B1405" s="2" t="s">
        <v>1560</v>
      </c>
      <c r="C1405" s="2" t="s">
        <v>1561</v>
      </c>
      <c r="D1405">
        <v>244</v>
      </c>
      <c r="E1405" t="s">
        <v>1559</v>
      </c>
      <c r="F1405">
        <v>244</v>
      </c>
      <c r="G1405" s="1">
        <v>45170</v>
      </c>
      <c r="H1405" s="6">
        <f t="shared" si="42"/>
        <v>15.291666666666346</v>
      </c>
      <c r="I1405" s="7">
        <f t="shared" si="43"/>
        <v>15.291666666666346</v>
      </c>
    </row>
    <row r="1406" spans="1:9" x14ac:dyDescent="0.2">
      <c r="A1406" t="s">
        <v>1562</v>
      </c>
      <c r="B1406">
        <v>4.351</v>
      </c>
      <c r="C1406">
        <v>6.0940000000000001E-2</v>
      </c>
      <c r="D1406">
        <v>244</v>
      </c>
      <c r="E1406" t="s">
        <v>1562</v>
      </c>
      <c r="F1406">
        <v>244</v>
      </c>
      <c r="G1406" s="1">
        <v>45170</v>
      </c>
      <c r="H1406" s="6">
        <f t="shared" si="42"/>
        <v>15.302083333333012</v>
      </c>
      <c r="I1406" s="7">
        <f t="shared" si="43"/>
        <v>15.302083333333012</v>
      </c>
    </row>
    <row r="1407" spans="1:9" x14ac:dyDescent="0.2">
      <c r="A1407" t="s">
        <v>1563</v>
      </c>
      <c r="B1407">
        <v>4.319</v>
      </c>
      <c r="C1407" s="2" t="s">
        <v>1564</v>
      </c>
      <c r="D1407">
        <v>244</v>
      </c>
      <c r="E1407" t="s">
        <v>1563</v>
      </c>
      <c r="F1407">
        <v>244</v>
      </c>
      <c r="G1407" s="1">
        <v>45170</v>
      </c>
      <c r="H1407" s="6">
        <f t="shared" si="42"/>
        <v>15.312499999999678</v>
      </c>
      <c r="I1407" s="7">
        <f t="shared" si="43"/>
        <v>15.312499999999678</v>
      </c>
    </row>
    <row r="1408" spans="1:9" x14ac:dyDescent="0.2">
      <c r="A1408" t="s">
        <v>1565</v>
      </c>
      <c r="B1408">
        <v>4.3094999999999999</v>
      </c>
      <c r="C1408">
        <v>6.0374999999999998E-2</v>
      </c>
      <c r="D1408">
        <v>244</v>
      </c>
      <c r="E1408" t="s">
        <v>1565</v>
      </c>
      <c r="F1408">
        <v>244</v>
      </c>
      <c r="G1408" s="1">
        <v>45170</v>
      </c>
      <c r="H1408" s="6">
        <f t="shared" si="42"/>
        <v>15.322916666666345</v>
      </c>
      <c r="I1408" s="7">
        <f t="shared" si="43"/>
        <v>15.322916666666345</v>
      </c>
    </row>
    <row r="1409" spans="1:9" x14ac:dyDescent="0.2">
      <c r="A1409" t="s">
        <v>1566</v>
      </c>
      <c r="B1409">
        <v>4.2880000000000003</v>
      </c>
      <c r="C1409">
        <v>6.0065E-2</v>
      </c>
      <c r="D1409">
        <v>244</v>
      </c>
      <c r="E1409" t="s">
        <v>1566</v>
      </c>
      <c r="F1409">
        <v>244</v>
      </c>
      <c r="G1409" s="1">
        <v>45170</v>
      </c>
      <c r="H1409" s="6">
        <f t="shared" si="42"/>
        <v>15.333333333333011</v>
      </c>
      <c r="I1409" s="7">
        <f t="shared" si="43"/>
        <v>15.333333333333011</v>
      </c>
    </row>
    <row r="1410" spans="1:9" x14ac:dyDescent="0.2">
      <c r="A1410" t="s">
        <v>1567</v>
      </c>
      <c r="B1410">
        <v>4.2515000000000001</v>
      </c>
      <c r="C1410">
        <v>5.9549999999999999E-2</v>
      </c>
      <c r="D1410">
        <v>244</v>
      </c>
      <c r="E1410" t="s">
        <v>1567</v>
      </c>
      <c r="F1410">
        <v>244</v>
      </c>
      <c r="G1410" s="1">
        <v>45170</v>
      </c>
      <c r="H1410" s="6">
        <f t="shared" si="42"/>
        <v>15.343749999999677</v>
      </c>
      <c r="I1410" s="7">
        <f t="shared" si="43"/>
        <v>15.343749999999677</v>
      </c>
    </row>
    <row r="1411" spans="1:9" x14ac:dyDescent="0.2">
      <c r="A1411" t="s">
        <v>1568</v>
      </c>
      <c r="B1411">
        <v>4.2389999999999999</v>
      </c>
      <c r="C1411">
        <v>5.9380000000000002E-2</v>
      </c>
      <c r="D1411">
        <v>244</v>
      </c>
      <c r="E1411" t="s">
        <v>1568</v>
      </c>
      <c r="F1411">
        <v>244</v>
      </c>
      <c r="G1411" s="1">
        <v>45170</v>
      </c>
      <c r="H1411" s="6">
        <f t="shared" ref="H1411:H1474" si="44">H1410+$K$1</f>
        <v>15.354166666666343</v>
      </c>
      <c r="I1411" s="7">
        <f t="shared" ref="I1411:I1474" si="45">I1410+$K$1</f>
        <v>15.354166666666343</v>
      </c>
    </row>
    <row r="1412" spans="1:9" x14ac:dyDescent="0.2">
      <c r="A1412" t="s">
        <v>1569</v>
      </c>
      <c r="B1412">
        <v>4.1894999999999998</v>
      </c>
      <c r="C1412">
        <v>5.8674999999999998E-2</v>
      </c>
      <c r="D1412">
        <v>244</v>
      </c>
      <c r="E1412" t="s">
        <v>1569</v>
      </c>
      <c r="F1412">
        <v>244</v>
      </c>
      <c r="G1412" s="1">
        <v>45170</v>
      </c>
      <c r="H1412" s="6">
        <f t="shared" si="44"/>
        <v>15.364583333333009</v>
      </c>
      <c r="I1412" s="7">
        <f t="shared" si="45"/>
        <v>15.364583333333009</v>
      </c>
    </row>
    <row r="1413" spans="1:9" x14ac:dyDescent="0.2">
      <c r="A1413" t="s">
        <v>1570</v>
      </c>
      <c r="B1413">
        <v>4.1390000000000002</v>
      </c>
      <c r="C1413">
        <v>5.7970000000000001E-2</v>
      </c>
      <c r="D1413">
        <v>244</v>
      </c>
      <c r="E1413" t="s">
        <v>1570</v>
      </c>
      <c r="F1413">
        <v>244</v>
      </c>
      <c r="G1413" s="1">
        <v>45170</v>
      </c>
      <c r="H1413" s="6">
        <f t="shared" si="44"/>
        <v>15.374999999999675</v>
      </c>
      <c r="I1413" s="7">
        <f t="shared" si="45"/>
        <v>15.374999999999675</v>
      </c>
    </row>
    <row r="1414" spans="1:9" x14ac:dyDescent="0.2">
      <c r="A1414" t="s">
        <v>1571</v>
      </c>
      <c r="B1414">
        <v>4.1120000000000001</v>
      </c>
      <c r="C1414">
        <v>5.7605000000000003E-2</v>
      </c>
      <c r="D1414">
        <v>244</v>
      </c>
      <c r="E1414" t="s">
        <v>1571</v>
      </c>
      <c r="F1414">
        <v>244</v>
      </c>
      <c r="G1414" s="1">
        <v>45170</v>
      </c>
      <c r="H1414" s="6">
        <f t="shared" si="44"/>
        <v>15.385416666666341</v>
      </c>
      <c r="I1414" s="7">
        <f t="shared" si="45"/>
        <v>15.385416666666341</v>
      </c>
    </row>
    <row r="1415" spans="1:9" x14ac:dyDescent="0.2">
      <c r="A1415" t="s">
        <v>1572</v>
      </c>
      <c r="B1415">
        <v>4.0395000000000003</v>
      </c>
      <c r="C1415" s="2" t="s">
        <v>1573</v>
      </c>
      <c r="D1415">
        <v>244</v>
      </c>
      <c r="E1415" t="s">
        <v>1572</v>
      </c>
      <c r="F1415">
        <v>244</v>
      </c>
      <c r="G1415" s="1">
        <v>45170</v>
      </c>
      <c r="H1415" s="6">
        <f t="shared" si="44"/>
        <v>15.395833333333007</v>
      </c>
      <c r="I1415" s="7">
        <f t="shared" si="45"/>
        <v>15.395833333333007</v>
      </c>
    </row>
    <row r="1416" spans="1:9" x14ac:dyDescent="0.2">
      <c r="A1416" t="s">
        <v>1574</v>
      </c>
      <c r="B1416">
        <v>3.9845000000000002</v>
      </c>
      <c r="C1416">
        <v>5.5780000000000003E-2</v>
      </c>
      <c r="D1416">
        <v>244</v>
      </c>
      <c r="E1416" t="s">
        <v>1574</v>
      </c>
      <c r="F1416">
        <v>244</v>
      </c>
      <c r="G1416" s="1">
        <v>45170</v>
      </c>
      <c r="H1416" s="6">
        <f t="shared" si="44"/>
        <v>15.406249999999673</v>
      </c>
      <c r="I1416" s="7">
        <f t="shared" si="45"/>
        <v>15.406249999999673</v>
      </c>
    </row>
    <row r="1417" spans="1:9" x14ac:dyDescent="0.2">
      <c r="A1417" t="s">
        <v>1575</v>
      </c>
      <c r="B1417">
        <v>3.94</v>
      </c>
      <c r="C1417">
        <v>5.5190000000000003E-2</v>
      </c>
      <c r="D1417">
        <v>244</v>
      </c>
      <c r="E1417" t="s">
        <v>1575</v>
      </c>
      <c r="F1417">
        <v>244</v>
      </c>
      <c r="G1417" s="1">
        <v>45170</v>
      </c>
      <c r="H1417" s="6">
        <f t="shared" si="44"/>
        <v>15.416666666666339</v>
      </c>
      <c r="I1417" s="7">
        <f t="shared" si="45"/>
        <v>15.416666666666339</v>
      </c>
    </row>
    <row r="1418" spans="1:9" x14ac:dyDescent="0.2">
      <c r="A1418" t="s">
        <v>1576</v>
      </c>
      <c r="B1418">
        <v>3.8879999999999999</v>
      </c>
      <c r="C1418">
        <v>5.4465E-2</v>
      </c>
      <c r="D1418">
        <v>244</v>
      </c>
      <c r="E1418" t="s">
        <v>1576</v>
      </c>
      <c r="F1418">
        <v>244</v>
      </c>
      <c r="G1418" s="1">
        <v>45170</v>
      </c>
      <c r="H1418" s="6">
        <f t="shared" si="44"/>
        <v>15.427083333333005</v>
      </c>
      <c r="I1418" s="7">
        <f t="shared" si="45"/>
        <v>15.427083333333005</v>
      </c>
    </row>
    <row r="1419" spans="1:9" x14ac:dyDescent="0.2">
      <c r="A1419" t="s">
        <v>1577</v>
      </c>
      <c r="B1419">
        <v>3.82</v>
      </c>
      <c r="C1419">
        <v>5.3490000000000003E-2</v>
      </c>
      <c r="D1419">
        <v>244</v>
      </c>
      <c r="E1419" t="s">
        <v>1577</v>
      </c>
      <c r="F1419">
        <v>244</v>
      </c>
      <c r="G1419" s="1">
        <v>45170</v>
      </c>
      <c r="H1419" s="6">
        <f t="shared" si="44"/>
        <v>15.437499999999671</v>
      </c>
      <c r="I1419" s="7">
        <f t="shared" si="45"/>
        <v>15.437499999999671</v>
      </c>
    </row>
    <row r="1420" spans="1:9" x14ac:dyDescent="0.2">
      <c r="A1420" t="s">
        <v>1578</v>
      </c>
      <c r="B1420">
        <v>3.8079999999999998</v>
      </c>
      <c r="C1420">
        <v>5.3319999999999999E-2</v>
      </c>
      <c r="D1420">
        <v>244</v>
      </c>
      <c r="E1420" t="s">
        <v>1578</v>
      </c>
      <c r="F1420">
        <v>244</v>
      </c>
      <c r="G1420" s="1">
        <v>45170</v>
      </c>
      <c r="H1420" s="6">
        <f t="shared" si="44"/>
        <v>15.447916666666337</v>
      </c>
      <c r="I1420" s="7">
        <f t="shared" si="45"/>
        <v>15.447916666666337</v>
      </c>
    </row>
    <row r="1421" spans="1:9" x14ac:dyDescent="0.2">
      <c r="A1421" t="s">
        <v>1579</v>
      </c>
      <c r="B1421">
        <v>3.77</v>
      </c>
      <c r="C1421">
        <v>5.2795000000000002E-2</v>
      </c>
      <c r="D1421">
        <v>244</v>
      </c>
      <c r="E1421" t="s">
        <v>1579</v>
      </c>
      <c r="F1421">
        <v>244</v>
      </c>
      <c r="G1421" s="1">
        <v>45170</v>
      </c>
      <c r="H1421" s="6">
        <f t="shared" si="44"/>
        <v>15.458333333333004</v>
      </c>
      <c r="I1421" s="7">
        <f t="shared" si="45"/>
        <v>15.458333333333004</v>
      </c>
    </row>
    <row r="1422" spans="1:9" x14ac:dyDescent="0.2">
      <c r="A1422" t="s">
        <v>1580</v>
      </c>
      <c r="B1422">
        <v>3.7374999999999998</v>
      </c>
      <c r="C1422">
        <v>5.2354999999999999E-2</v>
      </c>
      <c r="D1422">
        <v>244</v>
      </c>
      <c r="E1422" t="s">
        <v>1580</v>
      </c>
      <c r="F1422">
        <v>244</v>
      </c>
      <c r="G1422" s="1">
        <v>45170</v>
      </c>
      <c r="H1422" s="6">
        <f t="shared" si="44"/>
        <v>15.46874999999967</v>
      </c>
      <c r="I1422" s="7">
        <f t="shared" si="45"/>
        <v>15.46874999999967</v>
      </c>
    </row>
    <row r="1423" spans="1:9" x14ac:dyDescent="0.2">
      <c r="A1423" t="s">
        <v>1581</v>
      </c>
      <c r="B1423">
        <v>3.7124999999999999</v>
      </c>
      <c r="C1423">
        <v>5.2014999999999999E-2</v>
      </c>
      <c r="D1423">
        <v>244</v>
      </c>
      <c r="E1423" t="s">
        <v>1581</v>
      </c>
      <c r="F1423">
        <v>244</v>
      </c>
      <c r="G1423" s="1">
        <v>45170</v>
      </c>
      <c r="H1423" s="6">
        <f t="shared" si="44"/>
        <v>15.479166666666336</v>
      </c>
      <c r="I1423" s="7">
        <f t="shared" si="45"/>
        <v>15.479166666666336</v>
      </c>
    </row>
    <row r="1424" spans="1:9" x14ac:dyDescent="0.2">
      <c r="A1424" t="s">
        <v>1582</v>
      </c>
      <c r="B1424">
        <v>3.6960000000000002</v>
      </c>
      <c r="C1424">
        <v>5.178E-2</v>
      </c>
      <c r="D1424">
        <v>244</v>
      </c>
      <c r="E1424" t="s">
        <v>1582</v>
      </c>
      <c r="F1424">
        <v>244</v>
      </c>
      <c r="G1424" s="1">
        <v>45170</v>
      </c>
      <c r="H1424" s="6">
        <f t="shared" si="44"/>
        <v>15.489583333333002</v>
      </c>
      <c r="I1424" s="7">
        <f t="shared" si="45"/>
        <v>15.489583333333002</v>
      </c>
    </row>
    <row r="1425" spans="1:9" x14ac:dyDescent="0.2">
      <c r="A1425" t="s">
        <v>1583</v>
      </c>
      <c r="B1425">
        <v>3.6880000000000002</v>
      </c>
      <c r="C1425">
        <v>5.1655E-2</v>
      </c>
      <c r="D1425">
        <v>244</v>
      </c>
      <c r="E1425" t="s">
        <v>1583</v>
      </c>
      <c r="F1425">
        <v>244</v>
      </c>
      <c r="G1425" s="1">
        <v>45170</v>
      </c>
      <c r="H1425" s="6">
        <f t="shared" si="44"/>
        <v>15.499999999999668</v>
      </c>
      <c r="I1425" s="7">
        <f t="shared" si="45"/>
        <v>15.499999999999668</v>
      </c>
    </row>
    <row r="1426" spans="1:9" x14ac:dyDescent="0.2">
      <c r="A1426" t="s">
        <v>1584</v>
      </c>
      <c r="B1426">
        <v>3.6585000000000001</v>
      </c>
      <c r="C1426">
        <v>5.1229999999999998E-2</v>
      </c>
      <c r="D1426">
        <v>244</v>
      </c>
      <c r="E1426" t="s">
        <v>1584</v>
      </c>
      <c r="F1426">
        <v>244</v>
      </c>
      <c r="G1426" s="1">
        <v>45170</v>
      </c>
      <c r="H1426" s="6">
        <f t="shared" si="44"/>
        <v>15.510416666666334</v>
      </c>
      <c r="I1426" s="7">
        <f t="shared" si="45"/>
        <v>15.510416666666334</v>
      </c>
    </row>
    <row r="1427" spans="1:9" x14ac:dyDescent="0.2">
      <c r="A1427" t="s">
        <v>1585</v>
      </c>
      <c r="B1427">
        <v>3.6709999999999998</v>
      </c>
      <c r="C1427">
        <v>5.1424999999999998E-2</v>
      </c>
      <c r="D1427">
        <v>244</v>
      </c>
      <c r="E1427" t="s">
        <v>1585</v>
      </c>
      <c r="F1427">
        <v>244</v>
      </c>
      <c r="G1427" s="1">
        <v>45170</v>
      </c>
      <c r="H1427" s="6">
        <f t="shared" si="44"/>
        <v>15.520833333333</v>
      </c>
      <c r="I1427" s="7">
        <f t="shared" si="45"/>
        <v>15.520833333333</v>
      </c>
    </row>
    <row r="1428" spans="1:9" x14ac:dyDescent="0.2">
      <c r="A1428" t="s">
        <v>1586</v>
      </c>
      <c r="B1428">
        <v>3.64</v>
      </c>
      <c r="C1428">
        <v>5.0990000000000001E-2</v>
      </c>
      <c r="D1428">
        <v>244</v>
      </c>
      <c r="E1428" t="s">
        <v>1586</v>
      </c>
      <c r="F1428">
        <v>244</v>
      </c>
      <c r="G1428" s="1">
        <v>45170</v>
      </c>
      <c r="H1428" s="6">
        <f t="shared" si="44"/>
        <v>15.531249999999666</v>
      </c>
      <c r="I1428" s="7">
        <f t="shared" si="45"/>
        <v>15.531249999999666</v>
      </c>
    </row>
    <row r="1429" spans="1:9" x14ac:dyDescent="0.2">
      <c r="A1429" t="s">
        <v>1587</v>
      </c>
      <c r="B1429">
        <v>3.665</v>
      </c>
      <c r="C1429">
        <v>5.1330000000000001E-2</v>
      </c>
      <c r="D1429">
        <v>244</v>
      </c>
      <c r="E1429" t="s">
        <v>1587</v>
      </c>
      <c r="F1429">
        <v>244</v>
      </c>
      <c r="G1429" s="1">
        <v>45170</v>
      </c>
      <c r="H1429" s="6">
        <f t="shared" si="44"/>
        <v>15.541666666666332</v>
      </c>
      <c r="I1429" s="7">
        <f t="shared" si="45"/>
        <v>15.541666666666332</v>
      </c>
    </row>
    <row r="1430" spans="1:9" x14ac:dyDescent="0.2">
      <c r="A1430" t="s">
        <v>1588</v>
      </c>
      <c r="B1430">
        <v>3.6555</v>
      </c>
      <c r="C1430">
        <v>5.1200000000000002E-2</v>
      </c>
      <c r="D1430">
        <v>244</v>
      </c>
      <c r="E1430" t="s">
        <v>1588</v>
      </c>
      <c r="F1430">
        <v>244</v>
      </c>
      <c r="G1430" s="1">
        <v>45170</v>
      </c>
      <c r="H1430" s="6">
        <f t="shared" si="44"/>
        <v>15.552083333332998</v>
      </c>
      <c r="I1430" s="7">
        <f t="shared" si="45"/>
        <v>15.552083333332998</v>
      </c>
    </row>
    <row r="1431" spans="1:9" x14ac:dyDescent="0.2">
      <c r="A1431" t="s">
        <v>1589</v>
      </c>
      <c r="B1431">
        <v>3.63</v>
      </c>
      <c r="C1431">
        <v>5.0834999999999998E-2</v>
      </c>
      <c r="D1431">
        <v>244</v>
      </c>
      <c r="E1431" t="s">
        <v>1589</v>
      </c>
      <c r="F1431">
        <v>244</v>
      </c>
      <c r="G1431" s="1">
        <v>45170</v>
      </c>
      <c r="H1431" s="6">
        <f t="shared" si="44"/>
        <v>15.562499999999664</v>
      </c>
      <c r="I1431" s="7">
        <f t="shared" si="45"/>
        <v>15.562499999999664</v>
      </c>
    </row>
    <row r="1432" spans="1:9" x14ac:dyDescent="0.2">
      <c r="A1432" t="s">
        <v>1590</v>
      </c>
      <c r="B1432">
        <v>3.63</v>
      </c>
      <c r="C1432">
        <v>5.0834999999999998E-2</v>
      </c>
      <c r="D1432">
        <v>244</v>
      </c>
      <c r="E1432" t="s">
        <v>1590</v>
      </c>
      <c r="F1432">
        <v>244</v>
      </c>
      <c r="G1432" s="1">
        <v>45170</v>
      </c>
      <c r="H1432" s="6">
        <f t="shared" si="44"/>
        <v>15.57291666666633</v>
      </c>
      <c r="I1432" s="7">
        <f t="shared" si="45"/>
        <v>15.57291666666633</v>
      </c>
    </row>
    <row r="1433" spans="1:9" x14ac:dyDescent="0.2">
      <c r="A1433" t="s">
        <v>1591</v>
      </c>
      <c r="B1433">
        <v>3.6545000000000001</v>
      </c>
      <c r="C1433">
        <v>5.1189999999999999E-2</v>
      </c>
      <c r="D1433">
        <v>244</v>
      </c>
      <c r="E1433" t="s">
        <v>1591</v>
      </c>
      <c r="F1433">
        <v>244</v>
      </c>
      <c r="G1433" s="1">
        <v>45170</v>
      </c>
      <c r="H1433" s="6">
        <f t="shared" si="44"/>
        <v>15.583333333332996</v>
      </c>
      <c r="I1433" s="7">
        <f t="shared" si="45"/>
        <v>15.583333333332996</v>
      </c>
    </row>
    <row r="1434" spans="1:9" x14ac:dyDescent="0.2">
      <c r="A1434" t="s">
        <v>1592</v>
      </c>
      <c r="B1434">
        <v>3.597</v>
      </c>
      <c r="C1434">
        <v>5.0389999999999997E-2</v>
      </c>
      <c r="D1434">
        <v>244</v>
      </c>
      <c r="E1434" t="s">
        <v>1592</v>
      </c>
      <c r="F1434">
        <v>244</v>
      </c>
      <c r="G1434" s="1">
        <v>45170</v>
      </c>
      <c r="H1434" s="6">
        <f t="shared" si="44"/>
        <v>15.593749999999662</v>
      </c>
      <c r="I1434" s="7">
        <f t="shared" si="45"/>
        <v>15.593749999999662</v>
      </c>
    </row>
    <row r="1435" spans="1:9" x14ac:dyDescent="0.2">
      <c r="A1435" t="s">
        <v>1593</v>
      </c>
      <c r="B1435">
        <v>3.6295000000000002</v>
      </c>
      <c r="C1435">
        <v>5.0840000000000003E-2</v>
      </c>
      <c r="D1435">
        <v>244</v>
      </c>
      <c r="E1435" t="s">
        <v>1593</v>
      </c>
      <c r="F1435">
        <v>244</v>
      </c>
      <c r="G1435" s="1">
        <v>45170</v>
      </c>
      <c r="H1435" s="6">
        <f t="shared" si="44"/>
        <v>15.604166666666329</v>
      </c>
      <c r="I1435" s="7">
        <f t="shared" si="45"/>
        <v>15.604166666666329</v>
      </c>
    </row>
    <row r="1436" spans="1:9" x14ac:dyDescent="0.2">
      <c r="A1436" t="s">
        <v>1594</v>
      </c>
      <c r="B1436">
        <v>3.617</v>
      </c>
      <c r="C1436" s="2" t="s">
        <v>1595</v>
      </c>
      <c r="D1436">
        <v>244</v>
      </c>
      <c r="E1436" t="s">
        <v>1594</v>
      </c>
      <c r="F1436">
        <v>244</v>
      </c>
      <c r="G1436" s="1">
        <v>45170</v>
      </c>
      <c r="H1436" s="6">
        <f t="shared" si="44"/>
        <v>15.614583333332995</v>
      </c>
      <c r="I1436" s="7">
        <f t="shared" si="45"/>
        <v>15.614583333332995</v>
      </c>
    </row>
    <row r="1437" spans="1:9" x14ac:dyDescent="0.2">
      <c r="A1437" t="s">
        <v>1596</v>
      </c>
      <c r="B1437">
        <v>3.5994999999999999</v>
      </c>
      <c r="C1437" s="2" t="s">
        <v>1597</v>
      </c>
      <c r="D1437">
        <v>244</v>
      </c>
      <c r="E1437" t="s">
        <v>1596</v>
      </c>
      <c r="F1437">
        <v>244</v>
      </c>
      <c r="G1437" s="1">
        <v>45170</v>
      </c>
      <c r="H1437" s="6">
        <f t="shared" si="44"/>
        <v>15.624999999999661</v>
      </c>
      <c r="I1437" s="7">
        <f t="shared" si="45"/>
        <v>15.624999999999661</v>
      </c>
    </row>
    <row r="1438" spans="1:9" x14ac:dyDescent="0.2">
      <c r="A1438" t="s">
        <v>1598</v>
      </c>
      <c r="B1438">
        <v>3.556</v>
      </c>
      <c r="C1438">
        <v>4.9814999999999998E-2</v>
      </c>
      <c r="D1438">
        <v>244</v>
      </c>
      <c r="E1438" t="s">
        <v>1598</v>
      </c>
      <c r="F1438">
        <v>244</v>
      </c>
      <c r="G1438" s="1">
        <v>45170</v>
      </c>
      <c r="H1438" s="6">
        <f t="shared" si="44"/>
        <v>15.635416666666327</v>
      </c>
      <c r="I1438" s="7">
        <f t="shared" si="45"/>
        <v>15.635416666666327</v>
      </c>
    </row>
    <row r="1439" spans="1:9" x14ac:dyDescent="0.2">
      <c r="A1439" t="s">
        <v>1599</v>
      </c>
      <c r="B1439">
        <v>3.5884999999999998</v>
      </c>
      <c r="C1439">
        <v>5.0270000000000002E-2</v>
      </c>
      <c r="D1439">
        <v>244</v>
      </c>
      <c r="E1439" t="s">
        <v>1599</v>
      </c>
      <c r="F1439">
        <v>244</v>
      </c>
      <c r="G1439" s="1">
        <v>45170</v>
      </c>
      <c r="H1439" s="6">
        <f t="shared" si="44"/>
        <v>15.645833333332993</v>
      </c>
      <c r="I1439" s="7">
        <f t="shared" si="45"/>
        <v>15.645833333332993</v>
      </c>
    </row>
    <row r="1440" spans="1:9" x14ac:dyDescent="0.2">
      <c r="A1440" t="s">
        <v>1600</v>
      </c>
      <c r="B1440">
        <v>3.5739999999999998</v>
      </c>
      <c r="C1440" s="2" t="s">
        <v>1601</v>
      </c>
      <c r="D1440">
        <v>244</v>
      </c>
      <c r="E1440" t="s">
        <v>1600</v>
      </c>
      <c r="F1440">
        <v>244</v>
      </c>
      <c r="G1440" s="1">
        <v>45170</v>
      </c>
      <c r="H1440" s="6">
        <f t="shared" si="44"/>
        <v>15.656249999999659</v>
      </c>
      <c r="I1440" s="7">
        <f t="shared" si="45"/>
        <v>15.656249999999659</v>
      </c>
    </row>
    <row r="1441" spans="1:9" x14ac:dyDescent="0.2">
      <c r="A1441" t="s">
        <v>1602</v>
      </c>
      <c r="B1441">
        <v>3.573</v>
      </c>
      <c r="C1441">
        <v>5.0044999999999999E-2</v>
      </c>
      <c r="D1441">
        <v>244</v>
      </c>
      <c r="E1441" t="s">
        <v>1602</v>
      </c>
      <c r="F1441">
        <v>244</v>
      </c>
      <c r="G1441" s="1">
        <v>45170</v>
      </c>
      <c r="H1441" s="6">
        <f t="shared" si="44"/>
        <v>15.666666666666325</v>
      </c>
      <c r="I1441" s="7">
        <f t="shared" si="45"/>
        <v>15.666666666666325</v>
      </c>
    </row>
    <row r="1442" spans="1:9" x14ac:dyDescent="0.2">
      <c r="A1442" t="s">
        <v>1603</v>
      </c>
      <c r="B1442">
        <v>3.6154999999999999</v>
      </c>
      <c r="C1442">
        <v>5.0630000000000001E-2</v>
      </c>
      <c r="D1442">
        <v>244</v>
      </c>
      <c r="E1442" t="s">
        <v>1603</v>
      </c>
      <c r="F1442">
        <v>244</v>
      </c>
      <c r="G1442" s="1">
        <v>45170</v>
      </c>
      <c r="H1442" s="6">
        <f t="shared" si="44"/>
        <v>15.677083333332991</v>
      </c>
      <c r="I1442" s="7">
        <f t="shared" si="45"/>
        <v>15.677083333332991</v>
      </c>
    </row>
    <row r="1443" spans="1:9" x14ac:dyDescent="0.2">
      <c r="A1443" t="s">
        <v>1604</v>
      </c>
      <c r="B1443">
        <v>3.5964999999999998</v>
      </c>
      <c r="C1443">
        <v>5.0375000000000003E-2</v>
      </c>
      <c r="D1443">
        <v>244</v>
      </c>
      <c r="E1443" t="s">
        <v>1604</v>
      </c>
      <c r="F1443">
        <v>244</v>
      </c>
      <c r="G1443" s="1">
        <v>45170</v>
      </c>
      <c r="H1443" s="6">
        <f t="shared" si="44"/>
        <v>15.687499999999657</v>
      </c>
      <c r="I1443" s="7">
        <f t="shared" si="45"/>
        <v>15.687499999999657</v>
      </c>
    </row>
    <row r="1444" spans="1:9" x14ac:dyDescent="0.2">
      <c r="A1444" t="s">
        <v>1605</v>
      </c>
      <c r="B1444">
        <v>3.6154999999999999</v>
      </c>
      <c r="C1444">
        <v>5.0634999999999999E-2</v>
      </c>
      <c r="D1444">
        <v>244</v>
      </c>
      <c r="E1444" t="s">
        <v>1605</v>
      </c>
      <c r="F1444">
        <v>244</v>
      </c>
      <c r="G1444" s="1">
        <v>45170</v>
      </c>
      <c r="H1444" s="6">
        <f t="shared" si="44"/>
        <v>15.697916666666323</v>
      </c>
      <c r="I1444" s="7">
        <f t="shared" si="45"/>
        <v>15.697916666666323</v>
      </c>
    </row>
    <row r="1445" spans="1:9" x14ac:dyDescent="0.2">
      <c r="A1445" t="s">
        <v>1606</v>
      </c>
      <c r="B1445">
        <v>3.5865</v>
      </c>
      <c r="C1445">
        <v>5.0229999999999997E-2</v>
      </c>
      <c r="D1445">
        <v>244</v>
      </c>
      <c r="E1445" t="s">
        <v>1606</v>
      </c>
      <c r="F1445">
        <v>244</v>
      </c>
      <c r="G1445" s="1">
        <v>45170</v>
      </c>
      <c r="H1445" s="6">
        <f t="shared" si="44"/>
        <v>15.708333333332989</v>
      </c>
      <c r="I1445" s="7">
        <f t="shared" si="45"/>
        <v>15.708333333332989</v>
      </c>
    </row>
    <row r="1446" spans="1:9" x14ac:dyDescent="0.2">
      <c r="A1446" t="s">
        <v>1607</v>
      </c>
      <c r="B1446">
        <v>3.6225000000000001</v>
      </c>
      <c r="C1446">
        <v>5.0735000000000002E-2</v>
      </c>
      <c r="D1446">
        <v>244</v>
      </c>
      <c r="E1446" t="s">
        <v>1607</v>
      </c>
      <c r="F1446">
        <v>244</v>
      </c>
      <c r="G1446" s="1">
        <v>45170</v>
      </c>
      <c r="H1446" s="6">
        <f t="shared" si="44"/>
        <v>15.718749999999655</v>
      </c>
      <c r="I1446" s="7">
        <f t="shared" si="45"/>
        <v>15.718749999999655</v>
      </c>
    </row>
    <row r="1447" spans="1:9" x14ac:dyDescent="0.2">
      <c r="A1447" t="s">
        <v>1608</v>
      </c>
      <c r="B1447">
        <v>3.6265000000000001</v>
      </c>
      <c r="C1447">
        <v>5.0810000000000001E-2</v>
      </c>
      <c r="D1447">
        <v>244</v>
      </c>
      <c r="E1447" t="s">
        <v>1608</v>
      </c>
      <c r="F1447">
        <v>244</v>
      </c>
      <c r="G1447" s="1">
        <v>45170</v>
      </c>
      <c r="H1447" s="6">
        <f t="shared" si="44"/>
        <v>15.729166666666321</v>
      </c>
      <c r="I1447" s="7">
        <f t="shared" si="45"/>
        <v>15.729166666666321</v>
      </c>
    </row>
    <row r="1448" spans="1:9" x14ac:dyDescent="0.2">
      <c r="A1448" t="s">
        <v>1609</v>
      </c>
      <c r="B1448">
        <v>3.6315</v>
      </c>
      <c r="C1448">
        <v>5.0869999999999999E-2</v>
      </c>
      <c r="D1448">
        <v>244</v>
      </c>
      <c r="E1448" t="s">
        <v>1609</v>
      </c>
      <c r="F1448">
        <v>244</v>
      </c>
      <c r="G1448" s="1">
        <v>45170</v>
      </c>
      <c r="H1448" s="6">
        <f t="shared" si="44"/>
        <v>15.739583333332988</v>
      </c>
      <c r="I1448" s="7">
        <f t="shared" si="45"/>
        <v>15.739583333332988</v>
      </c>
    </row>
    <row r="1449" spans="1:9" x14ac:dyDescent="0.2">
      <c r="A1449" t="s">
        <v>1610</v>
      </c>
      <c r="B1449">
        <v>3.6179999999999999</v>
      </c>
      <c r="C1449">
        <v>5.0685000000000001E-2</v>
      </c>
      <c r="D1449">
        <v>245</v>
      </c>
      <c r="E1449" t="s">
        <v>1610</v>
      </c>
      <c r="F1449">
        <v>244</v>
      </c>
      <c r="G1449" s="1">
        <v>45170</v>
      </c>
      <c r="H1449" s="6">
        <f t="shared" si="44"/>
        <v>15.749999999999654</v>
      </c>
      <c r="I1449" s="7">
        <f t="shared" si="45"/>
        <v>15.749999999999654</v>
      </c>
    </row>
    <row r="1450" spans="1:9" x14ac:dyDescent="0.2">
      <c r="A1450" t="s">
        <v>1611</v>
      </c>
      <c r="B1450" s="2" t="s">
        <v>1612</v>
      </c>
      <c r="C1450">
        <v>5.092E-2</v>
      </c>
      <c r="D1450">
        <v>245</v>
      </c>
      <c r="E1450" t="s">
        <v>1611</v>
      </c>
      <c r="F1450">
        <v>244</v>
      </c>
      <c r="G1450" s="1">
        <v>45170</v>
      </c>
      <c r="H1450" s="6">
        <f t="shared" si="44"/>
        <v>15.76041666666632</v>
      </c>
      <c r="I1450" s="7">
        <f t="shared" si="45"/>
        <v>15.76041666666632</v>
      </c>
    </row>
    <row r="1451" spans="1:9" x14ac:dyDescent="0.2">
      <c r="A1451" t="s">
        <v>1613</v>
      </c>
      <c r="B1451">
        <v>3.6025</v>
      </c>
      <c r="C1451">
        <v>5.0455E-2</v>
      </c>
      <c r="D1451">
        <v>245</v>
      </c>
      <c r="E1451" t="s">
        <v>1613</v>
      </c>
      <c r="F1451">
        <v>244</v>
      </c>
      <c r="G1451" s="1">
        <v>45170</v>
      </c>
      <c r="H1451" s="6">
        <f t="shared" si="44"/>
        <v>15.770833333332986</v>
      </c>
      <c r="I1451" s="7">
        <f t="shared" si="45"/>
        <v>15.770833333332986</v>
      </c>
    </row>
    <row r="1452" spans="1:9" x14ac:dyDescent="0.2">
      <c r="A1452" t="s">
        <v>1614</v>
      </c>
      <c r="B1452">
        <v>3.6640000000000001</v>
      </c>
      <c r="C1452">
        <v>5.1315E-2</v>
      </c>
      <c r="D1452">
        <v>245</v>
      </c>
      <c r="E1452" t="s">
        <v>1614</v>
      </c>
      <c r="F1452">
        <v>244</v>
      </c>
      <c r="G1452" s="1">
        <v>45170</v>
      </c>
      <c r="H1452" s="6">
        <f t="shared" si="44"/>
        <v>15.781249999999652</v>
      </c>
      <c r="I1452" s="7">
        <f t="shared" si="45"/>
        <v>15.781249999999652</v>
      </c>
    </row>
    <row r="1453" spans="1:9" x14ac:dyDescent="0.2">
      <c r="A1453" t="s">
        <v>1615</v>
      </c>
      <c r="B1453">
        <v>3.6465000000000001</v>
      </c>
      <c r="C1453">
        <v>5.1084999999999998E-2</v>
      </c>
      <c r="D1453">
        <v>245</v>
      </c>
      <c r="E1453" t="s">
        <v>1615</v>
      </c>
      <c r="F1453">
        <v>244</v>
      </c>
      <c r="G1453" s="1">
        <v>45170</v>
      </c>
      <c r="H1453" s="6">
        <f t="shared" si="44"/>
        <v>15.791666666666318</v>
      </c>
      <c r="I1453" s="7">
        <f t="shared" si="45"/>
        <v>15.791666666666318</v>
      </c>
    </row>
    <row r="1454" spans="1:9" x14ac:dyDescent="0.2">
      <c r="A1454" t="s">
        <v>1616</v>
      </c>
      <c r="B1454">
        <v>3.6589999999999998</v>
      </c>
      <c r="C1454">
        <v>5.1264999999999998E-2</v>
      </c>
      <c r="D1454">
        <v>245</v>
      </c>
      <c r="E1454" t="s">
        <v>1616</v>
      </c>
      <c r="F1454">
        <v>244</v>
      </c>
      <c r="G1454" s="1">
        <v>45170</v>
      </c>
      <c r="H1454" s="6">
        <f t="shared" si="44"/>
        <v>15.802083333332984</v>
      </c>
      <c r="I1454" s="7">
        <f t="shared" si="45"/>
        <v>15.802083333332984</v>
      </c>
    </row>
    <row r="1455" spans="1:9" x14ac:dyDescent="0.2">
      <c r="A1455" t="s">
        <v>1617</v>
      </c>
      <c r="B1455">
        <v>3.6745000000000001</v>
      </c>
      <c r="C1455">
        <v>5.1464999999999997E-2</v>
      </c>
      <c r="D1455">
        <v>245</v>
      </c>
      <c r="E1455" t="s">
        <v>1617</v>
      </c>
      <c r="F1455">
        <v>244</v>
      </c>
      <c r="G1455" s="1">
        <v>45170</v>
      </c>
      <c r="H1455" s="6">
        <f t="shared" si="44"/>
        <v>15.81249999999965</v>
      </c>
      <c r="I1455" s="7">
        <f t="shared" si="45"/>
        <v>15.81249999999965</v>
      </c>
    </row>
    <row r="1456" spans="1:9" x14ac:dyDescent="0.2">
      <c r="A1456" t="s">
        <v>1618</v>
      </c>
      <c r="B1456">
        <v>3.6795</v>
      </c>
      <c r="C1456">
        <v>5.1534999999999997E-2</v>
      </c>
      <c r="D1456">
        <v>245</v>
      </c>
      <c r="E1456" t="s">
        <v>1618</v>
      </c>
      <c r="F1456">
        <v>244</v>
      </c>
      <c r="G1456" s="1">
        <v>45170</v>
      </c>
      <c r="H1456" s="6">
        <f t="shared" si="44"/>
        <v>15.822916666666316</v>
      </c>
      <c r="I1456" s="7">
        <f t="shared" si="45"/>
        <v>15.822916666666316</v>
      </c>
    </row>
    <row r="1457" spans="1:9" x14ac:dyDescent="0.2">
      <c r="A1457" t="s">
        <v>1619</v>
      </c>
      <c r="B1457">
        <v>3.6930000000000001</v>
      </c>
      <c r="C1457">
        <v>5.1714999999999997E-2</v>
      </c>
      <c r="D1457">
        <v>245</v>
      </c>
      <c r="E1457" t="s">
        <v>1619</v>
      </c>
      <c r="F1457">
        <v>244</v>
      </c>
      <c r="G1457" s="1">
        <v>45170</v>
      </c>
      <c r="H1457" s="6">
        <f t="shared" si="44"/>
        <v>15.833333333332982</v>
      </c>
      <c r="I1457" s="7">
        <f t="shared" si="45"/>
        <v>15.833333333332982</v>
      </c>
    </row>
    <row r="1458" spans="1:9" x14ac:dyDescent="0.2">
      <c r="A1458" t="s">
        <v>1620</v>
      </c>
      <c r="B1458">
        <v>3.7090000000000001</v>
      </c>
      <c r="C1458">
        <v>5.194E-2</v>
      </c>
      <c r="D1458">
        <v>245</v>
      </c>
      <c r="E1458" t="s">
        <v>1620</v>
      </c>
      <c r="F1458">
        <v>244</v>
      </c>
      <c r="G1458" s="1">
        <v>45170</v>
      </c>
      <c r="H1458" s="6">
        <f t="shared" si="44"/>
        <v>15.843749999999648</v>
      </c>
      <c r="I1458" s="7">
        <f t="shared" si="45"/>
        <v>15.843749999999648</v>
      </c>
    </row>
    <row r="1459" spans="1:9" x14ac:dyDescent="0.2">
      <c r="A1459" t="s">
        <v>1621</v>
      </c>
      <c r="B1459">
        <v>3.7269999999999999</v>
      </c>
      <c r="C1459">
        <v>5.2209999999999999E-2</v>
      </c>
      <c r="D1459">
        <v>245</v>
      </c>
      <c r="E1459" t="s">
        <v>1621</v>
      </c>
      <c r="F1459">
        <v>244</v>
      </c>
      <c r="G1459" s="1">
        <v>45170</v>
      </c>
      <c r="H1459" s="6">
        <f t="shared" si="44"/>
        <v>15.854166666666314</v>
      </c>
      <c r="I1459" s="7">
        <f t="shared" si="45"/>
        <v>15.854166666666314</v>
      </c>
    </row>
    <row r="1460" spans="1:9" x14ac:dyDescent="0.2">
      <c r="A1460" t="s">
        <v>1622</v>
      </c>
      <c r="B1460">
        <v>3.7515000000000001</v>
      </c>
      <c r="C1460">
        <v>5.2519999999999997E-2</v>
      </c>
      <c r="D1460">
        <v>245</v>
      </c>
      <c r="E1460" t="s">
        <v>1622</v>
      </c>
      <c r="F1460">
        <v>244</v>
      </c>
      <c r="G1460" s="1">
        <v>45170</v>
      </c>
      <c r="H1460" s="6">
        <f t="shared" si="44"/>
        <v>15.86458333333298</v>
      </c>
      <c r="I1460" s="7">
        <f t="shared" si="45"/>
        <v>15.86458333333298</v>
      </c>
    </row>
    <row r="1461" spans="1:9" x14ac:dyDescent="0.2">
      <c r="A1461" t="s">
        <v>1623</v>
      </c>
      <c r="B1461">
        <v>3.8029999999999999</v>
      </c>
      <c r="C1461">
        <v>5.3289999999999997E-2</v>
      </c>
      <c r="D1461">
        <v>245</v>
      </c>
      <c r="E1461" t="s">
        <v>1623</v>
      </c>
      <c r="F1461">
        <v>244</v>
      </c>
      <c r="G1461" s="1">
        <v>45170</v>
      </c>
      <c r="H1461" s="6">
        <f t="shared" si="44"/>
        <v>15.874999999999647</v>
      </c>
      <c r="I1461" s="7">
        <f t="shared" si="45"/>
        <v>15.874999999999647</v>
      </c>
    </row>
    <row r="1462" spans="1:9" x14ac:dyDescent="0.2">
      <c r="A1462" t="s">
        <v>1624</v>
      </c>
      <c r="B1462">
        <v>3.8464999999999998</v>
      </c>
      <c r="C1462">
        <v>5.3865000000000003E-2</v>
      </c>
      <c r="D1462">
        <v>245</v>
      </c>
      <c r="E1462" t="s">
        <v>1624</v>
      </c>
      <c r="F1462">
        <v>244</v>
      </c>
      <c r="G1462" s="1">
        <v>45170</v>
      </c>
      <c r="H1462" s="6">
        <f t="shared" si="44"/>
        <v>15.885416666666313</v>
      </c>
      <c r="I1462" s="7">
        <f t="shared" si="45"/>
        <v>15.885416666666313</v>
      </c>
    </row>
    <row r="1463" spans="1:9" x14ac:dyDescent="0.2">
      <c r="A1463" t="s">
        <v>1625</v>
      </c>
      <c r="B1463">
        <v>3.8955000000000002</v>
      </c>
      <c r="C1463">
        <v>5.4554999999999999E-2</v>
      </c>
      <c r="D1463">
        <v>245</v>
      </c>
      <c r="E1463" t="s">
        <v>1625</v>
      </c>
      <c r="F1463">
        <v>244</v>
      </c>
      <c r="G1463" s="1">
        <v>45170</v>
      </c>
      <c r="H1463" s="6">
        <f t="shared" si="44"/>
        <v>15.895833333332979</v>
      </c>
      <c r="I1463" s="7">
        <f t="shared" si="45"/>
        <v>15.895833333332979</v>
      </c>
    </row>
    <row r="1464" spans="1:9" x14ac:dyDescent="0.2">
      <c r="A1464" t="s">
        <v>1626</v>
      </c>
      <c r="B1464">
        <v>3.9460000000000002</v>
      </c>
      <c r="C1464">
        <v>5.527E-2</v>
      </c>
      <c r="D1464">
        <v>245</v>
      </c>
      <c r="E1464" t="s">
        <v>1626</v>
      </c>
      <c r="F1464">
        <v>244</v>
      </c>
      <c r="G1464" s="1">
        <v>45170</v>
      </c>
      <c r="H1464" s="6">
        <f t="shared" si="44"/>
        <v>15.906249999999645</v>
      </c>
      <c r="I1464" s="7">
        <f t="shared" si="45"/>
        <v>15.906249999999645</v>
      </c>
    </row>
    <row r="1465" spans="1:9" x14ac:dyDescent="0.2">
      <c r="A1465" t="s">
        <v>1627</v>
      </c>
      <c r="B1465">
        <v>3.9944999999999999</v>
      </c>
      <c r="C1465">
        <v>5.5954999999999998E-2</v>
      </c>
      <c r="D1465">
        <v>245</v>
      </c>
      <c r="E1465" t="s">
        <v>1627</v>
      </c>
      <c r="F1465">
        <v>244</v>
      </c>
      <c r="G1465" s="1">
        <v>45170</v>
      </c>
      <c r="H1465" s="6">
        <f t="shared" si="44"/>
        <v>15.916666666666311</v>
      </c>
      <c r="I1465" s="7">
        <f t="shared" si="45"/>
        <v>15.916666666666311</v>
      </c>
    </row>
    <row r="1466" spans="1:9" x14ac:dyDescent="0.2">
      <c r="A1466" t="s">
        <v>1628</v>
      </c>
      <c r="B1466">
        <v>4.0350000000000001</v>
      </c>
      <c r="C1466">
        <v>5.6535000000000002E-2</v>
      </c>
      <c r="D1466">
        <v>245</v>
      </c>
      <c r="E1466" t="s">
        <v>1628</v>
      </c>
      <c r="F1466">
        <v>244</v>
      </c>
      <c r="G1466" s="1">
        <v>45170</v>
      </c>
      <c r="H1466" s="6">
        <f t="shared" si="44"/>
        <v>15.927083333332977</v>
      </c>
      <c r="I1466" s="7">
        <f t="shared" si="45"/>
        <v>15.927083333332977</v>
      </c>
    </row>
    <row r="1467" spans="1:9" x14ac:dyDescent="0.2">
      <c r="A1467" t="s">
        <v>1629</v>
      </c>
      <c r="B1467">
        <v>4.0730000000000004</v>
      </c>
      <c r="C1467">
        <v>5.7064999999999998E-2</v>
      </c>
      <c r="D1467">
        <v>245</v>
      </c>
      <c r="E1467" t="s">
        <v>1629</v>
      </c>
      <c r="F1467">
        <v>244</v>
      </c>
      <c r="G1467" s="1">
        <v>45170</v>
      </c>
      <c r="H1467" s="6">
        <f t="shared" si="44"/>
        <v>15.937499999999643</v>
      </c>
      <c r="I1467" s="7">
        <f t="shared" si="45"/>
        <v>15.937499999999643</v>
      </c>
    </row>
    <row r="1468" spans="1:9" x14ac:dyDescent="0.2">
      <c r="A1468" t="s">
        <v>1630</v>
      </c>
      <c r="B1468">
        <v>4.1345000000000001</v>
      </c>
      <c r="C1468">
        <v>5.79E-2</v>
      </c>
      <c r="D1468">
        <v>245</v>
      </c>
      <c r="E1468" t="s">
        <v>1630</v>
      </c>
      <c r="F1468">
        <v>244</v>
      </c>
      <c r="G1468" s="1">
        <v>45170</v>
      </c>
      <c r="H1468" s="6">
        <f t="shared" si="44"/>
        <v>15.947916666666309</v>
      </c>
      <c r="I1468" s="7">
        <f t="shared" si="45"/>
        <v>15.947916666666309</v>
      </c>
    </row>
    <row r="1469" spans="1:9" x14ac:dyDescent="0.2">
      <c r="A1469" t="s">
        <v>1631</v>
      </c>
      <c r="B1469">
        <v>4.2305000000000001</v>
      </c>
      <c r="C1469">
        <v>5.9255000000000002E-2</v>
      </c>
      <c r="D1469">
        <v>245</v>
      </c>
      <c r="E1469" t="s">
        <v>1631</v>
      </c>
      <c r="F1469">
        <v>244</v>
      </c>
      <c r="G1469" s="1">
        <v>45170</v>
      </c>
      <c r="H1469" s="6">
        <f t="shared" si="44"/>
        <v>15.958333333332975</v>
      </c>
      <c r="I1469" s="7">
        <f t="shared" si="45"/>
        <v>15.958333333332975</v>
      </c>
    </row>
    <row r="1470" spans="1:9" x14ac:dyDescent="0.2">
      <c r="A1470" t="s">
        <v>1632</v>
      </c>
      <c r="B1470">
        <v>4.2565</v>
      </c>
      <c r="C1470">
        <v>5.9610000000000003E-2</v>
      </c>
      <c r="D1470">
        <v>245</v>
      </c>
      <c r="E1470" t="s">
        <v>1632</v>
      </c>
      <c r="F1470">
        <v>244</v>
      </c>
      <c r="G1470" s="1">
        <v>45170</v>
      </c>
      <c r="H1470" s="6">
        <f t="shared" si="44"/>
        <v>15.968749999999641</v>
      </c>
      <c r="I1470" s="7">
        <f t="shared" si="45"/>
        <v>15.968749999999641</v>
      </c>
    </row>
    <row r="1471" spans="1:9" x14ac:dyDescent="0.2">
      <c r="A1471" t="s">
        <v>1633</v>
      </c>
      <c r="B1471">
        <v>4.3125</v>
      </c>
      <c r="C1471">
        <v>6.0400000000000002E-2</v>
      </c>
      <c r="D1471">
        <v>245</v>
      </c>
      <c r="E1471" t="s">
        <v>1633</v>
      </c>
      <c r="F1471">
        <v>244</v>
      </c>
      <c r="G1471" s="1">
        <v>45170</v>
      </c>
      <c r="H1471" s="6">
        <f t="shared" si="44"/>
        <v>15.979166666666307</v>
      </c>
      <c r="I1471" s="7">
        <f t="shared" si="45"/>
        <v>15.979166666666307</v>
      </c>
    </row>
    <row r="1472" spans="1:9" x14ac:dyDescent="0.2">
      <c r="A1472" t="s">
        <v>1634</v>
      </c>
      <c r="B1472">
        <v>4.3285</v>
      </c>
      <c r="C1472">
        <v>6.0630000000000003E-2</v>
      </c>
      <c r="D1472">
        <v>245</v>
      </c>
      <c r="E1472" t="s">
        <v>1634</v>
      </c>
      <c r="F1472">
        <v>244</v>
      </c>
      <c r="G1472" s="1">
        <v>45170</v>
      </c>
      <c r="H1472" s="6">
        <f t="shared" si="44"/>
        <v>15.989583333332973</v>
      </c>
      <c r="I1472" s="7">
        <f t="shared" si="45"/>
        <v>15.989583333332973</v>
      </c>
    </row>
    <row r="1473" spans="1:9" x14ac:dyDescent="0.2">
      <c r="A1473" t="s">
        <v>1635</v>
      </c>
      <c r="B1473">
        <v>4.3449999999999998</v>
      </c>
      <c r="C1473">
        <v>6.0854999999999999E-2</v>
      </c>
      <c r="D1473">
        <v>245</v>
      </c>
      <c r="E1473" t="s">
        <v>1635</v>
      </c>
      <c r="F1473">
        <v>245</v>
      </c>
      <c r="G1473" s="1">
        <v>45171</v>
      </c>
      <c r="H1473" s="6">
        <f t="shared" si="44"/>
        <v>15.999999999999639</v>
      </c>
      <c r="I1473" s="7">
        <f t="shared" si="45"/>
        <v>15.999999999999639</v>
      </c>
    </row>
    <row r="1474" spans="1:9" x14ac:dyDescent="0.2">
      <c r="A1474" t="s">
        <v>1636</v>
      </c>
      <c r="B1474">
        <v>4.3280000000000003</v>
      </c>
      <c r="C1474">
        <v>6.0624999999999998E-2</v>
      </c>
      <c r="D1474">
        <v>245</v>
      </c>
      <c r="E1474" t="s">
        <v>1636</v>
      </c>
      <c r="F1474">
        <v>245</v>
      </c>
      <c r="G1474" s="1">
        <v>45171</v>
      </c>
      <c r="H1474" s="6">
        <f t="shared" si="44"/>
        <v>16.010416666666305</v>
      </c>
      <c r="I1474" s="7">
        <f t="shared" si="45"/>
        <v>16.010416666666305</v>
      </c>
    </row>
    <row r="1475" spans="1:9" x14ac:dyDescent="0.2">
      <c r="A1475" t="s">
        <v>1637</v>
      </c>
      <c r="B1475">
        <v>4.3784999999999998</v>
      </c>
      <c r="C1475">
        <v>6.1324999999999998E-2</v>
      </c>
      <c r="D1475">
        <v>245</v>
      </c>
      <c r="E1475" t="s">
        <v>1637</v>
      </c>
      <c r="F1475">
        <v>245</v>
      </c>
      <c r="G1475" s="1">
        <v>45171</v>
      </c>
      <c r="H1475" s="6">
        <f t="shared" ref="H1475:H1538" si="46">H1474+$K$1</f>
        <v>16.020833333332973</v>
      </c>
      <c r="I1475" s="7">
        <f t="shared" ref="I1475:I1538" si="47">I1474+$K$1</f>
        <v>16.020833333332973</v>
      </c>
    </row>
    <row r="1476" spans="1:9" x14ac:dyDescent="0.2">
      <c r="A1476" t="s">
        <v>1638</v>
      </c>
      <c r="B1476">
        <v>4.3959999999999999</v>
      </c>
      <c r="C1476">
        <v>6.1605E-2</v>
      </c>
      <c r="D1476">
        <v>245</v>
      </c>
      <c r="E1476" t="s">
        <v>1638</v>
      </c>
      <c r="F1476">
        <v>245</v>
      </c>
      <c r="G1476" s="1">
        <v>45171</v>
      </c>
      <c r="H1476" s="6">
        <f t="shared" si="46"/>
        <v>16.031249999999641</v>
      </c>
      <c r="I1476" s="7">
        <f t="shared" si="47"/>
        <v>16.031249999999641</v>
      </c>
    </row>
    <row r="1477" spans="1:9" x14ac:dyDescent="0.2">
      <c r="A1477" t="s">
        <v>1639</v>
      </c>
      <c r="B1477">
        <v>4.3944999999999999</v>
      </c>
      <c r="C1477">
        <v>6.1545000000000002E-2</v>
      </c>
      <c r="D1477">
        <v>245</v>
      </c>
      <c r="E1477" t="s">
        <v>1639</v>
      </c>
      <c r="F1477">
        <v>245</v>
      </c>
      <c r="G1477" s="1">
        <v>45171</v>
      </c>
      <c r="H1477" s="6">
        <f t="shared" si="46"/>
        <v>16.041666666666309</v>
      </c>
      <c r="I1477" s="7">
        <f t="shared" si="47"/>
        <v>16.041666666666309</v>
      </c>
    </row>
    <row r="1478" spans="1:9" x14ac:dyDescent="0.2">
      <c r="A1478" t="s">
        <v>1640</v>
      </c>
      <c r="B1478">
        <v>4.3875000000000002</v>
      </c>
      <c r="C1478">
        <v>6.1455000000000003E-2</v>
      </c>
      <c r="D1478">
        <v>245</v>
      </c>
      <c r="E1478" t="s">
        <v>1640</v>
      </c>
      <c r="F1478">
        <v>245</v>
      </c>
      <c r="G1478" s="1">
        <v>45171</v>
      </c>
      <c r="H1478" s="6">
        <f t="shared" si="46"/>
        <v>16.052083333332977</v>
      </c>
      <c r="I1478" s="7">
        <f t="shared" si="47"/>
        <v>16.052083333332977</v>
      </c>
    </row>
    <row r="1479" spans="1:9" x14ac:dyDescent="0.2">
      <c r="A1479" t="s">
        <v>1641</v>
      </c>
      <c r="B1479">
        <v>4.3920000000000003</v>
      </c>
      <c r="C1479">
        <v>6.1519999999999998E-2</v>
      </c>
      <c r="D1479">
        <v>245</v>
      </c>
      <c r="E1479" t="s">
        <v>1641</v>
      </c>
      <c r="F1479">
        <v>245</v>
      </c>
      <c r="G1479" s="1">
        <v>45171</v>
      </c>
      <c r="H1479" s="6">
        <f t="shared" si="46"/>
        <v>16.062499999999645</v>
      </c>
      <c r="I1479" s="7">
        <f t="shared" si="47"/>
        <v>16.062499999999645</v>
      </c>
    </row>
    <row r="1480" spans="1:9" x14ac:dyDescent="0.2">
      <c r="A1480" t="s">
        <v>1642</v>
      </c>
      <c r="B1480">
        <v>4.3920000000000003</v>
      </c>
      <c r="C1480">
        <v>6.1530000000000001E-2</v>
      </c>
      <c r="D1480">
        <v>245</v>
      </c>
      <c r="E1480" t="s">
        <v>1642</v>
      </c>
      <c r="F1480">
        <v>245</v>
      </c>
      <c r="G1480" s="1">
        <v>45171</v>
      </c>
      <c r="H1480" s="6">
        <f t="shared" si="46"/>
        <v>16.072916666666313</v>
      </c>
      <c r="I1480" s="7">
        <f t="shared" si="47"/>
        <v>16.072916666666313</v>
      </c>
    </row>
    <row r="1481" spans="1:9" x14ac:dyDescent="0.2">
      <c r="A1481" t="s">
        <v>1643</v>
      </c>
      <c r="B1481">
        <v>4.4009999999999998</v>
      </c>
      <c r="C1481">
        <v>6.1655000000000001E-2</v>
      </c>
      <c r="D1481">
        <v>245</v>
      </c>
      <c r="E1481" t="s">
        <v>1643</v>
      </c>
      <c r="F1481">
        <v>245</v>
      </c>
      <c r="G1481" s="1">
        <v>45171</v>
      </c>
      <c r="H1481" s="6">
        <f t="shared" si="46"/>
        <v>16.08333333333298</v>
      </c>
      <c r="I1481" s="7">
        <f t="shared" si="47"/>
        <v>16.08333333333298</v>
      </c>
    </row>
    <row r="1482" spans="1:9" x14ac:dyDescent="0.2">
      <c r="A1482" t="s">
        <v>1644</v>
      </c>
      <c r="B1482">
        <v>4.3994999999999997</v>
      </c>
      <c r="C1482">
        <v>6.1624999999999999E-2</v>
      </c>
      <c r="D1482">
        <v>245</v>
      </c>
      <c r="E1482" t="s">
        <v>1644</v>
      </c>
      <c r="F1482">
        <v>245</v>
      </c>
      <c r="G1482" s="1">
        <v>45171</v>
      </c>
      <c r="H1482" s="6">
        <f t="shared" si="46"/>
        <v>16.093749999999648</v>
      </c>
      <c r="I1482" s="7">
        <f t="shared" si="47"/>
        <v>16.093749999999648</v>
      </c>
    </row>
    <row r="1483" spans="1:9" x14ac:dyDescent="0.2">
      <c r="A1483" t="s">
        <v>1645</v>
      </c>
      <c r="B1483">
        <v>4.3944999999999999</v>
      </c>
      <c r="C1483">
        <v>6.1534999999999999E-2</v>
      </c>
      <c r="D1483">
        <v>245</v>
      </c>
      <c r="E1483" t="s">
        <v>1645</v>
      </c>
      <c r="F1483">
        <v>245</v>
      </c>
      <c r="G1483" s="1">
        <v>45171</v>
      </c>
      <c r="H1483" s="6">
        <f t="shared" si="46"/>
        <v>16.104166666666316</v>
      </c>
      <c r="I1483" s="7">
        <f t="shared" si="47"/>
        <v>16.104166666666316</v>
      </c>
    </row>
    <row r="1484" spans="1:9" x14ac:dyDescent="0.2">
      <c r="A1484" t="s">
        <v>1646</v>
      </c>
      <c r="B1484">
        <v>4.3949999999999996</v>
      </c>
      <c r="C1484">
        <v>6.1545000000000002E-2</v>
      </c>
      <c r="D1484">
        <v>245</v>
      </c>
      <c r="E1484" t="s">
        <v>1646</v>
      </c>
      <c r="F1484">
        <v>245</v>
      </c>
      <c r="G1484" s="1">
        <v>45171</v>
      </c>
      <c r="H1484" s="6">
        <f t="shared" si="46"/>
        <v>16.114583333332984</v>
      </c>
      <c r="I1484" s="7">
        <f t="shared" si="47"/>
        <v>16.114583333332984</v>
      </c>
    </row>
    <row r="1485" spans="1:9" x14ac:dyDescent="0.2">
      <c r="A1485" t="s">
        <v>1647</v>
      </c>
      <c r="B1485">
        <v>4.3905000000000003</v>
      </c>
      <c r="C1485">
        <v>6.1510000000000002E-2</v>
      </c>
      <c r="D1485">
        <v>245</v>
      </c>
      <c r="E1485" t="s">
        <v>1647</v>
      </c>
      <c r="F1485">
        <v>245</v>
      </c>
      <c r="G1485" s="1">
        <v>45171</v>
      </c>
      <c r="H1485" s="6">
        <f t="shared" si="46"/>
        <v>16.124999999999652</v>
      </c>
      <c r="I1485" s="7">
        <f t="shared" si="47"/>
        <v>16.124999999999652</v>
      </c>
    </row>
    <row r="1486" spans="1:9" x14ac:dyDescent="0.2">
      <c r="A1486" t="s">
        <v>1648</v>
      </c>
      <c r="B1486">
        <v>4.3665000000000003</v>
      </c>
      <c r="C1486">
        <v>6.1155000000000001E-2</v>
      </c>
      <c r="D1486">
        <v>245</v>
      </c>
      <c r="E1486" t="s">
        <v>1648</v>
      </c>
      <c r="F1486">
        <v>245</v>
      </c>
      <c r="G1486" s="1">
        <v>45171</v>
      </c>
      <c r="H1486" s="6">
        <f t="shared" si="46"/>
        <v>16.13541666666632</v>
      </c>
      <c r="I1486" s="7">
        <f t="shared" si="47"/>
        <v>16.13541666666632</v>
      </c>
    </row>
    <row r="1487" spans="1:9" x14ac:dyDescent="0.2">
      <c r="A1487" t="s">
        <v>1649</v>
      </c>
      <c r="B1487">
        <v>4.367</v>
      </c>
      <c r="C1487">
        <v>6.1179999999999998E-2</v>
      </c>
      <c r="D1487">
        <v>245</v>
      </c>
      <c r="E1487" t="s">
        <v>1649</v>
      </c>
      <c r="F1487">
        <v>245</v>
      </c>
      <c r="G1487" s="1">
        <v>45171</v>
      </c>
      <c r="H1487" s="6">
        <f t="shared" si="46"/>
        <v>16.145833333332988</v>
      </c>
      <c r="I1487" s="7">
        <f t="shared" si="47"/>
        <v>16.145833333332988</v>
      </c>
    </row>
    <row r="1488" spans="1:9" x14ac:dyDescent="0.2">
      <c r="A1488" t="s">
        <v>1650</v>
      </c>
      <c r="B1488">
        <v>4.3659999999999997</v>
      </c>
      <c r="C1488">
        <v>6.1170000000000002E-2</v>
      </c>
      <c r="D1488">
        <v>245</v>
      </c>
      <c r="E1488" t="s">
        <v>1650</v>
      </c>
      <c r="F1488">
        <v>245</v>
      </c>
      <c r="G1488" s="1">
        <v>45171</v>
      </c>
      <c r="H1488" s="6">
        <f t="shared" si="46"/>
        <v>16.156249999999655</v>
      </c>
      <c r="I1488" s="7">
        <f t="shared" si="47"/>
        <v>16.156249999999655</v>
      </c>
    </row>
    <row r="1489" spans="1:9" x14ac:dyDescent="0.2">
      <c r="A1489" t="s">
        <v>1651</v>
      </c>
      <c r="B1489">
        <v>4.3879999999999999</v>
      </c>
      <c r="C1489">
        <v>6.1464999999999999E-2</v>
      </c>
      <c r="D1489">
        <v>245</v>
      </c>
      <c r="E1489" t="s">
        <v>1651</v>
      </c>
      <c r="F1489">
        <v>245</v>
      </c>
      <c r="G1489" s="1">
        <v>45171</v>
      </c>
      <c r="H1489" s="6">
        <f t="shared" si="46"/>
        <v>16.166666666666323</v>
      </c>
      <c r="I1489" s="7">
        <f t="shared" si="47"/>
        <v>16.166666666666323</v>
      </c>
    </row>
    <row r="1490" spans="1:9" x14ac:dyDescent="0.2">
      <c r="A1490" t="s">
        <v>1652</v>
      </c>
      <c r="B1490">
        <v>4.3579999999999997</v>
      </c>
      <c r="C1490">
        <v>6.1039999999999997E-2</v>
      </c>
      <c r="D1490">
        <v>245</v>
      </c>
      <c r="E1490" t="s">
        <v>1652</v>
      </c>
      <c r="F1490">
        <v>245</v>
      </c>
      <c r="G1490" s="1">
        <v>45171</v>
      </c>
      <c r="H1490" s="6">
        <f t="shared" si="46"/>
        <v>16.177083333332991</v>
      </c>
      <c r="I1490" s="7">
        <f t="shared" si="47"/>
        <v>16.177083333332991</v>
      </c>
    </row>
    <row r="1491" spans="1:9" x14ac:dyDescent="0.2">
      <c r="A1491" t="s">
        <v>1653</v>
      </c>
      <c r="B1491">
        <v>4.3600000000000003</v>
      </c>
      <c r="C1491">
        <v>6.1060000000000003E-2</v>
      </c>
      <c r="D1491">
        <v>245</v>
      </c>
      <c r="E1491" t="s">
        <v>1653</v>
      </c>
      <c r="F1491">
        <v>245</v>
      </c>
      <c r="G1491" s="1">
        <v>45171</v>
      </c>
      <c r="H1491" s="6">
        <f t="shared" si="46"/>
        <v>16.187499999999659</v>
      </c>
      <c r="I1491" s="7">
        <f t="shared" si="47"/>
        <v>16.187499999999659</v>
      </c>
    </row>
    <row r="1492" spans="1:9" x14ac:dyDescent="0.2">
      <c r="A1492" t="s">
        <v>1654</v>
      </c>
      <c r="B1492">
        <v>4.3559999999999999</v>
      </c>
      <c r="C1492" s="2" t="s">
        <v>1655</v>
      </c>
      <c r="D1492">
        <v>245</v>
      </c>
      <c r="E1492" t="s">
        <v>1654</v>
      </c>
      <c r="F1492">
        <v>245</v>
      </c>
      <c r="G1492" s="1">
        <v>45171</v>
      </c>
      <c r="H1492" s="6">
        <f t="shared" si="46"/>
        <v>16.197916666666327</v>
      </c>
      <c r="I1492" s="7">
        <f t="shared" si="47"/>
        <v>16.197916666666327</v>
      </c>
    </row>
    <row r="1493" spans="1:9" x14ac:dyDescent="0.2">
      <c r="A1493" t="s">
        <v>1656</v>
      </c>
      <c r="B1493">
        <v>4.3380000000000001</v>
      </c>
      <c r="C1493">
        <v>6.0760000000000002E-2</v>
      </c>
      <c r="D1493">
        <v>245</v>
      </c>
      <c r="E1493" t="s">
        <v>1656</v>
      </c>
      <c r="F1493">
        <v>245</v>
      </c>
      <c r="G1493" s="1">
        <v>45171</v>
      </c>
      <c r="H1493" s="6">
        <f t="shared" si="46"/>
        <v>16.208333333332995</v>
      </c>
      <c r="I1493" s="7">
        <f t="shared" si="47"/>
        <v>16.208333333332995</v>
      </c>
    </row>
    <row r="1494" spans="1:9" x14ac:dyDescent="0.2">
      <c r="A1494" t="s">
        <v>1657</v>
      </c>
      <c r="B1494">
        <v>4.3384999999999998</v>
      </c>
      <c r="C1494">
        <v>6.0769999999999998E-2</v>
      </c>
      <c r="D1494">
        <v>245</v>
      </c>
      <c r="E1494" t="s">
        <v>1657</v>
      </c>
      <c r="F1494">
        <v>245</v>
      </c>
      <c r="G1494" s="1">
        <v>45171</v>
      </c>
      <c r="H1494" s="6">
        <f t="shared" si="46"/>
        <v>16.218749999999662</v>
      </c>
      <c r="I1494" s="7">
        <f t="shared" si="47"/>
        <v>16.218749999999662</v>
      </c>
    </row>
    <row r="1495" spans="1:9" x14ac:dyDescent="0.2">
      <c r="A1495" t="s">
        <v>1658</v>
      </c>
      <c r="B1495">
        <v>4.3339999999999996</v>
      </c>
      <c r="C1495">
        <v>6.071E-2</v>
      </c>
      <c r="D1495">
        <v>245</v>
      </c>
      <c r="E1495" t="s">
        <v>1658</v>
      </c>
      <c r="F1495">
        <v>245</v>
      </c>
      <c r="G1495" s="1">
        <v>45171</v>
      </c>
      <c r="H1495" s="6">
        <f t="shared" si="46"/>
        <v>16.22916666666633</v>
      </c>
      <c r="I1495" s="7">
        <f t="shared" si="47"/>
        <v>16.22916666666633</v>
      </c>
    </row>
    <row r="1496" spans="1:9" x14ac:dyDescent="0.2">
      <c r="A1496" t="s">
        <v>1659</v>
      </c>
      <c r="B1496">
        <v>4.3150000000000004</v>
      </c>
      <c r="C1496">
        <v>6.0435000000000003E-2</v>
      </c>
      <c r="D1496">
        <v>245</v>
      </c>
      <c r="E1496" t="s">
        <v>1659</v>
      </c>
      <c r="F1496">
        <v>245</v>
      </c>
      <c r="G1496" s="1">
        <v>45171</v>
      </c>
      <c r="H1496" s="6">
        <f t="shared" si="46"/>
        <v>16.239583333332998</v>
      </c>
      <c r="I1496" s="7">
        <f t="shared" si="47"/>
        <v>16.239583333332998</v>
      </c>
    </row>
    <row r="1497" spans="1:9" x14ac:dyDescent="0.2">
      <c r="A1497" t="s">
        <v>1660</v>
      </c>
      <c r="B1497">
        <v>4.3034999999999997</v>
      </c>
      <c r="C1497">
        <v>6.028E-2</v>
      </c>
      <c r="D1497">
        <v>245</v>
      </c>
      <c r="E1497" t="s">
        <v>1660</v>
      </c>
      <c r="F1497">
        <v>245</v>
      </c>
      <c r="G1497" s="1">
        <v>45171</v>
      </c>
      <c r="H1497" s="6">
        <f t="shared" si="46"/>
        <v>16.249999999999666</v>
      </c>
      <c r="I1497" s="7">
        <f t="shared" si="47"/>
        <v>16.249999999999666</v>
      </c>
    </row>
    <row r="1498" spans="1:9" x14ac:dyDescent="0.2">
      <c r="A1498" t="s">
        <v>1661</v>
      </c>
      <c r="B1498">
        <v>4.32</v>
      </c>
      <c r="C1498">
        <v>6.0505000000000003E-2</v>
      </c>
      <c r="D1498">
        <v>245</v>
      </c>
      <c r="E1498" t="s">
        <v>1661</v>
      </c>
      <c r="F1498">
        <v>245</v>
      </c>
      <c r="G1498" s="1">
        <v>45171</v>
      </c>
      <c r="H1498" s="6">
        <f t="shared" si="46"/>
        <v>16.260416666666334</v>
      </c>
      <c r="I1498" s="7">
        <f t="shared" si="47"/>
        <v>16.260416666666334</v>
      </c>
    </row>
    <row r="1499" spans="1:9" x14ac:dyDescent="0.2">
      <c r="A1499" t="s">
        <v>1662</v>
      </c>
      <c r="B1499">
        <v>4.3114999999999997</v>
      </c>
      <c r="C1499">
        <v>6.0380000000000003E-2</v>
      </c>
      <c r="D1499">
        <v>245</v>
      </c>
      <c r="E1499" t="s">
        <v>1662</v>
      </c>
      <c r="F1499">
        <v>245</v>
      </c>
      <c r="G1499" s="1">
        <v>45171</v>
      </c>
      <c r="H1499" s="6">
        <f t="shared" si="46"/>
        <v>16.270833333333002</v>
      </c>
      <c r="I1499" s="7">
        <f t="shared" si="47"/>
        <v>16.270833333333002</v>
      </c>
    </row>
    <row r="1500" spans="1:9" x14ac:dyDescent="0.2">
      <c r="A1500" t="s">
        <v>1663</v>
      </c>
      <c r="B1500">
        <v>4.3109999999999999</v>
      </c>
      <c r="C1500">
        <v>6.0389999999999999E-2</v>
      </c>
      <c r="D1500">
        <v>245</v>
      </c>
      <c r="E1500" t="s">
        <v>1663</v>
      </c>
      <c r="F1500">
        <v>245</v>
      </c>
      <c r="G1500" s="1">
        <v>45171</v>
      </c>
      <c r="H1500" s="6">
        <f t="shared" si="46"/>
        <v>16.28124999999967</v>
      </c>
      <c r="I1500" s="7">
        <f t="shared" si="47"/>
        <v>16.28124999999967</v>
      </c>
    </row>
    <row r="1501" spans="1:9" x14ac:dyDescent="0.2">
      <c r="A1501" t="s">
        <v>1664</v>
      </c>
      <c r="B1501">
        <v>4.3109999999999999</v>
      </c>
      <c r="C1501">
        <v>6.0354999999999999E-2</v>
      </c>
      <c r="D1501">
        <v>245</v>
      </c>
      <c r="E1501" t="s">
        <v>1664</v>
      </c>
      <c r="F1501">
        <v>245</v>
      </c>
      <c r="G1501" s="1">
        <v>45171</v>
      </c>
      <c r="H1501" s="6">
        <f t="shared" si="46"/>
        <v>16.291666666666337</v>
      </c>
      <c r="I1501" s="7">
        <f t="shared" si="47"/>
        <v>16.291666666666337</v>
      </c>
    </row>
    <row r="1502" spans="1:9" x14ac:dyDescent="0.2">
      <c r="A1502" t="s">
        <v>1665</v>
      </c>
      <c r="B1502" s="2" t="s">
        <v>1666</v>
      </c>
      <c r="C1502">
        <v>6.0139999999999999E-2</v>
      </c>
      <c r="D1502">
        <v>245</v>
      </c>
      <c r="E1502" t="s">
        <v>1665</v>
      </c>
      <c r="F1502">
        <v>245</v>
      </c>
      <c r="G1502" s="1">
        <v>45171</v>
      </c>
      <c r="H1502" s="6">
        <f t="shared" si="46"/>
        <v>16.302083333333005</v>
      </c>
      <c r="I1502" s="7">
        <f t="shared" si="47"/>
        <v>16.302083333333005</v>
      </c>
    </row>
    <row r="1503" spans="1:9" x14ac:dyDescent="0.2">
      <c r="A1503" t="s">
        <v>1667</v>
      </c>
      <c r="B1503">
        <v>4.2824999999999998</v>
      </c>
      <c r="C1503">
        <v>5.9975000000000001E-2</v>
      </c>
      <c r="D1503">
        <v>245</v>
      </c>
      <c r="E1503" t="s">
        <v>1667</v>
      </c>
      <c r="F1503">
        <v>245</v>
      </c>
      <c r="G1503" s="1">
        <v>45171</v>
      </c>
      <c r="H1503" s="6">
        <f t="shared" si="46"/>
        <v>16.312499999999673</v>
      </c>
      <c r="I1503" s="7">
        <f t="shared" si="47"/>
        <v>16.312499999999673</v>
      </c>
    </row>
    <row r="1504" spans="1:9" x14ac:dyDescent="0.2">
      <c r="A1504" t="s">
        <v>1668</v>
      </c>
      <c r="B1504">
        <v>4.266</v>
      </c>
      <c r="C1504">
        <v>5.9740000000000001E-2</v>
      </c>
      <c r="D1504">
        <v>245</v>
      </c>
      <c r="E1504" t="s">
        <v>1668</v>
      </c>
      <c r="F1504">
        <v>245</v>
      </c>
      <c r="G1504" s="1">
        <v>45171</v>
      </c>
      <c r="H1504" s="6">
        <f t="shared" si="46"/>
        <v>16.322916666666341</v>
      </c>
      <c r="I1504" s="7">
        <f t="shared" si="47"/>
        <v>16.322916666666341</v>
      </c>
    </row>
    <row r="1505" spans="1:9" x14ac:dyDescent="0.2">
      <c r="A1505" t="s">
        <v>1669</v>
      </c>
      <c r="B1505">
        <v>4.2344999999999997</v>
      </c>
      <c r="C1505">
        <v>5.9310000000000002E-2</v>
      </c>
      <c r="D1505">
        <v>245</v>
      </c>
      <c r="E1505" t="s">
        <v>1669</v>
      </c>
      <c r="F1505">
        <v>245</v>
      </c>
      <c r="G1505" s="1">
        <v>45171</v>
      </c>
      <c r="H1505" s="6">
        <f t="shared" si="46"/>
        <v>16.333333333333009</v>
      </c>
      <c r="I1505" s="7">
        <f t="shared" si="47"/>
        <v>16.333333333333009</v>
      </c>
    </row>
    <row r="1506" spans="1:9" x14ac:dyDescent="0.2">
      <c r="A1506" t="s">
        <v>1670</v>
      </c>
      <c r="B1506">
        <v>4.2115</v>
      </c>
      <c r="C1506">
        <v>5.8994999999999999E-2</v>
      </c>
      <c r="D1506">
        <v>245</v>
      </c>
      <c r="E1506" t="s">
        <v>1670</v>
      </c>
      <c r="F1506">
        <v>245</v>
      </c>
      <c r="G1506" s="1">
        <v>45171</v>
      </c>
      <c r="H1506" s="6">
        <f t="shared" si="46"/>
        <v>16.343749999999677</v>
      </c>
      <c r="I1506" s="7">
        <f t="shared" si="47"/>
        <v>16.343749999999677</v>
      </c>
    </row>
    <row r="1507" spans="1:9" x14ac:dyDescent="0.2">
      <c r="A1507" t="s">
        <v>1671</v>
      </c>
      <c r="B1507">
        <v>4.1989999999999998</v>
      </c>
      <c r="C1507">
        <v>5.8825000000000002E-2</v>
      </c>
      <c r="D1507">
        <v>245</v>
      </c>
      <c r="E1507" t="s">
        <v>1671</v>
      </c>
      <c r="F1507">
        <v>245</v>
      </c>
      <c r="G1507" s="1">
        <v>45171</v>
      </c>
      <c r="H1507" s="6">
        <f t="shared" si="46"/>
        <v>16.354166666666345</v>
      </c>
      <c r="I1507" s="7">
        <f t="shared" si="47"/>
        <v>16.354166666666345</v>
      </c>
    </row>
    <row r="1508" spans="1:9" x14ac:dyDescent="0.2">
      <c r="A1508" t="s">
        <v>1672</v>
      </c>
      <c r="B1508">
        <v>4.1855000000000002</v>
      </c>
      <c r="C1508">
        <v>5.8610000000000002E-2</v>
      </c>
      <c r="D1508">
        <v>245</v>
      </c>
      <c r="E1508" t="s">
        <v>1672</v>
      </c>
      <c r="F1508">
        <v>245</v>
      </c>
      <c r="G1508" s="1">
        <v>45171</v>
      </c>
      <c r="H1508" s="6">
        <f t="shared" si="46"/>
        <v>16.364583333333012</v>
      </c>
      <c r="I1508" s="7">
        <f t="shared" si="47"/>
        <v>16.364583333333012</v>
      </c>
    </row>
    <row r="1509" spans="1:9" x14ac:dyDescent="0.2">
      <c r="A1509" t="s">
        <v>1673</v>
      </c>
      <c r="B1509">
        <v>4.1159999999999997</v>
      </c>
      <c r="C1509">
        <v>5.7669999999999999E-2</v>
      </c>
      <c r="D1509">
        <v>245</v>
      </c>
      <c r="E1509" t="s">
        <v>1673</v>
      </c>
      <c r="F1509">
        <v>245</v>
      </c>
      <c r="G1509" s="1">
        <v>45171</v>
      </c>
      <c r="H1509" s="6">
        <f t="shared" si="46"/>
        <v>16.37499999999968</v>
      </c>
      <c r="I1509" s="7">
        <f t="shared" si="47"/>
        <v>16.37499999999968</v>
      </c>
    </row>
    <row r="1510" spans="1:9" x14ac:dyDescent="0.2">
      <c r="A1510" t="s">
        <v>1674</v>
      </c>
      <c r="B1510">
        <v>4.0955000000000004</v>
      </c>
      <c r="C1510">
        <v>5.7369999999999997E-2</v>
      </c>
      <c r="D1510">
        <v>245</v>
      </c>
      <c r="E1510" t="s">
        <v>1674</v>
      </c>
      <c r="F1510">
        <v>245</v>
      </c>
      <c r="G1510" s="1">
        <v>45171</v>
      </c>
      <c r="H1510" s="6">
        <f t="shared" si="46"/>
        <v>16.385416666666348</v>
      </c>
      <c r="I1510" s="7">
        <f t="shared" si="47"/>
        <v>16.385416666666348</v>
      </c>
    </row>
    <row r="1511" spans="1:9" x14ac:dyDescent="0.2">
      <c r="A1511" t="s">
        <v>1675</v>
      </c>
      <c r="B1511">
        <v>4.0205000000000002</v>
      </c>
      <c r="C1511">
        <v>5.6320000000000002E-2</v>
      </c>
      <c r="D1511">
        <v>245</v>
      </c>
      <c r="E1511" t="s">
        <v>1675</v>
      </c>
      <c r="F1511">
        <v>245</v>
      </c>
      <c r="G1511" s="1">
        <v>45171</v>
      </c>
      <c r="H1511" s="6">
        <f t="shared" si="46"/>
        <v>16.395833333333016</v>
      </c>
      <c r="I1511" s="7">
        <f t="shared" si="47"/>
        <v>16.395833333333016</v>
      </c>
    </row>
    <row r="1512" spans="1:9" x14ac:dyDescent="0.2">
      <c r="A1512" t="s">
        <v>1676</v>
      </c>
      <c r="B1512">
        <v>3.944</v>
      </c>
      <c r="C1512">
        <v>5.5245000000000002E-2</v>
      </c>
      <c r="D1512">
        <v>245</v>
      </c>
      <c r="E1512" t="s">
        <v>1676</v>
      </c>
      <c r="F1512">
        <v>245</v>
      </c>
      <c r="G1512" s="1">
        <v>45171</v>
      </c>
      <c r="H1512" s="6">
        <f t="shared" si="46"/>
        <v>16.406249999999684</v>
      </c>
      <c r="I1512" s="7">
        <f t="shared" si="47"/>
        <v>16.406249999999684</v>
      </c>
    </row>
    <row r="1513" spans="1:9" x14ac:dyDescent="0.2">
      <c r="A1513" t="s">
        <v>1677</v>
      </c>
      <c r="B1513">
        <v>3.9220000000000002</v>
      </c>
      <c r="C1513">
        <v>5.4960000000000002E-2</v>
      </c>
      <c r="D1513">
        <v>245</v>
      </c>
      <c r="E1513" t="s">
        <v>1677</v>
      </c>
      <c r="F1513">
        <v>245</v>
      </c>
      <c r="G1513" s="1">
        <v>45171</v>
      </c>
      <c r="H1513" s="6">
        <f t="shared" si="46"/>
        <v>16.416666666666352</v>
      </c>
      <c r="I1513" s="7">
        <f t="shared" si="47"/>
        <v>16.416666666666352</v>
      </c>
    </row>
    <row r="1514" spans="1:9" x14ac:dyDescent="0.2">
      <c r="A1514" t="s">
        <v>1678</v>
      </c>
      <c r="B1514">
        <v>3.8614999999999999</v>
      </c>
      <c r="C1514">
        <v>5.4105E-2</v>
      </c>
      <c r="D1514">
        <v>245</v>
      </c>
      <c r="E1514" t="s">
        <v>1678</v>
      </c>
      <c r="F1514">
        <v>245</v>
      </c>
      <c r="G1514" s="1">
        <v>45171</v>
      </c>
      <c r="H1514" s="6">
        <f t="shared" si="46"/>
        <v>16.42708333333302</v>
      </c>
      <c r="I1514" s="7">
        <f t="shared" si="47"/>
        <v>16.42708333333302</v>
      </c>
    </row>
    <row r="1515" spans="1:9" x14ac:dyDescent="0.2">
      <c r="A1515" t="s">
        <v>1679</v>
      </c>
      <c r="B1515">
        <v>3.8079999999999998</v>
      </c>
      <c r="C1515">
        <v>5.3319999999999999E-2</v>
      </c>
      <c r="D1515">
        <v>245</v>
      </c>
      <c r="E1515" t="s">
        <v>1679</v>
      </c>
      <c r="F1515">
        <v>245</v>
      </c>
      <c r="G1515" s="1">
        <v>45171</v>
      </c>
      <c r="H1515" s="6">
        <f t="shared" si="46"/>
        <v>16.437499999999687</v>
      </c>
      <c r="I1515" s="7">
        <f t="shared" si="47"/>
        <v>16.437499999999687</v>
      </c>
    </row>
    <row r="1516" spans="1:9" x14ac:dyDescent="0.2">
      <c r="A1516" t="s">
        <v>1680</v>
      </c>
      <c r="B1516">
        <v>3.76</v>
      </c>
      <c r="C1516" s="2" t="s">
        <v>1681</v>
      </c>
      <c r="D1516">
        <v>245</v>
      </c>
      <c r="E1516" t="s">
        <v>1680</v>
      </c>
      <c r="F1516">
        <v>245</v>
      </c>
      <c r="G1516" s="1">
        <v>45171</v>
      </c>
      <c r="H1516" s="6">
        <f t="shared" si="46"/>
        <v>16.447916666666355</v>
      </c>
      <c r="I1516" s="7">
        <f t="shared" si="47"/>
        <v>16.447916666666355</v>
      </c>
    </row>
    <row r="1517" spans="1:9" x14ac:dyDescent="0.2">
      <c r="A1517" t="s">
        <v>1682</v>
      </c>
      <c r="B1517">
        <v>3.7105000000000001</v>
      </c>
      <c r="C1517">
        <v>5.1959999999999999E-2</v>
      </c>
      <c r="D1517">
        <v>245</v>
      </c>
      <c r="E1517" t="s">
        <v>1682</v>
      </c>
      <c r="F1517">
        <v>245</v>
      </c>
      <c r="G1517" s="1">
        <v>45171</v>
      </c>
      <c r="H1517" s="6">
        <f t="shared" si="46"/>
        <v>16.458333333333023</v>
      </c>
      <c r="I1517" s="7">
        <f t="shared" si="47"/>
        <v>16.458333333333023</v>
      </c>
    </row>
    <row r="1518" spans="1:9" x14ac:dyDescent="0.2">
      <c r="A1518" t="s">
        <v>1683</v>
      </c>
      <c r="B1518">
        <v>3.7134999999999998</v>
      </c>
      <c r="C1518">
        <v>5.1999999999999998E-2</v>
      </c>
      <c r="D1518">
        <v>245</v>
      </c>
      <c r="E1518" t="s">
        <v>1683</v>
      </c>
      <c r="F1518">
        <v>245</v>
      </c>
      <c r="G1518" s="1">
        <v>45171</v>
      </c>
      <c r="H1518" s="6">
        <f t="shared" si="46"/>
        <v>16.468749999999691</v>
      </c>
      <c r="I1518" s="7">
        <f t="shared" si="47"/>
        <v>16.468749999999691</v>
      </c>
    </row>
    <row r="1519" spans="1:9" x14ac:dyDescent="0.2">
      <c r="A1519" t="s">
        <v>1684</v>
      </c>
      <c r="B1519">
        <v>3.6629999999999998</v>
      </c>
      <c r="C1519">
        <v>5.1319999999999998E-2</v>
      </c>
      <c r="D1519">
        <v>245</v>
      </c>
      <c r="E1519" t="s">
        <v>1684</v>
      </c>
      <c r="F1519">
        <v>245</v>
      </c>
      <c r="G1519" s="1">
        <v>45171</v>
      </c>
      <c r="H1519" s="6">
        <f t="shared" si="46"/>
        <v>16.479166666666359</v>
      </c>
      <c r="I1519" s="7">
        <f t="shared" si="47"/>
        <v>16.479166666666359</v>
      </c>
    </row>
    <row r="1520" spans="1:9" x14ac:dyDescent="0.2">
      <c r="A1520" t="s">
        <v>1685</v>
      </c>
      <c r="B1520">
        <v>3.6324999999999998</v>
      </c>
      <c r="C1520">
        <v>5.0895000000000003E-2</v>
      </c>
      <c r="D1520">
        <v>245</v>
      </c>
      <c r="E1520" t="s">
        <v>1685</v>
      </c>
      <c r="F1520">
        <v>245</v>
      </c>
      <c r="G1520" s="1">
        <v>45171</v>
      </c>
      <c r="H1520" s="6">
        <f t="shared" si="46"/>
        <v>16.489583333333027</v>
      </c>
      <c r="I1520" s="7">
        <f t="shared" si="47"/>
        <v>16.489583333333027</v>
      </c>
    </row>
    <row r="1521" spans="1:9" x14ac:dyDescent="0.2">
      <c r="A1521" t="s">
        <v>1686</v>
      </c>
      <c r="B1521">
        <v>3.6070000000000002</v>
      </c>
      <c r="C1521">
        <v>5.0525E-2</v>
      </c>
      <c r="D1521">
        <v>245</v>
      </c>
      <c r="E1521" t="s">
        <v>1686</v>
      </c>
      <c r="F1521">
        <v>245</v>
      </c>
      <c r="G1521" s="1">
        <v>45171</v>
      </c>
      <c r="H1521" s="6">
        <f t="shared" si="46"/>
        <v>16.499999999999694</v>
      </c>
      <c r="I1521" s="7">
        <f t="shared" si="47"/>
        <v>16.499999999999694</v>
      </c>
    </row>
    <row r="1522" spans="1:9" x14ac:dyDescent="0.2">
      <c r="A1522" t="s">
        <v>1687</v>
      </c>
      <c r="B1522" s="2" t="s">
        <v>1688</v>
      </c>
      <c r="C1522">
        <v>5.0729999999999997E-2</v>
      </c>
      <c r="D1522">
        <v>245</v>
      </c>
      <c r="E1522" t="s">
        <v>1687</v>
      </c>
      <c r="F1522">
        <v>245</v>
      </c>
      <c r="G1522" s="1">
        <v>45171</v>
      </c>
      <c r="H1522" s="6">
        <f t="shared" si="46"/>
        <v>16.510416666666362</v>
      </c>
      <c r="I1522" s="7">
        <f t="shared" si="47"/>
        <v>16.510416666666362</v>
      </c>
    </row>
    <row r="1523" spans="1:9" x14ac:dyDescent="0.2">
      <c r="A1523" t="s">
        <v>1689</v>
      </c>
      <c r="B1523">
        <v>3.621</v>
      </c>
      <c r="C1523" s="2" t="s">
        <v>1690</v>
      </c>
      <c r="D1523">
        <v>245</v>
      </c>
      <c r="E1523" t="s">
        <v>1689</v>
      </c>
      <c r="F1523">
        <v>245</v>
      </c>
      <c r="G1523" s="1">
        <v>45171</v>
      </c>
      <c r="H1523" s="6">
        <f t="shared" si="46"/>
        <v>16.52083333333303</v>
      </c>
      <c r="I1523" s="7">
        <f t="shared" si="47"/>
        <v>16.52083333333303</v>
      </c>
    </row>
    <row r="1524" spans="1:9" x14ac:dyDescent="0.2">
      <c r="A1524" t="s">
        <v>1691</v>
      </c>
      <c r="B1524">
        <v>3.57</v>
      </c>
      <c r="C1524">
        <v>4.9994999999999998E-2</v>
      </c>
      <c r="D1524">
        <v>245</v>
      </c>
      <c r="E1524" t="s">
        <v>1691</v>
      </c>
      <c r="F1524">
        <v>245</v>
      </c>
      <c r="G1524" s="1">
        <v>45171</v>
      </c>
      <c r="H1524" s="6">
        <f t="shared" si="46"/>
        <v>16.531249999999698</v>
      </c>
      <c r="I1524" s="7">
        <f t="shared" si="47"/>
        <v>16.531249999999698</v>
      </c>
    </row>
    <row r="1525" spans="1:9" x14ac:dyDescent="0.2">
      <c r="A1525" t="s">
        <v>1692</v>
      </c>
      <c r="B1525" s="2" t="s">
        <v>1693</v>
      </c>
      <c r="C1525">
        <v>5.0630000000000001E-2</v>
      </c>
      <c r="D1525">
        <v>245</v>
      </c>
      <c r="E1525" t="s">
        <v>1692</v>
      </c>
      <c r="F1525">
        <v>245</v>
      </c>
      <c r="G1525" s="1">
        <v>45171</v>
      </c>
      <c r="H1525" s="6">
        <f t="shared" si="46"/>
        <v>16.541666666666366</v>
      </c>
      <c r="I1525" s="7">
        <f t="shared" si="47"/>
        <v>16.541666666666366</v>
      </c>
    </row>
    <row r="1526" spans="1:9" x14ac:dyDescent="0.2">
      <c r="A1526" t="s">
        <v>1694</v>
      </c>
      <c r="B1526">
        <v>3.5895000000000001</v>
      </c>
      <c r="C1526">
        <v>5.0299999999999997E-2</v>
      </c>
      <c r="D1526">
        <v>245</v>
      </c>
      <c r="E1526" t="s">
        <v>1694</v>
      </c>
      <c r="F1526">
        <v>245</v>
      </c>
      <c r="G1526" s="1">
        <v>45171</v>
      </c>
      <c r="H1526" s="6">
        <f t="shared" si="46"/>
        <v>16.552083333333034</v>
      </c>
      <c r="I1526" s="7">
        <f t="shared" si="47"/>
        <v>16.552083333333034</v>
      </c>
    </row>
    <row r="1527" spans="1:9" x14ac:dyDescent="0.2">
      <c r="A1527" t="s">
        <v>1695</v>
      </c>
      <c r="B1527">
        <v>3.6055000000000001</v>
      </c>
      <c r="C1527">
        <v>5.0500000000000003E-2</v>
      </c>
      <c r="D1527">
        <v>245</v>
      </c>
      <c r="E1527" t="s">
        <v>1695</v>
      </c>
      <c r="F1527">
        <v>245</v>
      </c>
      <c r="G1527" s="1">
        <v>45171</v>
      </c>
      <c r="H1527" s="6">
        <f t="shared" si="46"/>
        <v>16.562499999999702</v>
      </c>
      <c r="I1527" s="7">
        <f t="shared" si="47"/>
        <v>16.562499999999702</v>
      </c>
    </row>
    <row r="1528" spans="1:9" x14ac:dyDescent="0.2">
      <c r="A1528" t="s">
        <v>1696</v>
      </c>
      <c r="B1528">
        <v>3.5655000000000001</v>
      </c>
      <c r="C1528">
        <v>4.9945000000000003E-2</v>
      </c>
      <c r="D1528">
        <v>245</v>
      </c>
      <c r="E1528" t="s">
        <v>1696</v>
      </c>
      <c r="F1528">
        <v>245</v>
      </c>
      <c r="G1528" s="1">
        <v>45171</v>
      </c>
      <c r="H1528" s="6">
        <f t="shared" si="46"/>
        <v>16.572916666666369</v>
      </c>
      <c r="I1528" s="7">
        <f t="shared" si="47"/>
        <v>16.572916666666369</v>
      </c>
    </row>
    <row r="1529" spans="1:9" x14ac:dyDescent="0.2">
      <c r="A1529" t="s">
        <v>1697</v>
      </c>
      <c r="B1529">
        <v>3.5990000000000002</v>
      </c>
      <c r="C1529">
        <v>5.0415000000000001E-2</v>
      </c>
      <c r="D1529">
        <v>245</v>
      </c>
      <c r="E1529" t="s">
        <v>1697</v>
      </c>
      <c r="F1529">
        <v>245</v>
      </c>
      <c r="G1529" s="1">
        <v>45171</v>
      </c>
      <c r="H1529" s="6">
        <f t="shared" si="46"/>
        <v>16.583333333333037</v>
      </c>
      <c r="I1529" s="7">
        <f t="shared" si="47"/>
        <v>16.583333333333037</v>
      </c>
    </row>
    <row r="1530" spans="1:9" x14ac:dyDescent="0.2">
      <c r="A1530" t="s">
        <v>1698</v>
      </c>
      <c r="B1530">
        <v>3.5739999999999998</v>
      </c>
      <c r="C1530">
        <v>5.008E-2</v>
      </c>
      <c r="D1530">
        <v>245</v>
      </c>
      <c r="E1530" t="s">
        <v>1698</v>
      </c>
      <c r="F1530">
        <v>245</v>
      </c>
      <c r="G1530" s="1">
        <v>45171</v>
      </c>
      <c r="H1530" s="6">
        <f t="shared" si="46"/>
        <v>16.593749999999705</v>
      </c>
      <c r="I1530" s="7">
        <f t="shared" si="47"/>
        <v>16.593749999999705</v>
      </c>
    </row>
    <row r="1531" spans="1:9" x14ac:dyDescent="0.2">
      <c r="A1531" t="s">
        <v>1699</v>
      </c>
      <c r="B1531">
        <v>3.6074999999999999</v>
      </c>
      <c r="C1531">
        <v>5.0514999999999997E-2</v>
      </c>
      <c r="D1531">
        <v>245</v>
      </c>
      <c r="E1531" t="s">
        <v>1699</v>
      </c>
      <c r="F1531">
        <v>245</v>
      </c>
      <c r="G1531" s="1">
        <v>45171</v>
      </c>
      <c r="H1531" s="6">
        <f t="shared" si="46"/>
        <v>16.604166666666373</v>
      </c>
      <c r="I1531" s="7">
        <f t="shared" si="47"/>
        <v>16.604166666666373</v>
      </c>
    </row>
    <row r="1532" spans="1:9" x14ac:dyDescent="0.2">
      <c r="A1532" t="s">
        <v>1700</v>
      </c>
      <c r="B1532">
        <v>3.585</v>
      </c>
      <c r="C1532">
        <v>5.0205E-2</v>
      </c>
      <c r="D1532">
        <v>245</v>
      </c>
      <c r="E1532" t="s">
        <v>1700</v>
      </c>
      <c r="F1532">
        <v>245</v>
      </c>
      <c r="G1532" s="1">
        <v>45171</v>
      </c>
      <c r="H1532" s="6">
        <f t="shared" si="46"/>
        <v>16.614583333333041</v>
      </c>
      <c r="I1532" s="7">
        <f t="shared" si="47"/>
        <v>16.614583333333041</v>
      </c>
    </row>
    <row r="1533" spans="1:9" x14ac:dyDescent="0.2">
      <c r="A1533" t="s">
        <v>1701</v>
      </c>
      <c r="B1533">
        <v>3.5615000000000001</v>
      </c>
      <c r="C1533" s="2" t="s">
        <v>1702</v>
      </c>
      <c r="D1533">
        <v>245</v>
      </c>
      <c r="E1533" t="s">
        <v>1701</v>
      </c>
      <c r="F1533">
        <v>245</v>
      </c>
      <c r="G1533" s="1">
        <v>45171</v>
      </c>
      <c r="H1533" s="6">
        <f t="shared" si="46"/>
        <v>16.624999999999709</v>
      </c>
      <c r="I1533" s="7">
        <f t="shared" si="47"/>
        <v>16.624999999999709</v>
      </c>
    </row>
    <row r="1534" spans="1:9" x14ac:dyDescent="0.2">
      <c r="A1534" t="s">
        <v>1703</v>
      </c>
      <c r="B1534">
        <v>3.5510000000000002</v>
      </c>
      <c r="C1534">
        <v>4.9755000000000001E-2</v>
      </c>
      <c r="D1534">
        <v>245</v>
      </c>
      <c r="E1534" t="s">
        <v>1703</v>
      </c>
      <c r="F1534">
        <v>245</v>
      </c>
      <c r="G1534" s="1">
        <v>45171</v>
      </c>
      <c r="H1534" s="6">
        <f t="shared" si="46"/>
        <v>16.635416666666377</v>
      </c>
      <c r="I1534" s="7">
        <f t="shared" si="47"/>
        <v>16.635416666666377</v>
      </c>
    </row>
    <row r="1535" spans="1:9" x14ac:dyDescent="0.2">
      <c r="A1535" t="s">
        <v>1704</v>
      </c>
      <c r="B1535">
        <v>3.53</v>
      </c>
      <c r="C1535">
        <v>4.9445000000000003E-2</v>
      </c>
      <c r="D1535">
        <v>245</v>
      </c>
      <c r="E1535" t="s">
        <v>1704</v>
      </c>
      <c r="F1535">
        <v>245</v>
      </c>
      <c r="G1535" s="1">
        <v>45171</v>
      </c>
      <c r="H1535" s="6">
        <f t="shared" si="46"/>
        <v>16.645833333333044</v>
      </c>
      <c r="I1535" s="7">
        <f t="shared" si="47"/>
        <v>16.645833333333044</v>
      </c>
    </row>
    <row r="1536" spans="1:9" x14ac:dyDescent="0.2">
      <c r="A1536" t="s">
        <v>1705</v>
      </c>
      <c r="B1536">
        <v>3.4984999999999999</v>
      </c>
      <c r="C1536">
        <v>4.9020000000000001E-2</v>
      </c>
      <c r="D1536">
        <v>245</v>
      </c>
      <c r="E1536" t="s">
        <v>1705</v>
      </c>
      <c r="F1536">
        <v>245</v>
      </c>
      <c r="G1536" s="1">
        <v>45171</v>
      </c>
      <c r="H1536" s="6">
        <f t="shared" si="46"/>
        <v>16.656249999999712</v>
      </c>
      <c r="I1536" s="7">
        <f t="shared" si="47"/>
        <v>16.656249999999712</v>
      </c>
    </row>
    <row r="1537" spans="1:9" x14ac:dyDescent="0.2">
      <c r="A1537" t="s">
        <v>1706</v>
      </c>
      <c r="B1537">
        <v>3.5225</v>
      </c>
      <c r="C1537" s="2" t="s">
        <v>1707</v>
      </c>
      <c r="D1537">
        <v>245</v>
      </c>
      <c r="E1537" t="s">
        <v>1706</v>
      </c>
      <c r="F1537">
        <v>245</v>
      </c>
      <c r="G1537" s="1">
        <v>45171</v>
      </c>
      <c r="H1537" s="6">
        <f t="shared" si="46"/>
        <v>16.66666666666638</v>
      </c>
      <c r="I1537" s="7">
        <f t="shared" si="47"/>
        <v>16.66666666666638</v>
      </c>
    </row>
    <row r="1538" spans="1:9" x14ac:dyDescent="0.2">
      <c r="A1538" t="s">
        <v>1708</v>
      </c>
      <c r="B1538">
        <v>3.532</v>
      </c>
      <c r="C1538">
        <v>4.9474999999999998E-2</v>
      </c>
      <c r="D1538">
        <v>245</v>
      </c>
      <c r="E1538" t="s">
        <v>1708</v>
      </c>
      <c r="F1538">
        <v>245</v>
      </c>
      <c r="G1538" s="1">
        <v>45171</v>
      </c>
      <c r="H1538" s="6">
        <f t="shared" si="46"/>
        <v>16.677083333333048</v>
      </c>
      <c r="I1538" s="7">
        <f t="shared" si="47"/>
        <v>16.677083333333048</v>
      </c>
    </row>
    <row r="1539" spans="1:9" x14ac:dyDescent="0.2">
      <c r="A1539" t="s">
        <v>1709</v>
      </c>
      <c r="B1539">
        <v>3.5145</v>
      </c>
      <c r="C1539">
        <v>4.9224999999999998E-2</v>
      </c>
      <c r="D1539">
        <v>245</v>
      </c>
      <c r="E1539" t="s">
        <v>1709</v>
      </c>
      <c r="F1539">
        <v>245</v>
      </c>
      <c r="G1539" s="1">
        <v>45171</v>
      </c>
      <c r="H1539" s="6">
        <f t="shared" ref="H1539:H1602" si="48">H1538+$K$1</f>
        <v>16.687499999999716</v>
      </c>
      <c r="I1539" s="7">
        <f t="shared" ref="I1539:I1602" si="49">I1538+$K$1</f>
        <v>16.687499999999716</v>
      </c>
    </row>
    <row r="1540" spans="1:9" x14ac:dyDescent="0.2">
      <c r="A1540" t="s">
        <v>1710</v>
      </c>
      <c r="B1540">
        <v>3.5659999999999998</v>
      </c>
      <c r="C1540">
        <v>4.9945000000000003E-2</v>
      </c>
      <c r="D1540">
        <v>245</v>
      </c>
      <c r="E1540" t="s">
        <v>1710</v>
      </c>
      <c r="F1540">
        <v>245</v>
      </c>
      <c r="G1540" s="1">
        <v>45171</v>
      </c>
      <c r="H1540" s="6">
        <f t="shared" si="48"/>
        <v>16.697916666666384</v>
      </c>
      <c r="I1540" s="7">
        <f t="shared" si="49"/>
        <v>16.697916666666384</v>
      </c>
    </row>
    <row r="1541" spans="1:9" x14ac:dyDescent="0.2">
      <c r="A1541" t="s">
        <v>1711</v>
      </c>
      <c r="B1541">
        <v>3.5665</v>
      </c>
      <c r="C1541">
        <v>4.9945000000000003E-2</v>
      </c>
      <c r="D1541">
        <v>245</v>
      </c>
      <c r="E1541" t="s">
        <v>1711</v>
      </c>
      <c r="F1541">
        <v>245</v>
      </c>
      <c r="G1541" s="1">
        <v>45171</v>
      </c>
      <c r="H1541" s="6">
        <f t="shared" si="48"/>
        <v>16.708333333333051</v>
      </c>
      <c r="I1541" s="7">
        <f t="shared" si="49"/>
        <v>16.708333333333051</v>
      </c>
    </row>
    <row r="1542" spans="1:9" x14ac:dyDescent="0.2">
      <c r="A1542" t="s">
        <v>1712</v>
      </c>
      <c r="B1542">
        <v>3.5425</v>
      </c>
      <c r="C1542">
        <v>4.9614999999999999E-2</v>
      </c>
      <c r="D1542">
        <v>245</v>
      </c>
      <c r="E1542" t="s">
        <v>1712</v>
      </c>
      <c r="F1542">
        <v>245</v>
      </c>
      <c r="G1542" s="1">
        <v>45171</v>
      </c>
      <c r="H1542" s="6">
        <f t="shared" si="48"/>
        <v>16.718749999999719</v>
      </c>
      <c r="I1542" s="7">
        <f t="shared" si="49"/>
        <v>16.718749999999719</v>
      </c>
    </row>
    <row r="1543" spans="1:9" x14ac:dyDescent="0.2">
      <c r="A1543" t="s">
        <v>1713</v>
      </c>
      <c r="B1543">
        <v>3.5655000000000001</v>
      </c>
      <c r="C1543">
        <v>4.9930000000000002E-2</v>
      </c>
      <c r="D1543">
        <v>245</v>
      </c>
      <c r="E1543" t="s">
        <v>1713</v>
      </c>
      <c r="F1543">
        <v>245</v>
      </c>
      <c r="G1543" s="1">
        <v>45171</v>
      </c>
      <c r="H1543" s="6">
        <f t="shared" si="48"/>
        <v>16.729166666666387</v>
      </c>
      <c r="I1543" s="7">
        <f t="shared" si="49"/>
        <v>16.729166666666387</v>
      </c>
    </row>
    <row r="1544" spans="1:9" x14ac:dyDescent="0.2">
      <c r="A1544" t="s">
        <v>1714</v>
      </c>
      <c r="B1544">
        <v>3.552</v>
      </c>
      <c r="C1544">
        <v>4.9755000000000001E-2</v>
      </c>
      <c r="D1544">
        <v>245</v>
      </c>
      <c r="E1544" t="s">
        <v>1714</v>
      </c>
      <c r="F1544">
        <v>245</v>
      </c>
      <c r="G1544" s="1">
        <v>45171</v>
      </c>
      <c r="H1544" s="6">
        <f t="shared" si="48"/>
        <v>16.739583333333055</v>
      </c>
      <c r="I1544" s="7">
        <f t="shared" si="49"/>
        <v>16.739583333333055</v>
      </c>
    </row>
    <row r="1545" spans="1:9" x14ac:dyDescent="0.2">
      <c r="A1545" t="s">
        <v>1715</v>
      </c>
      <c r="B1545">
        <v>3.5649999999999999</v>
      </c>
      <c r="C1545">
        <v>4.9945000000000003E-2</v>
      </c>
      <c r="D1545">
        <v>246</v>
      </c>
      <c r="E1545" t="s">
        <v>1715</v>
      </c>
      <c r="F1545">
        <v>245</v>
      </c>
      <c r="G1545" s="1">
        <v>45171</v>
      </c>
      <c r="H1545" s="6">
        <f t="shared" si="48"/>
        <v>16.749999999999723</v>
      </c>
      <c r="I1545" s="7">
        <f t="shared" si="49"/>
        <v>16.749999999999723</v>
      </c>
    </row>
    <row r="1546" spans="1:9" x14ac:dyDescent="0.2">
      <c r="A1546" t="s">
        <v>1716</v>
      </c>
      <c r="B1546">
        <v>3.5815000000000001</v>
      </c>
      <c r="C1546">
        <v>5.0185E-2</v>
      </c>
      <c r="D1546">
        <v>246</v>
      </c>
      <c r="E1546" t="s">
        <v>1716</v>
      </c>
      <c r="F1546">
        <v>245</v>
      </c>
      <c r="G1546" s="1">
        <v>45171</v>
      </c>
      <c r="H1546" s="6">
        <f t="shared" si="48"/>
        <v>16.760416666666391</v>
      </c>
      <c r="I1546" s="7">
        <f t="shared" si="49"/>
        <v>16.760416666666391</v>
      </c>
    </row>
    <row r="1547" spans="1:9" x14ac:dyDescent="0.2">
      <c r="A1547" t="s">
        <v>1717</v>
      </c>
      <c r="B1547">
        <v>3.5865</v>
      </c>
      <c r="C1547">
        <v>5.0229999999999997E-2</v>
      </c>
      <c r="D1547">
        <v>246</v>
      </c>
      <c r="E1547" t="s">
        <v>1717</v>
      </c>
      <c r="F1547">
        <v>245</v>
      </c>
      <c r="G1547" s="1">
        <v>45171</v>
      </c>
      <c r="H1547" s="6">
        <f t="shared" si="48"/>
        <v>16.770833333333059</v>
      </c>
      <c r="I1547" s="7">
        <f t="shared" si="49"/>
        <v>16.770833333333059</v>
      </c>
    </row>
    <row r="1548" spans="1:9" x14ac:dyDescent="0.2">
      <c r="A1548" t="s">
        <v>1718</v>
      </c>
      <c r="B1548">
        <v>3.5764999999999998</v>
      </c>
      <c r="C1548">
        <v>5.0099999999999999E-2</v>
      </c>
      <c r="D1548">
        <v>246</v>
      </c>
      <c r="E1548" t="s">
        <v>1718</v>
      </c>
      <c r="F1548">
        <v>245</v>
      </c>
      <c r="G1548" s="1">
        <v>45171</v>
      </c>
      <c r="H1548" s="6">
        <f t="shared" si="48"/>
        <v>16.781249999999726</v>
      </c>
      <c r="I1548" s="7">
        <f t="shared" si="49"/>
        <v>16.781249999999726</v>
      </c>
    </row>
    <row r="1549" spans="1:9" x14ac:dyDescent="0.2">
      <c r="A1549" t="s">
        <v>1719</v>
      </c>
      <c r="B1549">
        <v>3.5844999999999998</v>
      </c>
      <c r="C1549">
        <v>5.0215000000000003E-2</v>
      </c>
      <c r="D1549">
        <v>246</v>
      </c>
      <c r="E1549" t="s">
        <v>1719</v>
      </c>
      <c r="F1549">
        <v>245</v>
      </c>
      <c r="G1549" s="1">
        <v>45171</v>
      </c>
      <c r="H1549" s="6">
        <f t="shared" si="48"/>
        <v>16.791666666666394</v>
      </c>
      <c r="I1549" s="7">
        <f t="shared" si="49"/>
        <v>16.791666666666394</v>
      </c>
    </row>
    <row r="1550" spans="1:9" x14ac:dyDescent="0.2">
      <c r="A1550" t="s">
        <v>1720</v>
      </c>
      <c r="B1550">
        <v>3.5990000000000002</v>
      </c>
      <c r="C1550">
        <v>5.0395000000000002E-2</v>
      </c>
      <c r="D1550">
        <v>246</v>
      </c>
      <c r="E1550" t="s">
        <v>1720</v>
      </c>
      <c r="F1550">
        <v>245</v>
      </c>
      <c r="G1550" s="1">
        <v>45171</v>
      </c>
      <c r="H1550" s="6">
        <f t="shared" si="48"/>
        <v>16.802083333333062</v>
      </c>
      <c r="I1550" s="7">
        <f t="shared" si="49"/>
        <v>16.802083333333062</v>
      </c>
    </row>
    <row r="1551" spans="1:9" x14ac:dyDescent="0.2">
      <c r="A1551" t="s">
        <v>1721</v>
      </c>
      <c r="B1551">
        <v>3.62</v>
      </c>
      <c r="C1551">
        <v>5.0674999999999998E-2</v>
      </c>
      <c r="D1551">
        <v>246</v>
      </c>
      <c r="E1551" t="s">
        <v>1721</v>
      </c>
      <c r="F1551">
        <v>245</v>
      </c>
      <c r="G1551" s="1">
        <v>45171</v>
      </c>
      <c r="H1551" s="6">
        <f t="shared" si="48"/>
        <v>16.81249999999973</v>
      </c>
      <c r="I1551" s="7">
        <f t="shared" si="49"/>
        <v>16.81249999999973</v>
      </c>
    </row>
    <row r="1552" spans="1:9" x14ac:dyDescent="0.2">
      <c r="A1552" t="s">
        <v>1722</v>
      </c>
      <c r="B1552">
        <v>3.6225000000000001</v>
      </c>
      <c r="C1552">
        <v>5.0755000000000002E-2</v>
      </c>
      <c r="D1552">
        <v>246</v>
      </c>
      <c r="E1552" t="s">
        <v>1722</v>
      </c>
      <c r="F1552">
        <v>245</v>
      </c>
      <c r="G1552" s="1">
        <v>45171</v>
      </c>
      <c r="H1552" s="6">
        <f t="shared" si="48"/>
        <v>16.822916666666398</v>
      </c>
      <c r="I1552" s="7">
        <f t="shared" si="49"/>
        <v>16.822916666666398</v>
      </c>
    </row>
    <row r="1553" spans="1:9" x14ac:dyDescent="0.2">
      <c r="A1553" t="s">
        <v>1723</v>
      </c>
      <c r="B1553">
        <v>3.6194999999999999</v>
      </c>
      <c r="C1553" s="2" t="s">
        <v>672</v>
      </c>
      <c r="D1553">
        <v>246</v>
      </c>
      <c r="E1553" t="s">
        <v>1723</v>
      </c>
      <c r="F1553">
        <v>245</v>
      </c>
      <c r="G1553" s="1">
        <v>45171</v>
      </c>
      <c r="H1553" s="6">
        <f t="shared" si="48"/>
        <v>16.833333333333066</v>
      </c>
      <c r="I1553" s="7">
        <f t="shared" si="49"/>
        <v>16.833333333333066</v>
      </c>
    </row>
    <row r="1554" spans="1:9" x14ac:dyDescent="0.2">
      <c r="A1554" t="s">
        <v>1724</v>
      </c>
      <c r="B1554">
        <v>3.65</v>
      </c>
      <c r="C1554">
        <v>5.1110000000000003E-2</v>
      </c>
      <c r="D1554">
        <v>246</v>
      </c>
      <c r="E1554" t="s">
        <v>1724</v>
      </c>
      <c r="F1554">
        <v>245</v>
      </c>
      <c r="G1554" s="1">
        <v>45171</v>
      </c>
      <c r="H1554" s="6">
        <f t="shared" si="48"/>
        <v>16.843749999999734</v>
      </c>
      <c r="I1554" s="7">
        <f t="shared" si="49"/>
        <v>16.843749999999734</v>
      </c>
    </row>
    <row r="1555" spans="1:9" x14ac:dyDescent="0.2">
      <c r="A1555" t="s">
        <v>1725</v>
      </c>
      <c r="B1555">
        <v>3.6324999999999998</v>
      </c>
      <c r="C1555">
        <v>5.0885E-2</v>
      </c>
      <c r="D1555">
        <v>246</v>
      </c>
      <c r="E1555" t="s">
        <v>1725</v>
      </c>
      <c r="F1555">
        <v>245</v>
      </c>
      <c r="G1555" s="1">
        <v>45171</v>
      </c>
      <c r="H1555" s="6">
        <f t="shared" si="48"/>
        <v>16.854166666666401</v>
      </c>
      <c r="I1555" s="7">
        <f t="shared" si="49"/>
        <v>16.854166666666401</v>
      </c>
    </row>
    <row r="1556" spans="1:9" x14ac:dyDescent="0.2">
      <c r="A1556" t="s">
        <v>1726</v>
      </c>
      <c r="B1556">
        <v>3.6815000000000002</v>
      </c>
      <c r="C1556">
        <v>5.1565E-2</v>
      </c>
      <c r="D1556">
        <v>246</v>
      </c>
      <c r="E1556" t="s">
        <v>1726</v>
      </c>
      <c r="F1556">
        <v>245</v>
      </c>
      <c r="G1556" s="1">
        <v>45171</v>
      </c>
      <c r="H1556" s="6">
        <f t="shared" si="48"/>
        <v>16.864583333333069</v>
      </c>
      <c r="I1556" s="7">
        <f t="shared" si="49"/>
        <v>16.864583333333069</v>
      </c>
    </row>
    <row r="1557" spans="1:9" x14ac:dyDescent="0.2">
      <c r="A1557" t="s">
        <v>1727</v>
      </c>
      <c r="B1557">
        <v>3.738</v>
      </c>
      <c r="C1557">
        <v>5.2330000000000002E-2</v>
      </c>
      <c r="D1557">
        <v>246</v>
      </c>
      <c r="E1557" t="s">
        <v>1727</v>
      </c>
      <c r="F1557">
        <v>245</v>
      </c>
      <c r="G1557" s="1">
        <v>45171</v>
      </c>
      <c r="H1557" s="6">
        <f t="shared" si="48"/>
        <v>16.874999999999737</v>
      </c>
      <c r="I1557" s="7">
        <f t="shared" si="49"/>
        <v>16.874999999999737</v>
      </c>
    </row>
    <row r="1558" spans="1:9" x14ac:dyDescent="0.2">
      <c r="A1558" t="s">
        <v>1728</v>
      </c>
      <c r="B1558">
        <v>3.7805</v>
      </c>
      <c r="C1558">
        <v>5.2940000000000001E-2</v>
      </c>
      <c r="D1558">
        <v>246</v>
      </c>
      <c r="E1558" t="s">
        <v>1728</v>
      </c>
      <c r="F1558">
        <v>245</v>
      </c>
      <c r="G1558" s="1">
        <v>45171</v>
      </c>
      <c r="H1558" s="6">
        <f t="shared" si="48"/>
        <v>16.885416666666405</v>
      </c>
      <c r="I1558" s="7">
        <f t="shared" si="49"/>
        <v>16.885416666666405</v>
      </c>
    </row>
    <row r="1559" spans="1:9" x14ac:dyDescent="0.2">
      <c r="A1559" t="s">
        <v>1729</v>
      </c>
      <c r="B1559">
        <v>3.835</v>
      </c>
      <c r="C1559">
        <v>5.3714999999999999E-2</v>
      </c>
      <c r="D1559">
        <v>246</v>
      </c>
      <c r="E1559" t="s">
        <v>1729</v>
      </c>
      <c r="F1559">
        <v>245</v>
      </c>
      <c r="G1559" s="1">
        <v>45171</v>
      </c>
      <c r="H1559" s="6">
        <f t="shared" si="48"/>
        <v>16.895833333333073</v>
      </c>
      <c r="I1559" s="7">
        <f t="shared" si="49"/>
        <v>16.895833333333073</v>
      </c>
    </row>
    <row r="1560" spans="1:9" x14ac:dyDescent="0.2">
      <c r="A1560" t="s">
        <v>1730</v>
      </c>
      <c r="B1560">
        <v>3.9175</v>
      </c>
      <c r="C1560">
        <v>5.4870000000000002E-2</v>
      </c>
      <c r="D1560">
        <v>246</v>
      </c>
      <c r="E1560" t="s">
        <v>1730</v>
      </c>
      <c r="F1560">
        <v>245</v>
      </c>
      <c r="G1560" s="1">
        <v>45171</v>
      </c>
      <c r="H1560" s="6">
        <f t="shared" si="48"/>
        <v>16.906249999999741</v>
      </c>
      <c r="I1560" s="7">
        <f t="shared" si="49"/>
        <v>16.906249999999741</v>
      </c>
    </row>
    <row r="1561" spans="1:9" x14ac:dyDescent="0.2">
      <c r="A1561" t="s">
        <v>1731</v>
      </c>
      <c r="B1561">
        <v>3.9420000000000002</v>
      </c>
      <c r="C1561">
        <v>5.5204999999999997E-2</v>
      </c>
      <c r="D1561">
        <v>246</v>
      </c>
      <c r="E1561" t="s">
        <v>1731</v>
      </c>
      <c r="F1561">
        <v>245</v>
      </c>
      <c r="G1561" s="1">
        <v>45171</v>
      </c>
      <c r="H1561" s="6">
        <f t="shared" si="48"/>
        <v>16.916666666666409</v>
      </c>
      <c r="I1561" s="7">
        <f t="shared" si="49"/>
        <v>16.916666666666409</v>
      </c>
    </row>
    <row r="1562" spans="1:9" x14ac:dyDescent="0.2">
      <c r="A1562" t="s">
        <v>1732</v>
      </c>
      <c r="B1562">
        <v>4.008</v>
      </c>
      <c r="C1562">
        <v>5.6129999999999999E-2</v>
      </c>
      <c r="D1562">
        <v>246</v>
      </c>
      <c r="E1562" t="s">
        <v>1732</v>
      </c>
      <c r="F1562">
        <v>245</v>
      </c>
      <c r="G1562" s="1">
        <v>45171</v>
      </c>
      <c r="H1562" s="6">
        <f t="shared" si="48"/>
        <v>16.927083333333076</v>
      </c>
      <c r="I1562" s="7">
        <f t="shared" si="49"/>
        <v>16.927083333333076</v>
      </c>
    </row>
    <row r="1563" spans="1:9" x14ac:dyDescent="0.2">
      <c r="A1563" t="s">
        <v>1733</v>
      </c>
      <c r="B1563">
        <v>4.1180000000000003</v>
      </c>
      <c r="C1563">
        <v>5.7685E-2</v>
      </c>
      <c r="D1563">
        <v>246</v>
      </c>
      <c r="E1563" t="s">
        <v>1733</v>
      </c>
      <c r="F1563">
        <v>245</v>
      </c>
      <c r="G1563" s="1">
        <v>45171</v>
      </c>
      <c r="H1563" s="6">
        <f t="shared" si="48"/>
        <v>16.937499999999744</v>
      </c>
      <c r="I1563" s="7">
        <f t="shared" si="49"/>
        <v>16.937499999999744</v>
      </c>
    </row>
    <row r="1564" spans="1:9" x14ac:dyDescent="0.2">
      <c r="A1564" t="s">
        <v>1734</v>
      </c>
      <c r="B1564" s="2" t="s">
        <v>1735</v>
      </c>
      <c r="C1564">
        <v>5.8520000000000003E-2</v>
      </c>
      <c r="D1564">
        <v>246</v>
      </c>
      <c r="E1564" t="s">
        <v>1734</v>
      </c>
      <c r="F1564">
        <v>245</v>
      </c>
      <c r="G1564" s="1">
        <v>45171</v>
      </c>
      <c r="H1564" s="6">
        <f t="shared" si="48"/>
        <v>16.947916666666412</v>
      </c>
      <c r="I1564" s="7">
        <f t="shared" si="49"/>
        <v>16.947916666666412</v>
      </c>
    </row>
    <row r="1565" spans="1:9" x14ac:dyDescent="0.2">
      <c r="A1565" t="s">
        <v>1736</v>
      </c>
      <c r="B1565">
        <v>4.1959999999999997</v>
      </c>
      <c r="C1565">
        <v>5.8784999999999997E-2</v>
      </c>
      <c r="D1565">
        <v>246</v>
      </c>
      <c r="E1565" t="s">
        <v>1736</v>
      </c>
      <c r="F1565">
        <v>245</v>
      </c>
      <c r="G1565" s="1">
        <v>45171</v>
      </c>
      <c r="H1565" s="6">
        <f t="shared" si="48"/>
        <v>16.95833333333308</v>
      </c>
      <c r="I1565" s="7">
        <f t="shared" si="49"/>
        <v>16.95833333333308</v>
      </c>
    </row>
    <row r="1566" spans="1:9" x14ac:dyDescent="0.2">
      <c r="A1566" t="s">
        <v>1737</v>
      </c>
      <c r="B1566">
        <v>4.242</v>
      </c>
      <c r="C1566">
        <v>5.9404999999999999E-2</v>
      </c>
      <c r="D1566">
        <v>246</v>
      </c>
      <c r="E1566" t="s">
        <v>1737</v>
      </c>
      <c r="F1566">
        <v>245</v>
      </c>
      <c r="G1566" s="1">
        <v>45171</v>
      </c>
      <c r="H1566" s="6">
        <f t="shared" si="48"/>
        <v>16.968749999999748</v>
      </c>
      <c r="I1566" s="7">
        <f t="shared" si="49"/>
        <v>16.968749999999748</v>
      </c>
    </row>
    <row r="1567" spans="1:9" x14ac:dyDescent="0.2">
      <c r="A1567" t="s">
        <v>1738</v>
      </c>
      <c r="B1567">
        <v>4.2649999999999997</v>
      </c>
      <c r="C1567">
        <v>5.9760000000000001E-2</v>
      </c>
      <c r="D1567">
        <v>246</v>
      </c>
      <c r="E1567" t="s">
        <v>1738</v>
      </c>
      <c r="F1567">
        <v>245</v>
      </c>
      <c r="G1567" s="1">
        <v>45171</v>
      </c>
      <c r="H1567" s="6">
        <f t="shared" si="48"/>
        <v>16.979166666666416</v>
      </c>
      <c r="I1567" s="7">
        <f t="shared" si="49"/>
        <v>16.979166666666416</v>
      </c>
    </row>
    <row r="1568" spans="1:9" x14ac:dyDescent="0.2">
      <c r="A1568" t="s">
        <v>1739</v>
      </c>
      <c r="B1568">
        <v>4.3155000000000001</v>
      </c>
      <c r="C1568">
        <v>6.0429999999999998E-2</v>
      </c>
      <c r="D1568">
        <v>246</v>
      </c>
      <c r="E1568" t="s">
        <v>1739</v>
      </c>
      <c r="F1568">
        <v>245</v>
      </c>
      <c r="G1568" s="1">
        <v>45171</v>
      </c>
      <c r="H1568" s="6">
        <f t="shared" si="48"/>
        <v>16.989583333333083</v>
      </c>
      <c r="I1568" s="7">
        <f t="shared" si="49"/>
        <v>16.989583333333083</v>
      </c>
    </row>
    <row r="1569" spans="1:9" x14ac:dyDescent="0.2">
      <c r="A1569" t="s">
        <v>1740</v>
      </c>
      <c r="B1569">
        <v>4.3179999999999996</v>
      </c>
      <c r="C1569">
        <v>6.0470000000000003E-2</v>
      </c>
      <c r="D1569">
        <v>246</v>
      </c>
      <c r="E1569" t="s">
        <v>1740</v>
      </c>
      <c r="F1569">
        <v>246</v>
      </c>
      <c r="G1569" s="1">
        <v>45172</v>
      </c>
      <c r="H1569" s="6">
        <f t="shared" si="48"/>
        <v>16.999999999999751</v>
      </c>
      <c r="I1569" s="7">
        <f t="shared" si="49"/>
        <v>16.999999999999751</v>
      </c>
    </row>
    <row r="1570" spans="1:9" x14ac:dyDescent="0.2">
      <c r="A1570" t="s">
        <v>1741</v>
      </c>
      <c r="B1570">
        <v>4.3505000000000003</v>
      </c>
      <c r="C1570">
        <v>6.0935000000000003E-2</v>
      </c>
      <c r="D1570">
        <v>246</v>
      </c>
      <c r="E1570" t="s">
        <v>1741</v>
      </c>
      <c r="F1570">
        <v>246</v>
      </c>
      <c r="G1570" s="1">
        <v>45172</v>
      </c>
      <c r="H1570" s="6">
        <f t="shared" si="48"/>
        <v>17.010416666666419</v>
      </c>
      <c r="I1570" s="7">
        <f t="shared" si="49"/>
        <v>17.010416666666419</v>
      </c>
    </row>
    <row r="1571" spans="1:9" x14ac:dyDescent="0.2">
      <c r="A1571" t="s">
        <v>1742</v>
      </c>
      <c r="B1571">
        <v>4.375</v>
      </c>
      <c r="C1571">
        <v>6.1265E-2</v>
      </c>
      <c r="D1571">
        <v>246</v>
      </c>
      <c r="E1571" t="s">
        <v>1742</v>
      </c>
      <c r="F1571">
        <v>246</v>
      </c>
      <c r="G1571" s="1">
        <v>45172</v>
      </c>
      <c r="H1571" s="6">
        <f t="shared" si="48"/>
        <v>17.020833333333087</v>
      </c>
      <c r="I1571" s="7">
        <f t="shared" si="49"/>
        <v>17.020833333333087</v>
      </c>
    </row>
    <row r="1572" spans="1:9" x14ac:dyDescent="0.2">
      <c r="A1572" t="s">
        <v>1743</v>
      </c>
      <c r="B1572">
        <v>4.3695000000000004</v>
      </c>
      <c r="C1572">
        <v>6.1190000000000001E-2</v>
      </c>
      <c r="D1572">
        <v>246</v>
      </c>
      <c r="E1572" t="s">
        <v>1743</v>
      </c>
      <c r="F1572">
        <v>246</v>
      </c>
      <c r="G1572" s="1">
        <v>45172</v>
      </c>
      <c r="H1572" s="6">
        <f t="shared" si="48"/>
        <v>17.031249999999755</v>
      </c>
      <c r="I1572" s="7">
        <f t="shared" si="49"/>
        <v>17.031249999999755</v>
      </c>
    </row>
    <row r="1573" spans="1:9" x14ac:dyDescent="0.2">
      <c r="A1573" t="s">
        <v>1744</v>
      </c>
      <c r="B1573">
        <v>4.3994999999999997</v>
      </c>
      <c r="C1573">
        <v>6.1620000000000001E-2</v>
      </c>
      <c r="D1573">
        <v>246</v>
      </c>
      <c r="E1573" t="s">
        <v>1744</v>
      </c>
      <c r="F1573">
        <v>246</v>
      </c>
      <c r="G1573" s="1">
        <v>45172</v>
      </c>
      <c r="H1573" s="6">
        <f t="shared" si="48"/>
        <v>17.041666666666423</v>
      </c>
      <c r="I1573" s="7">
        <f t="shared" si="49"/>
        <v>17.041666666666423</v>
      </c>
    </row>
    <row r="1574" spans="1:9" x14ac:dyDescent="0.2">
      <c r="A1574" t="s">
        <v>1745</v>
      </c>
      <c r="B1574">
        <v>4.3719999999999999</v>
      </c>
      <c r="C1574">
        <v>6.1249999999999999E-2</v>
      </c>
      <c r="D1574">
        <v>246</v>
      </c>
      <c r="E1574" t="s">
        <v>1745</v>
      </c>
      <c r="F1574">
        <v>246</v>
      </c>
      <c r="G1574" s="1">
        <v>45172</v>
      </c>
      <c r="H1574" s="6">
        <f t="shared" si="48"/>
        <v>17.052083333333091</v>
      </c>
      <c r="I1574" s="7">
        <f t="shared" si="49"/>
        <v>17.052083333333091</v>
      </c>
    </row>
    <row r="1575" spans="1:9" x14ac:dyDescent="0.2">
      <c r="A1575" t="s">
        <v>1746</v>
      </c>
      <c r="B1575" s="2" t="s">
        <v>1747</v>
      </c>
      <c r="C1575">
        <v>6.1475000000000002E-2</v>
      </c>
      <c r="D1575">
        <v>246</v>
      </c>
      <c r="E1575" t="s">
        <v>1746</v>
      </c>
      <c r="F1575">
        <v>246</v>
      </c>
      <c r="G1575" s="1">
        <v>45172</v>
      </c>
      <c r="H1575" s="6">
        <f t="shared" si="48"/>
        <v>17.062499999999758</v>
      </c>
      <c r="I1575" s="7">
        <f t="shared" si="49"/>
        <v>17.062499999999758</v>
      </c>
    </row>
    <row r="1576" spans="1:9" x14ac:dyDescent="0.2">
      <c r="A1576" t="s">
        <v>1748</v>
      </c>
      <c r="B1576">
        <v>4.3815</v>
      </c>
      <c r="C1576">
        <v>6.1370000000000001E-2</v>
      </c>
      <c r="D1576">
        <v>246</v>
      </c>
      <c r="E1576" t="s">
        <v>1748</v>
      </c>
      <c r="F1576">
        <v>246</v>
      </c>
      <c r="G1576" s="1">
        <v>45172</v>
      </c>
      <c r="H1576" s="6">
        <f t="shared" si="48"/>
        <v>17.072916666666426</v>
      </c>
      <c r="I1576" s="7">
        <f t="shared" si="49"/>
        <v>17.072916666666426</v>
      </c>
    </row>
    <row r="1577" spans="1:9" x14ac:dyDescent="0.2">
      <c r="A1577" t="s">
        <v>1749</v>
      </c>
      <c r="B1577">
        <v>4.3635000000000002</v>
      </c>
      <c r="C1577">
        <v>6.1120000000000001E-2</v>
      </c>
      <c r="D1577">
        <v>246</v>
      </c>
      <c r="E1577" t="s">
        <v>1749</v>
      </c>
      <c r="F1577">
        <v>246</v>
      </c>
      <c r="G1577" s="1">
        <v>45172</v>
      </c>
      <c r="H1577" s="6">
        <f t="shared" si="48"/>
        <v>17.083333333333094</v>
      </c>
      <c r="I1577" s="7">
        <f t="shared" si="49"/>
        <v>17.083333333333094</v>
      </c>
    </row>
    <row r="1578" spans="1:9" x14ac:dyDescent="0.2">
      <c r="A1578" t="s">
        <v>1750</v>
      </c>
      <c r="B1578">
        <v>4.3875000000000002</v>
      </c>
      <c r="C1578">
        <v>6.1455000000000003E-2</v>
      </c>
      <c r="D1578">
        <v>246</v>
      </c>
      <c r="E1578" t="s">
        <v>1750</v>
      </c>
      <c r="F1578">
        <v>246</v>
      </c>
      <c r="G1578" s="1">
        <v>45172</v>
      </c>
      <c r="H1578" s="6">
        <f t="shared" si="48"/>
        <v>17.093749999999762</v>
      </c>
      <c r="I1578" s="7">
        <f t="shared" si="49"/>
        <v>17.093749999999762</v>
      </c>
    </row>
    <row r="1579" spans="1:9" x14ac:dyDescent="0.2">
      <c r="A1579" t="s">
        <v>1751</v>
      </c>
      <c r="B1579">
        <v>4.3754999999999997</v>
      </c>
      <c r="C1579">
        <v>6.1295000000000002E-2</v>
      </c>
      <c r="D1579">
        <v>246</v>
      </c>
      <c r="E1579" t="s">
        <v>1751</v>
      </c>
      <c r="F1579">
        <v>246</v>
      </c>
      <c r="G1579" s="1">
        <v>45172</v>
      </c>
      <c r="H1579" s="6">
        <f t="shared" si="48"/>
        <v>17.10416666666643</v>
      </c>
      <c r="I1579" s="7">
        <f t="shared" si="49"/>
        <v>17.10416666666643</v>
      </c>
    </row>
    <row r="1580" spans="1:9" x14ac:dyDescent="0.2">
      <c r="A1580" t="s">
        <v>1752</v>
      </c>
      <c r="B1580">
        <v>4.3855000000000004</v>
      </c>
      <c r="C1580">
        <v>6.1429999999999998E-2</v>
      </c>
      <c r="D1580">
        <v>246</v>
      </c>
      <c r="E1580" t="s">
        <v>1752</v>
      </c>
      <c r="F1580">
        <v>246</v>
      </c>
      <c r="G1580" s="1">
        <v>45172</v>
      </c>
      <c r="H1580" s="6">
        <f t="shared" si="48"/>
        <v>17.114583333333098</v>
      </c>
      <c r="I1580" s="7">
        <f t="shared" si="49"/>
        <v>17.114583333333098</v>
      </c>
    </row>
    <row r="1581" spans="1:9" x14ac:dyDescent="0.2">
      <c r="A1581" t="s">
        <v>1753</v>
      </c>
      <c r="B1581">
        <v>4.38</v>
      </c>
      <c r="C1581">
        <v>6.1344999999999997E-2</v>
      </c>
      <c r="D1581">
        <v>246</v>
      </c>
      <c r="E1581" t="s">
        <v>1753</v>
      </c>
      <c r="F1581">
        <v>246</v>
      </c>
      <c r="G1581" s="1">
        <v>45172</v>
      </c>
      <c r="H1581" s="6">
        <f t="shared" si="48"/>
        <v>17.124999999999766</v>
      </c>
      <c r="I1581" s="7">
        <f t="shared" si="49"/>
        <v>17.124999999999766</v>
      </c>
    </row>
    <row r="1582" spans="1:9" x14ac:dyDescent="0.2">
      <c r="A1582" t="s">
        <v>1754</v>
      </c>
      <c r="B1582">
        <v>4.3815</v>
      </c>
      <c r="C1582">
        <v>6.1385000000000002E-2</v>
      </c>
      <c r="D1582">
        <v>246</v>
      </c>
      <c r="E1582" t="s">
        <v>1754</v>
      </c>
      <c r="F1582">
        <v>246</v>
      </c>
      <c r="G1582" s="1">
        <v>45172</v>
      </c>
      <c r="H1582" s="6">
        <f t="shared" si="48"/>
        <v>17.135416666666433</v>
      </c>
      <c r="I1582" s="7">
        <f t="shared" si="49"/>
        <v>17.135416666666433</v>
      </c>
    </row>
    <row r="1583" spans="1:9" x14ac:dyDescent="0.2">
      <c r="A1583" t="s">
        <v>1755</v>
      </c>
      <c r="B1583">
        <v>4.3579999999999997</v>
      </c>
      <c r="C1583">
        <v>6.1034999999999999E-2</v>
      </c>
      <c r="D1583">
        <v>246</v>
      </c>
      <c r="E1583" t="s">
        <v>1755</v>
      </c>
      <c r="F1583">
        <v>246</v>
      </c>
      <c r="G1583" s="1">
        <v>45172</v>
      </c>
      <c r="H1583" s="6">
        <f t="shared" si="48"/>
        <v>17.145833333333101</v>
      </c>
      <c r="I1583" s="7">
        <f t="shared" si="49"/>
        <v>17.145833333333101</v>
      </c>
    </row>
    <row r="1584" spans="1:9" x14ac:dyDescent="0.2">
      <c r="A1584" t="s">
        <v>1756</v>
      </c>
      <c r="B1584">
        <v>4.3639999999999999</v>
      </c>
      <c r="C1584">
        <v>6.1129999999999997E-2</v>
      </c>
      <c r="D1584">
        <v>246</v>
      </c>
      <c r="E1584" t="s">
        <v>1756</v>
      </c>
      <c r="F1584">
        <v>246</v>
      </c>
      <c r="G1584" s="1">
        <v>45172</v>
      </c>
      <c r="H1584" s="6">
        <f t="shared" si="48"/>
        <v>17.156249999999769</v>
      </c>
      <c r="I1584" s="7">
        <f t="shared" si="49"/>
        <v>17.156249999999769</v>
      </c>
    </row>
    <row r="1585" spans="1:9" x14ac:dyDescent="0.2">
      <c r="A1585" t="s">
        <v>1757</v>
      </c>
      <c r="B1585">
        <v>4.3559999999999999</v>
      </c>
      <c r="C1585">
        <v>6.1015E-2</v>
      </c>
      <c r="D1585">
        <v>246</v>
      </c>
      <c r="E1585" t="s">
        <v>1757</v>
      </c>
      <c r="F1585">
        <v>246</v>
      </c>
      <c r="G1585" s="1">
        <v>45172</v>
      </c>
      <c r="H1585" s="6">
        <f t="shared" si="48"/>
        <v>17.166666666666437</v>
      </c>
      <c r="I1585" s="7">
        <f t="shared" si="49"/>
        <v>17.166666666666437</v>
      </c>
    </row>
    <row r="1586" spans="1:9" x14ac:dyDescent="0.2">
      <c r="A1586" t="s">
        <v>1758</v>
      </c>
      <c r="B1586">
        <v>4.3579999999999997</v>
      </c>
      <c r="C1586">
        <v>6.1045000000000002E-2</v>
      </c>
      <c r="D1586">
        <v>246</v>
      </c>
      <c r="E1586" t="s">
        <v>1758</v>
      </c>
      <c r="F1586">
        <v>246</v>
      </c>
      <c r="G1586" s="1">
        <v>45172</v>
      </c>
      <c r="H1586" s="6">
        <f t="shared" si="48"/>
        <v>17.177083333333105</v>
      </c>
      <c r="I1586" s="7">
        <f t="shared" si="49"/>
        <v>17.177083333333105</v>
      </c>
    </row>
    <row r="1587" spans="1:9" x14ac:dyDescent="0.2">
      <c r="A1587" t="s">
        <v>1759</v>
      </c>
      <c r="B1587">
        <v>4.3445</v>
      </c>
      <c r="C1587" s="2" t="s">
        <v>1760</v>
      </c>
      <c r="D1587">
        <v>246</v>
      </c>
      <c r="E1587" t="s">
        <v>1759</v>
      </c>
      <c r="F1587">
        <v>246</v>
      </c>
      <c r="G1587" s="1">
        <v>45172</v>
      </c>
      <c r="H1587" s="6">
        <f t="shared" si="48"/>
        <v>17.187499999999773</v>
      </c>
      <c r="I1587" s="7">
        <f t="shared" si="49"/>
        <v>17.187499999999773</v>
      </c>
    </row>
    <row r="1588" spans="1:9" x14ac:dyDescent="0.2">
      <c r="A1588" t="s">
        <v>1761</v>
      </c>
      <c r="B1588">
        <v>4.3164999999999996</v>
      </c>
      <c r="C1588">
        <v>6.0455000000000002E-2</v>
      </c>
      <c r="D1588">
        <v>246</v>
      </c>
      <c r="E1588" t="s">
        <v>1761</v>
      </c>
      <c r="F1588">
        <v>246</v>
      </c>
      <c r="G1588" s="1">
        <v>45172</v>
      </c>
      <c r="H1588" s="6">
        <f t="shared" si="48"/>
        <v>17.19791666666644</v>
      </c>
      <c r="I1588" s="7">
        <f t="shared" si="49"/>
        <v>17.19791666666644</v>
      </c>
    </row>
    <row r="1589" spans="1:9" x14ac:dyDescent="0.2">
      <c r="A1589" t="s">
        <v>1762</v>
      </c>
      <c r="B1589">
        <v>4.335</v>
      </c>
      <c r="C1589">
        <v>6.0740000000000002E-2</v>
      </c>
      <c r="D1589">
        <v>246</v>
      </c>
      <c r="E1589" t="s">
        <v>1762</v>
      </c>
      <c r="F1589">
        <v>246</v>
      </c>
      <c r="G1589" s="1">
        <v>45172</v>
      </c>
      <c r="H1589" s="6">
        <f t="shared" si="48"/>
        <v>17.208333333333108</v>
      </c>
      <c r="I1589" s="7">
        <f t="shared" si="49"/>
        <v>17.208333333333108</v>
      </c>
    </row>
    <row r="1590" spans="1:9" x14ac:dyDescent="0.2">
      <c r="A1590" t="s">
        <v>1763</v>
      </c>
      <c r="B1590">
        <v>4.3404999999999996</v>
      </c>
      <c r="C1590">
        <v>6.0784999999999999E-2</v>
      </c>
      <c r="D1590">
        <v>246</v>
      </c>
      <c r="E1590" t="s">
        <v>1763</v>
      </c>
      <c r="F1590">
        <v>246</v>
      </c>
      <c r="G1590" s="1">
        <v>45172</v>
      </c>
      <c r="H1590" s="6">
        <f t="shared" si="48"/>
        <v>17.218749999999776</v>
      </c>
      <c r="I1590" s="7">
        <f t="shared" si="49"/>
        <v>17.218749999999776</v>
      </c>
    </row>
    <row r="1591" spans="1:9" x14ac:dyDescent="0.2">
      <c r="A1591" t="s">
        <v>1764</v>
      </c>
      <c r="B1591">
        <v>4.3564999999999996</v>
      </c>
      <c r="C1591">
        <v>6.1025000000000003E-2</v>
      </c>
      <c r="D1591">
        <v>246</v>
      </c>
      <c r="E1591" t="s">
        <v>1764</v>
      </c>
      <c r="F1591">
        <v>246</v>
      </c>
      <c r="G1591" s="1">
        <v>45172</v>
      </c>
      <c r="H1591" s="6">
        <f t="shared" si="48"/>
        <v>17.229166666666444</v>
      </c>
      <c r="I1591" s="7">
        <f t="shared" si="49"/>
        <v>17.229166666666444</v>
      </c>
    </row>
    <row r="1592" spans="1:9" x14ac:dyDescent="0.2">
      <c r="A1592" t="s">
        <v>1765</v>
      </c>
      <c r="B1592">
        <v>4.3360000000000003</v>
      </c>
      <c r="C1592">
        <v>6.0745E-2</v>
      </c>
      <c r="D1592">
        <v>246</v>
      </c>
      <c r="E1592" t="s">
        <v>1765</v>
      </c>
      <c r="F1592">
        <v>246</v>
      </c>
      <c r="G1592" s="1">
        <v>45172</v>
      </c>
      <c r="H1592" s="6">
        <f t="shared" si="48"/>
        <v>17.239583333333112</v>
      </c>
      <c r="I1592" s="7">
        <f t="shared" si="49"/>
        <v>17.239583333333112</v>
      </c>
    </row>
    <row r="1593" spans="1:9" x14ac:dyDescent="0.2">
      <c r="A1593" t="s">
        <v>1766</v>
      </c>
      <c r="B1593">
        <v>4.3324999999999996</v>
      </c>
      <c r="C1593">
        <v>6.0664999999999997E-2</v>
      </c>
      <c r="D1593">
        <v>246</v>
      </c>
      <c r="E1593" t="s">
        <v>1766</v>
      </c>
      <c r="F1593">
        <v>246</v>
      </c>
      <c r="G1593" s="1">
        <v>45172</v>
      </c>
      <c r="H1593" s="6">
        <f t="shared" si="48"/>
        <v>17.24999999999978</v>
      </c>
      <c r="I1593" s="7">
        <f t="shared" si="49"/>
        <v>17.24999999999978</v>
      </c>
    </row>
    <row r="1594" spans="1:9" x14ac:dyDescent="0.2">
      <c r="A1594" t="s">
        <v>1767</v>
      </c>
      <c r="B1594">
        <v>4.3475000000000001</v>
      </c>
      <c r="C1594">
        <v>6.0905000000000001E-2</v>
      </c>
      <c r="D1594">
        <v>246</v>
      </c>
      <c r="E1594" t="s">
        <v>1767</v>
      </c>
      <c r="F1594">
        <v>246</v>
      </c>
      <c r="G1594" s="1">
        <v>45172</v>
      </c>
      <c r="H1594" s="6">
        <f t="shared" si="48"/>
        <v>17.260416666666448</v>
      </c>
      <c r="I1594" s="7">
        <f t="shared" si="49"/>
        <v>17.260416666666448</v>
      </c>
    </row>
    <row r="1595" spans="1:9" x14ac:dyDescent="0.2">
      <c r="A1595" t="s">
        <v>1768</v>
      </c>
      <c r="B1595">
        <v>4.3259999999999996</v>
      </c>
      <c r="C1595">
        <v>6.0600000000000001E-2</v>
      </c>
      <c r="D1595">
        <v>246</v>
      </c>
      <c r="E1595" t="s">
        <v>1768</v>
      </c>
      <c r="F1595">
        <v>246</v>
      </c>
      <c r="G1595" s="1">
        <v>45172</v>
      </c>
      <c r="H1595" s="6">
        <f t="shared" si="48"/>
        <v>17.270833333333115</v>
      </c>
      <c r="I1595" s="7">
        <f t="shared" si="49"/>
        <v>17.270833333333115</v>
      </c>
    </row>
    <row r="1596" spans="1:9" x14ac:dyDescent="0.2">
      <c r="A1596" t="s">
        <v>1769</v>
      </c>
      <c r="B1596">
        <v>4.2960000000000003</v>
      </c>
      <c r="C1596">
        <v>6.0165000000000003E-2</v>
      </c>
      <c r="D1596">
        <v>246</v>
      </c>
      <c r="E1596" t="s">
        <v>1769</v>
      </c>
      <c r="F1596">
        <v>246</v>
      </c>
      <c r="G1596" s="1">
        <v>45172</v>
      </c>
      <c r="H1596" s="6">
        <f t="shared" si="48"/>
        <v>17.281249999999783</v>
      </c>
      <c r="I1596" s="7">
        <f t="shared" si="49"/>
        <v>17.281249999999783</v>
      </c>
    </row>
    <row r="1597" spans="1:9" x14ac:dyDescent="0.2">
      <c r="A1597" t="s">
        <v>1770</v>
      </c>
      <c r="B1597">
        <v>4.3014999999999999</v>
      </c>
      <c r="C1597">
        <v>6.0234999999999997E-2</v>
      </c>
      <c r="D1597">
        <v>246</v>
      </c>
      <c r="E1597" t="s">
        <v>1770</v>
      </c>
      <c r="F1597">
        <v>246</v>
      </c>
      <c r="G1597" s="1">
        <v>45172</v>
      </c>
      <c r="H1597" s="6">
        <f t="shared" si="48"/>
        <v>17.291666666666451</v>
      </c>
      <c r="I1597" s="7">
        <f t="shared" si="49"/>
        <v>17.291666666666451</v>
      </c>
    </row>
    <row r="1598" spans="1:9" x14ac:dyDescent="0.2">
      <c r="A1598" t="s">
        <v>1771</v>
      </c>
      <c r="B1598">
        <v>4.2815000000000003</v>
      </c>
      <c r="C1598">
        <v>5.9955000000000001E-2</v>
      </c>
      <c r="D1598">
        <v>246</v>
      </c>
      <c r="E1598" t="s">
        <v>1771</v>
      </c>
      <c r="F1598">
        <v>246</v>
      </c>
      <c r="G1598" s="1">
        <v>45172</v>
      </c>
      <c r="H1598" s="6">
        <f t="shared" si="48"/>
        <v>17.302083333333119</v>
      </c>
      <c r="I1598" s="7">
        <f t="shared" si="49"/>
        <v>17.302083333333119</v>
      </c>
    </row>
    <row r="1599" spans="1:9" x14ac:dyDescent="0.2">
      <c r="A1599" t="s">
        <v>1772</v>
      </c>
      <c r="B1599">
        <v>4.2575000000000003</v>
      </c>
      <c r="C1599">
        <v>5.9655E-2</v>
      </c>
      <c r="D1599">
        <v>246</v>
      </c>
      <c r="E1599" t="s">
        <v>1772</v>
      </c>
      <c r="F1599">
        <v>246</v>
      </c>
      <c r="G1599" s="1">
        <v>45172</v>
      </c>
      <c r="H1599" s="6">
        <f t="shared" si="48"/>
        <v>17.312499999999787</v>
      </c>
      <c r="I1599" s="7">
        <f t="shared" si="49"/>
        <v>17.312499999999787</v>
      </c>
    </row>
    <row r="1600" spans="1:9" x14ac:dyDescent="0.2">
      <c r="A1600" t="s">
        <v>1773</v>
      </c>
      <c r="B1600">
        <v>4.2554999999999996</v>
      </c>
      <c r="C1600">
        <v>5.9584999999999999E-2</v>
      </c>
      <c r="D1600">
        <v>246</v>
      </c>
      <c r="E1600" t="s">
        <v>1773</v>
      </c>
      <c r="F1600">
        <v>246</v>
      </c>
      <c r="G1600" s="1">
        <v>45172</v>
      </c>
      <c r="H1600" s="6">
        <f t="shared" si="48"/>
        <v>17.322916666666455</v>
      </c>
      <c r="I1600" s="7">
        <f t="shared" si="49"/>
        <v>17.322916666666455</v>
      </c>
    </row>
    <row r="1601" spans="1:9" x14ac:dyDescent="0.2">
      <c r="A1601" t="s">
        <v>1774</v>
      </c>
      <c r="B1601">
        <v>4.2560000000000002</v>
      </c>
      <c r="C1601">
        <v>5.9604999999999998E-2</v>
      </c>
      <c r="D1601">
        <v>246</v>
      </c>
      <c r="E1601" t="s">
        <v>1774</v>
      </c>
      <c r="F1601">
        <v>246</v>
      </c>
      <c r="G1601" s="1">
        <v>45172</v>
      </c>
      <c r="H1601" s="6">
        <f t="shared" si="48"/>
        <v>17.333333333333123</v>
      </c>
      <c r="I1601" s="7">
        <f t="shared" si="49"/>
        <v>17.333333333333123</v>
      </c>
    </row>
    <row r="1602" spans="1:9" x14ac:dyDescent="0.2">
      <c r="A1602" t="s">
        <v>1775</v>
      </c>
      <c r="B1602">
        <v>4.226</v>
      </c>
      <c r="C1602">
        <v>5.9194999999999998E-2</v>
      </c>
      <c r="D1602">
        <v>246</v>
      </c>
      <c r="E1602" t="s">
        <v>1775</v>
      </c>
      <c r="F1602">
        <v>246</v>
      </c>
      <c r="G1602" s="1">
        <v>45172</v>
      </c>
      <c r="H1602" s="6">
        <f t="shared" si="48"/>
        <v>17.34374999999979</v>
      </c>
      <c r="I1602" s="7">
        <f t="shared" si="49"/>
        <v>17.34374999999979</v>
      </c>
    </row>
    <row r="1603" spans="1:9" x14ac:dyDescent="0.2">
      <c r="A1603" t="s">
        <v>1776</v>
      </c>
      <c r="B1603">
        <v>4.1760000000000002</v>
      </c>
      <c r="C1603" s="2" t="s">
        <v>1777</v>
      </c>
      <c r="D1603">
        <v>246</v>
      </c>
      <c r="E1603" t="s">
        <v>1776</v>
      </c>
      <c r="F1603">
        <v>246</v>
      </c>
      <c r="G1603" s="1">
        <v>45172</v>
      </c>
      <c r="H1603" s="6">
        <f t="shared" ref="H1603:H1666" si="50">H1602+$K$1</f>
        <v>17.354166666666458</v>
      </c>
      <c r="I1603" s="7">
        <f t="shared" ref="I1603:I1666" si="51">I1602+$K$1</f>
        <v>17.354166666666458</v>
      </c>
    </row>
    <row r="1604" spans="1:9" x14ac:dyDescent="0.2">
      <c r="A1604" t="s">
        <v>1778</v>
      </c>
      <c r="B1604">
        <v>4.1260000000000003</v>
      </c>
      <c r="C1604">
        <v>5.7799999999999997E-2</v>
      </c>
      <c r="D1604">
        <v>246</v>
      </c>
      <c r="E1604" t="s">
        <v>1778</v>
      </c>
      <c r="F1604">
        <v>246</v>
      </c>
      <c r="G1604" s="1">
        <v>45172</v>
      </c>
      <c r="H1604" s="6">
        <f t="shared" si="50"/>
        <v>17.364583333333126</v>
      </c>
      <c r="I1604" s="7">
        <f t="shared" si="51"/>
        <v>17.364583333333126</v>
      </c>
    </row>
    <row r="1605" spans="1:9" x14ac:dyDescent="0.2">
      <c r="A1605" t="s">
        <v>1779</v>
      </c>
      <c r="B1605">
        <v>4.1139999999999999</v>
      </c>
      <c r="C1605" s="2" t="s">
        <v>1780</v>
      </c>
      <c r="D1605">
        <v>246</v>
      </c>
      <c r="E1605" t="s">
        <v>1779</v>
      </c>
      <c r="F1605">
        <v>246</v>
      </c>
      <c r="G1605" s="1">
        <v>45172</v>
      </c>
      <c r="H1605" s="6">
        <f t="shared" si="50"/>
        <v>17.374999999999794</v>
      </c>
      <c r="I1605" s="7">
        <f t="shared" si="51"/>
        <v>17.374999999999794</v>
      </c>
    </row>
    <row r="1606" spans="1:9" x14ac:dyDescent="0.2">
      <c r="A1606" t="s">
        <v>1781</v>
      </c>
      <c r="B1606">
        <v>4.0780000000000003</v>
      </c>
      <c r="C1606">
        <v>5.7119999999999997E-2</v>
      </c>
      <c r="D1606">
        <v>246</v>
      </c>
      <c r="E1606" t="s">
        <v>1781</v>
      </c>
      <c r="F1606">
        <v>246</v>
      </c>
      <c r="G1606" s="1">
        <v>45172</v>
      </c>
      <c r="H1606" s="6">
        <f t="shared" si="50"/>
        <v>17.385416666666462</v>
      </c>
      <c r="I1606" s="7">
        <f t="shared" si="51"/>
        <v>17.385416666666462</v>
      </c>
    </row>
    <row r="1607" spans="1:9" x14ac:dyDescent="0.2">
      <c r="A1607" t="s">
        <v>1782</v>
      </c>
      <c r="B1607">
        <v>4.0039999999999996</v>
      </c>
      <c r="C1607">
        <v>5.6075E-2</v>
      </c>
      <c r="D1607">
        <v>246</v>
      </c>
      <c r="E1607" t="s">
        <v>1782</v>
      </c>
      <c r="F1607">
        <v>246</v>
      </c>
      <c r="G1607" s="1">
        <v>45172</v>
      </c>
      <c r="H1607" s="6">
        <f t="shared" si="50"/>
        <v>17.39583333333313</v>
      </c>
      <c r="I1607" s="7">
        <f t="shared" si="51"/>
        <v>17.39583333333313</v>
      </c>
    </row>
    <row r="1608" spans="1:9" x14ac:dyDescent="0.2">
      <c r="A1608" t="s">
        <v>1783</v>
      </c>
      <c r="B1608">
        <v>3.9565000000000001</v>
      </c>
      <c r="C1608">
        <v>5.543E-2</v>
      </c>
      <c r="D1608">
        <v>246</v>
      </c>
      <c r="E1608" t="s">
        <v>1783</v>
      </c>
      <c r="F1608">
        <v>246</v>
      </c>
      <c r="G1608" s="1">
        <v>45172</v>
      </c>
      <c r="H1608" s="6">
        <f t="shared" si="50"/>
        <v>17.406249999999797</v>
      </c>
      <c r="I1608" s="7">
        <f t="shared" si="51"/>
        <v>17.406249999999797</v>
      </c>
    </row>
    <row r="1609" spans="1:9" x14ac:dyDescent="0.2">
      <c r="A1609" t="s">
        <v>1784</v>
      </c>
      <c r="B1609">
        <v>3.8515000000000001</v>
      </c>
      <c r="C1609">
        <v>5.3929999999999999E-2</v>
      </c>
      <c r="D1609">
        <v>246</v>
      </c>
      <c r="E1609" t="s">
        <v>1784</v>
      </c>
      <c r="F1609">
        <v>246</v>
      </c>
      <c r="G1609" s="1">
        <v>45172</v>
      </c>
      <c r="H1609" s="6">
        <f t="shared" si="50"/>
        <v>17.416666666666465</v>
      </c>
      <c r="I1609" s="7">
        <f t="shared" si="51"/>
        <v>17.416666666666465</v>
      </c>
    </row>
    <row r="1610" spans="1:9" x14ac:dyDescent="0.2">
      <c r="A1610" t="s">
        <v>1785</v>
      </c>
      <c r="B1610">
        <v>3.8595000000000002</v>
      </c>
      <c r="C1610">
        <v>5.4054999999999999E-2</v>
      </c>
      <c r="D1610">
        <v>246</v>
      </c>
      <c r="E1610" t="s">
        <v>1785</v>
      </c>
      <c r="F1610">
        <v>246</v>
      </c>
      <c r="G1610" s="1">
        <v>45172</v>
      </c>
      <c r="H1610" s="6">
        <f t="shared" si="50"/>
        <v>17.427083333333133</v>
      </c>
      <c r="I1610" s="7">
        <f t="shared" si="51"/>
        <v>17.427083333333133</v>
      </c>
    </row>
    <row r="1611" spans="1:9" x14ac:dyDescent="0.2">
      <c r="A1611" t="s">
        <v>1786</v>
      </c>
      <c r="B1611">
        <v>3.7989999999999999</v>
      </c>
      <c r="C1611">
        <v>5.321E-2</v>
      </c>
      <c r="D1611">
        <v>246</v>
      </c>
      <c r="E1611" t="s">
        <v>1786</v>
      </c>
      <c r="F1611">
        <v>246</v>
      </c>
      <c r="G1611" s="1">
        <v>45172</v>
      </c>
      <c r="H1611" s="6">
        <f t="shared" si="50"/>
        <v>17.437499999999801</v>
      </c>
      <c r="I1611" s="7">
        <f t="shared" si="51"/>
        <v>17.437499999999801</v>
      </c>
    </row>
    <row r="1612" spans="1:9" x14ac:dyDescent="0.2">
      <c r="A1612" t="s">
        <v>1787</v>
      </c>
      <c r="B1612">
        <v>3.7370000000000001</v>
      </c>
      <c r="C1612">
        <v>5.2330000000000002E-2</v>
      </c>
      <c r="D1612">
        <v>246</v>
      </c>
      <c r="E1612" t="s">
        <v>1787</v>
      </c>
      <c r="F1612">
        <v>246</v>
      </c>
      <c r="G1612" s="1">
        <v>45172</v>
      </c>
      <c r="H1612" s="6">
        <f t="shared" si="50"/>
        <v>17.447916666666469</v>
      </c>
      <c r="I1612" s="7">
        <f t="shared" si="51"/>
        <v>17.447916666666469</v>
      </c>
    </row>
    <row r="1613" spans="1:9" x14ac:dyDescent="0.2">
      <c r="A1613" t="s">
        <v>1788</v>
      </c>
      <c r="B1613" s="2" t="s">
        <v>1789</v>
      </c>
      <c r="C1613">
        <v>5.2424999999999999E-2</v>
      </c>
      <c r="D1613">
        <v>246</v>
      </c>
      <c r="E1613" t="s">
        <v>1788</v>
      </c>
      <c r="F1613">
        <v>246</v>
      </c>
      <c r="G1613" s="1">
        <v>45172</v>
      </c>
      <c r="H1613" s="6">
        <f t="shared" si="50"/>
        <v>17.458333333333137</v>
      </c>
      <c r="I1613" s="7">
        <f t="shared" si="51"/>
        <v>17.458333333333137</v>
      </c>
    </row>
    <row r="1614" spans="1:9" x14ac:dyDescent="0.2">
      <c r="A1614" t="s">
        <v>1790</v>
      </c>
      <c r="B1614">
        <v>3.677</v>
      </c>
      <c r="C1614">
        <v>5.1494999999999999E-2</v>
      </c>
      <c r="D1614">
        <v>246</v>
      </c>
      <c r="E1614" t="s">
        <v>1790</v>
      </c>
      <c r="F1614">
        <v>246</v>
      </c>
      <c r="G1614" s="1">
        <v>45172</v>
      </c>
      <c r="H1614" s="6">
        <f t="shared" si="50"/>
        <v>17.468749999999805</v>
      </c>
      <c r="I1614" s="7">
        <f t="shared" si="51"/>
        <v>17.468749999999805</v>
      </c>
    </row>
    <row r="1615" spans="1:9" x14ac:dyDescent="0.2">
      <c r="A1615" t="s">
        <v>1791</v>
      </c>
      <c r="B1615">
        <v>3.653</v>
      </c>
      <c r="C1615">
        <v>5.117E-2</v>
      </c>
      <c r="D1615">
        <v>246</v>
      </c>
      <c r="E1615" t="s">
        <v>1791</v>
      </c>
      <c r="F1615">
        <v>246</v>
      </c>
      <c r="G1615" s="1">
        <v>45172</v>
      </c>
      <c r="H1615" s="6">
        <f t="shared" si="50"/>
        <v>17.479166666666472</v>
      </c>
      <c r="I1615" s="7">
        <f t="shared" si="51"/>
        <v>17.479166666666472</v>
      </c>
    </row>
    <row r="1616" spans="1:9" x14ac:dyDescent="0.2">
      <c r="A1616" t="s">
        <v>1792</v>
      </c>
      <c r="B1616">
        <v>3.6030000000000002</v>
      </c>
      <c r="C1616">
        <v>5.0450000000000002E-2</v>
      </c>
      <c r="D1616">
        <v>246</v>
      </c>
      <c r="E1616" t="s">
        <v>1792</v>
      </c>
      <c r="F1616">
        <v>246</v>
      </c>
      <c r="G1616" s="1">
        <v>45172</v>
      </c>
      <c r="H1616" s="6">
        <f t="shared" si="50"/>
        <v>17.48958333333314</v>
      </c>
      <c r="I1616" s="7">
        <f t="shared" si="51"/>
        <v>17.48958333333314</v>
      </c>
    </row>
    <row r="1617" spans="1:9" x14ac:dyDescent="0.2">
      <c r="A1617" t="s">
        <v>1793</v>
      </c>
      <c r="B1617">
        <v>3.5819999999999999</v>
      </c>
      <c r="C1617">
        <v>5.0194999999999997E-2</v>
      </c>
      <c r="D1617">
        <v>246</v>
      </c>
      <c r="E1617" t="s">
        <v>1793</v>
      </c>
      <c r="F1617">
        <v>246</v>
      </c>
      <c r="G1617" s="1">
        <v>45172</v>
      </c>
      <c r="H1617" s="6">
        <f t="shared" si="50"/>
        <v>17.499999999999808</v>
      </c>
      <c r="I1617" s="7">
        <f t="shared" si="51"/>
        <v>17.499999999999808</v>
      </c>
    </row>
    <row r="1618" spans="1:9" x14ac:dyDescent="0.2">
      <c r="A1618" t="s">
        <v>1794</v>
      </c>
      <c r="B1618">
        <v>3.6105</v>
      </c>
      <c r="C1618">
        <v>5.0549999999999998E-2</v>
      </c>
      <c r="D1618">
        <v>246</v>
      </c>
      <c r="E1618" t="s">
        <v>1794</v>
      </c>
      <c r="F1618">
        <v>246</v>
      </c>
      <c r="G1618" s="1">
        <v>45172</v>
      </c>
      <c r="H1618" s="6">
        <f t="shared" si="50"/>
        <v>17.510416666666476</v>
      </c>
      <c r="I1618" s="7">
        <f t="shared" si="51"/>
        <v>17.510416666666476</v>
      </c>
    </row>
    <row r="1619" spans="1:9" x14ac:dyDescent="0.2">
      <c r="A1619" t="s">
        <v>1795</v>
      </c>
      <c r="B1619">
        <v>3.5285000000000002</v>
      </c>
      <c r="C1619">
        <v>4.9424999999999997E-2</v>
      </c>
      <c r="D1619">
        <v>246</v>
      </c>
      <c r="E1619" t="s">
        <v>1795</v>
      </c>
      <c r="F1619">
        <v>246</v>
      </c>
      <c r="G1619" s="1">
        <v>45172</v>
      </c>
      <c r="H1619" s="6">
        <f t="shared" si="50"/>
        <v>17.520833333333144</v>
      </c>
      <c r="I1619" s="7">
        <f t="shared" si="51"/>
        <v>17.520833333333144</v>
      </c>
    </row>
    <row r="1620" spans="1:9" x14ac:dyDescent="0.2">
      <c r="A1620" t="s">
        <v>1796</v>
      </c>
      <c r="B1620">
        <v>3.585</v>
      </c>
      <c r="C1620">
        <v>5.0185E-2</v>
      </c>
      <c r="D1620">
        <v>246</v>
      </c>
      <c r="E1620" t="s">
        <v>1796</v>
      </c>
      <c r="F1620">
        <v>246</v>
      </c>
      <c r="G1620" s="1">
        <v>45172</v>
      </c>
      <c r="H1620" s="6">
        <f t="shared" si="50"/>
        <v>17.531249999999812</v>
      </c>
      <c r="I1620" s="7">
        <f t="shared" si="51"/>
        <v>17.531249999999812</v>
      </c>
    </row>
    <row r="1621" spans="1:9" x14ac:dyDescent="0.2">
      <c r="A1621" t="s">
        <v>1797</v>
      </c>
      <c r="B1621">
        <v>3.593</v>
      </c>
      <c r="C1621">
        <v>5.0319999999999997E-2</v>
      </c>
      <c r="D1621">
        <v>246</v>
      </c>
      <c r="E1621" t="s">
        <v>1797</v>
      </c>
      <c r="F1621">
        <v>246</v>
      </c>
      <c r="G1621" s="1">
        <v>45172</v>
      </c>
      <c r="H1621" s="6">
        <f t="shared" si="50"/>
        <v>17.54166666666648</v>
      </c>
      <c r="I1621" s="7">
        <f t="shared" si="51"/>
        <v>17.54166666666648</v>
      </c>
    </row>
    <row r="1622" spans="1:9" x14ac:dyDescent="0.2">
      <c r="A1622" t="s">
        <v>1798</v>
      </c>
      <c r="B1622" s="2" t="s">
        <v>296</v>
      </c>
      <c r="C1622">
        <v>5.0099999999999999E-2</v>
      </c>
      <c r="D1622">
        <v>246</v>
      </c>
      <c r="E1622" t="s">
        <v>1798</v>
      </c>
      <c r="F1622">
        <v>246</v>
      </c>
      <c r="G1622" s="1">
        <v>45172</v>
      </c>
      <c r="H1622" s="6">
        <f t="shared" si="50"/>
        <v>17.552083333333147</v>
      </c>
      <c r="I1622" s="7">
        <f t="shared" si="51"/>
        <v>17.552083333333147</v>
      </c>
    </row>
    <row r="1623" spans="1:9" x14ac:dyDescent="0.2">
      <c r="A1623" t="s">
        <v>1799</v>
      </c>
      <c r="B1623">
        <v>3.5895000000000001</v>
      </c>
      <c r="C1623">
        <v>5.0270000000000002E-2</v>
      </c>
      <c r="D1623">
        <v>246</v>
      </c>
      <c r="E1623" t="s">
        <v>1799</v>
      </c>
      <c r="F1623">
        <v>246</v>
      </c>
      <c r="G1623" s="1">
        <v>45172</v>
      </c>
      <c r="H1623" s="6">
        <f t="shared" si="50"/>
        <v>17.562499999999815</v>
      </c>
      <c r="I1623" s="7">
        <f t="shared" si="51"/>
        <v>17.562499999999815</v>
      </c>
    </row>
    <row r="1624" spans="1:9" x14ac:dyDescent="0.2">
      <c r="A1624" t="s">
        <v>1800</v>
      </c>
      <c r="B1624">
        <v>3.5964999999999998</v>
      </c>
      <c r="C1624">
        <v>5.0365E-2</v>
      </c>
      <c r="D1624">
        <v>246</v>
      </c>
      <c r="E1624" t="s">
        <v>1800</v>
      </c>
      <c r="F1624">
        <v>246</v>
      </c>
      <c r="G1624" s="1">
        <v>45172</v>
      </c>
      <c r="H1624" s="6">
        <f t="shared" si="50"/>
        <v>17.572916666666483</v>
      </c>
      <c r="I1624" s="7">
        <f t="shared" si="51"/>
        <v>17.572916666666483</v>
      </c>
    </row>
    <row r="1625" spans="1:9" x14ac:dyDescent="0.2">
      <c r="A1625" t="s">
        <v>1801</v>
      </c>
      <c r="B1625">
        <v>3.6194999999999999</v>
      </c>
      <c r="C1625">
        <v>5.0685000000000001E-2</v>
      </c>
      <c r="D1625">
        <v>246</v>
      </c>
      <c r="E1625" t="s">
        <v>1801</v>
      </c>
      <c r="F1625">
        <v>246</v>
      </c>
      <c r="G1625" s="1">
        <v>45172</v>
      </c>
      <c r="H1625" s="6">
        <f t="shared" si="50"/>
        <v>17.583333333333151</v>
      </c>
      <c r="I1625" s="7">
        <f t="shared" si="51"/>
        <v>17.583333333333151</v>
      </c>
    </row>
    <row r="1626" spans="1:9" x14ac:dyDescent="0.2">
      <c r="A1626" t="s">
        <v>1802</v>
      </c>
      <c r="B1626">
        <v>3.6055000000000001</v>
      </c>
      <c r="C1626">
        <v>5.0505000000000001E-2</v>
      </c>
      <c r="D1626">
        <v>246</v>
      </c>
      <c r="E1626" t="s">
        <v>1802</v>
      </c>
      <c r="F1626">
        <v>246</v>
      </c>
      <c r="G1626" s="1">
        <v>45172</v>
      </c>
      <c r="H1626" s="6">
        <f t="shared" si="50"/>
        <v>17.593749999999819</v>
      </c>
      <c r="I1626" s="7">
        <f t="shared" si="51"/>
        <v>17.593749999999819</v>
      </c>
    </row>
    <row r="1627" spans="1:9" x14ac:dyDescent="0.2">
      <c r="A1627" t="s">
        <v>1803</v>
      </c>
      <c r="B1627" s="2" t="s">
        <v>1804</v>
      </c>
      <c r="C1627">
        <v>5.0115E-2</v>
      </c>
      <c r="D1627">
        <v>246</v>
      </c>
      <c r="E1627" t="s">
        <v>1803</v>
      </c>
      <c r="F1627">
        <v>246</v>
      </c>
      <c r="G1627" s="1">
        <v>45172</v>
      </c>
      <c r="H1627" s="6">
        <f t="shared" si="50"/>
        <v>17.604166666666487</v>
      </c>
      <c r="I1627" s="7">
        <f t="shared" si="51"/>
        <v>17.604166666666487</v>
      </c>
    </row>
    <row r="1628" spans="1:9" x14ac:dyDescent="0.2">
      <c r="A1628" t="s">
        <v>1805</v>
      </c>
      <c r="B1628">
        <v>3.5884999999999998</v>
      </c>
      <c r="C1628">
        <v>5.0270000000000002E-2</v>
      </c>
      <c r="D1628">
        <v>246</v>
      </c>
      <c r="E1628" t="s">
        <v>1805</v>
      </c>
      <c r="F1628">
        <v>246</v>
      </c>
      <c r="G1628" s="1">
        <v>45172</v>
      </c>
      <c r="H1628" s="6">
        <f t="shared" si="50"/>
        <v>17.614583333333155</v>
      </c>
      <c r="I1628" s="7">
        <f t="shared" si="51"/>
        <v>17.614583333333155</v>
      </c>
    </row>
    <row r="1629" spans="1:9" x14ac:dyDescent="0.2">
      <c r="A1629" t="s">
        <v>1806</v>
      </c>
      <c r="B1629">
        <v>3.5870000000000002</v>
      </c>
      <c r="C1629">
        <v>5.0250000000000003E-2</v>
      </c>
      <c r="D1629">
        <v>246</v>
      </c>
      <c r="E1629" t="s">
        <v>1806</v>
      </c>
      <c r="F1629">
        <v>246</v>
      </c>
      <c r="G1629" s="1">
        <v>45172</v>
      </c>
      <c r="H1629" s="6">
        <f t="shared" si="50"/>
        <v>17.624999999999822</v>
      </c>
      <c r="I1629" s="7">
        <f t="shared" si="51"/>
        <v>17.624999999999822</v>
      </c>
    </row>
    <row r="1630" spans="1:9" x14ac:dyDescent="0.2">
      <c r="A1630" t="s">
        <v>1807</v>
      </c>
      <c r="B1630">
        <v>3.5760000000000001</v>
      </c>
      <c r="C1630">
        <v>5.008E-2</v>
      </c>
      <c r="D1630">
        <v>246</v>
      </c>
      <c r="E1630" t="s">
        <v>1807</v>
      </c>
      <c r="F1630">
        <v>246</v>
      </c>
      <c r="G1630" s="1">
        <v>45172</v>
      </c>
      <c r="H1630" s="6">
        <f t="shared" si="50"/>
        <v>17.63541666666649</v>
      </c>
      <c r="I1630" s="7">
        <f t="shared" si="51"/>
        <v>17.63541666666649</v>
      </c>
    </row>
    <row r="1631" spans="1:9" x14ac:dyDescent="0.2">
      <c r="A1631" t="s">
        <v>1808</v>
      </c>
      <c r="B1631">
        <v>3.556</v>
      </c>
      <c r="C1631">
        <v>4.9820000000000003E-2</v>
      </c>
      <c r="D1631">
        <v>246</v>
      </c>
      <c r="E1631" t="s">
        <v>1808</v>
      </c>
      <c r="F1631">
        <v>246</v>
      </c>
      <c r="G1631" s="1">
        <v>45172</v>
      </c>
      <c r="H1631" s="6">
        <f t="shared" si="50"/>
        <v>17.645833333333158</v>
      </c>
      <c r="I1631" s="7">
        <f t="shared" si="51"/>
        <v>17.645833333333158</v>
      </c>
    </row>
    <row r="1632" spans="1:9" x14ac:dyDescent="0.2">
      <c r="A1632" t="s">
        <v>1809</v>
      </c>
      <c r="B1632">
        <v>3.6084999999999998</v>
      </c>
      <c r="C1632">
        <v>5.0534999999999997E-2</v>
      </c>
      <c r="D1632">
        <v>246</v>
      </c>
      <c r="E1632" t="s">
        <v>1809</v>
      </c>
      <c r="F1632">
        <v>246</v>
      </c>
      <c r="G1632" s="1">
        <v>45172</v>
      </c>
      <c r="H1632" s="6">
        <f t="shared" si="50"/>
        <v>17.656249999999826</v>
      </c>
      <c r="I1632" s="7">
        <f t="shared" si="51"/>
        <v>17.656249999999826</v>
      </c>
    </row>
    <row r="1633" spans="1:9" x14ac:dyDescent="0.2">
      <c r="A1633" t="s">
        <v>1810</v>
      </c>
      <c r="B1633">
        <v>3.601</v>
      </c>
      <c r="C1633">
        <v>5.0439999999999999E-2</v>
      </c>
      <c r="D1633">
        <v>246</v>
      </c>
      <c r="E1633" t="s">
        <v>1810</v>
      </c>
      <c r="F1633">
        <v>246</v>
      </c>
      <c r="G1633" s="1">
        <v>45172</v>
      </c>
      <c r="H1633" s="6">
        <f t="shared" si="50"/>
        <v>17.666666666666494</v>
      </c>
      <c r="I1633" s="7">
        <f t="shared" si="51"/>
        <v>17.666666666666494</v>
      </c>
    </row>
    <row r="1634" spans="1:9" x14ac:dyDescent="0.2">
      <c r="A1634" t="s">
        <v>1811</v>
      </c>
      <c r="B1634">
        <v>3.5939999999999999</v>
      </c>
      <c r="C1634">
        <v>5.0340000000000003E-2</v>
      </c>
      <c r="D1634">
        <v>246</v>
      </c>
      <c r="E1634" t="s">
        <v>1811</v>
      </c>
      <c r="F1634">
        <v>246</v>
      </c>
      <c r="G1634" s="1">
        <v>45172</v>
      </c>
      <c r="H1634" s="6">
        <f t="shared" si="50"/>
        <v>17.677083333333162</v>
      </c>
      <c r="I1634" s="7">
        <f t="shared" si="51"/>
        <v>17.677083333333162</v>
      </c>
    </row>
    <row r="1635" spans="1:9" x14ac:dyDescent="0.2">
      <c r="A1635" t="s">
        <v>1812</v>
      </c>
      <c r="B1635">
        <v>3.5834999999999999</v>
      </c>
      <c r="C1635">
        <v>5.0215000000000003E-2</v>
      </c>
      <c r="D1635">
        <v>246</v>
      </c>
      <c r="E1635" t="s">
        <v>1812</v>
      </c>
      <c r="F1635">
        <v>246</v>
      </c>
      <c r="G1635" s="1">
        <v>45172</v>
      </c>
      <c r="H1635" s="6">
        <f t="shared" si="50"/>
        <v>17.687499999999829</v>
      </c>
      <c r="I1635" s="7">
        <f t="shared" si="51"/>
        <v>17.687499999999829</v>
      </c>
    </row>
    <row r="1636" spans="1:9" x14ac:dyDescent="0.2">
      <c r="A1636" t="s">
        <v>1813</v>
      </c>
      <c r="B1636">
        <v>3.6074999999999999</v>
      </c>
      <c r="C1636">
        <v>5.0514999999999997E-2</v>
      </c>
      <c r="D1636">
        <v>246</v>
      </c>
      <c r="E1636" t="s">
        <v>1813</v>
      </c>
      <c r="F1636">
        <v>246</v>
      </c>
      <c r="G1636" s="1">
        <v>45172</v>
      </c>
      <c r="H1636" s="6">
        <f t="shared" si="50"/>
        <v>17.697916666666497</v>
      </c>
      <c r="I1636" s="7">
        <f t="shared" si="51"/>
        <v>17.697916666666497</v>
      </c>
    </row>
    <row r="1637" spans="1:9" x14ac:dyDescent="0.2">
      <c r="A1637" t="s">
        <v>1814</v>
      </c>
      <c r="B1637">
        <v>3.5185</v>
      </c>
      <c r="C1637">
        <v>4.9270000000000001E-2</v>
      </c>
      <c r="D1637">
        <v>246</v>
      </c>
      <c r="E1637" t="s">
        <v>1814</v>
      </c>
      <c r="F1637">
        <v>246</v>
      </c>
      <c r="G1637" s="1">
        <v>45172</v>
      </c>
      <c r="H1637" s="6">
        <f t="shared" si="50"/>
        <v>17.708333333333165</v>
      </c>
      <c r="I1637" s="7">
        <f t="shared" si="51"/>
        <v>17.708333333333165</v>
      </c>
    </row>
    <row r="1638" spans="1:9" x14ac:dyDescent="0.2">
      <c r="A1638" t="s">
        <v>1815</v>
      </c>
      <c r="B1638">
        <v>3.5409999999999999</v>
      </c>
      <c r="C1638">
        <v>4.9599999999999998E-2</v>
      </c>
      <c r="D1638">
        <v>246</v>
      </c>
      <c r="E1638" t="s">
        <v>1815</v>
      </c>
      <c r="F1638">
        <v>246</v>
      </c>
      <c r="G1638" s="1">
        <v>45172</v>
      </c>
      <c r="H1638" s="6">
        <f t="shared" si="50"/>
        <v>17.718749999999833</v>
      </c>
      <c r="I1638" s="7">
        <f t="shared" si="51"/>
        <v>17.718749999999833</v>
      </c>
    </row>
    <row r="1639" spans="1:9" x14ac:dyDescent="0.2">
      <c r="A1639" t="s">
        <v>1816</v>
      </c>
      <c r="B1639">
        <v>3.5339999999999998</v>
      </c>
      <c r="C1639">
        <v>4.9485000000000001E-2</v>
      </c>
      <c r="D1639">
        <v>246</v>
      </c>
      <c r="E1639" t="s">
        <v>1816</v>
      </c>
      <c r="F1639">
        <v>246</v>
      </c>
      <c r="G1639" s="1">
        <v>45172</v>
      </c>
      <c r="H1639" s="6">
        <f t="shared" si="50"/>
        <v>17.729166666666501</v>
      </c>
      <c r="I1639" s="7">
        <f t="shared" si="51"/>
        <v>17.729166666666501</v>
      </c>
    </row>
    <row r="1640" spans="1:9" x14ac:dyDescent="0.2">
      <c r="A1640" t="s">
        <v>1817</v>
      </c>
      <c r="B1640" s="2" t="s">
        <v>1818</v>
      </c>
      <c r="C1640">
        <v>4.9689999999999998E-2</v>
      </c>
      <c r="D1640">
        <v>246</v>
      </c>
      <c r="E1640" t="s">
        <v>1817</v>
      </c>
      <c r="F1640">
        <v>246</v>
      </c>
      <c r="G1640" s="1">
        <v>45172</v>
      </c>
      <c r="H1640" s="6">
        <f t="shared" si="50"/>
        <v>17.739583333333169</v>
      </c>
      <c r="I1640" s="7">
        <f t="shared" si="51"/>
        <v>17.739583333333169</v>
      </c>
    </row>
    <row r="1641" spans="1:9" x14ac:dyDescent="0.2">
      <c r="A1641" t="s">
        <v>1819</v>
      </c>
      <c r="B1641">
        <v>3.556</v>
      </c>
      <c r="C1641">
        <v>4.981E-2</v>
      </c>
      <c r="D1641">
        <v>247</v>
      </c>
      <c r="E1641" t="s">
        <v>1819</v>
      </c>
      <c r="F1641">
        <v>246</v>
      </c>
      <c r="G1641" s="1">
        <v>45172</v>
      </c>
      <c r="H1641" s="6">
        <f t="shared" si="50"/>
        <v>17.749999999999837</v>
      </c>
      <c r="I1641" s="7">
        <f t="shared" si="51"/>
        <v>17.749999999999837</v>
      </c>
    </row>
    <row r="1642" spans="1:9" x14ac:dyDescent="0.2">
      <c r="A1642" t="s">
        <v>1820</v>
      </c>
      <c r="B1642">
        <v>3.581</v>
      </c>
      <c r="C1642">
        <v>5.0154999999999998E-2</v>
      </c>
      <c r="D1642">
        <v>247</v>
      </c>
      <c r="E1642" t="s">
        <v>1820</v>
      </c>
      <c r="F1642">
        <v>246</v>
      </c>
      <c r="G1642" s="1">
        <v>45172</v>
      </c>
      <c r="H1642" s="6">
        <f t="shared" si="50"/>
        <v>17.760416666666504</v>
      </c>
      <c r="I1642" s="7">
        <f t="shared" si="51"/>
        <v>17.760416666666504</v>
      </c>
    </row>
    <row r="1643" spans="1:9" x14ac:dyDescent="0.2">
      <c r="A1643" t="s">
        <v>1821</v>
      </c>
      <c r="B1643">
        <v>3.5710000000000002</v>
      </c>
      <c r="C1643">
        <v>0.05</v>
      </c>
      <c r="D1643">
        <v>247</v>
      </c>
      <c r="E1643" t="s">
        <v>1821</v>
      </c>
      <c r="F1643">
        <v>246</v>
      </c>
      <c r="G1643" s="1">
        <v>45172</v>
      </c>
      <c r="H1643" s="6">
        <f t="shared" si="50"/>
        <v>17.770833333333172</v>
      </c>
      <c r="I1643" s="7">
        <f t="shared" si="51"/>
        <v>17.770833333333172</v>
      </c>
    </row>
    <row r="1644" spans="1:9" x14ac:dyDescent="0.2">
      <c r="A1644" t="s">
        <v>1822</v>
      </c>
      <c r="B1644">
        <v>3.5720000000000001</v>
      </c>
      <c r="C1644">
        <v>5.0029999999999998E-2</v>
      </c>
      <c r="D1644">
        <v>247</v>
      </c>
      <c r="E1644" t="s">
        <v>1822</v>
      </c>
      <c r="F1644">
        <v>246</v>
      </c>
      <c r="G1644" s="1">
        <v>45172</v>
      </c>
      <c r="H1644" s="6">
        <f t="shared" si="50"/>
        <v>17.78124999999984</v>
      </c>
      <c r="I1644" s="7">
        <f t="shared" si="51"/>
        <v>17.78124999999984</v>
      </c>
    </row>
    <row r="1645" spans="1:9" x14ac:dyDescent="0.2">
      <c r="A1645" t="s">
        <v>1823</v>
      </c>
      <c r="B1645">
        <v>3.6120000000000001</v>
      </c>
      <c r="C1645">
        <v>5.0604999999999997E-2</v>
      </c>
      <c r="D1645">
        <v>247</v>
      </c>
      <c r="E1645" t="s">
        <v>1823</v>
      </c>
      <c r="F1645">
        <v>246</v>
      </c>
      <c r="G1645" s="1">
        <v>45172</v>
      </c>
      <c r="H1645" s="6">
        <f t="shared" si="50"/>
        <v>17.791666666666508</v>
      </c>
      <c r="I1645" s="7">
        <f t="shared" si="51"/>
        <v>17.791666666666508</v>
      </c>
    </row>
    <row r="1646" spans="1:9" x14ac:dyDescent="0.2">
      <c r="A1646" t="s">
        <v>1824</v>
      </c>
      <c r="B1646" s="2" t="s">
        <v>1825</v>
      </c>
      <c r="C1646">
        <v>5.0694999999999997E-2</v>
      </c>
      <c r="D1646">
        <v>247</v>
      </c>
      <c r="E1646" t="s">
        <v>1824</v>
      </c>
      <c r="F1646">
        <v>246</v>
      </c>
      <c r="G1646" s="1">
        <v>45172</v>
      </c>
      <c r="H1646" s="6">
        <f t="shared" si="50"/>
        <v>17.802083333333176</v>
      </c>
      <c r="I1646" s="7">
        <f t="shared" si="51"/>
        <v>17.802083333333176</v>
      </c>
    </row>
    <row r="1647" spans="1:9" x14ac:dyDescent="0.2">
      <c r="A1647" t="s">
        <v>1826</v>
      </c>
      <c r="B1647">
        <v>3.6055000000000001</v>
      </c>
      <c r="C1647">
        <v>5.0514999999999997E-2</v>
      </c>
      <c r="D1647">
        <v>247</v>
      </c>
      <c r="E1647" t="s">
        <v>1826</v>
      </c>
      <c r="F1647">
        <v>246</v>
      </c>
      <c r="G1647" s="1">
        <v>45172</v>
      </c>
      <c r="H1647" s="6">
        <f t="shared" si="50"/>
        <v>17.812499999999844</v>
      </c>
      <c r="I1647" s="7">
        <f t="shared" si="51"/>
        <v>17.812499999999844</v>
      </c>
    </row>
    <row r="1648" spans="1:9" x14ac:dyDescent="0.2">
      <c r="A1648" t="s">
        <v>1827</v>
      </c>
      <c r="B1648">
        <v>3.6435</v>
      </c>
      <c r="C1648">
        <v>5.101E-2</v>
      </c>
      <c r="D1648">
        <v>247</v>
      </c>
      <c r="E1648" t="s">
        <v>1827</v>
      </c>
      <c r="F1648">
        <v>246</v>
      </c>
      <c r="G1648" s="1">
        <v>45172</v>
      </c>
      <c r="H1648" s="6">
        <f t="shared" si="50"/>
        <v>17.822916666666512</v>
      </c>
      <c r="I1648" s="7">
        <f t="shared" si="51"/>
        <v>17.822916666666512</v>
      </c>
    </row>
    <row r="1649" spans="1:9" x14ac:dyDescent="0.2">
      <c r="A1649" t="s">
        <v>1828</v>
      </c>
      <c r="B1649">
        <v>3.64</v>
      </c>
      <c r="C1649">
        <v>5.0985000000000003E-2</v>
      </c>
      <c r="D1649">
        <v>247</v>
      </c>
      <c r="E1649" t="s">
        <v>1828</v>
      </c>
      <c r="F1649">
        <v>246</v>
      </c>
      <c r="G1649" s="1">
        <v>45172</v>
      </c>
      <c r="H1649" s="6">
        <f t="shared" si="50"/>
        <v>17.833333333333179</v>
      </c>
      <c r="I1649" s="7">
        <f t="shared" si="51"/>
        <v>17.833333333333179</v>
      </c>
    </row>
    <row r="1650" spans="1:9" x14ac:dyDescent="0.2">
      <c r="A1650" t="s">
        <v>1829</v>
      </c>
      <c r="B1650">
        <v>3.6924999999999999</v>
      </c>
      <c r="C1650">
        <v>5.1714999999999997E-2</v>
      </c>
      <c r="D1650">
        <v>247</v>
      </c>
      <c r="E1650" t="s">
        <v>1829</v>
      </c>
      <c r="F1650">
        <v>246</v>
      </c>
      <c r="G1650" s="1">
        <v>45172</v>
      </c>
      <c r="H1650" s="6">
        <f t="shared" si="50"/>
        <v>17.843749999999847</v>
      </c>
      <c r="I1650" s="7">
        <f t="shared" si="51"/>
        <v>17.843749999999847</v>
      </c>
    </row>
    <row r="1651" spans="1:9" x14ac:dyDescent="0.2">
      <c r="A1651" t="s">
        <v>1830</v>
      </c>
      <c r="B1651">
        <v>3.7490000000000001</v>
      </c>
      <c r="C1651">
        <v>5.2495E-2</v>
      </c>
      <c r="D1651">
        <v>247</v>
      </c>
      <c r="E1651" t="s">
        <v>1830</v>
      </c>
      <c r="F1651">
        <v>246</v>
      </c>
      <c r="G1651" s="1">
        <v>45172</v>
      </c>
      <c r="H1651" s="6">
        <f t="shared" si="50"/>
        <v>17.854166666666515</v>
      </c>
      <c r="I1651" s="7">
        <f t="shared" si="51"/>
        <v>17.854166666666515</v>
      </c>
    </row>
    <row r="1652" spans="1:9" x14ac:dyDescent="0.2">
      <c r="A1652" t="s">
        <v>1831</v>
      </c>
      <c r="B1652">
        <v>3.8174999999999999</v>
      </c>
      <c r="C1652">
        <v>5.3460000000000001E-2</v>
      </c>
      <c r="D1652">
        <v>247</v>
      </c>
      <c r="E1652" t="s">
        <v>1831</v>
      </c>
      <c r="F1652">
        <v>246</v>
      </c>
      <c r="G1652" s="1">
        <v>45172</v>
      </c>
      <c r="H1652" s="6">
        <f t="shared" si="50"/>
        <v>17.864583333333183</v>
      </c>
      <c r="I1652" s="7">
        <f t="shared" si="51"/>
        <v>17.864583333333183</v>
      </c>
    </row>
    <row r="1653" spans="1:9" x14ac:dyDescent="0.2">
      <c r="A1653" t="s">
        <v>1832</v>
      </c>
      <c r="B1653">
        <v>3.8570000000000002</v>
      </c>
      <c r="C1653">
        <v>5.4035E-2</v>
      </c>
      <c r="D1653">
        <v>247</v>
      </c>
      <c r="E1653" t="s">
        <v>1832</v>
      </c>
      <c r="F1653">
        <v>246</v>
      </c>
      <c r="G1653" s="1">
        <v>45172</v>
      </c>
      <c r="H1653" s="6">
        <f t="shared" si="50"/>
        <v>17.874999999999851</v>
      </c>
      <c r="I1653" s="7">
        <f t="shared" si="51"/>
        <v>17.874999999999851</v>
      </c>
    </row>
    <row r="1654" spans="1:9" x14ac:dyDescent="0.2">
      <c r="A1654" t="s">
        <v>1833</v>
      </c>
      <c r="B1654">
        <v>3.9144999999999999</v>
      </c>
      <c r="C1654">
        <v>5.4824999999999999E-2</v>
      </c>
      <c r="D1654">
        <v>247</v>
      </c>
      <c r="E1654" t="s">
        <v>1833</v>
      </c>
      <c r="F1654">
        <v>246</v>
      </c>
      <c r="G1654" s="1">
        <v>45172</v>
      </c>
      <c r="H1654" s="6">
        <f t="shared" si="50"/>
        <v>17.885416666666519</v>
      </c>
      <c r="I1654" s="7">
        <f t="shared" si="51"/>
        <v>17.885416666666519</v>
      </c>
    </row>
    <row r="1655" spans="1:9" x14ac:dyDescent="0.2">
      <c r="A1655" t="s">
        <v>1834</v>
      </c>
      <c r="B1655">
        <v>3.9529999999999998</v>
      </c>
      <c r="C1655">
        <v>5.5359999999999999E-2</v>
      </c>
      <c r="D1655">
        <v>247</v>
      </c>
      <c r="E1655" t="s">
        <v>1834</v>
      </c>
      <c r="F1655">
        <v>246</v>
      </c>
      <c r="G1655" s="1">
        <v>45172</v>
      </c>
      <c r="H1655" s="6">
        <f t="shared" si="50"/>
        <v>17.895833333333186</v>
      </c>
      <c r="I1655" s="7">
        <f t="shared" si="51"/>
        <v>17.895833333333186</v>
      </c>
    </row>
    <row r="1656" spans="1:9" x14ac:dyDescent="0.2">
      <c r="A1656" t="s">
        <v>1835</v>
      </c>
      <c r="B1656">
        <v>4.0599999999999996</v>
      </c>
      <c r="C1656">
        <v>5.6855000000000003E-2</v>
      </c>
      <c r="D1656">
        <v>247</v>
      </c>
      <c r="E1656" t="s">
        <v>1835</v>
      </c>
      <c r="F1656">
        <v>246</v>
      </c>
      <c r="G1656" s="1">
        <v>45172</v>
      </c>
      <c r="H1656" s="6">
        <f t="shared" si="50"/>
        <v>17.906249999999854</v>
      </c>
      <c r="I1656" s="7">
        <f t="shared" si="51"/>
        <v>17.906249999999854</v>
      </c>
    </row>
    <row r="1657" spans="1:9" x14ac:dyDescent="0.2">
      <c r="A1657" t="s">
        <v>1836</v>
      </c>
      <c r="B1657">
        <v>4.0735000000000001</v>
      </c>
      <c r="C1657">
        <v>5.7064999999999998E-2</v>
      </c>
      <c r="D1657">
        <v>247</v>
      </c>
      <c r="E1657" t="s">
        <v>1836</v>
      </c>
      <c r="F1657">
        <v>246</v>
      </c>
      <c r="G1657" s="1">
        <v>45172</v>
      </c>
      <c r="H1657" s="6">
        <f t="shared" si="50"/>
        <v>17.916666666666522</v>
      </c>
      <c r="I1657" s="7">
        <f t="shared" si="51"/>
        <v>17.916666666666522</v>
      </c>
    </row>
    <row r="1658" spans="1:9" x14ac:dyDescent="0.2">
      <c r="A1658" t="s">
        <v>1837</v>
      </c>
      <c r="B1658">
        <v>4.1660000000000004</v>
      </c>
      <c r="C1658">
        <v>5.8349999999999999E-2</v>
      </c>
      <c r="D1658">
        <v>247</v>
      </c>
      <c r="E1658" t="s">
        <v>1837</v>
      </c>
      <c r="F1658">
        <v>246</v>
      </c>
      <c r="G1658" s="1">
        <v>45172</v>
      </c>
      <c r="H1658" s="6">
        <f t="shared" si="50"/>
        <v>17.92708333333319</v>
      </c>
      <c r="I1658" s="7">
        <f t="shared" si="51"/>
        <v>17.92708333333319</v>
      </c>
    </row>
    <row r="1659" spans="1:9" x14ac:dyDescent="0.2">
      <c r="A1659" t="s">
        <v>1838</v>
      </c>
      <c r="B1659">
        <v>4.2329999999999997</v>
      </c>
      <c r="C1659">
        <v>5.9275000000000001E-2</v>
      </c>
      <c r="D1659">
        <v>247</v>
      </c>
      <c r="E1659" t="s">
        <v>1838</v>
      </c>
      <c r="F1659">
        <v>246</v>
      </c>
      <c r="G1659" s="1">
        <v>45172</v>
      </c>
      <c r="H1659" s="6">
        <f t="shared" si="50"/>
        <v>17.937499999999858</v>
      </c>
      <c r="I1659" s="7">
        <f t="shared" si="51"/>
        <v>17.937499999999858</v>
      </c>
    </row>
    <row r="1660" spans="1:9" x14ac:dyDescent="0.2">
      <c r="A1660" t="s">
        <v>1839</v>
      </c>
      <c r="B1660">
        <v>4.2770000000000001</v>
      </c>
      <c r="C1660">
        <v>5.9900000000000002E-2</v>
      </c>
      <c r="D1660">
        <v>247</v>
      </c>
      <c r="E1660" t="s">
        <v>1839</v>
      </c>
      <c r="F1660">
        <v>246</v>
      </c>
      <c r="G1660" s="1">
        <v>45172</v>
      </c>
      <c r="H1660" s="6">
        <f t="shared" si="50"/>
        <v>17.947916666666526</v>
      </c>
      <c r="I1660" s="7">
        <f t="shared" si="51"/>
        <v>17.947916666666526</v>
      </c>
    </row>
    <row r="1661" spans="1:9" x14ac:dyDescent="0.2">
      <c r="A1661" t="s">
        <v>1840</v>
      </c>
      <c r="B1661">
        <v>4.2774999999999999</v>
      </c>
      <c r="C1661">
        <v>5.9909999999999998E-2</v>
      </c>
      <c r="D1661">
        <v>247</v>
      </c>
      <c r="E1661" t="s">
        <v>1840</v>
      </c>
      <c r="F1661">
        <v>246</v>
      </c>
      <c r="G1661" s="1">
        <v>45172</v>
      </c>
      <c r="H1661" s="6">
        <f t="shared" si="50"/>
        <v>17.958333333333194</v>
      </c>
      <c r="I1661" s="7">
        <f t="shared" si="51"/>
        <v>17.958333333333194</v>
      </c>
    </row>
    <row r="1662" spans="1:9" x14ac:dyDescent="0.2">
      <c r="A1662" t="s">
        <v>1841</v>
      </c>
      <c r="B1662">
        <v>4.3239999999999998</v>
      </c>
      <c r="C1662">
        <v>6.0565000000000001E-2</v>
      </c>
      <c r="D1662">
        <v>247</v>
      </c>
      <c r="E1662" t="s">
        <v>1841</v>
      </c>
      <c r="F1662">
        <v>246</v>
      </c>
      <c r="G1662" s="1">
        <v>45172</v>
      </c>
      <c r="H1662" s="6">
        <f t="shared" si="50"/>
        <v>17.968749999999861</v>
      </c>
      <c r="I1662" s="7">
        <f t="shared" si="51"/>
        <v>17.968749999999861</v>
      </c>
    </row>
    <row r="1663" spans="1:9" x14ac:dyDescent="0.2">
      <c r="A1663" t="s">
        <v>1842</v>
      </c>
      <c r="B1663">
        <v>4.3520000000000003</v>
      </c>
      <c r="C1663">
        <v>6.096E-2</v>
      </c>
      <c r="D1663">
        <v>247</v>
      </c>
      <c r="E1663" t="s">
        <v>1842</v>
      </c>
      <c r="F1663">
        <v>246</v>
      </c>
      <c r="G1663" s="1">
        <v>45172</v>
      </c>
      <c r="H1663" s="6">
        <f t="shared" si="50"/>
        <v>17.979166666666529</v>
      </c>
      <c r="I1663" s="7">
        <f t="shared" si="51"/>
        <v>17.979166666666529</v>
      </c>
    </row>
    <row r="1664" spans="1:9" x14ac:dyDescent="0.2">
      <c r="A1664" t="s">
        <v>1843</v>
      </c>
      <c r="B1664">
        <v>4.3555000000000001</v>
      </c>
      <c r="C1664">
        <v>6.1004999999999997E-2</v>
      </c>
      <c r="D1664">
        <v>247</v>
      </c>
      <c r="E1664" t="s">
        <v>1843</v>
      </c>
      <c r="F1664">
        <v>246</v>
      </c>
      <c r="G1664" s="1">
        <v>45172</v>
      </c>
      <c r="H1664" s="6">
        <f t="shared" si="50"/>
        <v>17.989583333333197</v>
      </c>
      <c r="I1664" s="7">
        <f t="shared" si="51"/>
        <v>17.989583333333197</v>
      </c>
    </row>
    <row r="1665" spans="1:9" x14ac:dyDescent="0.2">
      <c r="A1665" t="s">
        <v>1844</v>
      </c>
      <c r="B1665">
        <v>4.4124999999999996</v>
      </c>
      <c r="C1665">
        <v>6.1809999999999997E-2</v>
      </c>
      <c r="D1665">
        <v>247</v>
      </c>
      <c r="E1665" t="s">
        <v>1844</v>
      </c>
      <c r="F1665">
        <v>247</v>
      </c>
      <c r="G1665" s="1">
        <v>45173</v>
      </c>
      <c r="H1665" s="6">
        <f t="shared" si="50"/>
        <v>17.999999999999865</v>
      </c>
      <c r="I1665" s="7">
        <f t="shared" si="51"/>
        <v>17.999999999999865</v>
      </c>
    </row>
    <row r="1666" spans="1:9" x14ac:dyDescent="0.2">
      <c r="A1666" t="s">
        <v>1845</v>
      </c>
      <c r="B1666">
        <v>4.3944999999999999</v>
      </c>
      <c r="C1666">
        <v>6.1534999999999999E-2</v>
      </c>
      <c r="D1666">
        <v>247</v>
      </c>
      <c r="E1666" t="s">
        <v>1845</v>
      </c>
      <c r="F1666">
        <v>247</v>
      </c>
      <c r="G1666" s="1">
        <v>45173</v>
      </c>
      <c r="H1666" s="6">
        <f t="shared" si="50"/>
        <v>18.010416666666533</v>
      </c>
      <c r="I1666" s="7">
        <f t="shared" si="51"/>
        <v>18.010416666666533</v>
      </c>
    </row>
    <row r="1667" spans="1:9" x14ac:dyDescent="0.2">
      <c r="A1667" t="s">
        <v>1846</v>
      </c>
      <c r="B1667">
        <v>4.3890000000000002</v>
      </c>
      <c r="C1667">
        <v>6.1475000000000002E-2</v>
      </c>
      <c r="D1667">
        <v>247</v>
      </c>
      <c r="E1667" t="s">
        <v>1846</v>
      </c>
      <c r="F1667">
        <v>247</v>
      </c>
      <c r="G1667" s="1">
        <v>45173</v>
      </c>
      <c r="H1667" s="6">
        <f t="shared" ref="H1667:H1730" si="52">H1666+$K$1</f>
        <v>18.020833333333201</v>
      </c>
      <c r="I1667" s="7">
        <f t="shared" ref="I1667:I1730" si="53">I1666+$K$1</f>
        <v>18.020833333333201</v>
      </c>
    </row>
    <row r="1668" spans="1:9" x14ac:dyDescent="0.2">
      <c r="A1668" t="s">
        <v>1847</v>
      </c>
      <c r="B1668">
        <v>4.4055</v>
      </c>
      <c r="C1668">
        <v>6.1705000000000003E-2</v>
      </c>
      <c r="D1668">
        <v>247</v>
      </c>
      <c r="E1668" t="s">
        <v>1847</v>
      </c>
      <c r="F1668">
        <v>247</v>
      </c>
      <c r="G1668" s="1">
        <v>45173</v>
      </c>
      <c r="H1668" s="6">
        <f t="shared" si="52"/>
        <v>18.031249999999869</v>
      </c>
      <c r="I1668" s="7">
        <f t="shared" si="53"/>
        <v>18.031249999999869</v>
      </c>
    </row>
    <row r="1669" spans="1:9" x14ac:dyDescent="0.2">
      <c r="A1669" t="s">
        <v>1848</v>
      </c>
      <c r="B1669">
        <v>4.407</v>
      </c>
      <c r="C1669" s="2" t="s">
        <v>1849</v>
      </c>
      <c r="D1669">
        <v>247</v>
      </c>
      <c r="E1669" t="s">
        <v>1848</v>
      </c>
      <c r="F1669">
        <v>247</v>
      </c>
      <c r="G1669" s="1">
        <v>45173</v>
      </c>
      <c r="H1669" s="6">
        <f t="shared" si="52"/>
        <v>18.041666666666536</v>
      </c>
      <c r="I1669" s="7">
        <f t="shared" si="53"/>
        <v>18.041666666666536</v>
      </c>
    </row>
    <row r="1670" spans="1:9" x14ac:dyDescent="0.2">
      <c r="A1670" t="s">
        <v>1850</v>
      </c>
      <c r="B1670">
        <v>4.4359999999999999</v>
      </c>
      <c r="C1670">
        <v>6.2129999999999998E-2</v>
      </c>
      <c r="D1670">
        <v>247</v>
      </c>
      <c r="E1670" t="s">
        <v>1850</v>
      </c>
      <c r="F1670">
        <v>247</v>
      </c>
      <c r="G1670" s="1">
        <v>45173</v>
      </c>
      <c r="H1670" s="6">
        <f t="shared" si="52"/>
        <v>18.052083333333204</v>
      </c>
      <c r="I1670" s="7">
        <f t="shared" si="53"/>
        <v>18.052083333333204</v>
      </c>
    </row>
    <row r="1671" spans="1:9" x14ac:dyDescent="0.2">
      <c r="A1671" t="s">
        <v>1851</v>
      </c>
      <c r="B1671">
        <v>4.4370000000000003</v>
      </c>
      <c r="C1671">
        <v>6.2149999999999997E-2</v>
      </c>
      <c r="D1671">
        <v>247</v>
      </c>
      <c r="E1671" t="s">
        <v>1851</v>
      </c>
      <c r="F1671">
        <v>247</v>
      </c>
      <c r="G1671" s="1">
        <v>45173</v>
      </c>
      <c r="H1671" s="6">
        <f t="shared" si="52"/>
        <v>18.062499999999872</v>
      </c>
      <c r="I1671" s="7">
        <f t="shared" si="53"/>
        <v>18.062499999999872</v>
      </c>
    </row>
    <row r="1672" spans="1:9" x14ac:dyDescent="0.2">
      <c r="A1672" t="s">
        <v>1852</v>
      </c>
      <c r="B1672">
        <v>4.4225000000000003</v>
      </c>
      <c r="C1672">
        <v>6.1949999999999998E-2</v>
      </c>
      <c r="D1672">
        <v>247</v>
      </c>
      <c r="E1672" t="s">
        <v>1852</v>
      </c>
      <c r="F1672">
        <v>247</v>
      </c>
      <c r="G1672" s="1">
        <v>45173</v>
      </c>
      <c r="H1672" s="6">
        <f t="shared" si="52"/>
        <v>18.07291666666654</v>
      </c>
      <c r="I1672" s="7">
        <f t="shared" si="53"/>
        <v>18.07291666666654</v>
      </c>
    </row>
    <row r="1673" spans="1:9" x14ac:dyDescent="0.2">
      <c r="A1673" t="s">
        <v>1853</v>
      </c>
      <c r="B1673">
        <v>4.4314999999999998</v>
      </c>
      <c r="C1673">
        <v>6.2065000000000002E-2</v>
      </c>
      <c r="D1673">
        <v>247</v>
      </c>
      <c r="E1673" t="s">
        <v>1853</v>
      </c>
      <c r="F1673">
        <v>247</v>
      </c>
      <c r="G1673" s="1">
        <v>45173</v>
      </c>
      <c r="H1673" s="6">
        <f t="shared" si="52"/>
        <v>18.083333333333208</v>
      </c>
      <c r="I1673" s="7">
        <f t="shared" si="53"/>
        <v>18.083333333333208</v>
      </c>
    </row>
    <row r="1674" spans="1:9" x14ac:dyDescent="0.2">
      <c r="A1674" t="s">
        <v>1854</v>
      </c>
      <c r="B1674">
        <v>4.4184999999999999</v>
      </c>
      <c r="C1674">
        <v>6.1905000000000002E-2</v>
      </c>
      <c r="D1674">
        <v>247</v>
      </c>
      <c r="E1674" t="s">
        <v>1854</v>
      </c>
      <c r="F1674">
        <v>247</v>
      </c>
      <c r="G1674" s="1">
        <v>45173</v>
      </c>
      <c r="H1674" s="6">
        <f t="shared" si="52"/>
        <v>18.093749999999876</v>
      </c>
      <c r="I1674" s="7">
        <f t="shared" si="53"/>
        <v>18.093749999999876</v>
      </c>
    </row>
    <row r="1675" spans="1:9" x14ac:dyDescent="0.2">
      <c r="A1675" t="s">
        <v>1855</v>
      </c>
      <c r="B1675">
        <v>4.4160000000000004</v>
      </c>
      <c r="C1675">
        <v>6.1844999999999997E-2</v>
      </c>
      <c r="D1675">
        <v>247</v>
      </c>
      <c r="E1675" t="s">
        <v>1855</v>
      </c>
      <c r="F1675">
        <v>247</v>
      </c>
      <c r="G1675" s="1">
        <v>45173</v>
      </c>
      <c r="H1675" s="6">
        <f t="shared" si="52"/>
        <v>18.104166666666544</v>
      </c>
      <c r="I1675" s="7">
        <f t="shared" si="53"/>
        <v>18.104166666666544</v>
      </c>
    </row>
    <row r="1676" spans="1:9" x14ac:dyDescent="0.2">
      <c r="A1676" t="s">
        <v>1856</v>
      </c>
      <c r="B1676">
        <v>4.3994999999999997</v>
      </c>
      <c r="C1676">
        <v>6.1635000000000002E-2</v>
      </c>
      <c r="D1676">
        <v>247</v>
      </c>
      <c r="E1676" t="s">
        <v>1856</v>
      </c>
      <c r="F1676">
        <v>247</v>
      </c>
      <c r="G1676" s="1">
        <v>45173</v>
      </c>
      <c r="H1676" s="6">
        <f t="shared" si="52"/>
        <v>18.114583333333211</v>
      </c>
      <c r="I1676" s="7">
        <f t="shared" si="53"/>
        <v>18.114583333333211</v>
      </c>
    </row>
    <row r="1677" spans="1:9" x14ac:dyDescent="0.2">
      <c r="A1677" t="s">
        <v>1857</v>
      </c>
      <c r="B1677">
        <v>4.4104999999999999</v>
      </c>
      <c r="C1677">
        <v>6.1760000000000002E-2</v>
      </c>
      <c r="D1677">
        <v>247</v>
      </c>
      <c r="E1677" t="s">
        <v>1857</v>
      </c>
      <c r="F1677">
        <v>247</v>
      </c>
      <c r="G1677" s="1">
        <v>45173</v>
      </c>
      <c r="H1677" s="6">
        <f t="shared" si="52"/>
        <v>18.124999999999879</v>
      </c>
      <c r="I1677" s="7">
        <f t="shared" si="53"/>
        <v>18.124999999999879</v>
      </c>
    </row>
    <row r="1678" spans="1:9" x14ac:dyDescent="0.2">
      <c r="A1678" t="s">
        <v>1858</v>
      </c>
      <c r="B1678">
        <v>4.3760000000000003</v>
      </c>
      <c r="C1678">
        <v>6.13E-2</v>
      </c>
      <c r="D1678">
        <v>247</v>
      </c>
      <c r="E1678" t="s">
        <v>1858</v>
      </c>
      <c r="F1678">
        <v>247</v>
      </c>
      <c r="G1678" s="1">
        <v>45173</v>
      </c>
      <c r="H1678" s="6">
        <f t="shared" si="52"/>
        <v>18.135416666666547</v>
      </c>
      <c r="I1678" s="7">
        <f t="shared" si="53"/>
        <v>18.135416666666547</v>
      </c>
    </row>
    <row r="1679" spans="1:9" x14ac:dyDescent="0.2">
      <c r="A1679" t="s">
        <v>1859</v>
      </c>
      <c r="B1679">
        <v>4.3815</v>
      </c>
      <c r="C1679">
        <v>6.139E-2</v>
      </c>
      <c r="D1679">
        <v>247</v>
      </c>
      <c r="E1679" t="s">
        <v>1859</v>
      </c>
      <c r="F1679">
        <v>247</v>
      </c>
      <c r="G1679" s="1">
        <v>45173</v>
      </c>
      <c r="H1679" s="6">
        <f t="shared" si="52"/>
        <v>18.145833333333215</v>
      </c>
      <c r="I1679" s="7">
        <f t="shared" si="53"/>
        <v>18.145833333333215</v>
      </c>
    </row>
    <row r="1680" spans="1:9" x14ac:dyDescent="0.2">
      <c r="A1680" t="s">
        <v>1860</v>
      </c>
      <c r="B1680">
        <v>4.3650000000000002</v>
      </c>
      <c r="C1680" s="2" t="s">
        <v>1861</v>
      </c>
      <c r="D1680">
        <v>247</v>
      </c>
      <c r="E1680" t="s">
        <v>1860</v>
      </c>
      <c r="F1680">
        <v>247</v>
      </c>
      <c r="G1680" s="1">
        <v>45173</v>
      </c>
      <c r="H1680" s="6">
        <f t="shared" si="52"/>
        <v>18.156249999999883</v>
      </c>
      <c r="I1680" s="7">
        <f t="shared" si="53"/>
        <v>18.156249999999883</v>
      </c>
    </row>
    <row r="1681" spans="1:9" x14ac:dyDescent="0.2">
      <c r="A1681" t="s">
        <v>1862</v>
      </c>
      <c r="B1681">
        <v>4.3970000000000002</v>
      </c>
      <c r="C1681">
        <v>6.1585000000000001E-2</v>
      </c>
      <c r="D1681">
        <v>247</v>
      </c>
      <c r="E1681" t="s">
        <v>1862</v>
      </c>
      <c r="F1681">
        <v>247</v>
      </c>
      <c r="G1681" s="1">
        <v>45173</v>
      </c>
      <c r="H1681" s="6">
        <f t="shared" si="52"/>
        <v>18.166666666666551</v>
      </c>
      <c r="I1681" s="7">
        <f t="shared" si="53"/>
        <v>18.166666666666551</v>
      </c>
    </row>
    <row r="1682" spans="1:9" x14ac:dyDescent="0.2">
      <c r="A1682" t="s">
        <v>1863</v>
      </c>
      <c r="B1682">
        <v>4.3875000000000002</v>
      </c>
      <c r="C1682">
        <v>6.1445E-2</v>
      </c>
      <c r="D1682">
        <v>247</v>
      </c>
      <c r="E1682" t="s">
        <v>1863</v>
      </c>
      <c r="F1682">
        <v>247</v>
      </c>
      <c r="G1682" s="1">
        <v>45173</v>
      </c>
      <c r="H1682" s="6">
        <f t="shared" si="52"/>
        <v>18.177083333333218</v>
      </c>
      <c r="I1682" s="7">
        <f t="shared" si="53"/>
        <v>18.177083333333218</v>
      </c>
    </row>
    <row r="1683" spans="1:9" x14ac:dyDescent="0.2">
      <c r="A1683" t="s">
        <v>1864</v>
      </c>
      <c r="B1683">
        <v>4.3734999999999999</v>
      </c>
      <c r="C1683" s="2" t="s">
        <v>1865</v>
      </c>
      <c r="D1683">
        <v>247</v>
      </c>
      <c r="E1683" t="s">
        <v>1864</v>
      </c>
      <c r="F1683">
        <v>247</v>
      </c>
      <c r="G1683" s="1">
        <v>45173</v>
      </c>
      <c r="H1683" s="6">
        <f t="shared" si="52"/>
        <v>18.187499999999886</v>
      </c>
      <c r="I1683" s="7">
        <f t="shared" si="53"/>
        <v>18.187499999999886</v>
      </c>
    </row>
    <row r="1684" spans="1:9" x14ac:dyDescent="0.2">
      <c r="A1684" t="s">
        <v>1866</v>
      </c>
      <c r="B1684">
        <v>4.3955000000000002</v>
      </c>
      <c r="C1684">
        <v>6.1574999999999998E-2</v>
      </c>
      <c r="D1684">
        <v>247</v>
      </c>
      <c r="E1684" t="s">
        <v>1866</v>
      </c>
      <c r="F1684">
        <v>247</v>
      </c>
      <c r="G1684" s="1">
        <v>45173</v>
      </c>
      <c r="H1684" s="6">
        <f t="shared" si="52"/>
        <v>18.197916666666554</v>
      </c>
      <c r="I1684" s="7">
        <f t="shared" si="53"/>
        <v>18.197916666666554</v>
      </c>
    </row>
    <row r="1685" spans="1:9" x14ac:dyDescent="0.2">
      <c r="A1685" t="s">
        <v>1867</v>
      </c>
      <c r="B1685">
        <v>4.3710000000000004</v>
      </c>
      <c r="C1685">
        <v>6.123E-2</v>
      </c>
      <c r="D1685">
        <v>247</v>
      </c>
      <c r="E1685" t="s">
        <v>1867</v>
      </c>
      <c r="F1685">
        <v>247</v>
      </c>
      <c r="G1685" s="1">
        <v>45173</v>
      </c>
      <c r="H1685" s="6">
        <f t="shared" si="52"/>
        <v>18.208333333333222</v>
      </c>
      <c r="I1685" s="7">
        <f t="shared" si="53"/>
        <v>18.208333333333222</v>
      </c>
    </row>
    <row r="1686" spans="1:9" x14ac:dyDescent="0.2">
      <c r="A1686" t="s">
        <v>1868</v>
      </c>
      <c r="B1686">
        <v>4.383</v>
      </c>
      <c r="C1686">
        <v>6.1374999999999999E-2</v>
      </c>
      <c r="D1686">
        <v>247</v>
      </c>
      <c r="E1686" t="s">
        <v>1868</v>
      </c>
      <c r="F1686">
        <v>247</v>
      </c>
      <c r="G1686" s="1">
        <v>45173</v>
      </c>
      <c r="H1686" s="6">
        <f t="shared" si="52"/>
        <v>18.21874999999989</v>
      </c>
      <c r="I1686" s="7">
        <f t="shared" si="53"/>
        <v>18.21874999999989</v>
      </c>
    </row>
    <row r="1687" spans="1:9" x14ac:dyDescent="0.2">
      <c r="A1687" t="s">
        <v>1869</v>
      </c>
      <c r="B1687">
        <v>4.3704999999999998</v>
      </c>
      <c r="C1687">
        <v>6.1234999999999998E-2</v>
      </c>
      <c r="D1687">
        <v>247</v>
      </c>
      <c r="E1687" t="s">
        <v>1869</v>
      </c>
      <c r="F1687">
        <v>247</v>
      </c>
      <c r="G1687" s="1">
        <v>45173</v>
      </c>
      <c r="H1687" s="6">
        <f t="shared" si="52"/>
        <v>18.229166666666558</v>
      </c>
      <c r="I1687" s="7">
        <f t="shared" si="53"/>
        <v>18.229166666666558</v>
      </c>
    </row>
    <row r="1688" spans="1:9" x14ac:dyDescent="0.2">
      <c r="A1688" t="s">
        <v>1870</v>
      </c>
      <c r="B1688">
        <v>4.3674999999999997</v>
      </c>
      <c r="C1688">
        <v>6.1185000000000003E-2</v>
      </c>
      <c r="D1688">
        <v>247</v>
      </c>
      <c r="E1688" t="s">
        <v>1870</v>
      </c>
      <c r="F1688">
        <v>247</v>
      </c>
      <c r="G1688" s="1">
        <v>45173</v>
      </c>
      <c r="H1688" s="6">
        <f t="shared" si="52"/>
        <v>18.239583333333226</v>
      </c>
      <c r="I1688" s="7">
        <f t="shared" si="53"/>
        <v>18.239583333333226</v>
      </c>
    </row>
    <row r="1689" spans="1:9" x14ac:dyDescent="0.2">
      <c r="A1689" t="s">
        <v>1871</v>
      </c>
      <c r="B1689">
        <v>4.343</v>
      </c>
      <c r="C1689">
        <v>6.0815000000000001E-2</v>
      </c>
      <c r="D1689">
        <v>247</v>
      </c>
      <c r="E1689" t="s">
        <v>1871</v>
      </c>
      <c r="F1689">
        <v>247</v>
      </c>
      <c r="G1689" s="1">
        <v>45173</v>
      </c>
      <c r="H1689" s="6">
        <f t="shared" si="52"/>
        <v>18.249999999999893</v>
      </c>
      <c r="I1689" s="7">
        <f t="shared" si="53"/>
        <v>18.249999999999893</v>
      </c>
    </row>
    <row r="1690" spans="1:9" x14ac:dyDescent="0.2">
      <c r="A1690" t="s">
        <v>1872</v>
      </c>
      <c r="B1690">
        <v>4.3639999999999999</v>
      </c>
      <c r="C1690">
        <v>6.1135000000000002E-2</v>
      </c>
      <c r="D1690">
        <v>247</v>
      </c>
      <c r="E1690" t="s">
        <v>1872</v>
      </c>
      <c r="F1690">
        <v>247</v>
      </c>
      <c r="G1690" s="1">
        <v>45173</v>
      </c>
      <c r="H1690" s="6">
        <f t="shared" si="52"/>
        <v>18.260416666666561</v>
      </c>
      <c r="I1690" s="7">
        <f t="shared" si="53"/>
        <v>18.260416666666561</v>
      </c>
    </row>
    <row r="1691" spans="1:9" x14ac:dyDescent="0.2">
      <c r="A1691" t="s">
        <v>1873</v>
      </c>
      <c r="B1691">
        <v>4.3455000000000004</v>
      </c>
      <c r="C1691">
        <v>6.0865000000000002E-2</v>
      </c>
      <c r="D1691">
        <v>247</v>
      </c>
      <c r="E1691" t="s">
        <v>1873</v>
      </c>
      <c r="F1691">
        <v>247</v>
      </c>
      <c r="G1691" s="1">
        <v>45173</v>
      </c>
      <c r="H1691" s="6">
        <f t="shared" si="52"/>
        <v>18.270833333333229</v>
      </c>
      <c r="I1691" s="7">
        <f t="shared" si="53"/>
        <v>18.270833333333229</v>
      </c>
    </row>
    <row r="1692" spans="1:9" x14ac:dyDescent="0.2">
      <c r="A1692" t="s">
        <v>1874</v>
      </c>
      <c r="B1692">
        <v>4.3520000000000003</v>
      </c>
      <c r="C1692">
        <v>6.0975000000000001E-2</v>
      </c>
      <c r="D1692">
        <v>247</v>
      </c>
      <c r="E1692" t="s">
        <v>1874</v>
      </c>
      <c r="F1692">
        <v>247</v>
      </c>
      <c r="G1692" s="1">
        <v>45173</v>
      </c>
      <c r="H1692" s="6">
        <f t="shared" si="52"/>
        <v>18.281249999999897</v>
      </c>
      <c r="I1692" s="7">
        <f t="shared" si="53"/>
        <v>18.281249999999897</v>
      </c>
    </row>
    <row r="1693" spans="1:9" x14ac:dyDescent="0.2">
      <c r="A1693" t="s">
        <v>1875</v>
      </c>
      <c r="B1693">
        <v>4.3395000000000001</v>
      </c>
      <c r="C1693">
        <v>6.0765E-2</v>
      </c>
      <c r="D1693">
        <v>247</v>
      </c>
      <c r="E1693" t="s">
        <v>1875</v>
      </c>
      <c r="F1693">
        <v>247</v>
      </c>
      <c r="G1693" s="1">
        <v>45173</v>
      </c>
      <c r="H1693" s="6">
        <f t="shared" si="52"/>
        <v>18.291666666666565</v>
      </c>
      <c r="I1693" s="7">
        <f t="shared" si="53"/>
        <v>18.291666666666565</v>
      </c>
    </row>
    <row r="1694" spans="1:9" x14ac:dyDescent="0.2">
      <c r="A1694" t="s">
        <v>1876</v>
      </c>
      <c r="B1694" s="2" t="s">
        <v>1877</v>
      </c>
      <c r="C1694">
        <v>6.0824999999999997E-2</v>
      </c>
      <c r="D1694">
        <v>247</v>
      </c>
      <c r="E1694" t="s">
        <v>1876</v>
      </c>
      <c r="F1694">
        <v>247</v>
      </c>
      <c r="G1694" s="1">
        <v>45173</v>
      </c>
      <c r="H1694" s="6">
        <f t="shared" si="52"/>
        <v>18.302083333333233</v>
      </c>
      <c r="I1694" s="7">
        <f t="shared" si="53"/>
        <v>18.302083333333233</v>
      </c>
    </row>
    <row r="1695" spans="1:9" x14ac:dyDescent="0.2">
      <c r="A1695" t="s">
        <v>1878</v>
      </c>
      <c r="B1695">
        <v>4.3380000000000001</v>
      </c>
      <c r="C1695" s="2" t="s">
        <v>1879</v>
      </c>
      <c r="D1695">
        <v>247</v>
      </c>
      <c r="E1695" t="s">
        <v>1878</v>
      </c>
      <c r="F1695">
        <v>247</v>
      </c>
      <c r="G1695" s="1">
        <v>45173</v>
      </c>
      <c r="H1695" s="6">
        <f t="shared" si="52"/>
        <v>18.312499999999901</v>
      </c>
      <c r="I1695" s="7">
        <f t="shared" si="53"/>
        <v>18.312499999999901</v>
      </c>
    </row>
    <row r="1696" spans="1:9" x14ac:dyDescent="0.2">
      <c r="A1696" t="s">
        <v>1880</v>
      </c>
      <c r="B1696">
        <v>4.3150000000000004</v>
      </c>
      <c r="C1696" s="2" t="s">
        <v>1881</v>
      </c>
      <c r="D1696">
        <v>247</v>
      </c>
      <c r="E1696" t="s">
        <v>1880</v>
      </c>
      <c r="F1696">
        <v>247</v>
      </c>
      <c r="G1696" s="1">
        <v>45173</v>
      </c>
      <c r="H1696" s="6">
        <f t="shared" si="52"/>
        <v>18.322916666666568</v>
      </c>
      <c r="I1696" s="7">
        <f t="shared" si="53"/>
        <v>18.322916666666568</v>
      </c>
    </row>
    <row r="1697" spans="1:9" x14ac:dyDescent="0.2">
      <c r="A1697" t="s">
        <v>1882</v>
      </c>
      <c r="B1697">
        <v>4.3109999999999999</v>
      </c>
      <c r="C1697">
        <v>6.0385000000000001E-2</v>
      </c>
      <c r="D1697">
        <v>247</v>
      </c>
      <c r="E1697" t="s">
        <v>1882</v>
      </c>
      <c r="F1697">
        <v>247</v>
      </c>
      <c r="G1697" s="1">
        <v>45173</v>
      </c>
      <c r="H1697" s="6">
        <f t="shared" si="52"/>
        <v>18.333333333333236</v>
      </c>
      <c r="I1697" s="7">
        <f t="shared" si="53"/>
        <v>18.333333333333236</v>
      </c>
    </row>
    <row r="1698" spans="1:9" x14ac:dyDescent="0.2">
      <c r="A1698" t="s">
        <v>1883</v>
      </c>
      <c r="B1698">
        <v>4.3010000000000002</v>
      </c>
      <c r="C1698">
        <v>6.0225000000000001E-2</v>
      </c>
      <c r="D1698">
        <v>247</v>
      </c>
      <c r="E1698" t="s">
        <v>1883</v>
      </c>
      <c r="F1698">
        <v>247</v>
      </c>
      <c r="G1698" s="1">
        <v>45173</v>
      </c>
      <c r="H1698" s="6">
        <f t="shared" si="52"/>
        <v>18.343749999999904</v>
      </c>
      <c r="I1698" s="7">
        <f t="shared" si="53"/>
        <v>18.343749999999904</v>
      </c>
    </row>
    <row r="1699" spans="1:9" x14ac:dyDescent="0.2">
      <c r="A1699" t="s">
        <v>1884</v>
      </c>
      <c r="B1699">
        <v>4.2104999999999997</v>
      </c>
      <c r="C1699">
        <v>5.8979999999999998E-2</v>
      </c>
      <c r="D1699">
        <v>247</v>
      </c>
      <c r="E1699" t="s">
        <v>1884</v>
      </c>
      <c r="F1699">
        <v>247</v>
      </c>
      <c r="G1699" s="1">
        <v>45173</v>
      </c>
      <c r="H1699" s="6">
        <f t="shared" si="52"/>
        <v>18.354166666666572</v>
      </c>
      <c r="I1699" s="7">
        <f t="shared" si="53"/>
        <v>18.354166666666572</v>
      </c>
    </row>
    <row r="1700" spans="1:9" x14ac:dyDescent="0.2">
      <c r="A1700" t="s">
        <v>1885</v>
      </c>
      <c r="B1700">
        <v>4.2424999999999997</v>
      </c>
      <c r="C1700">
        <v>5.944E-2</v>
      </c>
      <c r="D1700">
        <v>247</v>
      </c>
      <c r="E1700" t="s">
        <v>1885</v>
      </c>
      <c r="F1700">
        <v>247</v>
      </c>
      <c r="G1700" s="1">
        <v>45173</v>
      </c>
      <c r="H1700" s="6">
        <f t="shared" si="52"/>
        <v>18.36458333333324</v>
      </c>
      <c r="I1700" s="7">
        <f t="shared" si="53"/>
        <v>18.36458333333324</v>
      </c>
    </row>
    <row r="1701" spans="1:9" x14ac:dyDescent="0.2">
      <c r="A1701" t="s">
        <v>1886</v>
      </c>
      <c r="B1701">
        <v>4.2415000000000003</v>
      </c>
      <c r="C1701">
        <v>5.9404999999999999E-2</v>
      </c>
      <c r="D1701">
        <v>247</v>
      </c>
      <c r="E1701" t="s">
        <v>1886</v>
      </c>
      <c r="F1701">
        <v>247</v>
      </c>
      <c r="G1701" s="1">
        <v>45173</v>
      </c>
      <c r="H1701" s="6">
        <f t="shared" si="52"/>
        <v>18.374999999999908</v>
      </c>
      <c r="I1701" s="7">
        <f t="shared" si="53"/>
        <v>18.374999999999908</v>
      </c>
    </row>
    <row r="1702" spans="1:9" x14ac:dyDescent="0.2">
      <c r="A1702" t="s">
        <v>1887</v>
      </c>
      <c r="B1702">
        <v>4.1734999999999998</v>
      </c>
      <c r="C1702">
        <v>5.8455E-2</v>
      </c>
      <c r="D1702">
        <v>247</v>
      </c>
      <c r="E1702" t="s">
        <v>1887</v>
      </c>
      <c r="F1702">
        <v>247</v>
      </c>
      <c r="G1702" s="1">
        <v>45173</v>
      </c>
      <c r="H1702" s="6">
        <f t="shared" si="52"/>
        <v>18.385416666666575</v>
      </c>
      <c r="I1702" s="7">
        <f t="shared" si="53"/>
        <v>18.385416666666575</v>
      </c>
    </row>
    <row r="1703" spans="1:9" x14ac:dyDescent="0.2">
      <c r="A1703" t="s">
        <v>1888</v>
      </c>
      <c r="B1703">
        <v>4.0845000000000002</v>
      </c>
      <c r="C1703">
        <v>5.722E-2</v>
      </c>
      <c r="D1703">
        <v>247</v>
      </c>
      <c r="E1703" t="s">
        <v>1888</v>
      </c>
      <c r="F1703">
        <v>247</v>
      </c>
      <c r="G1703" s="1">
        <v>45173</v>
      </c>
      <c r="H1703" s="6">
        <f t="shared" si="52"/>
        <v>18.395833333333243</v>
      </c>
      <c r="I1703" s="7">
        <f t="shared" si="53"/>
        <v>18.395833333333243</v>
      </c>
    </row>
    <row r="1704" spans="1:9" x14ac:dyDescent="0.2">
      <c r="A1704" t="s">
        <v>1889</v>
      </c>
      <c r="B1704">
        <v>4.0744999999999996</v>
      </c>
      <c r="C1704">
        <v>5.7044999999999998E-2</v>
      </c>
      <c r="D1704">
        <v>247</v>
      </c>
      <c r="E1704" t="s">
        <v>1889</v>
      </c>
      <c r="F1704">
        <v>247</v>
      </c>
      <c r="G1704" s="1">
        <v>45173</v>
      </c>
      <c r="H1704" s="6">
        <f t="shared" si="52"/>
        <v>18.406249999999911</v>
      </c>
      <c r="I1704" s="7">
        <f t="shared" si="53"/>
        <v>18.406249999999911</v>
      </c>
    </row>
    <row r="1705" spans="1:9" x14ac:dyDescent="0.2">
      <c r="A1705" t="s">
        <v>1890</v>
      </c>
      <c r="B1705" s="2" t="s">
        <v>815</v>
      </c>
      <c r="C1705">
        <v>5.6320000000000002E-2</v>
      </c>
      <c r="D1705">
        <v>247</v>
      </c>
      <c r="E1705" t="s">
        <v>1890</v>
      </c>
      <c r="F1705">
        <v>247</v>
      </c>
      <c r="G1705" s="1">
        <v>45173</v>
      </c>
      <c r="H1705" s="6">
        <f t="shared" si="52"/>
        <v>18.416666666666579</v>
      </c>
      <c r="I1705" s="7">
        <f t="shared" si="53"/>
        <v>18.416666666666579</v>
      </c>
    </row>
    <row r="1706" spans="1:9" x14ac:dyDescent="0.2">
      <c r="A1706" t="s">
        <v>1891</v>
      </c>
      <c r="B1706">
        <v>3.972</v>
      </c>
      <c r="C1706">
        <v>5.5640000000000002E-2</v>
      </c>
      <c r="D1706">
        <v>247</v>
      </c>
      <c r="E1706" t="s">
        <v>1891</v>
      </c>
      <c r="F1706">
        <v>247</v>
      </c>
      <c r="G1706" s="1">
        <v>45173</v>
      </c>
      <c r="H1706" s="6">
        <f t="shared" si="52"/>
        <v>18.427083333333247</v>
      </c>
      <c r="I1706" s="7">
        <f t="shared" si="53"/>
        <v>18.427083333333247</v>
      </c>
    </row>
    <row r="1707" spans="1:9" x14ac:dyDescent="0.2">
      <c r="A1707" t="s">
        <v>1892</v>
      </c>
      <c r="B1707">
        <v>3.952</v>
      </c>
      <c r="C1707">
        <v>5.5355000000000001E-2</v>
      </c>
      <c r="D1707">
        <v>247</v>
      </c>
      <c r="E1707" t="s">
        <v>1892</v>
      </c>
      <c r="F1707">
        <v>247</v>
      </c>
      <c r="G1707" s="1">
        <v>45173</v>
      </c>
      <c r="H1707" s="6">
        <f t="shared" si="52"/>
        <v>18.437499999999915</v>
      </c>
      <c r="I1707" s="7">
        <f t="shared" si="53"/>
        <v>18.437499999999915</v>
      </c>
    </row>
    <row r="1708" spans="1:9" x14ac:dyDescent="0.2">
      <c r="A1708" t="s">
        <v>1893</v>
      </c>
      <c r="B1708">
        <v>3.8805000000000001</v>
      </c>
      <c r="C1708">
        <v>5.4350000000000002E-2</v>
      </c>
      <c r="D1708">
        <v>247</v>
      </c>
      <c r="E1708" t="s">
        <v>1893</v>
      </c>
      <c r="F1708">
        <v>247</v>
      </c>
      <c r="G1708" s="1">
        <v>45173</v>
      </c>
      <c r="H1708" s="6">
        <f t="shared" si="52"/>
        <v>18.447916666666583</v>
      </c>
      <c r="I1708" s="7">
        <f t="shared" si="53"/>
        <v>18.447916666666583</v>
      </c>
    </row>
    <row r="1709" spans="1:9" x14ac:dyDescent="0.2">
      <c r="A1709" t="s">
        <v>1894</v>
      </c>
      <c r="B1709">
        <v>3.8275000000000001</v>
      </c>
      <c r="C1709">
        <v>5.3615000000000003E-2</v>
      </c>
      <c r="D1709">
        <v>247</v>
      </c>
      <c r="E1709" t="s">
        <v>1894</v>
      </c>
      <c r="F1709">
        <v>247</v>
      </c>
      <c r="G1709" s="1">
        <v>45173</v>
      </c>
      <c r="H1709" s="6">
        <f t="shared" si="52"/>
        <v>18.45833333333325</v>
      </c>
      <c r="I1709" s="7">
        <f t="shared" si="53"/>
        <v>18.45833333333325</v>
      </c>
    </row>
    <row r="1710" spans="1:9" x14ac:dyDescent="0.2">
      <c r="A1710" t="s">
        <v>1895</v>
      </c>
      <c r="B1710">
        <v>3.7805</v>
      </c>
      <c r="C1710">
        <v>5.2944999999999999E-2</v>
      </c>
      <c r="D1710">
        <v>247</v>
      </c>
      <c r="E1710" t="s">
        <v>1895</v>
      </c>
      <c r="F1710">
        <v>247</v>
      </c>
      <c r="G1710" s="1">
        <v>45173</v>
      </c>
      <c r="H1710" s="6">
        <f t="shared" si="52"/>
        <v>18.468749999999918</v>
      </c>
      <c r="I1710" s="7">
        <f t="shared" si="53"/>
        <v>18.468749999999918</v>
      </c>
    </row>
    <row r="1711" spans="1:9" x14ac:dyDescent="0.2">
      <c r="A1711" t="s">
        <v>1896</v>
      </c>
      <c r="B1711">
        <v>3.7109999999999999</v>
      </c>
      <c r="C1711">
        <v>5.1975E-2</v>
      </c>
      <c r="D1711">
        <v>247</v>
      </c>
      <c r="E1711" t="s">
        <v>1896</v>
      </c>
      <c r="F1711">
        <v>247</v>
      </c>
      <c r="G1711" s="1">
        <v>45173</v>
      </c>
      <c r="H1711" s="6">
        <f t="shared" si="52"/>
        <v>18.479166666666586</v>
      </c>
      <c r="I1711" s="7">
        <f t="shared" si="53"/>
        <v>18.479166666666586</v>
      </c>
    </row>
    <row r="1712" spans="1:9" x14ac:dyDescent="0.2">
      <c r="A1712" t="s">
        <v>1897</v>
      </c>
      <c r="B1712">
        <v>3.7094999999999998</v>
      </c>
      <c r="C1712">
        <v>5.1955000000000001E-2</v>
      </c>
      <c r="D1712">
        <v>247</v>
      </c>
      <c r="E1712" t="s">
        <v>1897</v>
      </c>
      <c r="F1712">
        <v>247</v>
      </c>
      <c r="G1712" s="1">
        <v>45173</v>
      </c>
      <c r="H1712" s="6">
        <f t="shared" si="52"/>
        <v>18.489583333333254</v>
      </c>
      <c r="I1712" s="7">
        <f t="shared" si="53"/>
        <v>18.489583333333254</v>
      </c>
    </row>
    <row r="1713" spans="1:9" x14ac:dyDescent="0.2">
      <c r="A1713" t="s">
        <v>1898</v>
      </c>
      <c r="B1713">
        <v>3.6720000000000002</v>
      </c>
      <c r="C1713">
        <v>5.1444999999999998E-2</v>
      </c>
      <c r="D1713">
        <v>247</v>
      </c>
      <c r="E1713" t="s">
        <v>1898</v>
      </c>
      <c r="F1713">
        <v>247</v>
      </c>
      <c r="G1713" s="1">
        <v>45173</v>
      </c>
      <c r="H1713" s="6">
        <f t="shared" si="52"/>
        <v>18.499999999999922</v>
      </c>
      <c r="I1713" s="7">
        <f t="shared" si="53"/>
        <v>18.499999999999922</v>
      </c>
    </row>
    <row r="1714" spans="1:9" x14ac:dyDescent="0.2">
      <c r="A1714" t="s">
        <v>1899</v>
      </c>
      <c r="B1714">
        <v>3.6835</v>
      </c>
      <c r="C1714">
        <v>5.1604999999999998E-2</v>
      </c>
      <c r="D1714">
        <v>247</v>
      </c>
      <c r="E1714" t="s">
        <v>1899</v>
      </c>
      <c r="F1714">
        <v>247</v>
      </c>
      <c r="G1714" s="1">
        <v>45173</v>
      </c>
      <c r="H1714" s="6">
        <f t="shared" si="52"/>
        <v>18.51041666666659</v>
      </c>
      <c r="I1714" s="7">
        <f t="shared" si="53"/>
        <v>18.51041666666659</v>
      </c>
    </row>
    <row r="1715" spans="1:9" x14ac:dyDescent="0.2">
      <c r="A1715" t="s">
        <v>1900</v>
      </c>
      <c r="B1715">
        <v>3.6349999999999998</v>
      </c>
      <c r="C1715">
        <v>5.0915000000000002E-2</v>
      </c>
      <c r="D1715">
        <v>247</v>
      </c>
      <c r="E1715" t="s">
        <v>1900</v>
      </c>
      <c r="F1715">
        <v>247</v>
      </c>
      <c r="G1715" s="1">
        <v>45173</v>
      </c>
      <c r="H1715" s="6">
        <f t="shared" si="52"/>
        <v>18.520833333333258</v>
      </c>
      <c r="I1715" s="7">
        <f t="shared" si="53"/>
        <v>18.520833333333258</v>
      </c>
    </row>
    <row r="1716" spans="1:9" x14ac:dyDescent="0.2">
      <c r="A1716" t="s">
        <v>1901</v>
      </c>
      <c r="B1716">
        <v>3.5964999999999998</v>
      </c>
      <c r="C1716">
        <v>5.0389999999999997E-2</v>
      </c>
      <c r="D1716">
        <v>247</v>
      </c>
      <c r="E1716" t="s">
        <v>1901</v>
      </c>
      <c r="F1716">
        <v>247</v>
      </c>
      <c r="G1716" s="1">
        <v>45173</v>
      </c>
      <c r="H1716" s="6">
        <f t="shared" si="52"/>
        <v>18.531249999999925</v>
      </c>
      <c r="I1716" s="7">
        <f t="shared" si="53"/>
        <v>18.531249999999925</v>
      </c>
    </row>
    <row r="1717" spans="1:9" x14ac:dyDescent="0.2">
      <c r="A1717" t="s">
        <v>1902</v>
      </c>
      <c r="B1717">
        <v>3.6034999999999999</v>
      </c>
      <c r="C1717">
        <v>5.0485000000000002E-2</v>
      </c>
      <c r="D1717">
        <v>247</v>
      </c>
      <c r="E1717" t="s">
        <v>1902</v>
      </c>
      <c r="F1717">
        <v>247</v>
      </c>
      <c r="G1717" s="1">
        <v>45173</v>
      </c>
      <c r="H1717" s="6">
        <f t="shared" si="52"/>
        <v>18.541666666666593</v>
      </c>
      <c r="I1717" s="7">
        <f t="shared" si="53"/>
        <v>18.541666666666593</v>
      </c>
    </row>
    <row r="1718" spans="1:9" x14ac:dyDescent="0.2">
      <c r="A1718" t="s">
        <v>1903</v>
      </c>
      <c r="B1718">
        <v>3.569</v>
      </c>
      <c r="C1718">
        <v>0.05</v>
      </c>
      <c r="D1718">
        <v>247</v>
      </c>
      <c r="E1718" t="s">
        <v>1903</v>
      </c>
      <c r="F1718">
        <v>247</v>
      </c>
      <c r="G1718" s="1">
        <v>45173</v>
      </c>
      <c r="H1718" s="6">
        <f t="shared" si="52"/>
        <v>18.552083333333261</v>
      </c>
      <c r="I1718" s="7">
        <f t="shared" si="53"/>
        <v>18.552083333333261</v>
      </c>
    </row>
    <row r="1719" spans="1:9" x14ac:dyDescent="0.2">
      <c r="A1719" t="s">
        <v>1904</v>
      </c>
      <c r="B1719">
        <v>3.621</v>
      </c>
      <c r="C1719">
        <v>5.0709999999999998E-2</v>
      </c>
      <c r="D1719">
        <v>247</v>
      </c>
      <c r="E1719" t="s">
        <v>1904</v>
      </c>
      <c r="F1719">
        <v>247</v>
      </c>
      <c r="G1719" s="1">
        <v>45173</v>
      </c>
      <c r="H1719" s="6">
        <f t="shared" si="52"/>
        <v>18.562499999999929</v>
      </c>
      <c r="I1719" s="7">
        <f t="shared" si="53"/>
        <v>18.562499999999929</v>
      </c>
    </row>
    <row r="1720" spans="1:9" x14ac:dyDescent="0.2">
      <c r="A1720" t="s">
        <v>1905</v>
      </c>
      <c r="B1720">
        <v>3.625</v>
      </c>
      <c r="C1720" s="2" t="s">
        <v>1906</v>
      </c>
      <c r="D1720">
        <v>247</v>
      </c>
      <c r="E1720" t="s">
        <v>1905</v>
      </c>
      <c r="F1720">
        <v>247</v>
      </c>
      <c r="G1720" s="1">
        <v>45173</v>
      </c>
      <c r="H1720" s="6">
        <f t="shared" si="52"/>
        <v>18.572916666666597</v>
      </c>
      <c r="I1720" s="7">
        <f t="shared" si="53"/>
        <v>18.572916666666597</v>
      </c>
    </row>
    <row r="1721" spans="1:9" x14ac:dyDescent="0.2">
      <c r="A1721" t="s">
        <v>1907</v>
      </c>
      <c r="B1721">
        <v>3.6680000000000001</v>
      </c>
      <c r="C1721">
        <v>5.1354999999999998E-2</v>
      </c>
      <c r="D1721">
        <v>247</v>
      </c>
      <c r="E1721" t="s">
        <v>1907</v>
      </c>
      <c r="F1721">
        <v>247</v>
      </c>
      <c r="G1721" s="1">
        <v>45173</v>
      </c>
      <c r="H1721" s="6">
        <f t="shared" si="52"/>
        <v>18.583333333333265</v>
      </c>
      <c r="I1721" s="7">
        <f t="shared" si="53"/>
        <v>18.583333333333265</v>
      </c>
    </row>
    <row r="1722" spans="1:9" x14ac:dyDescent="0.2">
      <c r="A1722" t="s">
        <v>1908</v>
      </c>
      <c r="B1722">
        <v>3.669</v>
      </c>
      <c r="C1722">
        <v>5.1385E-2</v>
      </c>
      <c r="D1722">
        <v>247</v>
      </c>
      <c r="E1722" t="s">
        <v>1908</v>
      </c>
      <c r="F1722">
        <v>247</v>
      </c>
      <c r="G1722" s="1">
        <v>45173</v>
      </c>
      <c r="H1722" s="6">
        <f t="shared" si="52"/>
        <v>18.593749999999932</v>
      </c>
      <c r="I1722" s="7">
        <f t="shared" si="53"/>
        <v>18.593749999999932</v>
      </c>
    </row>
    <row r="1723" spans="1:9" x14ac:dyDescent="0.2">
      <c r="A1723" t="s">
        <v>1909</v>
      </c>
      <c r="B1723" s="2" t="s">
        <v>1910</v>
      </c>
      <c r="C1723">
        <v>5.21E-2</v>
      </c>
      <c r="D1723">
        <v>247</v>
      </c>
      <c r="E1723" t="s">
        <v>1909</v>
      </c>
      <c r="F1723">
        <v>247</v>
      </c>
      <c r="G1723" s="1">
        <v>45173</v>
      </c>
      <c r="H1723" s="6">
        <f t="shared" si="52"/>
        <v>18.6041666666666</v>
      </c>
      <c r="I1723" s="7">
        <f t="shared" si="53"/>
        <v>18.6041666666666</v>
      </c>
    </row>
    <row r="1724" spans="1:9" x14ac:dyDescent="0.2">
      <c r="A1724" t="s">
        <v>1911</v>
      </c>
      <c r="B1724">
        <v>3.6924999999999999</v>
      </c>
      <c r="C1724">
        <v>5.1694999999999998E-2</v>
      </c>
      <c r="D1724">
        <v>247</v>
      </c>
      <c r="E1724" t="s">
        <v>1911</v>
      </c>
      <c r="F1724">
        <v>247</v>
      </c>
      <c r="G1724" s="1">
        <v>45173</v>
      </c>
      <c r="H1724" s="6">
        <f t="shared" si="52"/>
        <v>18.614583333333268</v>
      </c>
      <c r="I1724" s="7">
        <f t="shared" si="53"/>
        <v>18.614583333333268</v>
      </c>
    </row>
    <row r="1725" spans="1:9" x14ac:dyDescent="0.2">
      <c r="A1725" t="s">
        <v>1912</v>
      </c>
      <c r="B1725">
        <v>3.722</v>
      </c>
      <c r="C1725">
        <v>5.2139999999999999E-2</v>
      </c>
      <c r="D1725">
        <v>247</v>
      </c>
      <c r="E1725" t="s">
        <v>1912</v>
      </c>
      <c r="F1725">
        <v>247</v>
      </c>
      <c r="G1725" s="1">
        <v>45173</v>
      </c>
      <c r="H1725" s="6">
        <f t="shared" si="52"/>
        <v>18.624999999999936</v>
      </c>
      <c r="I1725" s="7">
        <f t="shared" si="53"/>
        <v>18.624999999999936</v>
      </c>
    </row>
    <row r="1726" spans="1:9" x14ac:dyDescent="0.2">
      <c r="A1726" t="s">
        <v>1913</v>
      </c>
      <c r="B1726">
        <v>3.6960000000000002</v>
      </c>
      <c r="C1726">
        <v>5.1784999999999998E-2</v>
      </c>
      <c r="D1726">
        <v>247</v>
      </c>
      <c r="E1726" t="s">
        <v>1913</v>
      </c>
      <c r="F1726">
        <v>247</v>
      </c>
      <c r="G1726" s="1">
        <v>45173</v>
      </c>
      <c r="H1726" s="6">
        <f t="shared" si="52"/>
        <v>18.635416666666604</v>
      </c>
      <c r="I1726" s="7">
        <f t="shared" si="53"/>
        <v>18.635416666666604</v>
      </c>
    </row>
    <row r="1727" spans="1:9" x14ac:dyDescent="0.2">
      <c r="A1727" t="s">
        <v>1914</v>
      </c>
      <c r="B1727">
        <v>3.6884999999999999</v>
      </c>
      <c r="C1727">
        <v>5.1655E-2</v>
      </c>
      <c r="D1727">
        <v>247</v>
      </c>
      <c r="E1727" t="s">
        <v>1914</v>
      </c>
      <c r="F1727">
        <v>247</v>
      </c>
      <c r="G1727" s="1">
        <v>45173</v>
      </c>
      <c r="H1727" s="6">
        <f t="shared" si="52"/>
        <v>18.645833333333272</v>
      </c>
      <c r="I1727" s="7">
        <f t="shared" si="53"/>
        <v>18.645833333333272</v>
      </c>
    </row>
    <row r="1728" spans="1:9" x14ac:dyDescent="0.2">
      <c r="A1728" t="s">
        <v>1915</v>
      </c>
      <c r="B1728">
        <v>3.637</v>
      </c>
      <c r="C1728">
        <v>5.0959999999999998E-2</v>
      </c>
      <c r="D1728">
        <v>247</v>
      </c>
      <c r="E1728" t="s">
        <v>1915</v>
      </c>
      <c r="F1728">
        <v>247</v>
      </c>
      <c r="G1728" s="1">
        <v>45173</v>
      </c>
      <c r="H1728" s="6">
        <f t="shared" si="52"/>
        <v>18.65624999999994</v>
      </c>
      <c r="I1728" s="7">
        <f t="shared" si="53"/>
        <v>18.65624999999994</v>
      </c>
    </row>
    <row r="1729" spans="1:9" x14ac:dyDescent="0.2">
      <c r="A1729" t="s">
        <v>1916</v>
      </c>
      <c r="B1729">
        <v>3.6360000000000001</v>
      </c>
      <c r="C1729">
        <v>5.0935000000000001E-2</v>
      </c>
      <c r="D1729">
        <v>247</v>
      </c>
      <c r="E1729" t="s">
        <v>1916</v>
      </c>
      <c r="F1729">
        <v>247</v>
      </c>
      <c r="G1729" s="1">
        <v>45173</v>
      </c>
      <c r="H1729" s="6">
        <f t="shared" si="52"/>
        <v>18.666666666666607</v>
      </c>
      <c r="I1729" s="7">
        <f t="shared" si="53"/>
        <v>18.666666666666607</v>
      </c>
    </row>
    <row r="1730" spans="1:9" x14ac:dyDescent="0.2">
      <c r="A1730" t="s">
        <v>1917</v>
      </c>
      <c r="B1730">
        <v>3.6230000000000002</v>
      </c>
      <c r="C1730">
        <v>5.0744999999999998E-2</v>
      </c>
      <c r="D1730">
        <v>247</v>
      </c>
      <c r="E1730" t="s">
        <v>1917</v>
      </c>
      <c r="F1730">
        <v>247</v>
      </c>
      <c r="G1730" s="1">
        <v>45173</v>
      </c>
      <c r="H1730" s="6">
        <f t="shared" si="52"/>
        <v>18.677083333333275</v>
      </c>
      <c r="I1730" s="7">
        <f t="shared" si="53"/>
        <v>18.677083333333275</v>
      </c>
    </row>
    <row r="1731" spans="1:9" x14ac:dyDescent="0.2">
      <c r="A1731" t="s">
        <v>1918</v>
      </c>
      <c r="B1731">
        <v>3.5914999999999999</v>
      </c>
      <c r="C1731">
        <v>5.0314999999999999E-2</v>
      </c>
      <c r="D1731">
        <v>247</v>
      </c>
      <c r="E1731" t="s">
        <v>1918</v>
      </c>
      <c r="F1731">
        <v>247</v>
      </c>
      <c r="G1731" s="1">
        <v>45173</v>
      </c>
      <c r="H1731" s="6">
        <f t="shared" ref="H1731:H1794" si="54">H1730+$K$1</f>
        <v>18.687499999999943</v>
      </c>
      <c r="I1731" s="7">
        <f t="shared" ref="I1731:I1794" si="55">I1730+$K$1</f>
        <v>18.687499999999943</v>
      </c>
    </row>
    <row r="1732" spans="1:9" x14ac:dyDescent="0.2">
      <c r="A1732" t="s">
        <v>1919</v>
      </c>
      <c r="B1732">
        <v>3.5990000000000002</v>
      </c>
      <c r="C1732">
        <v>5.0415000000000001E-2</v>
      </c>
      <c r="D1732">
        <v>247</v>
      </c>
      <c r="E1732" t="s">
        <v>1919</v>
      </c>
      <c r="F1732">
        <v>247</v>
      </c>
      <c r="G1732" s="1">
        <v>45173</v>
      </c>
      <c r="H1732" s="6">
        <f t="shared" si="54"/>
        <v>18.697916666666611</v>
      </c>
      <c r="I1732" s="7">
        <f t="shared" si="55"/>
        <v>18.697916666666611</v>
      </c>
    </row>
    <row r="1733" spans="1:9" x14ac:dyDescent="0.2">
      <c r="A1733" t="s">
        <v>1920</v>
      </c>
      <c r="B1733">
        <v>3.6230000000000002</v>
      </c>
      <c r="C1733">
        <v>5.0764999999999998E-2</v>
      </c>
      <c r="D1733">
        <v>247</v>
      </c>
      <c r="E1733" t="s">
        <v>1920</v>
      </c>
      <c r="F1733">
        <v>247</v>
      </c>
      <c r="G1733" s="1">
        <v>45173</v>
      </c>
      <c r="H1733" s="6">
        <f t="shared" si="54"/>
        <v>18.708333333333279</v>
      </c>
      <c r="I1733" s="7">
        <f t="shared" si="55"/>
        <v>18.708333333333279</v>
      </c>
    </row>
    <row r="1734" spans="1:9" x14ac:dyDescent="0.2">
      <c r="A1734" t="s">
        <v>1921</v>
      </c>
      <c r="B1734">
        <v>3.64</v>
      </c>
      <c r="C1734">
        <v>5.1014999999999998E-2</v>
      </c>
      <c r="D1734">
        <v>247</v>
      </c>
      <c r="E1734" t="s">
        <v>1921</v>
      </c>
      <c r="F1734">
        <v>247</v>
      </c>
      <c r="G1734" s="1">
        <v>45173</v>
      </c>
      <c r="H1734" s="6">
        <f t="shared" si="54"/>
        <v>18.718749999999947</v>
      </c>
      <c r="I1734" s="7">
        <f t="shared" si="55"/>
        <v>18.718749999999947</v>
      </c>
    </row>
    <row r="1735" spans="1:9" x14ac:dyDescent="0.2">
      <c r="A1735" t="s">
        <v>1922</v>
      </c>
      <c r="B1735">
        <v>3.7170000000000001</v>
      </c>
      <c r="C1735">
        <v>5.2080000000000001E-2</v>
      </c>
      <c r="D1735">
        <v>247</v>
      </c>
      <c r="E1735" t="s">
        <v>1922</v>
      </c>
      <c r="F1735">
        <v>247</v>
      </c>
      <c r="G1735" s="1">
        <v>45173</v>
      </c>
      <c r="H1735" s="6">
        <f t="shared" si="54"/>
        <v>18.729166666666615</v>
      </c>
      <c r="I1735" s="7">
        <f t="shared" si="55"/>
        <v>18.729166666666615</v>
      </c>
    </row>
    <row r="1736" spans="1:9" x14ac:dyDescent="0.2">
      <c r="A1736" t="s">
        <v>1923</v>
      </c>
      <c r="B1736">
        <v>3.7995000000000001</v>
      </c>
      <c r="C1736">
        <v>5.3205000000000002E-2</v>
      </c>
      <c r="D1736">
        <v>247</v>
      </c>
      <c r="E1736" t="s">
        <v>1923</v>
      </c>
      <c r="F1736">
        <v>247</v>
      </c>
      <c r="G1736" s="1">
        <v>45173</v>
      </c>
      <c r="H1736" s="6">
        <f t="shared" si="54"/>
        <v>18.739583333333282</v>
      </c>
      <c r="I1736" s="7">
        <f t="shared" si="55"/>
        <v>18.739583333333282</v>
      </c>
    </row>
    <row r="1737" spans="1:9" x14ac:dyDescent="0.2">
      <c r="A1737" t="s">
        <v>1924</v>
      </c>
      <c r="B1737">
        <v>3.7879999999999998</v>
      </c>
      <c r="C1737" s="2" t="s">
        <v>1925</v>
      </c>
      <c r="D1737">
        <v>248</v>
      </c>
      <c r="E1737" t="s">
        <v>1924</v>
      </c>
      <c r="F1737">
        <v>247</v>
      </c>
      <c r="G1737" s="1">
        <v>45173</v>
      </c>
      <c r="H1737" s="6">
        <f t="shared" si="54"/>
        <v>18.74999999999995</v>
      </c>
      <c r="I1737" s="7">
        <f t="shared" si="55"/>
        <v>18.74999999999995</v>
      </c>
    </row>
    <row r="1738" spans="1:9" x14ac:dyDescent="0.2">
      <c r="A1738" t="s">
        <v>1926</v>
      </c>
      <c r="B1738">
        <v>3.74</v>
      </c>
      <c r="C1738">
        <v>5.2394999999999997E-2</v>
      </c>
      <c r="D1738">
        <v>248</v>
      </c>
      <c r="E1738" t="s">
        <v>1926</v>
      </c>
      <c r="F1738">
        <v>247</v>
      </c>
      <c r="G1738" s="1">
        <v>45173</v>
      </c>
      <c r="H1738" s="6">
        <f t="shared" si="54"/>
        <v>18.760416666666618</v>
      </c>
      <c r="I1738" s="7">
        <f t="shared" si="55"/>
        <v>18.760416666666618</v>
      </c>
    </row>
    <row r="1739" spans="1:9" x14ac:dyDescent="0.2">
      <c r="A1739" t="s">
        <v>1927</v>
      </c>
      <c r="B1739">
        <v>3.9260000000000002</v>
      </c>
      <c r="C1739">
        <v>5.4965E-2</v>
      </c>
      <c r="D1739">
        <v>248</v>
      </c>
      <c r="E1739" t="s">
        <v>1927</v>
      </c>
      <c r="F1739">
        <v>247</v>
      </c>
      <c r="G1739" s="1">
        <v>45173</v>
      </c>
      <c r="H1739" s="6">
        <f t="shared" si="54"/>
        <v>18.770833333333286</v>
      </c>
      <c r="I1739" s="7">
        <f t="shared" si="55"/>
        <v>18.770833333333286</v>
      </c>
    </row>
    <row r="1740" spans="1:9" x14ac:dyDescent="0.2">
      <c r="A1740" t="s">
        <v>1928</v>
      </c>
      <c r="B1740">
        <v>3.6575000000000002</v>
      </c>
      <c r="C1740">
        <v>5.1229999999999998E-2</v>
      </c>
      <c r="D1740">
        <v>248</v>
      </c>
      <c r="E1740" t="s">
        <v>1928</v>
      </c>
      <c r="F1740">
        <v>247</v>
      </c>
      <c r="G1740" s="1">
        <v>45173</v>
      </c>
      <c r="H1740" s="6">
        <f t="shared" si="54"/>
        <v>18.781249999999954</v>
      </c>
      <c r="I1740" s="7">
        <f t="shared" si="55"/>
        <v>18.781249999999954</v>
      </c>
    </row>
    <row r="1741" spans="1:9" x14ac:dyDescent="0.2">
      <c r="A1741" t="s">
        <v>1929</v>
      </c>
      <c r="B1741" s="2" t="s">
        <v>1910</v>
      </c>
      <c r="C1741">
        <v>5.2095000000000002E-2</v>
      </c>
      <c r="D1741">
        <v>248</v>
      </c>
      <c r="E1741" t="s">
        <v>1929</v>
      </c>
      <c r="F1741">
        <v>247</v>
      </c>
      <c r="G1741" s="1">
        <v>45173</v>
      </c>
      <c r="H1741" s="6">
        <f t="shared" si="54"/>
        <v>18.791666666666622</v>
      </c>
      <c r="I1741" s="7">
        <f t="shared" si="55"/>
        <v>18.791666666666622</v>
      </c>
    </row>
    <row r="1742" spans="1:9" x14ac:dyDescent="0.2">
      <c r="A1742" t="s">
        <v>1930</v>
      </c>
      <c r="B1742">
        <v>3.7429999999999999</v>
      </c>
      <c r="C1742">
        <v>5.2420000000000001E-2</v>
      </c>
      <c r="D1742">
        <v>248</v>
      </c>
      <c r="E1742" t="s">
        <v>1930</v>
      </c>
      <c r="F1742">
        <v>247</v>
      </c>
      <c r="G1742" s="1">
        <v>45173</v>
      </c>
      <c r="H1742" s="6">
        <f t="shared" si="54"/>
        <v>18.80208333333329</v>
      </c>
      <c r="I1742" s="7">
        <f t="shared" si="55"/>
        <v>18.80208333333329</v>
      </c>
    </row>
    <row r="1743" spans="1:9" x14ac:dyDescent="0.2">
      <c r="A1743" t="s">
        <v>1931</v>
      </c>
      <c r="B1743">
        <v>3.7595000000000001</v>
      </c>
      <c r="C1743">
        <v>5.2644999999999997E-2</v>
      </c>
      <c r="D1743">
        <v>248</v>
      </c>
      <c r="E1743" t="s">
        <v>1931</v>
      </c>
      <c r="F1743">
        <v>247</v>
      </c>
      <c r="G1743" s="1">
        <v>45173</v>
      </c>
      <c r="H1743" s="6">
        <f t="shared" si="54"/>
        <v>18.812499999999957</v>
      </c>
      <c r="I1743" s="7">
        <f t="shared" si="55"/>
        <v>18.812499999999957</v>
      </c>
    </row>
    <row r="1744" spans="1:9" x14ac:dyDescent="0.2">
      <c r="A1744" t="s">
        <v>1932</v>
      </c>
      <c r="B1744" s="2" t="s">
        <v>718</v>
      </c>
      <c r="C1744">
        <v>5.4940000000000003E-2</v>
      </c>
      <c r="D1744">
        <v>248</v>
      </c>
      <c r="E1744" t="s">
        <v>1932</v>
      </c>
      <c r="F1744">
        <v>247</v>
      </c>
      <c r="G1744" s="1">
        <v>45173</v>
      </c>
      <c r="H1744" s="6">
        <f t="shared" si="54"/>
        <v>18.822916666666625</v>
      </c>
      <c r="I1744" s="7">
        <f t="shared" si="55"/>
        <v>18.822916666666625</v>
      </c>
    </row>
    <row r="1745" spans="1:9" x14ac:dyDescent="0.2">
      <c r="A1745" t="s">
        <v>1933</v>
      </c>
      <c r="B1745">
        <v>3.9584999999999999</v>
      </c>
      <c r="C1745">
        <v>5.5434999999999998E-2</v>
      </c>
      <c r="D1745">
        <v>248</v>
      </c>
      <c r="E1745" t="s">
        <v>1933</v>
      </c>
      <c r="F1745">
        <v>247</v>
      </c>
      <c r="G1745" s="1">
        <v>45173</v>
      </c>
      <c r="H1745" s="6">
        <f t="shared" si="54"/>
        <v>18.833333333333293</v>
      </c>
      <c r="I1745" s="7">
        <f t="shared" si="55"/>
        <v>18.833333333333293</v>
      </c>
    </row>
    <row r="1746" spans="1:9" x14ac:dyDescent="0.2">
      <c r="A1746" t="s">
        <v>1934</v>
      </c>
      <c r="B1746">
        <v>3.9874999999999998</v>
      </c>
      <c r="C1746">
        <v>5.5835000000000003E-2</v>
      </c>
      <c r="D1746">
        <v>248</v>
      </c>
      <c r="E1746" t="s">
        <v>1934</v>
      </c>
      <c r="F1746">
        <v>247</v>
      </c>
      <c r="G1746" s="1">
        <v>45173</v>
      </c>
      <c r="H1746" s="6">
        <f t="shared" si="54"/>
        <v>18.843749999999961</v>
      </c>
      <c r="I1746" s="7">
        <f t="shared" si="55"/>
        <v>18.843749999999961</v>
      </c>
    </row>
    <row r="1747" spans="1:9" x14ac:dyDescent="0.2">
      <c r="A1747" t="s">
        <v>1935</v>
      </c>
      <c r="B1747">
        <v>4.0125000000000002</v>
      </c>
      <c r="C1747" s="2" t="s">
        <v>59</v>
      </c>
      <c r="D1747">
        <v>248</v>
      </c>
      <c r="E1747" t="s">
        <v>1935</v>
      </c>
      <c r="F1747">
        <v>247</v>
      </c>
      <c r="G1747" s="1">
        <v>45173</v>
      </c>
      <c r="H1747" s="6">
        <f t="shared" si="54"/>
        <v>18.854166666666629</v>
      </c>
      <c r="I1747" s="7">
        <f t="shared" si="55"/>
        <v>18.854166666666629</v>
      </c>
    </row>
    <row r="1748" spans="1:9" x14ac:dyDescent="0.2">
      <c r="A1748" t="s">
        <v>1936</v>
      </c>
      <c r="B1748">
        <v>4.0785</v>
      </c>
      <c r="C1748">
        <v>5.7114999999999999E-2</v>
      </c>
      <c r="D1748">
        <v>248</v>
      </c>
      <c r="E1748" t="s">
        <v>1936</v>
      </c>
      <c r="F1748">
        <v>247</v>
      </c>
      <c r="G1748" s="1">
        <v>45173</v>
      </c>
      <c r="H1748" s="6">
        <f t="shared" si="54"/>
        <v>18.864583333333297</v>
      </c>
      <c r="I1748" s="7">
        <f t="shared" si="55"/>
        <v>18.864583333333297</v>
      </c>
    </row>
    <row r="1749" spans="1:9" x14ac:dyDescent="0.2">
      <c r="A1749" t="s">
        <v>1937</v>
      </c>
      <c r="B1749">
        <v>4.1429999999999998</v>
      </c>
      <c r="C1749">
        <v>5.8025E-2</v>
      </c>
      <c r="D1749">
        <v>248</v>
      </c>
      <c r="E1749" t="s">
        <v>1937</v>
      </c>
      <c r="F1749">
        <v>247</v>
      </c>
      <c r="G1749" s="1">
        <v>45173</v>
      </c>
      <c r="H1749" s="6">
        <f t="shared" si="54"/>
        <v>18.874999999999964</v>
      </c>
      <c r="I1749" s="7">
        <f t="shared" si="55"/>
        <v>18.874999999999964</v>
      </c>
    </row>
    <row r="1750" spans="1:9" x14ac:dyDescent="0.2">
      <c r="A1750" t="s">
        <v>1938</v>
      </c>
      <c r="B1750">
        <v>4.1219999999999999</v>
      </c>
      <c r="C1750">
        <v>5.7744999999999998E-2</v>
      </c>
      <c r="D1750">
        <v>248</v>
      </c>
      <c r="E1750" t="s">
        <v>1938</v>
      </c>
      <c r="F1750">
        <v>247</v>
      </c>
      <c r="G1750" s="1">
        <v>45173</v>
      </c>
      <c r="H1750" s="6">
        <f t="shared" si="54"/>
        <v>18.885416666666632</v>
      </c>
      <c r="I1750" s="7">
        <f t="shared" si="55"/>
        <v>18.885416666666632</v>
      </c>
    </row>
    <row r="1751" spans="1:9" x14ac:dyDescent="0.2">
      <c r="A1751" t="s">
        <v>1939</v>
      </c>
      <c r="B1751">
        <v>4.1974999999999998</v>
      </c>
      <c r="C1751">
        <v>5.8799999999999998E-2</v>
      </c>
      <c r="D1751">
        <v>248</v>
      </c>
      <c r="E1751" t="s">
        <v>1939</v>
      </c>
      <c r="F1751">
        <v>247</v>
      </c>
      <c r="G1751" s="1">
        <v>45173</v>
      </c>
      <c r="H1751" s="6">
        <f t="shared" si="54"/>
        <v>18.8958333333333</v>
      </c>
      <c r="I1751" s="7">
        <f t="shared" si="55"/>
        <v>18.8958333333333</v>
      </c>
    </row>
    <row r="1752" spans="1:9" x14ac:dyDescent="0.2">
      <c r="A1752" t="s">
        <v>1940</v>
      </c>
      <c r="B1752">
        <v>4.1980000000000004</v>
      </c>
      <c r="C1752">
        <v>5.8790000000000002E-2</v>
      </c>
      <c r="D1752">
        <v>248</v>
      </c>
      <c r="E1752" t="s">
        <v>1940</v>
      </c>
      <c r="F1752">
        <v>247</v>
      </c>
      <c r="G1752" s="1">
        <v>45173</v>
      </c>
      <c r="H1752" s="6">
        <f t="shared" si="54"/>
        <v>18.906249999999968</v>
      </c>
      <c r="I1752" s="7">
        <f t="shared" si="55"/>
        <v>18.906249999999968</v>
      </c>
    </row>
    <row r="1753" spans="1:9" x14ac:dyDescent="0.2">
      <c r="A1753" t="s">
        <v>1941</v>
      </c>
      <c r="B1753">
        <v>4.3525</v>
      </c>
      <c r="C1753">
        <v>6.096E-2</v>
      </c>
      <c r="D1753">
        <v>248</v>
      </c>
      <c r="E1753" t="s">
        <v>1941</v>
      </c>
      <c r="F1753">
        <v>247</v>
      </c>
      <c r="G1753" s="1">
        <v>45173</v>
      </c>
      <c r="H1753" s="6">
        <f t="shared" si="54"/>
        <v>18.916666666666636</v>
      </c>
      <c r="I1753" s="7">
        <f t="shared" si="55"/>
        <v>18.916666666666636</v>
      </c>
    </row>
    <row r="1754" spans="1:9" x14ac:dyDescent="0.2">
      <c r="A1754" t="s">
        <v>1942</v>
      </c>
      <c r="B1754">
        <v>4.266</v>
      </c>
      <c r="C1754" s="2" t="s">
        <v>1943</v>
      </c>
      <c r="D1754">
        <v>248</v>
      </c>
      <c r="E1754" t="s">
        <v>1942</v>
      </c>
      <c r="F1754">
        <v>247</v>
      </c>
      <c r="G1754" s="1">
        <v>45173</v>
      </c>
      <c r="H1754" s="6">
        <f t="shared" si="54"/>
        <v>18.927083333333304</v>
      </c>
      <c r="I1754" s="7">
        <f t="shared" si="55"/>
        <v>18.927083333333304</v>
      </c>
    </row>
    <row r="1755" spans="1:9" x14ac:dyDescent="0.2">
      <c r="A1755" t="s">
        <v>1944</v>
      </c>
      <c r="B1755">
        <v>4.2774999999999999</v>
      </c>
      <c r="C1755">
        <v>5.9915000000000003E-2</v>
      </c>
      <c r="D1755">
        <v>248</v>
      </c>
      <c r="E1755" t="s">
        <v>1944</v>
      </c>
      <c r="F1755">
        <v>247</v>
      </c>
      <c r="G1755" s="1">
        <v>45173</v>
      </c>
      <c r="H1755" s="6">
        <f t="shared" si="54"/>
        <v>18.937499999999972</v>
      </c>
      <c r="I1755" s="7">
        <f t="shared" si="55"/>
        <v>18.937499999999972</v>
      </c>
    </row>
    <row r="1756" spans="1:9" x14ac:dyDescent="0.2">
      <c r="A1756" t="s">
        <v>1945</v>
      </c>
      <c r="B1756">
        <v>4.3120000000000003</v>
      </c>
      <c r="C1756">
        <v>6.0385000000000001E-2</v>
      </c>
      <c r="D1756">
        <v>248</v>
      </c>
      <c r="E1756" t="s">
        <v>1945</v>
      </c>
      <c r="F1756">
        <v>247</v>
      </c>
      <c r="G1756" s="1">
        <v>45173</v>
      </c>
      <c r="H1756" s="6">
        <f t="shared" si="54"/>
        <v>18.947916666666639</v>
      </c>
      <c r="I1756" s="7">
        <f t="shared" si="55"/>
        <v>18.947916666666639</v>
      </c>
    </row>
    <row r="1757" spans="1:9" x14ac:dyDescent="0.2">
      <c r="A1757" t="s">
        <v>1946</v>
      </c>
      <c r="B1757">
        <v>4.3834999999999997</v>
      </c>
      <c r="C1757">
        <v>6.1374999999999999E-2</v>
      </c>
      <c r="D1757">
        <v>248</v>
      </c>
      <c r="E1757" t="s">
        <v>1946</v>
      </c>
      <c r="F1757">
        <v>247</v>
      </c>
      <c r="G1757" s="1">
        <v>45173</v>
      </c>
      <c r="H1757" s="6">
        <f t="shared" si="54"/>
        <v>18.958333333333307</v>
      </c>
      <c r="I1757" s="7">
        <f t="shared" si="55"/>
        <v>18.958333333333307</v>
      </c>
    </row>
    <row r="1758" spans="1:9" x14ac:dyDescent="0.2">
      <c r="A1758" t="s">
        <v>1947</v>
      </c>
      <c r="B1758">
        <v>4.3570000000000002</v>
      </c>
      <c r="C1758">
        <v>6.1015E-2</v>
      </c>
      <c r="D1758">
        <v>248</v>
      </c>
      <c r="E1758" t="s">
        <v>1947</v>
      </c>
      <c r="F1758">
        <v>247</v>
      </c>
      <c r="G1758" s="1">
        <v>45173</v>
      </c>
      <c r="H1758" s="6">
        <f t="shared" si="54"/>
        <v>18.968749999999975</v>
      </c>
      <c r="I1758" s="7">
        <f t="shared" si="55"/>
        <v>18.968749999999975</v>
      </c>
    </row>
    <row r="1759" spans="1:9" x14ac:dyDescent="0.2">
      <c r="A1759" t="s">
        <v>1948</v>
      </c>
      <c r="B1759">
        <v>4.4180000000000001</v>
      </c>
      <c r="C1759">
        <v>6.1874999999999999E-2</v>
      </c>
      <c r="D1759">
        <v>248</v>
      </c>
      <c r="E1759" t="s">
        <v>1948</v>
      </c>
      <c r="F1759">
        <v>247</v>
      </c>
      <c r="G1759" s="1">
        <v>45173</v>
      </c>
      <c r="H1759" s="6">
        <f t="shared" si="54"/>
        <v>18.979166666666643</v>
      </c>
      <c r="I1759" s="7">
        <f t="shared" si="55"/>
        <v>18.979166666666643</v>
      </c>
    </row>
    <row r="1760" spans="1:9" x14ac:dyDescent="0.2">
      <c r="A1760" t="s">
        <v>1949</v>
      </c>
      <c r="B1760">
        <v>4.4595000000000002</v>
      </c>
      <c r="C1760">
        <v>6.2460000000000002E-2</v>
      </c>
      <c r="D1760">
        <v>248</v>
      </c>
      <c r="E1760" t="s">
        <v>1949</v>
      </c>
      <c r="F1760">
        <v>247</v>
      </c>
      <c r="G1760" s="1">
        <v>45173</v>
      </c>
      <c r="H1760" s="6">
        <f t="shared" si="54"/>
        <v>18.989583333333311</v>
      </c>
      <c r="I1760" s="7">
        <f t="shared" si="55"/>
        <v>18.989583333333311</v>
      </c>
    </row>
    <row r="1761" spans="1:9" x14ac:dyDescent="0.2">
      <c r="A1761" t="s">
        <v>1950</v>
      </c>
      <c r="B1761">
        <v>4.4165000000000001</v>
      </c>
      <c r="C1761">
        <v>6.1870000000000001E-2</v>
      </c>
      <c r="D1761">
        <v>248</v>
      </c>
      <c r="E1761" t="s">
        <v>1950</v>
      </c>
      <c r="F1761">
        <v>248</v>
      </c>
      <c r="G1761" s="1">
        <v>45174</v>
      </c>
      <c r="H1761" s="6">
        <f t="shared" si="54"/>
        <v>18.999999999999979</v>
      </c>
      <c r="I1761" s="7">
        <f t="shared" si="55"/>
        <v>18.999999999999979</v>
      </c>
    </row>
    <row r="1762" spans="1:9" x14ac:dyDescent="0.2">
      <c r="A1762" t="s">
        <v>1951</v>
      </c>
      <c r="B1762">
        <v>4.444</v>
      </c>
      <c r="C1762">
        <v>6.2245000000000002E-2</v>
      </c>
      <c r="D1762">
        <v>248</v>
      </c>
      <c r="E1762" t="s">
        <v>1951</v>
      </c>
      <c r="F1762">
        <v>248</v>
      </c>
      <c r="G1762" s="1">
        <v>45174</v>
      </c>
      <c r="H1762" s="6">
        <f t="shared" si="54"/>
        <v>19.010416666666647</v>
      </c>
      <c r="I1762" s="7">
        <f t="shared" si="55"/>
        <v>19.010416666666647</v>
      </c>
    </row>
    <row r="1763" spans="1:9" x14ac:dyDescent="0.2">
      <c r="A1763" t="s">
        <v>1952</v>
      </c>
      <c r="B1763">
        <v>4.49</v>
      </c>
      <c r="C1763">
        <v>6.2869999999999995E-2</v>
      </c>
      <c r="D1763">
        <v>248</v>
      </c>
      <c r="E1763" t="s">
        <v>1952</v>
      </c>
      <c r="F1763">
        <v>248</v>
      </c>
      <c r="G1763" s="1">
        <v>45174</v>
      </c>
      <c r="H1763" s="6">
        <f t="shared" si="54"/>
        <v>19.020833333333314</v>
      </c>
      <c r="I1763" s="7">
        <f t="shared" si="55"/>
        <v>19.020833333333314</v>
      </c>
    </row>
    <row r="1764" spans="1:9" x14ac:dyDescent="0.2">
      <c r="A1764" t="s">
        <v>1953</v>
      </c>
      <c r="B1764">
        <v>4.4535</v>
      </c>
      <c r="C1764" s="2" t="s">
        <v>1954</v>
      </c>
      <c r="D1764">
        <v>248</v>
      </c>
      <c r="E1764" t="s">
        <v>1953</v>
      </c>
      <c r="F1764">
        <v>248</v>
      </c>
      <c r="G1764" s="1">
        <v>45174</v>
      </c>
      <c r="H1764" s="6">
        <f t="shared" si="54"/>
        <v>19.031249999999982</v>
      </c>
      <c r="I1764" s="7">
        <f t="shared" si="55"/>
        <v>19.031249999999982</v>
      </c>
    </row>
    <row r="1765" spans="1:9" x14ac:dyDescent="0.2">
      <c r="A1765" t="s">
        <v>1955</v>
      </c>
      <c r="B1765">
        <v>4.4284999999999997</v>
      </c>
      <c r="C1765" s="2" t="s">
        <v>1956</v>
      </c>
      <c r="D1765">
        <v>248</v>
      </c>
      <c r="E1765" t="s">
        <v>1955</v>
      </c>
      <c r="F1765">
        <v>248</v>
      </c>
      <c r="G1765" s="1">
        <v>45174</v>
      </c>
      <c r="H1765" s="6">
        <f t="shared" si="54"/>
        <v>19.04166666666665</v>
      </c>
      <c r="I1765" s="7">
        <f t="shared" si="55"/>
        <v>19.04166666666665</v>
      </c>
    </row>
    <row r="1766" spans="1:9" x14ac:dyDescent="0.2">
      <c r="A1766" t="s">
        <v>1957</v>
      </c>
      <c r="B1766">
        <v>4.444</v>
      </c>
      <c r="C1766">
        <v>6.2254999999999998E-2</v>
      </c>
      <c r="D1766">
        <v>248</v>
      </c>
      <c r="E1766" t="s">
        <v>1957</v>
      </c>
      <c r="F1766">
        <v>248</v>
      </c>
      <c r="G1766" s="1">
        <v>45174</v>
      </c>
      <c r="H1766" s="6">
        <f t="shared" si="54"/>
        <v>19.052083333333318</v>
      </c>
      <c r="I1766" s="7">
        <f t="shared" si="55"/>
        <v>19.052083333333318</v>
      </c>
    </row>
    <row r="1767" spans="1:9" x14ac:dyDescent="0.2">
      <c r="A1767" t="s">
        <v>1958</v>
      </c>
      <c r="B1767">
        <v>4.4954999999999998</v>
      </c>
      <c r="C1767">
        <v>6.2975000000000003E-2</v>
      </c>
      <c r="D1767">
        <v>248</v>
      </c>
      <c r="E1767" t="s">
        <v>1958</v>
      </c>
      <c r="F1767">
        <v>248</v>
      </c>
      <c r="G1767" s="1">
        <v>45174</v>
      </c>
      <c r="H1767" s="6">
        <f t="shared" si="54"/>
        <v>19.062499999999986</v>
      </c>
      <c r="I1767" s="7">
        <f t="shared" si="55"/>
        <v>19.062499999999986</v>
      </c>
    </row>
    <row r="1768" spans="1:9" x14ac:dyDescent="0.2">
      <c r="A1768" t="s">
        <v>1959</v>
      </c>
      <c r="B1768">
        <v>4.4584999999999999</v>
      </c>
      <c r="C1768">
        <v>6.2460000000000002E-2</v>
      </c>
      <c r="D1768">
        <v>248</v>
      </c>
      <c r="E1768" t="s">
        <v>1959</v>
      </c>
      <c r="F1768">
        <v>248</v>
      </c>
      <c r="G1768" s="1">
        <v>45174</v>
      </c>
      <c r="H1768" s="6">
        <f t="shared" si="54"/>
        <v>19.072916666666654</v>
      </c>
      <c r="I1768" s="7">
        <f t="shared" si="55"/>
        <v>19.072916666666654</v>
      </c>
    </row>
    <row r="1769" spans="1:9" x14ac:dyDescent="0.2">
      <c r="A1769" t="s">
        <v>1960</v>
      </c>
      <c r="B1769">
        <v>4.4829999999999997</v>
      </c>
      <c r="C1769">
        <v>6.2810000000000005E-2</v>
      </c>
      <c r="D1769">
        <v>248</v>
      </c>
      <c r="E1769" t="s">
        <v>1960</v>
      </c>
      <c r="F1769">
        <v>248</v>
      </c>
      <c r="G1769" s="1">
        <v>45174</v>
      </c>
      <c r="H1769" s="6">
        <f t="shared" si="54"/>
        <v>19.083333333333321</v>
      </c>
      <c r="I1769" s="7">
        <f t="shared" si="55"/>
        <v>19.083333333333321</v>
      </c>
    </row>
    <row r="1770" spans="1:9" x14ac:dyDescent="0.2">
      <c r="A1770" t="s">
        <v>1961</v>
      </c>
      <c r="B1770">
        <v>4.4305000000000003</v>
      </c>
      <c r="C1770">
        <v>6.207E-2</v>
      </c>
      <c r="D1770">
        <v>248</v>
      </c>
      <c r="E1770" t="s">
        <v>1961</v>
      </c>
      <c r="F1770">
        <v>248</v>
      </c>
      <c r="G1770" s="1">
        <v>45174</v>
      </c>
      <c r="H1770" s="6">
        <f t="shared" si="54"/>
        <v>19.093749999999989</v>
      </c>
      <c r="I1770" s="7">
        <f t="shared" si="55"/>
        <v>19.093749999999989</v>
      </c>
    </row>
    <row r="1771" spans="1:9" x14ac:dyDescent="0.2">
      <c r="A1771" t="s">
        <v>1962</v>
      </c>
      <c r="B1771" s="2" t="s">
        <v>1963</v>
      </c>
      <c r="C1771">
        <v>6.3189999999999996E-2</v>
      </c>
      <c r="D1771">
        <v>248</v>
      </c>
      <c r="E1771" t="s">
        <v>1962</v>
      </c>
      <c r="F1771">
        <v>248</v>
      </c>
      <c r="G1771" s="1">
        <v>45174</v>
      </c>
      <c r="H1771" s="6">
        <f t="shared" si="54"/>
        <v>19.104166666666657</v>
      </c>
      <c r="I1771" s="7">
        <f t="shared" si="55"/>
        <v>19.104166666666657</v>
      </c>
    </row>
    <row r="1772" spans="1:9" x14ac:dyDescent="0.2">
      <c r="A1772" t="s">
        <v>1964</v>
      </c>
      <c r="B1772">
        <v>4.6185</v>
      </c>
      <c r="C1772">
        <v>6.4695000000000003E-2</v>
      </c>
      <c r="D1772">
        <v>248</v>
      </c>
      <c r="E1772" t="s">
        <v>1964</v>
      </c>
      <c r="F1772">
        <v>248</v>
      </c>
      <c r="G1772" s="1">
        <v>45174</v>
      </c>
      <c r="H1772" s="6">
        <f t="shared" si="54"/>
        <v>19.114583333333325</v>
      </c>
      <c r="I1772" s="7">
        <f t="shared" si="55"/>
        <v>19.114583333333325</v>
      </c>
    </row>
    <row r="1773" spans="1:9" x14ac:dyDescent="0.2">
      <c r="A1773" t="s">
        <v>1965</v>
      </c>
      <c r="B1773">
        <v>4.4325000000000001</v>
      </c>
      <c r="C1773">
        <v>6.2074999999999998E-2</v>
      </c>
      <c r="D1773">
        <v>248</v>
      </c>
      <c r="E1773" t="s">
        <v>1965</v>
      </c>
      <c r="F1773">
        <v>248</v>
      </c>
      <c r="G1773" s="1">
        <v>45174</v>
      </c>
      <c r="H1773" s="6">
        <f t="shared" si="54"/>
        <v>19.124999999999993</v>
      </c>
      <c r="I1773" s="7">
        <f t="shared" si="55"/>
        <v>19.124999999999993</v>
      </c>
    </row>
    <row r="1774" spans="1:9" x14ac:dyDescent="0.2">
      <c r="A1774" t="s">
        <v>1966</v>
      </c>
      <c r="B1774">
        <v>4.492</v>
      </c>
      <c r="C1774">
        <v>6.2905000000000003E-2</v>
      </c>
      <c r="D1774">
        <v>248</v>
      </c>
      <c r="E1774" t="s">
        <v>1966</v>
      </c>
      <c r="F1774">
        <v>248</v>
      </c>
      <c r="G1774" s="1">
        <v>45174</v>
      </c>
      <c r="H1774" s="6">
        <f t="shared" si="54"/>
        <v>19.135416666666661</v>
      </c>
      <c r="I1774" s="7">
        <f t="shared" si="55"/>
        <v>19.135416666666661</v>
      </c>
    </row>
    <row r="1775" spans="1:9" x14ac:dyDescent="0.2">
      <c r="A1775" t="s">
        <v>1967</v>
      </c>
      <c r="B1775">
        <v>4.4089999999999998</v>
      </c>
      <c r="C1775">
        <v>6.1769999999999999E-2</v>
      </c>
      <c r="D1775">
        <v>248</v>
      </c>
      <c r="E1775" t="s">
        <v>1967</v>
      </c>
      <c r="F1775">
        <v>248</v>
      </c>
      <c r="G1775" s="1">
        <v>45174</v>
      </c>
      <c r="H1775" s="6">
        <f t="shared" si="54"/>
        <v>19.145833333333329</v>
      </c>
      <c r="I1775" s="7">
        <f t="shared" si="55"/>
        <v>19.145833333333329</v>
      </c>
    </row>
    <row r="1776" spans="1:9" x14ac:dyDescent="0.2">
      <c r="A1776" t="s">
        <v>1968</v>
      </c>
      <c r="B1776">
        <v>4.4095000000000004</v>
      </c>
      <c r="C1776">
        <v>6.1754999999999997E-2</v>
      </c>
      <c r="D1776">
        <v>248</v>
      </c>
      <c r="E1776" t="s">
        <v>1968</v>
      </c>
      <c r="F1776">
        <v>248</v>
      </c>
      <c r="G1776" s="1">
        <v>45174</v>
      </c>
      <c r="H1776" s="6">
        <f t="shared" si="54"/>
        <v>19.156249999999996</v>
      </c>
      <c r="I1776" s="7">
        <f t="shared" si="55"/>
        <v>19.156249999999996</v>
      </c>
    </row>
    <row r="1777" spans="1:9" x14ac:dyDescent="0.2">
      <c r="A1777" t="s">
        <v>1969</v>
      </c>
      <c r="B1777">
        <v>4.5259999999999998</v>
      </c>
      <c r="C1777">
        <v>6.3395000000000007E-2</v>
      </c>
      <c r="D1777">
        <v>248</v>
      </c>
      <c r="E1777" t="s">
        <v>1969</v>
      </c>
      <c r="F1777">
        <v>248</v>
      </c>
      <c r="G1777" s="1">
        <v>45174</v>
      </c>
      <c r="H1777" s="6">
        <f t="shared" si="54"/>
        <v>19.166666666666664</v>
      </c>
      <c r="I1777" s="7">
        <f t="shared" si="55"/>
        <v>19.166666666666664</v>
      </c>
    </row>
    <row r="1778" spans="1:9" x14ac:dyDescent="0.2">
      <c r="A1778" t="s">
        <v>1970</v>
      </c>
      <c r="B1778">
        <v>4.4055</v>
      </c>
      <c r="C1778">
        <v>6.1710000000000001E-2</v>
      </c>
      <c r="D1778">
        <v>248</v>
      </c>
      <c r="E1778" t="s">
        <v>1970</v>
      </c>
      <c r="F1778">
        <v>248</v>
      </c>
      <c r="G1778" s="1">
        <v>45174</v>
      </c>
      <c r="H1778" s="6">
        <f t="shared" si="54"/>
        <v>19.177083333333332</v>
      </c>
      <c r="I1778" s="7">
        <f t="shared" si="55"/>
        <v>19.177083333333332</v>
      </c>
    </row>
    <row r="1779" spans="1:9" x14ac:dyDescent="0.2">
      <c r="A1779" t="s">
        <v>1971</v>
      </c>
      <c r="B1779">
        <v>4.3449999999999998</v>
      </c>
      <c r="C1779">
        <v>6.0859999999999997E-2</v>
      </c>
      <c r="D1779">
        <v>248</v>
      </c>
      <c r="E1779" t="s">
        <v>1971</v>
      </c>
      <c r="F1779">
        <v>248</v>
      </c>
      <c r="G1779" s="1">
        <v>45174</v>
      </c>
      <c r="H1779" s="6">
        <f t="shared" si="54"/>
        <v>19.1875</v>
      </c>
      <c r="I1779" s="7">
        <f t="shared" si="55"/>
        <v>19.1875</v>
      </c>
    </row>
    <row r="1780" spans="1:9" x14ac:dyDescent="0.2">
      <c r="A1780" t="s">
        <v>1972</v>
      </c>
      <c r="B1780">
        <v>4.4545000000000003</v>
      </c>
      <c r="C1780">
        <v>6.2390000000000001E-2</v>
      </c>
      <c r="D1780">
        <v>248</v>
      </c>
      <c r="E1780" t="s">
        <v>1972</v>
      </c>
      <c r="F1780">
        <v>248</v>
      </c>
      <c r="G1780" s="1">
        <v>45174</v>
      </c>
      <c r="H1780" s="6">
        <f t="shared" si="54"/>
        <v>19.197916666666668</v>
      </c>
      <c r="I1780" s="7">
        <f t="shared" si="55"/>
        <v>19.197916666666668</v>
      </c>
    </row>
    <row r="1781" spans="1:9" x14ac:dyDescent="0.2">
      <c r="A1781" t="s">
        <v>1973</v>
      </c>
      <c r="B1781">
        <v>4.4649999999999999</v>
      </c>
      <c r="C1781">
        <v>6.2539999999999998E-2</v>
      </c>
      <c r="D1781">
        <v>248</v>
      </c>
      <c r="E1781" t="s">
        <v>1973</v>
      </c>
      <c r="F1781">
        <v>248</v>
      </c>
      <c r="G1781" s="1">
        <v>45174</v>
      </c>
      <c r="H1781" s="6">
        <f t="shared" si="54"/>
        <v>19.208333333333336</v>
      </c>
      <c r="I1781" s="7">
        <f t="shared" si="55"/>
        <v>19.208333333333336</v>
      </c>
    </row>
    <row r="1782" spans="1:9" x14ac:dyDescent="0.2">
      <c r="A1782" t="s">
        <v>1974</v>
      </c>
      <c r="B1782">
        <v>4.4960000000000004</v>
      </c>
      <c r="C1782">
        <v>6.2975000000000003E-2</v>
      </c>
      <c r="D1782">
        <v>248</v>
      </c>
      <c r="E1782" t="s">
        <v>1974</v>
      </c>
      <c r="F1782">
        <v>248</v>
      </c>
      <c r="G1782" s="1">
        <v>45174</v>
      </c>
      <c r="H1782" s="6">
        <f t="shared" si="54"/>
        <v>19.218750000000004</v>
      </c>
      <c r="I1782" s="7">
        <f t="shared" si="55"/>
        <v>19.218750000000004</v>
      </c>
    </row>
    <row r="1783" spans="1:9" x14ac:dyDescent="0.2">
      <c r="A1783" t="s">
        <v>1975</v>
      </c>
      <c r="B1783">
        <v>4.3529999999999998</v>
      </c>
      <c r="C1783">
        <v>6.0979999999999999E-2</v>
      </c>
      <c r="D1783">
        <v>248</v>
      </c>
      <c r="E1783" t="s">
        <v>1975</v>
      </c>
      <c r="F1783">
        <v>248</v>
      </c>
      <c r="G1783" s="1">
        <v>45174</v>
      </c>
      <c r="H1783" s="6">
        <f t="shared" si="54"/>
        <v>19.229166666666671</v>
      </c>
      <c r="I1783" s="7">
        <f t="shared" si="55"/>
        <v>19.229166666666671</v>
      </c>
    </row>
    <row r="1784" spans="1:9" x14ac:dyDescent="0.2">
      <c r="A1784" t="s">
        <v>1976</v>
      </c>
      <c r="B1784">
        <v>4.5199999999999996</v>
      </c>
      <c r="C1784">
        <v>6.3295000000000004E-2</v>
      </c>
      <c r="D1784">
        <v>248</v>
      </c>
      <c r="E1784" t="s">
        <v>1976</v>
      </c>
      <c r="F1784">
        <v>248</v>
      </c>
      <c r="G1784" s="1">
        <v>45174</v>
      </c>
      <c r="H1784" s="6">
        <f t="shared" si="54"/>
        <v>19.239583333333339</v>
      </c>
      <c r="I1784" s="7">
        <f t="shared" si="55"/>
        <v>19.239583333333339</v>
      </c>
    </row>
    <row r="1785" spans="1:9" x14ac:dyDescent="0.2">
      <c r="A1785" t="s">
        <v>1977</v>
      </c>
      <c r="B1785">
        <v>4.5134999999999996</v>
      </c>
      <c r="C1785">
        <v>6.3219999999999998E-2</v>
      </c>
      <c r="D1785">
        <v>248</v>
      </c>
      <c r="E1785" t="s">
        <v>1977</v>
      </c>
      <c r="F1785">
        <v>248</v>
      </c>
      <c r="G1785" s="1">
        <v>45174</v>
      </c>
      <c r="H1785" s="6">
        <f t="shared" si="54"/>
        <v>19.250000000000007</v>
      </c>
      <c r="I1785" s="7">
        <f t="shared" si="55"/>
        <v>19.250000000000007</v>
      </c>
    </row>
    <row r="1786" spans="1:9" x14ac:dyDescent="0.2">
      <c r="A1786" t="s">
        <v>1978</v>
      </c>
      <c r="B1786">
        <v>4.5134999999999996</v>
      </c>
      <c r="C1786">
        <v>6.3244999999999996E-2</v>
      </c>
      <c r="D1786">
        <v>248</v>
      </c>
      <c r="E1786" t="s">
        <v>1978</v>
      </c>
      <c r="F1786">
        <v>248</v>
      </c>
      <c r="G1786" s="1">
        <v>45174</v>
      </c>
      <c r="H1786" s="6">
        <f t="shared" si="54"/>
        <v>19.260416666666675</v>
      </c>
      <c r="I1786" s="7">
        <f t="shared" si="55"/>
        <v>19.260416666666675</v>
      </c>
    </row>
    <row r="1787" spans="1:9" x14ac:dyDescent="0.2">
      <c r="A1787" t="s">
        <v>1979</v>
      </c>
      <c r="B1787">
        <v>4.5270000000000001</v>
      </c>
      <c r="C1787">
        <v>6.3414999999999999E-2</v>
      </c>
      <c r="D1787">
        <v>248</v>
      </c>
      <c r="E1787" t="s">
        <v>1979</v>
      </c>
      <c r="F1787">
        <v>248</v>
      </c>
      <c r="G1787" s="1">
        <v>45174</v>
      </c>
      <c r="H1787" s="6">
        <f t="shared" si="54"/>
        <v>19.270833333333343</v>
      </c>
      <c r="I1787" s="7">
        <f t="shared" si="55"/>
        <v>19.270833333333343</v>
      </c>
    </row>
    <row r="1788" spans="1:9" x14ac:dyDescent="0.2">
      <c r="A1788" t="s">
        <v>1980</v>
      </c>
      <c r="B1788">
        <v>4.5034999999999998</v>
      </c>
      <c r="C1788">
        <v>6.3075000000000006E-2</v>
      </c>
      <c r="D1788">
        <v>248</v>
      </c>
      <c r="E1788" t="s">
        <v>1980</v>
      </c>
      <c r="F1788">
        <v>248</v>
      </c>
      <c r="G1788" s="1">
        <v>45174</v>
      </c>
      <c r="H1788" s="6">
        <f t="shared" si="54"/>
        <v>19.281250000000011</v>
      </c>
      <c r="I1788" s="7">
        <f t="shared" si="55"/>
        <v>19.281250000000011</v>
      </c>
    </row>
    <row r="1789" spans="1:9" x14ac:dyDescent="0.2">
      <c r="A1789" t="s">
        <v>1981</v>
      </c>
      <c r="B1789">
        <v>4.4945000000000004</v>
      </c>
      <c r="C1789">
        <v>6.2960000000000002E-2</v>
      </c>
      <c r="D1789">
        <v>248</v>
      </c>
      <c r="E1789" t="s">
        <v>1981</v>
      </c>
      <c r="F1789">
        <v>248</v>
      </c>
      <c r="G1789" s="1">
        <v>45174</v>
      </c>
      <c r="H1789" s="6">
        <f t="shared" si="54"/>
        <v>19.291666666666679</v>
      </c>
      <c r="I1789" s="7">
        <f t="shared" si="55"/>
        <v>19.291666666666679</v>
      </c>
    </row>
    <row r="1790" spans="1:9" x14ac:dyDescent="0.2">
      <c r="A1790" t="s">
        <v>1982</v>
      </c>
      <c r="B1790">
        <v>4.4755000000000003</v>
      </c>
      <c r="C1790">
        <v>6.2695000000000001E-2</v>
      </c>
      <c r="D1790">
        <v>248</v>
      </c>
      <c r="E1790" t="s">
        <v>1982</v>
      </c>
      <c r="F1790">
        <v>248</v>
      </c>
      <c r="G1790" s="1">
        <v>45174</v>
      </c>
      <c r="H1790" s="6">
        <f t="shared" si="54"/>
        <v>19.302083333333346</v>
      </c>
      <c r="I1790" s="7">
        <f t="shared" si="55"/>
        <v>19.302083333333346</v>
      </c>
    </row>
    <row r="1791" spans="1:9" x14ac:dyDescent="0.2">
      <c r="A1791" t="s">
        <v>1983</v>
      </c>
      <c r="B1791">
        <v>4.3680000000000003</v>
      </c>
      <c r="C1791">
        <v>6.1175E-2</v>
      </c>
      <c r="D1791">
        <v>248</v>
      </c>
      <c r="E1791" t="s">
        <v>1983</v>
      </c>
      <c r="F1791">
        <v>248</v>
      </c>
      <c r="G1791" s="1">
        <v>45174</v>
      </c>
      <c r="H1791" s="6">
        <f t="shared" si="54"/>
        <v>19.312500000000014</v>
      </c>
      <c r="I1791" s="7">
        <f t="shared" si="55"/>
        <v>19.312500000000014</v>
      </c>
    </row>
    <row r="1792" spans="1:9" x14ac:dyDescent="0.2">
      <c r="A1792" t="s">
        <v>1984</v>
      </c>
      <c r="B1792">
        <v>4.4290000000000003</v>
      </c>
      <c r="C1792">
        <v>6.2035E-2</v>
      </c>
      <c r="D1792">
        <v>248</v>
      </c>
      <c r="E1792" t="s">
        <v>1984</v>
      </c>
      <c r="F1792">
        <v>248</v>
      </c>
      <c r="G1792" s="1">
        <v>45174</v>
      </c>
      <c r="H1792" s="6">
        <f t="shared" si="54"/>
        <v>19.322916666666682</v>
      </c>
      <c r="I1792" s="7">
        <f t="shared" si="55"/>
        <v>19.322916666666682</v>
      </c>
    </row>
    <row r="1793" spans="1:9" x14ac:dyDescent="0.2">
      <c r="A1793" t="s">
        <v>1985</v>
      </c>
      <c r="B1793">
        <v>4.4085000000000001</v>
      </c>
      <c r="C1793">
        <v>6.1745000000000001E-2</v>
      </c>
      <c r="D1793">
        <v>248</v>
      </c>
      <c r="E1793" t="s">
        <v>1985</v>
      </c>
      <c r="F1793">
        <v>248</v>
      </c>
      <c r="G1793" s="1">
        <v>45174</v>
      </c>
      <c r="H1793" s="6">
        <f t="shared" si="54"/>
        <v>19.33333333333335</v>
      </c>
      <c r="I1793" s="7">
        <f t="shared" si="55"/>
        <v>19.33333333333335</v>
      </c>
    </row>
    <row r="1794" spans="1:9" x14ac:dyDescent="0.2">
      <c r="A1794" t="s">
        <v>1986</v>
      </c>
      <c r="B1794">
        <v>4.4095000000000004</v>
      </c>
      <c r="C1794">
        <v>6.1734999999999998E-2</v>
      </c>
      <c r="D1794">
        <v>248</v>
      </c>
      <c r="E1794" t="s">
        <v>1986</v>
      </c>
      <c r="F1794">
        <v>248</v>
      </c>
      <c r="G1794" s="1">
        <v>45174</v>
      </c>
      <c r="H1794" s="6">
        <f t="shared" si="54"/>
        <v>19.343750000000018</v>
      </c>
      <c r="I1794" s="7">
        <f t="shared" si="55"/>
        <v>19.343750000000018</v>
      </c>
    </row>
    <row r="1795" spans="1:9" x14ac:dyDescent="0.2">
      <c r="A1795" t="s">
        <v>1987</v>
      </c>
      <c r="B1795">
        <v>4.3445</v>
      </c>
      <c r="C1795">
        <v>6.08E-2</v>
      </c>
      <c r="D1795">
        <v>248</v>
      </c>
      <c r="E1795" t="s">
        <v>1987</v>
      </c>
      <c r="F1795">
        <v>248</v>
      </c>
      <c r="G1795" s="1">
        <v>45174</v>
      </c>
      <c r="H1795" s="6">
        <f t="shared" ref="H1795:H1858" si="56">H1794+$K$1</f>
        <v>19.354166666666686</v>
      </c>
      <c r="I1795" s="7">
        <f t="shared" ref="I1795:I1858" si="57">I1794+$K$1</f>
        <v>19.354166666666686</v>
      </c>
    </row>
    <row r="1796" spans="1:9" x14ac:dyDescent="0.2">
      <c r="A1796" t="s">
        <v>1988</v>
      </c>
      <c r="B1796">
        <v>4.32</v>
      </c>
      <c r="C1796">
        <v>6.0510000000000001E-2</v>
      </c>
      <c r="D1796">
        <v>248</v>
      </c>
      <c r="E1796" t="s">
        <v>1988</v>
      </c>
      <c r="F1796">
        <v>248</v>
      </c>
      <c r="G1796" s="1">
        <v>45174</v>
      </c>
      <c r="H1796" s="6">
        <f t="shared" si="56"/>
        <v>19.364583333333353</v>
      </c>
      <c r="I1796" s="7">
        <f t="shared" si="57"/>
        <v>19.364583333333353</v>
      </c>
    </row>
    <row r="1797" spans="1:9" x14ac:dyDescent="0.2">
      <c r="A1797" t="s">
        <v>1989</v>
      </c>
      <c r="B1797">
        <v>4.2859999999999996</v>
      </c>
      <c r="C1797">
        <v>6.0034999999999998E-2</v>
      </c>
      <c r="D1797">
        <v>248</v>
      </c>
      <c r="E1797" t="s">
        <v>1989</v>
      </c>
      <c r="F1797">
        <v>248</v>
      </c>
      <c r="G1797" s="1">
        <v>45174</v>
      </c>
      <c r="H1797" s="6">
        <f t="shared" si="56"/>
        <v>19.375000000000021</v>
      </c>
      <c r="I1797" s="7">
        <f t="shared" si="57"/>
        <v>19.375000000000021</v>
      </c>
    </row>
    <row r="1798" spans="1:9" x14ac:dyDescent="0.2">
      <c r="A1798" t="s">
        <v>1990</v>
      </c>
      <c r="B1798">
        <v>4.2069999999999999</v>
      </c>
      <c r="C1798">
        <v>5.8930000000000003E-2</v>
      </c>
      <c r="D1798">
        <v>248</v>
      </c>
      <c r="E1798" t="s">
        <v>1990</v>
      </c>
      <c r="F1798">
        <v>248</v>
      </c>
      <c r="G1798" s="1">
        <v>45174</v>
      </c>
      <c r="H1798" s="6">
        <f t="shared" si="56"/>
        <v>19.385416666666689</v>
      </c>
      <c r="I1798" s="7">
        <f t="shared" si="57"/>
        <v>19.385416666666689</v>
      </c>
    </row>
    <row r="1799" spans="1:9" x14ac:dyDescent="0.2">
      <c r="A1799" t="s">
        <v>1991</v>
      </c>
      <c r="B1799">
        <v>4.1684999999999999</v>
      </c>
      <c r="C1799">
        <v>5.8395000000000002E-2</v>
      </c>
      <c r="D1799">
        <v>248</v>
      </c>
      <c r="E1799" t="s">
        <v>1991</v>
      </c>
      <c r="F1799">
        <v>248</v>
      </c>
      <c r="G1799" s="1">
        <v>45174</v>
      </c>
      <c r="H1799" s="6">
        <f t="shared" si="56"/>
        <v>19.395833333333357</v>
      </c>
      <c r="I1799" s="7">
        <f t="shared" si="57"/>
        <v>19.395833333333357</v>
      </c>
    </row>
    <row r="1800" spans="1:9" x14ac:dyDescent="0.2">
      <c r="A1800" t="s">
        <v>1992</v>
      </c>
      <c r="B1800">
        <v>4.1020000000000003</v>
      </c>
      <c r="C1800">
        <v>5.7439999999999998E-2</v>
      </c>
      <c r="D1800">
        <v>248</v>
      </c>
      <c r="E1800" t="s">
        <v>1992</v>
      </c>
      <c r="F1800">
        <v>248</v>
      </c>
      <c r="G1800" s="1">
        <v>45174</v>
      </c>
      <c r="H1800" s="6">
        <f t="shared" si="56"/>
        <v>19.406250000000025</v>
      </c>
      <c r="I1800" s="7">
        <f t="shared" si="57"/>
        <v>19.406250000000025</v>
      </c>
    </row>
    <row r="1801" spans="1:9" x14ac:dyDescent="0.2">
      <c r="A1801" t="s">
        <v>1993</v>
      </c>
      <c r="B1801">
        <v>4.0294999999999996</v>
      </c>
      <c r="C1801">
        <v>5.6454999999999998E-2</v>
      </c>
      <c r="D1801">
        <v>248</v>
      </c>
      <c r="E1801" t="s">
        <v>1993</v>
      </c>
      <c r="F1801">
        <v>248</v>
      </c>
      <c r="G1801" s="1">
        <v>45174</v>
      </c>
      <c r="H1801" s="6">
        <f t="shared" si="56"/>
        <v>19.416666666666693</v>
      </c>
      <c r="I1801" s="7">
        <f t="shared" si="57"/>
        <v>19.416666666666693</v>
      </c>
    </row>
    <row r="1802" spans="1:9" x14ac:dyDescent="0.2">
      <c r="A1802" t="s">
        <v>1994</v>
      </c>
      <c r="B1802">
        <v>3.94</v>
      </c>
      <c r="C1802">
        <v>5.5210000000000002E-2</v>
      </c>
      <c r="D1802">
        <v>248</v>
      </c>
      <c r="E1802" t="s">
        <v>1994</v>
      </c>
      <c r="F1802">
        <v>248</v>
      </c>
      <c r="G1802" s="1">
        <v>45174</v>
      </c>
      <c r="H1802" s="6">
        <f t="shared" si="56"/>
        <v>19.427083333333361</v>
      </c>
      <c r="I1802" s="7">
        <f t="shared" si="57"/>
        <v>19.427083333333361</v>
      </c>
    </row>
    <row r="1803" spans="1:9" x14ac:dyDescent="0.2">
      <c r="A1803" t="s">
        <v>1995</v>
      </c>
      <c r="B1803">
        <v>3.907</v>
      </c>
      <c r="C1803">
        <v>5.475E-2</v>
      </c>
      <c r="D1803">
        <v>248</v>
      </c>
      <c r="E1803" t="s">
        <v>1995</v>
      </c>
      <c r="F1803">
        <v>248</v>
      </c>
      <c r="G1803" s="1">
        <v>45174</v>
      </c>
      <c r="H1803" s="6">
        <f t="shared" si="56"/>
        <v>19.437500000000028</v>
      </c>
      <c r="I1803" s="7">
        <f t="shared" si="57"/>
        <v>19.437500000000028</v>
      </c>
    </row>
    <row r="1804" spans="1:9" x14ac:dyDescent="0.2">
      <c r="A1804" t="s">
        <v>1996</v>
      </c>
      <c r="B1804">
        <v>3.8544999999999998</v>
      </c>
      <c r="C1804">
        <v>5.398E-2</v>
      </c>
      <c r="D1804">
        <v>248</v>
      </c>
      <c r="E1804" t="s">
        <v>1996</v>
      </c>
      <c r="F1804">
        <v>248</v>
      </c>
      <c r="G1804" s="1">
        <v>45174</v>
      </c>
      <c r="H1804" s="6">
        <f t="shared" si="56"/>
        <v>19.447916666666696</v>
      </c>
      <c r="I1804" s="7">
        <f t="shared" si="57"/>
        <v>19.447916666666696</v>
      </c>
    </row>
    <row r="1805" spans="1:9" x14ac:dyDescent="0.2">
      <c r="A1805" t="s">
        <v>1997</v>
      </c>
      <c r="B1805">
        <v>3.8250000000000002</v>
      </c>
      <c r="C1805">
        <v>5.3574999999999998E-2</v>
      </c>
      <c r="D1805">
        <v>248</v>
      </c>
      <c r="E1805" t="s">
        <v>1997</v>
      </c>
      <c r="F1805">
        <v>248</v>
      </c>
      <c r="G1805" s="1">
        <v>45174</v>
      </c>
      <c r="H1805" s="6">
        <f t="shared" si="56"/>
        <v>19.458333333333364</v>
      </c>
      <c r="I1805" s="7">
        <f t="shared" si="57"/>
        <v>19.458333333333364</v>
      </c>
    </row>
    <row r="1806" spans="1:9" x14ac:dyDescent="0.2">
      <c r="A1806" t="s">
        <v>1998</v>
      </c>
      <c r="B1806">
        <v>3.76</v>
      </c>
      <c r="C1806">
        <v>5.2670000000000002E-2</v>
      </c>
      <c r="D1806">
        <v>248</v>
      </c>
      <c r="E1806" t="s">
        <v>1998</v>
      </c>
      <c r="F1806">
        <v>248</v>
      </c>
      <c r="G1806" s="1">
        <v>45174</v>
      </c>
      <c r="H1806" s="6">
        <f t="shared" si="56"/>
        <v>19.468750000000032</v>
      </c>
      <c r="I1806" s="7">
        <f t="shared" si="57"/>
        <v>19.468750000000032</v>
      </c>
    </row>
    <row r="1807" spans="1:9" x14ac:dyDescent="0.2">
      <c r="A1807" t="s">
        <v>1999</v>
      </c>
      <c r="B1807">
        <v>3.7309999999999999</v>
      </c>
      <c r="C1807">
        <v>5.2255000000000003E-2</v>
      </c>
      <c r="D1807">
        <v>248</v>
      </c>
      <c r="E1807" t="s">
        <v>1999</v>
      </c>
      <c r="F1807">
        <v>248</v>
      </c>
      <c r="G1807" s="1">
        <v>45174</v>
      </c>
      <c r="H1807" s="6">
        <f t="shared" si="56"/>
        <v>19.4791666666667</v>
      </c>
      <c r="I1807" s="7">
        <f t="shared" si="57"/>
        <v>19.4791666666667</v>
      </c>
    </row>
    <row r="1808" spans="1:9" x14ac:dyDescent="0.2">
      <c r="A1808" t="s">
        <v>2000</v>
      </c>
      <c r="B1808">
        <v>3.7090000000000001</v>
      </c>
      <c r="C1808">
        <v>5.1970000000000002E-2</v>
      </c>
      <c r="D1808">
        <v>248</v>
      </c>
      <c r="E1808" t="s">
        <v>2000</v>
      </c>
      <c r="F1808">
        <v>248</v>
      </c>
      <c r="G1808" s="1">
        <v>45174</v>
      </c>
      <c r="H1808" s="6">
        <f t="shared" si="56"/>
        <v>19.489583333333368</v>
      </c>
      <c r="I1808" s="7">
        <f t="shared" si="57"/>
        <v>19.489583333333368</v>
      </c>
    </row>
    <row r="1809" spans="1:9" x14ac:dyDescent="0.2">
      <c r="A1809" t="s">
        <v>2001</v>
      </c>
      <c r="B1809">
        <v>3.677</v>
      </c>
      <c r="C1809" s="2" t="s">
        <v>2002</v>
      </c>
      <c r="D1809">
        <v>248</v>
      </c>
      <c r="E1809" t="s">
        <v>2001</v>
      </c>
      <c r="F1809">
        <v>248</v>
      </c>
      <c r="G1809" s="1">
        <v>45174</v>
      </c>
      <c r="H1809" s="6">
        <f t="shared" si="56"/>
        <v>19.500000000000036</v>
      </c>
      <c r="I1809" s="7">
        <f t="shared" si="57"/>
        <v>19.500000000000036</v>
      </c>
    </row>
    <row r="1810" spans="1:9" x14ac:dyDescent="0.2">
      <c r="A1810" t="s">
        <v>2003</v>
      </c>
      <c r="B1810">
        <v>3.6520000000000001</v>
      </c>
      <c r="C1810">
        <v>5.1165000000000002E-2</v>
      </c>
      <c r="D1810">
        <v>248</v>
      </c>
      <c r="E1810" t="s">
        <v>2003</v>
      </c>
      <c r="F1810">
        <v>248</v>
      </c>
      <c r="G1810" s="1">
        <v>45174</v>
      </c>
      <c r="H1810" s="6">
        <f t="shared" si="56"/>
        <v>19.510416666666703</v>
      </c>
      <c r="I1810" s="7">
        <f t="shared" si="57"/>
        <v>19.510416666666703</v>
      </c>
    </row>
    <row r="1811" spans="1:9" x14ac:dyDescent="0.2">
      <c r="A1811" t="s">
        <v>2004</v>
      </c>
      <c r="B1811">
        <v>3.6364999999999998</v>
      </c>
      <c r="C1811">
        <v>5.0935000000000001E-2</v>
      </c>
      <c r="D1811">
        <v>248</v>
      </c>
      <c r="E1811" t="s">
        <v>2004</v>
      </c>
      <c r="F1811">
        <v>248</v>
      </c>
      <c r="G1811" s="1">
        <v>45174</v>
      </c>
      <c r="H1811" s="6">
        <f t="shared" si="56"/>
        <v>19.520833333333371</v>
      </c>
      <c r="I1811" s="7">
        <f t="shared" si="57"/>
        <v>19.520833333333371</v>
      </c>
    </row>
    <row r="1812" spans="1:9" x14ac:dyDescent="0.2">
      <c r="A1812" t="s">
        <v>2005</v>
      </c>
      <c r="B1812">
        <v>3.6545000000000001</v>
      </c>
      <c r="C1812">
        <v>5.1200000000000002E-2</v>
      </c>
      <c r="D1812">
        <v>248</v>
      </c>
      <c r="E1812" t="s">
        <v>2005</v>
      </c>
      <c r="F1812">
        <v>248</v>
      </c>
      <c r="G1812" s="1">
        <v>45174</v>
      </c>
      <c r="H1812" s="6">
        <f t="shared" si="56"/>
        <v>19.531250000000039</v>
      </c>
      <c r="I1812" s="7">
        <f t="shared" si="57"/>
        <v>19.531250000000039</v>
      </c>
    </row>
    <row r="1813" spans="1:9" x14ac:dyDescent="0.2">
      <c r="A1813" t="s">
        <v>2006</v>
      </c>
      <c r="B1813">
        <v>3.6665000000000001</v>
      </c>
      <c r="C1813">
        <v>5.1374999999999997E-2</v>
      </c>
      <c r="D1813">
        <v>248</v>
      </c>
      <c r="E1813" t="s">
        <v>2006</v>
      </c>
      <c r="F1813">
        <v>248</v>
      </c>
      <c r="G1813" s="1">
        <v>45174</v>
      </c>
      <c r="H1813" s="6">
        <f t="shared" si="56"/>
        <v>19.541666666666707</v>
      </c>
      <c r="I1813" s="7">
        <f t="shared" si="57"/>
        <v>19.541666666666707</v>
      </c>
    </row>
    <row r="1814" spans="1:9" x14ac:dyDescent="0.2">
      <c r="A1814" t="s">
        <v>2007</v>
      </c>
      <c r="B1814">
        <v>3.645</v>
      </c>
      <c r="C1814">
        <v>5.1049999999999998E-2</v>
      </c>
      <c r="D1814">
        <v>248</v>
      </c>
      <c r="E1814" t="s">
        <v>2007</v>
      </c>
      <c r="F1814">
        <v>248</v>
      </c>
      <c r="G1814" s="1">
        <v>45174</v>
      </c>
      <c r="H1814" s="6">
        <f t="shared" si="56"/>
        <v>19.552083333333375</v>
      </c>
      <c r="I1814" s="7">
        <f t="shared" si="57"/>
        <v>19.552083333333375</v>
      </c>
    </row>
    <row r="1815" spans="1:9" x14ac:dyDescent="0.2">
      <c r="A1815" t="s">
        <v>2008</v>
      </c>
      <c r="B1815" s="2" t="s">
        <v>1825</v>
      </c>
      <c r="C1815">
        <v>5.0685000000000001E-2</v>
      </c>
      <c r="D1815">
        <v>248</v>
      </c>
      <c r="E1815" t="s">
        <v>2008</v>
      </c>
      <c r="F1815">
        <v>248</v>
      </c>
      <c r="G1815" s="1">
        <v>45174</v>
      </c>
      <c r="H1815" s="6">
        <f t="shared" si="56"/>
        <v>19.562500000000043</v>
      </c>
      <c r="I1815" s="7">
        <f t="shared" si="57"/>
        <v>19.562500000000043</v>
      </c>
    </row>
    <row r="1816" spans="1:9" x14ac:dyDescent="0.2">
      <c r="A1816" t="s">
        <v>2009</v>
      </c>
      <c r="B1816">
        <v>3.6284999999999998</v>
      </c>
      <c r="C1816">
        <v>5.083E-2</v>
      </c>
      <c r="D1816">
        <v>248</v>
      </c>
      <c r="E1816" t="s">
        <v>2009</v>
      </c>
      <c r="F1816">
        <v>248</v>
      </c>
      <c r="G1816" s="1">
        <v>45174</v>
      </c>
      <c r="H1816" s="6">
        <f t="shared" si="56"/>
        <v>19.57291666666671</v>
      </c>
      <c r="I1816" s="7">
        <f t="shared" si="57"/>
        <v>19.57291666666671</v>
      </c>
    </row>
    <row r="1817" spans="1:9" x14ac:dyDescent="0.2">
      <c r="A1817" t="s">
        <v>2010</v>
      </c>
      <c r="B1817">
        <v>3.556</v>
      </c>
      <c r="C1817">
        <v>4.9805000000000002E-2</v>
      </c>
      <c r="D1817">
        <v>248</v>
      </c>
      <c r="E1817" t="s">
        <v>2010</v>
      </c>
      <c r="F1817">
        <v>248</v>
      </c>
      <c r="G1817" s="1">
        <v>45174</v>
      </c>
      <c r="H1817" s="6">
        <f t="shared" si="56"/>
        <v>19.583333333333378</v>
      </c>
      <c r="I1817" s="7">
        <f t="shared" si="57"/>
        <v>19.583333333333378</v>
      </c>
    </row>
    <row r="1818" spans="1:9" x14ac:dyDescent="0.2">
      <c r="A1818" t="s">
        <v>2011</v>
      </c>
      <c r="B1818">
        <v>3.637</v>
      </c>
      <c r="C1818">
        <v>5.0955E-2</v>
      </c>
      <c r="D1818">
        <v>248</v>
      </c>
      <c r="E1818" t="s">
        <v>2011</v>
      </c>
      <c r="F1818">
        <v>248</v>
      </c>
      <c r="G1818" s="1">
        <v>45174</v>
      </c>
      <c r="H1818" s="6">
        <f t="shared" si="56"/>
        <v>19.593750000000046</v>
      </c>
      <c r="I1818" s="7">
        <f t="shared" si="57"/>
        <v>19.593750000000046</v>
      </c>
    </row>
    <row r="1819" spans="1:9" x14ac:dyDescent="0.2">
      <c r="A1819" t="s">
        <v>2012</v>
      </c>
      <c r="B1819">
        <v>3.6429999999999998</v>
      </c>
      <c r="C1819">
        <v>5.1049999999999998E-2</v>
      </c>
      <c r="D1819">
        <v>248</v>
      </c>
      <c r="E1819" t="s">
        <v>2012</v>
      </c>
      <c r="F1819">
        <v>248</v>
      </c>
      <c r="G1819" s="1">
        <v>45174</v>
      </c>
      <c r="H1819" s="6">
        <f t="shared" si="56"/>
        <v>19.604166666666714</v>
      </c>
      <c r="I1819" s="7">
        <f t="shared" si="57"/>
        <v>19.604166666666714</v>
      </c>
    </row>
    <row r="1820" spans="1:9" x14ac:dyDescent="0.2">
      <c r="A1820" t="s">
        <v>2013</v>
      </c>
      <c r="B1820">
        <v>3.605</v>
      </c>
      <c r="C1820">
        <v>5.0494999999999998E-2</v>
      </c>
      <c r="D1820">
        <v>248</v>
      </c>
      <c r="E1820" t="s">
        <v>2013</v>
      </c>
      <c r="F1820">
        <v>248</v>
      </c>
      <c r="G1820" s="1">
        <v>45174</v>
      </c>
      <c r="H1820" s="6">
        <f t="shared" si="56"/>
        <v>19.614583333333382</v>
      </c>
      <c r="I1820" s="7">
        <f t="shared" si="57"/>
        <v>19.614583333333382</v>
      </c>
    </row>
    <row r="1821" spans="1:9" x14ac:dyDescent="0.2">
      <c r="A1821" t="s">
        <v>2014</v>
      </c>
      <c r="B1821">
        <v>3.6415000000000002</v>
      </c>
      <c r="C1821">
        <v>5.0994999999999999E-2</v>
      </c>
      <c r="D1821">
        <v>248</v>
      </c>
      <c r="E1821" t="s">
        <v>2014</v>
      </c>
      <c r="F1821">
        <v>248</v>
      </c>
      <c r="G1821" s="1">
        <v>45174</v>
      </c>
      <c r="H1821" s="6">
        <f t="shared" si="56"/>
        <v>19.62500000000005</v>
      </c>
      <c r="I1821" s="7">
        <f t="shared" si="57"/>
        <v>19.62500000000005</v>
      </c>
    </row>
    <row r="1822" spans="1:9" x14ac:dyDescent="0.2">
      <c r="A1822" t="s">
        <v>2015</v>
      </c>
      <c r="B1822">
        <v>3.6234999999999999</v>
      </c>
      <c r="C1822">
        <v>5.0750000000000003E-2</v>
      </c>
      <c r="D1822">
        <v>248</v>
      </c>
      <c r="E1822" t="s">
        <v>2015</v>
      </c>
      <c r="F1822">
        <v>248</v>
      </c>
      <c r="G1822" s="1">
        <v>45174</v>
      </c>
      <c r="H1822" s="6">
        <f t="shared" si="56"/>
        <v>19.635416666666718</v>
      </c>
      <c r="I1822" s="7">
        <f t="shared" si="57"/>
        <v>19.635416666666718</v>
      </c>
    </row>
    <row r="1823" spans="1:9" x14ac:dyDescent="0.2">
      <c r="A1823" t="s">
        <v>2016</v>
      </c>
      <c r="B1823">
        <v>3.6095000000000002</v>
      </c>
      <c r="C1823">
        <v>5.0540000000000002E-2</v>
      </c>
      <c r="D1823">
        <v>248</v>
      </c>
      <c r="E1823" t="s">
        <v>2016</v>
      </c>
      <c r="F1823">
        <v>248</v>
      </c>
      <c r="G1823" s="1">
        <v>45174</v>
      </c>
      <c r="H1823" s="6">
        <f t="shared" si="56"/>
        <v>19.645833333333385</v>
      </c>
      <c r="I1823" s="7">
        <f t="shared" si="57"/>
        <v>19.645833333333385</v>
      </c>
    </row>
    <row r="1824" spans="1:9" x14ac:dyDescent="0.2">
      <c r="A1824" t="s">
        <v>2017</v>
      </c>
      <c r="B1824">
        <v>3.605</v>
      </c>
      <c r="C1824">
        <v>5.0500000000000003E-2</v>
      </c>
      <c r="D1824">
        <v>248</v>
      </c>
      <c r="E1824" t="s">
        <v>2017</v>
      </c>
      <c r="F1824">
        <v>248</v>
      </c>
      <c r="G1824" s="1">
        <v>45174</v>
      </c>
      <c r="H1824" s="6">
        <f t="shared" si="56"/>
        <v>19.656250000000053</v>
      </c>
      <c r="I1824" s="7">
        <f t="shared" si="57"/>
        <v>19.656250000000053</v>
      </c>
    </row>
    <row r="1825" spans="1:9" x14ac:dyDescent="0.2">
      <c r="A1825" t="s">
        <v>2018</v>
      </c>
      <c r="B1825" s="2" t="s">
        <v>888</v>
      </c>
      <c r="C1825">
        <v>5.0465000000000003E-2</v>
      </c>
      <c r="D1825">
        <v>248</v>
      </c>
      <c r="E1825" t="s">
        <v>2018</v>
      </c>
      <c r="F1825">
        <v>248</v>
      </c>
      <c r="G1825" s="1">
        <v>45174</v>
      </c>
      <c r="H1825" s="6">
        <f t="shared" si="56"/>
        <v>19.666666666666721</v>
      </c>
      <c r="I1825" s="7">
        <f t="shared" si="57"/>
        <v>19.666666666666721</v>
      </c>
    </row>
    <row r="1826" spans="1:9" x14ac:dyDescent="0.2">
      <c r="A1826" t="s">
        <v>2019</v>
      </c>
      <c r="B1826">
        <v>3.6019999999999999</v>
      </c>
      <c r="C1826">
        <v>5.0450000000000002E-2</v>
      </c>
      <c r="D1826">
        <v>248</v>
      </c>
      <c r="E1826" t="s">
        <v>2019</v>
      </c>
      <c r="F1826">
        <v>248</v>
      </c>
      <c r="G1826" s="1">
        <v>45174</v>
      </c>
      <c r="H1826" s="6">
        <f t="shared" si="56"/>
        <v>19.677083333333389</v>
      </c>
      <c r="I1826" s="7">
        <f t="shared" si="57"/>
        <v>19.677083333333389</v>
      </c>
    </row>
    <row r="1827" spans="1:9" x14ac:dyDescent="0.2">
      <c r="A1827" t="s">
        <v>2020</v>
      </c>
      <c r="B1827">
        <v>3.6019999999999999</v>
      </c>
      <c r="C1827">
        <v>5.0444999999999997E-2</v>
      </c>
      <c r="D1827">
        <v>248</v>
      </c>
      <c r="E1827" t="s">
        <v>2020</v>
      </c>
      <c r="F1827">
        <v>248</v>
      </c>
      <c r="G1827" s="1">
        <v>45174</v>
      </c>
      <c r="H1827" s="6">
        <f t="shared" si="56"/>
        <v>19.687500000000057</v>
      </c>
      <c r="I1827" s="7">
        <f t="shared" si="57"/>
        <v>19.687500000000057</v>
      </c>
    </row>
    <row r="1828" spans="1:9" x14ac:dyDescent="0.2">
      <c r="A1828" t="s">
        <v>2021</v>
      </c>
      <c r="B1828">
        <v>3.6105</v>
      </c>
      <c r="C1828" s="2" t="s">
        <v>2022</v>
      </c>
      <c r="D1828">
        <v>248</v>
      </c>
      <c r="E1828" t="s">
        <v>2021</v>
      </c>
      <c r="F1828">
        <v>248</v>
      </c>
      <c r="G1828" s="1">
        <v>45174</v>
      </c>
      <c r="H1828" s="6">
        <f t="shared" si="56"/>
        <v>19.697916666666725</v>
      </c>
      <c r="I1828" s="7">
        <f t="shared" si="57"/>
        <v>19.697916666666725</v>
      </c>
    </row>
    <row r="1829" spans="1:9" x14ac:dyDescent="0.2">
      <c r="A1829" t="s">
        <v>2023</v>
      </c>
      <c r="B1829">
        <v>3.6274999999999999</v>
      </c>
      <c r="C1829" s="2" t="s">
        <v>2024</v>
      </c>
      <c r="D1829">
        <v>248</v>
      </c>
      <c r="E1829" t="s">
        <v>2023</v>
      </c>
      <c r="F1829">
        <v>248</v>
      </c>
      <c r="G1829" s="1">
        <v>45174</v>
      </c>
      <c r="H1829" s="6">
        <f t="shared" si="56"/>
        <v>19.708333333333393</v>
      </c>
      <c r="I1829" s="7">
        <f t="shared" si="57"/>
        <v>19.708333333333393</v>
      </c>
    </row>
    <row r="1830" spans="1:9" x14ac:dyDescent="0.2">
      <c r="A1830" t="s">
        <v>2025</v>
      </c>
      <c r="B1830">
        <v>3.6059999999999999</v>
      </c>
      <c r="C1830">
        <v>5.0505000000000001E-2</v>
      </c>
      <c r="D1830">
        <v>248</v>
      </c>
      <c r="E1830" t="s">
        <v>2025</v>
      </c>
      <c r="F1830">
        <v>248</v>
      </c>
      <c r="G1830" s="1">
        <v>45174</v>
      </c>
      <c r="H1830" s="6">
        <f t="shared" si="56"/>
        <v>19.71875000000006</v>
      </c>
      <c r="I1830" s="7">
        <f t="shared" si="57"/>
        <v>19.71875000000006</v>
      </c>
    </row>
    <row r="1831" spans="1:9" x14ac:dyDescent="0.2">
      <c r="A1831" t="s">
        <v>2026</v>
      </c>
      <c r="B1831">
        <v>3.5834999999999999</v>
      </c>
      <c r="C1831">
        <v>5.0189999999999999E-2</v>
      </c>
      <c r="D1831">
        <v>248</v>
      </c>
      <c r="E1831" t="s">
        <v>2026</v>
      </c>
      <c r="F1831">
        <v>248</v>
      </c>
      <c r="G1831" s="1">
        <v>45174</v>
      </c>
      <c r="H1831" s="6">
        <f t="shared" si="56"/>
        <v>19.729166666666728</v>
      </c>
      <c r="I1831" s="7">
        <f t="shared" si="57"/>
        <v>19.729166666666728</v>
      </c>
    </row>
    <row r="1832" spans="1:9" x14ac:dyDescent="0.2">
      <c r="A1832" t="s">
        <v>2027</v>
      </c>
      <c r="B1832">
        <v>3.6320000000000001</v>
      </c>
      <c r="C1832">
        <v>5.0869999999999999E-2</v>
      </c>
      <c r="D1832">
        <v>248</v>
      </c>
      <c r="E1832" t="s">
        <v>2027</v>
      </c>
      <c r="F1832">
        <v>248</v>
      </c>
      <c r="G1832" s="1">
        <v>45174</v>
      </c>
      <c r="H1832" s="6">
        <f t="shared" si="56"/>
        <v>19.739583333333396</v>
      </c>
      <c r="I1832" s="7">
        <f t="shared" si="57"/>
        <v>19.739583333333396</v>
      </c>
    </row>
    <row r="1833" spans="1:9" x14ac:dyDescent="0.2">
      <c r="A1833" t="s">
        <v>2028</v>
      </c>
      <c r="B1833">
        <v>3.6259999999999999</v>
      </c>
      <c r="C1833">
        <v>5.0779999999999999E-2</v>
      </c>
      <c r="D1833">
        <v>249</v>
      </c>
      <c r="E1833" t="s">
        <v>2028</v>
      </c>
      <c r="F1833">
        <v>248</v>
      </c>
      <c r="G1833" s="1">
        <v>45174</v>
      </c>
      <c r="H1833" s="6">
        <f t="shared" si="56"/>
        <v>19.750000000000064</v>
      </c>
      <c r="I1833" s="7">
        <f t="shared" si="57"/>
        <v>19.750000000000064</v>
      </c>
    </row>
    <row r="1834" spans="1:9" x14ac:dyDescent="0.2">
      <c r="A1834" t="s">
        <v>2029</v>
      </c>
      <c r="B1834">
        <v>3.6595</v>
      </c>
      <c r="C1834">
        <v>5.126E-2</v>
      </c>
      <c r="D1834">
        <v>249</v>
      </c>
      <c r="E1834" t="s">
        <v>2029</v>
      </c>
      <c r="F1834">
        <v>248</v>
      </c>
      <c r="G1834" s="1">
        <v>45174</v>
      </c>
      <c r="H1834" s="6">
        <f t="shared" si="56"/>
        <v>19.760416666666732</v>
      </c>
      <c r="I1834" s="7">
        <f t="shared" si="57"/>
        <v>19.760416666666732</v>
      </c>
    </row>
    <row r="1835" spans="1:9" x14ac:dyDescent="0.2">
      <c r="A1835" t="s">
        <v>2030</v>
      </c>
      <c r="B1835">
        <v>3.6</v>
      </c>
      <c r="C1835">
        <v>5.0450000000000002E-2</v>
      </c>
      <c r="D1835">
        <v>249</v>
      </c>
      <c r="E1835" t="s">
        <v>2030</v>
      </c>
      <c r="F1835">
        <v>248</v>
      </c>
      <c r="G1835" s="1">
        <v>45174</v>
      </c>
      <c r="H1835" s="6">
        <f t="shared" si="56"/>
        <v>19.7708333333334</v>
      </c>
      <c r="I1835" s="7">
        <f t="shared" si="57"/>
        <v>19.7708333333334</v>
      </c>
    </row>
    <row r="1836" spans="1:9" x14ac:dyDescent="0.2">
      <c r="A1836" t="s">
        <v>2031</v>
      </c>
      <c r="B1836">
        <v>3.625</v>
      </c>
      <c r="C1836">
        <v>5.0784999999999997E-2</v>
      </c>
      <c r="D1836">
        <v>249</v>
      </c>
      <c r="E1836" t="s">
        <v>2031</v>
      </c>
      <c r="F1836">
        <v>248</v>
      </c>
      <c r="G1836" s="1">
        <v>45174</v>
      </c>
      <c r="H1836" s="6">
        <f t="shared" si="56"/>
        <v>19.781250000000068</v>
      </c>
      <c r="I1836" s="7">
        <f t="shared" si="57"/>
        <v>19.781250000000068</v>
      </c>
    </row>
    <row r="1837" spans="1:9" x14ac:dyDescent="0.2">
      <c r="A1837" t="s">
        <v>2032</v>
      </c>
      <c r="B1837">
        <v>3.4714999999999998</v>
      </c>
      <c r="C1837">
        <v>4.8640000000000003E-2</v>
      </c>
      <c r="D1837">
        <v>249</v>
      </c>
      <c r="E1837" t="s">
        <v>2032</v>
      </c>
      <c r="F1837">
        <v>248</v>
      </c>
      <c r="G1837" s="1">
        <v>45174</v>
      </c>
      <c r="H1837" s="6">
        <f t="shared" si="56"/>
        <v>19.791666666666735</v>
      </c>
      <c r="I1837" s="7">
        <f t="shared" si="57"/>
        <v>19.791666666666735</v>
      </c>
    </row>
    <row r="1838" spans="1:9" x14ac:dyDescent="0.2">
      <c r="A1838" t="s">
        <v>2033</v>
      </c>
      <c r="B1838">
        <v>3.6355</v>
      </c>
      <c r="C1838">
        <v>5.0900000000000001E-2</v>
      </c>
      <c r="D1838">
        <v>249</v>
      </c>
      <c r="E1838" t="s">
        <v>2033</v>
      </c>
      <c r="F1838">
        <v>248</v>
      </c>
      <c r="G1838" s="1">
        <v>45174</v>
      </c>
      <c r="H1838" s="6">
        <f t="shared" si="56"/>
        <v>19.802083333333403</v>
      </c>
      <c r="I1838" s="7">
        <f t="shared" si="57"/>
        <v>19.802083333333403</v>
      </c>
    </row>
    <row r="1839" spans="1:9" x14ac:dyDescent="0.2">
      <c r="A1839" t="s">
        <v>2034</v>
      </c>
      <c r="B1839">
        <v>3.6025</v>
      </c>
      <c r="C1839">
        <v>5.0474999999999999E-2</v>
      </c>
      <c r="D1839">
        <v>249</v>
      </c>
      <c r="E1839" t="s">
        <v>2034</v>
      </c>
      <c r="F1839">
        <v>248</v>
      </c>
      <c r="G1839" s="1">
        <v>45174</v>
      </c>
      <c r="H1839" s="6">
        <f t="shared" si="56"/>
        <v>19.812500000000071</v>
      </c>
      <c r="I1839" s="7">
        <f t="shared" si="57"/>
        <v>19.812500000000071</v>
      </c>
    </row>
    <row r="1840" spans="1:9" x14ac:dyDescent="0.2">
      <c r="A1840" t="s">
        <v>2035</v>
      </c>
      <c r="B1840">
        <v>3.6680000000000001</v>
      </c>
      <c r="C1840">
        <v>5.1365000000000001E-2</v>
      </c>
      <c r="D1840">
        <v>249</v>
      </c>
      <c r="E1840" t="s">
        <v>2035</v>
      </c>
      <c r="F1840">
        <v>248</v>
      </c>
      <c r="G1840" s="1">
        <v>45174</v>
      </c>
      <c r="H1840" s="6">
        <f t="shared" si="56"/>
        <v>19.822916666666739</v>
      </c>
      <c r="I1840" s="7">
        <f t="shared" si="57"/>
        <v>19.822916666666739</v>
      </c>
    </row>
    <row r="1841" spans="1:9" x14ac:dyDescent="0.2">
      <c r="A1841" t="s">
        <v>2036</v>
      </c>
      <c r="B1841">
        <v>3.6749999999999998</v>
      </c>
      <c r="C1841">
        <v>5.1485000000000003E-2</v>
      </c>
      <c r="D1841">
        <v>249</v>
      </c>
      <c r="E1841" t="s">
        <v>2036</v>
      </c>
      <c r="F1841">
        <v>248</v>
      </c>
      <c r="G1841" s="1">
        <v>45174</v>
      </c>
      <c r="H1841" s="6">
        <f t="shared" si="56"/>
        <v>19.833333333333407</v>
      </c>
      <c r="I1841" s="7">
        <f t="shared" si="57"/>
        <v>19.833333333333407</v>
      </c>
    </row>
    <row r="1842" spans="1:9" x14ac:dyDescent="0.2">
      <c r="A1842" t="s">
        <v>2037</v>
      </c>
      <c r="B1842">
        <v>3.7069999999999999</v>
      </c>
      <c r="C1842">
        <v>5.1915000000000003E-2</v>
      </c>
      <c r="D1842">
        <v>249</v>
      </c>
      <c r="E1842" t="s">
        <v>2037</v>
      </c>
      <c r="F1842">
        <v>248</v>
      </c>
      <c r="G1842" s="1">
        <v>45174</v>
      </c>
      <c r="H1842" s="6">
        <f t="shared" si="56"/>
        <v>19.843750000000075</v>
      </c>
      <c r="I1842" s="7">
        <f t="shared" si="57"/>
        <v>19.843750000000075</v>
      </c>
    </row>
    <row r="1843" spans="1:9" x14ac:dyDescent="0.2">
      <c r="A1843" t="s">
        <v>2038</v>
      </c>
      <c r="B1843" s="2" t="s">
        <v>1910</v>
      </c>
      <c r="C1843" s="2" t="s">
        <v>2039</v>
      </c>
      <c r="D1843">
        <v>249</v>
      </c>
      <c r="E1843" t="s">
        <v>2038</v>
      </c>
      <c r="F1843">
        <v>248</v>
      </c>
      <c r="G1843" s="1">
        <v>45174</v>
      </c>
      <c r="H1843" s="6">
        <f t="shared" si="56"/>
        <v>19.854166666666742</v>
      </c>
      <c r="I1843" s="7">
        <f t="shared" si="57"/>
        <v>19.854166666666742</v>
      </c>
    </row>
    <row r="1844" spans="1:9" x14ac:dyDescent="0.2">
      <c r="A1844" t="s">
        <v>2040</v>
      </c>
      <c r="B1844">
        <v>3.7395</v>
      </c>
      <c r="C1844">
        <v>5.2380000000000003E-2</v>
      </c>
      <c r="D1844">
        <v>249</v>
      </c>
      <c r="E1844" t="s">
        <v>2040</v>
      </c>
      <c r="F1844">
        <v>248</v>
      </c>
      <c r="G1844" s="1">
        <v>45174</v>
      </c>
      <c r="H1844" s="6">
        <f t="shared" si="56"/>
        <v>19.86458333333341</v>
      </c>
      <c r="I1844" s="7">
        <f t="shared" si="57"/>
        <v>19.86458333333341</v>
      </c>
    </row>
    <row r="1845" spans="1:9" x14ac:dyDescent="0.2">
      <c r="A1845" t="s">
        <v>2041</v>
      </c>
      <c r="B1845">
        <v>3.7850000000000001</v>
      </c>
      <c r="C1845">
        <v>5.2995E-2</v>
      </c>
      <c r="D1845">
        <v>249</v>
      </c>
      <c r="E1845" t="s">
        <v>2041</v>
      </c>
      <c r="F1845">
        <v>248</v>
      </c>
      <c r="G1845" s="1">
        <v>45174</v>
      </c>
      <c r="H1845" s="6">
        <f t="shared" si="56"/>
        <v>19.875000000000078</v>
      </c>
      <c r="I1845" s="7">
        <f t="shared" si="57"/>
        <v>19.875000000000078</v>
      </c>
    </row>
    <row r="1846" spans="1:9" x14ac:dyDescent="0.2">
      <c r="A1846" t="s">
        <v>2042</v>
      </c>
      <c r="B1846">
        <v>3.806</v>
      </c>
      <c r="C1846">
        <v>5.3280000000000001E-2</v>
      </c>
      <c r="D1846">
        <v>249</v>
      </c>
      <c r="E1846" t="s">
        <v>2042</v>
      </c>
      <c r="F1846">
        <v>248</v>
      </c>
      <c r="G1846" s="1">
        <v>45174</v>
      </c>
      <c r="H1846" s="6">
        <f t="shared" si="56"/>
        <v>19.885416666666746</v>
      </c>
      <c r="I1846" s="7">
        <f t="shared" si="57"/>
        <v>19.885416666666746</v>
      </c>
    </row>
    <row r="1847" spans="1:9" x14ac:dyDescent="0.2">
      <c r="A1847" t="s">
        <v>2043</v>
      </c>
      <c r="B1847">
        <v>3.8639999999999999</v>
      </c>
      <c r="C1847">
        <v>5.4135000000000003E-2</v>
      </c>
      <c r="D1847">
        <v>249</v>
      </c>
      <c r="E1847" t="s">
        <v>2043</v>
      </c>
      <c r="F1847">
        <v>248</v>
      </c>
      <c r="G1847" s="1">
        <v>45174</v>
      </c>
      <c r="H1847" s="6">
        <f t="shared" si="56"/>
        <v>19.895833333333414</v>
      </c>
      <c r="I1847" s="7">
        <f t="shared" si="57"/>
        <v>19.895833333333414</v>
      </c>
    </row>
    <row r="1848" spans="1:9" x14ac:dyDescent="0.2">
      <c r="A1848" t="s">
        <v>2044</v>
      </c>
      <c r="B1848">
        <v>3.9794999999999998</v>
      </c>
      <c r="C1848">
        <v>5.5735E-2</v>
      </c>
      <c r="D1848">
        <v>249</v>
      </c>
      <c r="E1848" t="s">
        <v>2044</v>
      </c>
      <c r="F1848">
        <v>248</v>
      </c>
      <c r="G1848" s="1">
        <v>45174</v>
      </c>
      <c r="H1848" s="6">
        <f t="shared" si="56"/>
        <v>19.906250000000082</v>
      </c>
      <c r="I1848" s="7">
        <f t="shared" si="57"/>
        <v>19.906250000000082</v>
      </c>
    </row>
    <row r="1849" spans="1:9" x14ac:dyDescent="0.2">
      <c r="A1849" t="s">
        <v>2045</v>
      </c>
      <c r="B1849">
        <v>3.99</v>
      </c>
      <c r="C1849">
        <v>5.5890000000000002E-2</v>
      </c>
      <c r="D1849">
        <v>249</v>
      </c>
      <c r="E1849" t="s">
        <v>2045</v>
      </c>
      <c r="F1849">
        <v>248</v>
      </c>
      <c r="G1849" s="1">
        <v>45174</v>
      </c>
      <c r="H1849" s="6">
        <f t="shared" si="56"/>
        <v>19.91666666666675</v>
      </c>
      <c r="I1849" s="7">
        <f t="shared" si="57"/>
        <v>19.91666666666675</v>
      </c>
    </row>
    <row r="1850" spans="1:9" x14ac:dyDescent="0.2">
      <c r="A1850" t="s">
        <v>2046</v>
      </c>
      <c r="B1850">
        <v>4.0620000000000003</v>
      </c>
      <c r="C1850">
        <v>5.6899999999999999E-2</v>
      </c>
      <c r="D1850">
        <v>249</v>
      </c>
      <c r="E1850" t="s">
        <v>2046</v>
      </c>
      <c r="F1850">
        <v>248</v>
      </c>
      <c r="G1850" s="1">
        <v>45174</v>
      </c>
      <c r="H1850" s="6">
        <f t="shared" si="56"/>
        <v>19.927083333333417</v>
      </c>
      <c r="I1850" s="7">
        <f t="shared" si="57"/>
        <v>19.927083333333417</v>
      </c>
    </row>
    <row r="1851" spans="1:9" x14ac:dyDescent="0.2">
      <c r="A1851" t="s">
        <v>2047</v>
      </c>
      <c r="B1851">
        <v>4.117</v>
      </c>
      <c r="C1851">
        <v>5.7660000000000003E-2</v>
      </c>
      <c r="D1851">
        <v>249</v>
      </c>
      <c r="E1851" t="s">
        <v>2047</v>
      </c>
      <c r="F1851">
        <v>248</v>
      </c>
      <c r="G1851" s="1">
        <v>45174</v>
      </c>
      <c r="H1851" s="6">
        <f t="shared" si="56"/>
        <v>19.937500000000085</v>
      </c>
      <c r="I1851" s="7">
        <f t="shared" si="57"/>
        <v>19.937500000000085</v>
      </c>
    </row>
    <row r="1852" spans="1:9" x14ac:dyDescent="0.2">
      <c r="A1852" t="s">
        <v>2048</v>
      </c>
      <c r="B1852">
        <v>4.1425000000000001</v>
      </c>
      <c r="C1852">
        <v>5.8025E-2</v>
      </c>
      <c r="D1852">
        <v>249</v>
      </c>
      <c r="E1852" t="s">
        <v>2048</v>
      </c>
      <c r="F1852">
        <v>248</v>
      </c>
      <c r="G1852" s="1">
        <v>45174</v>
      </c>
      <c r="H1852" s="6">
        <f t="shared" si="56"/>
        <v>19.947916666666753</v>
      </c>
      <c r="I1852" s="7">
        <f t="shared" si="57"/>
        <v>19.947916666666753</v>
      </c>
    </row>
    <row r="1853" spans="1:9" x14ac:dyDescent="0.2">
      <c r="A1853" t="s">
        <v>2049</v>
      </c>
      <c r="B1853">
        <v>4.2069999999999999</v>
      </c>
      <c r="C1853">
        <v>5.8935000000000001E-2</v>
      </c>
      <c r="D1853">
        <v>249</v>
      </c>
      <c r="E1853" t="s">
        <v>2049</v>
      </c>
      <c r="F1853">
        <v>248</v>
      </c>
      <c r="G1853" s="1">
        <v>45174</v>
      </c>
      <c r="H1853" s="6">
        <f t="shared" si="56"/>
        <v>19.958333333333421</v>
      </c>
      <c r="I1853" s="7">
        <f t="shared" si="57"/>
        <v>19.958333333333421</v>
      </c>
    </row>
    <row r="1854" spans="1:9" x14ac:dyDescent="0.2">
      <c r="A1854" t="s">
        <v>2050</v>
      </c>
      <c r="B1854">
        <v>4.2175000000000002</v>
      </c>
      <c r="C1854">
        <v>5.9075000000000003E-2</v>
      </c>
      <c r="D1854">
        <v>249</v>
      </c>
      <c r="E1854" t="s">
        <v>2050</v>
      </c>
      <c r="F1854">
        <v>248</v>
      </c>
      <c r="G1854" s="1">
        <v>45174</v>
      </c>
      <c r="H1854" s="6">
        <f t="shared" si="56"/>
        <v>19.968750000000089</v>
      </c>
      <c r="I1854" s="7">
        <f t="shared" si="57"/>
        <v>19.968750000000089</v>
      </c>
    </row>
    <row r="1855" spans="1:9" x14ac:dyDescent="0.2">
      <c r="A1855" t="s">
        <v>2051</v>
      </c>
      <c r="B1855">
        <v>4.2625000000000002</v>
      </c>
      <c r="C1855">
        <v>5.9709999999999999E-2</v>
      </c>
      <c r="D1855">
        <v>249</v>
      </c>
      <c r="E1855" t="s">
        <v>2051</v>
      </c>
      <c r="F1855">
        <v>248</v>
      </c>
      <c r="G1855" s="1">
        <v>45174</v>
      </c>
      <c r="H1855" s="6">
        <f t="shared" si="56"/>
        <v>19.979166666666757</v>
      </c>
      <c r="I1855" s="7">
        <f t="shared" si="57"/>
        <v>19.979166666666757</v>
      </c>
    </row>
    <row r="1856" spans="1:9" x14ac:dyDescent="0.2">
      <c r="A1856" t="s">
        <v>2052</v>
      </c>
      <c r="B1856" s="2" t="s">
        <v>2053</v>
      </c>
      <c r="C1856">
        <v>0.06</v>
      </c>
      <c r="D1856">
        <v>249</v>
      </c>
      <c r="E1856" t="s">
        <v>2052</v>
      </c>
      <c r="F1856">
        <v>248</v>
      </c>
      <c r="G1856" s="1">
        <v>45174</v>
      </c>
      <c r="H1856" s="6">
        <f t="shared" si="56"/>
        <v>19.989583333333425</v>
      </c>
      <c r="I1856" s="7">
        <f t="shared" si="57"/>
        <v>19.989583333333425</v>
      </c>
    </row>
    <row r="1857" spans="1:9" x14ac:dyDescent="0.2">
      <c r="A1857" t="s">
        <v>2054</v>
      </c>
      <c r="B1857">
        <v>4.3330000000000002</v>
      </c>
      <c r="C1857">
        <v>6.0685000000000003E-2</v>
      </c>
      <c r="D1857">
        <v>249</v>
      </c>
      <c r="E1857" t="s">
        <v>2054</v>
      </c>
      <c r="F1857">
        <v>249</v>
      </c>
      <c r="G1857" s="1">
        <v>45175</v>
      </c>
      <c r="H1857" s="6">
        <f t="shared" si="56"/>
        <v>20.000000000000092</v>
      </c>
      <c r="I1857" s="7">
        <f t="shared" si="57"/>
        <v>20.000000000000092</v>
      </c>
    </row>
    <row r="1858" spans="1:9" x14ac:dyDescent="0.2">
      <c r="A1858" t="s">
        <v>2055</v>
      </c>
      <c r="B1858">
        <v>4.3170000000000002</v>
      </c>
      <c r="C1858">
        <v>6.0444999999999999E-2</v>
      </c>
      <c r="D1858">
        <v>249</v>
      </c>
      <c r="E1858" t="s">
        <v>2055</v>
      </c>
      <c r="F1858">
        <v>249</v>
      </c>
      <c r="G1858" s="1">
        <v>45175</v>
      </c>
      <c r="H1858" s="6">
        <f t="shared" si="56"/>
        <v>20.01041666666676</v>
      </c>
      <c r="I1858" s="7">
        <f t="shared" si="57"/>
        <v>20.01041666666676</v>
      </c>
    </row>
    <row r="1859" spans="1:9" x14ac:dyDescent="0.2">
      <c r="A1859" t="s">
        <v>2056</v>
      </c>
      <c r="B1859">
        <v>4.3600000000000003</v>
      </c>
      <c r="C1859">
        <v>6.1060000000000003E-2</v>
      </c>
      <c r="D1859">
        <v>249</v>
      </c>
      <c r="E1859" t="s">
        <v>2056</v>
      </c>
      <c r="F1859">
        <v>249</v>
      </c>
      <c r="G1859" s="1">
        <v>45175</v>
      </c>
      <c r="H1859" s="6">
        <f t="shared" ref="H1859:H1922" si="58">H1858+$K$1</f>
        <v>20.020833333333428</v>
      </c>
      <c r="I1859" s="7">
        <f t="shared" ref="I1859:I1922" si="59">I1858+$K$1</f>
        <v>20.020833333333428</v>
      </c>
    </row>
    <row r="1860" spans="1:9" x14ac:dyDescent="0.2">
      <c r="A1860" t="s">
        <v>2057</v>
      </c>
      <c r="B1860">
        <v>4.3944999999999999</v>
      </c>
      <c r="C1860">
        <v>6.1550000000000001E-2</v>
      </c>
      <c r="D1860">
        <v>249</v>
      </c>
      <c r="E1860" t="s">
        <v>2057</v>
      </c>
      <c r="F1860">
        <v>249</v>
      </c>
      <c r="G1860" s="1">
        <v>45175</v>
      </c>
      <c r="H1860" s="6">
        <f t="shared" si="58"/>
        <v>20.031250000000096</v>
      </c>
      <c r="I1860" s="7">
        <f t="shared" si="59"/>
        <v>20.031250000000096</v>
      </c>
    </row>
    <row r="1861" spans="1:9" x14ac:dyDescent="0.2">
      <c r="A1861" t="s">
        <v>2058</v>
      </c>
      <c r="B1861">
        <v>4.3875000000000002</v>
      </c>
      <c r="C1861">
        <v>6.1449999999999998E-2</v>
      </c>
      <c r="D1861">
        <v>249</v>
      </c>
      <c r="E1861" t="s">
        <v>2058</v>
      </c>
      <c r="F1861">
        <v>249</v>
      </c>
      <c r="G1861" s="1">
        <v>45175</v>
      </c>
      <c r="H1861" s="6">
        <f t="shared" si="58"/>
        <v>20.041666666666764</v>
      </c>
      <c r="I1861" s="7">
        <f t="shared" si="59"/>
        <v>20.041666666666764</v>
      </c>
    </row>
    <row r="1862" spans="1:9" x14ac:dyDescent="0.2">
      <c r="A1862" t="s">
        <v>2059</v>
      </c>
      <c r="B1862">
        <v>4.4044999999999996</v>
      </c>
      <c r="C1862">
        <v>6.1675000000000001E-2</v>
      </c>
      <c r="D1862">
        <v>249</v>
      </c>
      <c r="E1862" t="s">
        <v>2059</v>
      </c>
      <c r="F1862">
        <v>249</v>
      </c>
      <c r="G1862" s="1">
        <v>45175</v>
      </c>
      <c r="H1862" s="6">
        <f t="shared" si="58"/>
        <v>20.052083333333432</v>
      </c>
      <c r="I1862" s="7">
        <f t="shared" si="59"/>
        <v>20.052083333333432</v>
      </c>
    </row>
    <row r="1863" spans="1:9" x14ac:dyDescent="0.2">
      <c r="A1863" t="s">
        <v>2060</v>
      </c>
      <c r="B1863">
        <v>4.3914999999999997</v>
      </c>
      <c r="C1863">
        <v>6.1504999999999997E-2</v>
      </c>
      <c r="D1863">
        <v>249</v>
      </c>
      <c r="E1863" t="s">
        <v>2060</v>
      </c>
      <c r="F1863">
        <v>249</v>
      </c>
      <c r="G1863" s="1">
        <v>45175</v>
      </c>
      <c r="H1863" s="6">
        <f t="shared" si="58"/>
        <v>20.062500000000099</v>
      </c>
      <c r="I1863" s="7">
        <f t="shared" si="59"/>
        <v>20.062500000000099</v>
      </c>
    </row>
    <row r="1864" spans="1:9" x14ac:dyDescent="0.2">
      <c r="A1864" t="s">
        <v>2061</v>
      </c>
      <c r="B1864">
        <v>4.3849999999999998</v>
      </c>
      <c r="C1864">
        <v>6.1425E-2</v>
      </c>
      <c r="D1864">
        <v>249</v>
      </c>
      <c r="E1864" t="s">
        <v>2061</v>
      </c>
      <c r="F1864">
        <v>249</v>
      </c>
      <c r="G1864" s="1">
        <v>45175</v>
      </c>
      <c r="H1864" s="6">
        <f t="shared" si="58"/>
        <v>20.072916666666767</v>
      </c>
      <c r="I1864" s="7">
        <f t="shared" si="59"/>
        <v>20.072916666666767</v>
      </c>
    </row>
    <row r="1865" spans="1:9" x14ac:dyDescent="0.2">
      <c r="A1865" t="s">
        <v>2062</v>
      </c>
      <c r="B1865" s="2" t="s">
        <v>1554</v>
      </c>
      <c r="C1865" s="2" t="s">
        <v>2063</v>
      </c>
      <c r="D1865">
        <v>249</v>
      </c>
      <c r="E1865" t="s">
        <v>2062</v>
      </c>
      <c r="F1865">
        <v>249</v>
      </c>
      <c r="G1865" s="1">
        <v>45175</v>
      </c>
      <c r="H1865" s="6">
        <f t="shared" si="58"/>
        <v>20.083333333333435</v>
      </c>
      <c r="I1865" s="7">
        <f t="shared" si="59"/>
        <v>20.083333333333435</v>
      </c>
    </row>
    <row r="1866" spans="1:9" x14ac:dyDescent="0.2">
      <c r="A1866" t="s">
        <v>2064</v>
      </c>
      <c r="B1866">
        <v>4.3810000000000002</v>
      </c>
      <c r="C1866">
        <v>6.1370000000000001E-2</v>
      </c>
      <c r="D1866">
        <v>249</v>
      </c>
      <c r="E1866" t="s">
        <v>2064</v>
      </c>
      <c r="F1866">
        <v>249</v>
      </c>
      <c r="G1866" s="1">
        <v>45175</v>
      </c>
      <c r="H1866" s="6">
        <f t="shared" si="58"/>
        <v>20.093750000000103</v>
      </c>
      <c r="I1866" s="7">
        <f t="shared" si="59"/>
        <v>20.093750000000103</v>
      </c>
    </row>
    <row r="1867" spans="1:9" x14ac:dyDescent="0.2">
      <c r="A1867" t="s">
        <v>2065</v>
      </c>
      <c r="B1867">
        <v>4.3769999999999998</v>
      </c>
      <c r="C1867">
        <v>6.1310000000000003E-2</v>
      </c>
      <c r="D1867">
        <v>249</v>
      </c>
      <c r="E1867" t="s">
        <v>2065</v>
      </c>
      <c r="F1867">
        <v>249</v>
      </c>
      <c r="G1867" s="1">
        <v>45175</v>
      </c>
      <c r="H1867" s="6">
        <f t="shared" si="58"/>
        <v>20.104166666666771</v>
      </c>
      <c r="I1867" s="7">
        <f t="shared" si="59"/>
        <v>20.104166666666771</v>
      </c>
    </row>
    <row r="1868" spans="1:9" x14ac:dyDescent="0.2">
      <c r="A1868" t="s">
        <v>2066</v>
      </c>
      <c r="B1868">
        <v>4.3775000000000004</v>
      </c>
      <c r="C1868">
        <v>6.1295000000000002E-2</v>
      </c>
      <c r="D1868">
        <v>249</v>
      </c>
      <c r="E1868" t="s">
        <v>2066</v>
      </c>
      <c r="F1868">
        <v>249</v>
      </c>
      <c r="G1868" s="1">
        <v>45175</v>
      </c>
      <c r="H1868" s="6">
        <f t="shared" si="58"/>
        <v>20.114583333333439</v>
      </c>
      <c r="I1868" s="7">
        <f t="shared" si="59"/>
        <v>20.114583333333439</v>
      </c>
    </row>
    <row r="1869" spans="1:9" x14ac:dyDescent="0.2">
      <c r="A1869" t="s">
        <v>2067</v>
      </c>
      <c r="B1869">
        <v>4.3674999999999997</v>
      </c>
      <c r="C1869">
        <v>6.1170000000000002E-2</v>
      </c>
      <c r="D1869">
        <v>249</v>
      </c>
      <c r="E1869" t="s">
        <v>2067</v>
      </c>
      <c r="F1869">
        <v>249</v>
      </c>
      <c r="G1869" s="1">
        <v>45175</v>
      </c>
      <c r="H1869" s="6">
        <f t="shared" si="58"/>
        <v>20.125000000000107</v>
      </c>
      <c r="I1869" s="7">
        <f t="shared" si="59"/>
        <v>20.125000000000107</v>
      </c>
    </row>
    <row r="1870" spans="1:9" x14ac:dyDescent="0.2">
      <c r="A1870" t="s">
        <v>2068</v>
      </c>
      <c r="B1870">
        <v>4.3695000000000004</v>
      </c>
      <c r="C1870">
        <v>6.1225000000000002E-2</v>
      </c>
      <c r="D1870">
        <v>249</v>
      </c>
      <c r="E1870" t="s">
        <v>2068</v>
      </c>
      <c r="F1870">
        <v>249</v>
      </c>
      <c r="G1870" s="1">
        <v>45175</v>
      </c>
      <c r="H1870" s="6">
        <f t="shared" si="58"/>
        <v>20.135416666666774</v>
      </c>
      <c r="I1870" s="7">
        <f t="shared" si="59"/>
        <v>20.135416666666774</v>
      </c>
    </row>
    <row r="1871" spans="1:9" x14ac:dyDescent="0.2">
      <c r="A1871" t="s">
        <v>2069</v>
      </c>
      <c r="B1871">
        <v>4.3784999999999998</v>
      </c>
      <c r="C1871">
        <v>6.1335000000000001E-2</v>
      </c>
      <c r="D1871">
        <v>249</v>
      </c>
      <c r="E1871" t="s">
        <v>2069</v>
      </c>
      <c r="F1871">
        <v>249</v>
      </c>
      <c r="G1871" s="1">
        <v>45175</v>
      </c>
      <c r="H1871" s="6">
        <f t="shared" si="58"/>
        <v>20.145833333333442</v>
      </c>
      <c r="I1871" s="7">
        <f t="shared" si="59"/>
        <v>20.145833333333442</v>
      </c>
    </row>
    <row r="1872" spans="1:9" x14ac:dyDescent="0.2">
      <c r="A1872" t="s">
        <v>2070</v>
      </c>
      <c r="B1872">
        <v>4.3665000000000003</v>
      </c>
      <c r="C1872">
        <v>6.1155000000000001E-2</v>
      </c>
      <c r="D1872">
        <v>249</v>
      </c>
      <c r="E1872" t="s">
        <v>2070</v>
      </c>
      <c r="F1872">
        <v>249</v>
      </c>
      <c r="G1872" s="1">
        <v>45175</v>
      </c>
      <c r="H1872" s="6">
        <f t="shared" si="58"/>
        <v>20.15625000000011</v>
      </c>
      <c r="I1872" s="7">
        <f t="shared" si="59"/>
        <v>20.15625000000011</v>
      </c>
    </row>
    <row r="1873" spans="1:9" x14ac:dyDescent="0.2">
      <c r="A1873" t="s">
        <v>2071</v>
      </c>
      <c r="B1873">
        <v>4.3685</v>
      </c>
      <c r="C1873">
        <v>6.1194999999999999E-2</v>
      </c>
      <c r="D1873">
        <v>249</v>
      </c>
      <c r="E1873" t="s">
        <v>2071</v>
      </c>
      <c r="F1873">
        <v>249</v>
      </c>
      <c r="G1873" s="1">
        <v>45175</v>
      </c>
      <c r="H1873" s="6">
        <f t="shared" si="58"/>
        <v>20.166666666666778</v>
      </c>
      <c r="I1873" s="7">
        <f t="shared" si="59"/>
        <v>20.166666666666778</v>
      </c>
    </row>
    <row r="1874" spans="1:9" x14ac:dyDescent="0.2">
      <c r="A1874" t="s">
        <v>2072</v>
      </c>
      <c r="B1874">
        <v>4.3494999999999999</v>
      </c>
      <c r="C1874">
        <v>6.0925E-2</v>
      </c>
      <c r="D1874">
        <v>249</v>
      </c>
      <c r="E1874" t="s">
        <v>2072</v>
      </c>
      <c r="F1874">
        <v>249</v>
      </c>
      <c r="G1874" s="1">
        <v>45175</v>
      </c>
      <c r="H1874" s="6">
        <f t="shared" si="58"/>
        <v>20.177083333333446</v>
      </c>
      <c r="I1874" s="7">
        <f t="shared" si="59"/>
        <v>20.177083333333446</v>
      </c>
    </row>
    <row r="1875" spans="1:9" x14ac:dyDescent="0.2">
      <c r="A1875" t="s">
        <v>2073</v>
      </c>
      <c r="B1875">
        <v>4.3609999999999998</v>
      </c>
      <c r="C1875" s="2" t="s">
        <v>2074</v>
      </c>
      <c r="D1875">
        <v>249</v>
      </c>
      <c r="E1875" t="s">
        <v>2073</v>
      </c>
      <c r="F1875">
        <v>249</v>
      </c>
      <c r="G1875" s="1">
        <v>45175</v>
      </c>
      <c r="H1875" s="6">
        <f t="shared" si="58"/>
        <v>20.187500000000114</v>
      </c>
      <c r="I1875" s="7">
        <f t="shared" si="59"/>
        <v>20.187500000000114</v>
      </c>
    </row>
    <row r="1876" spans="1:9" x14ac:dyDescent="0.2">
      <c r="A1876" t="s">
        <v>2075</v>
      </c>
      <c r="B1876">
        <v>4.3479999999999999</v>
      </c>
      <c r="C1876">
        <v>6.0900000000000003E-2</v>
      </c>
      <c r="D1876">
        <v>249</v>
      </c>
      <c r="E1876" t="s">
        <v>2075</v>
      </c>
      <c r="F1876">
        <v>249</v>
      </c>
      <c r="G1876" s="1">
        <v>45175</v>
      </c>
      <c r="H1876" s="6">
        <f t="shared" si="58"/>
        <v>20.197916666666782</v>
      </c>
      <c r="I1876" s="7">
        <f t="shared" si="59"/>
        <v>20.197916666666782</v>
      </c>
    </row>
    <row r="1877" spans="1:9" x14ac:dyDescent="0.2">
      <c r="A1877" t="s">
        <v>2076</v>
      </c>
      <c r="B1877">
        <v>4.3235000000000001</v>
      </c>
      <c r="C1877">
        <v>6.0560000000000003E-2</v>
      </c>
      <c r="D1877">
        <v>249</v>
      </c>
      <c r="E1877" t="s">
        <v>2076</v>
      </c>
      <c r="F1877">
        <v>249</v>
      </c>
      <c r="G1877" s="1">
        <v>45175</v>
      </c>
      <c r="H1877" s="6">
        <f t="shared" si="58"/>
        <v>20.208333333333449</v>
      </c>
      <c r="I1877" s="7">
        <f t="shared" si="59"/>
        <v>20.208333333333449</v>
      </c>
    </row>
    <row r="1878" spans="1:9" x14ac:dyDescent="0.2">
      <c r="A1878" t="s">
        <v>2077</v>
      </c>
      <c r="B1878">
        <v>4.3235000000000001</v>
      </c>
      <c r="C1878">
        <v>6.0565000000000001E-2</v>
      </c>
      <c r="D1878">
        <v>249</v>
      </c>
      <c r="E1878" t="s">
        <v>2077</v>
      </c>
      <c r="F1878">
        <v>249</v>
      </c>
      <c r="G1878" s="1">
        <v>45175</v>
      </c>
      <c r="H1878" s="6">
        <f t="shared" si="58"/>
        <v>20.218750000000117</v>
      </c>
      <c r="I1878" s="7">
        <f t="shared" si="59"/>
        <v>20.218750000000117</v>
      </c>
    </row>
    <row r="1879" spans="1:9" x14ac:dyDescent="0.2">
      <c r="A1879" t="s">
        <v>2078</v>
      </c>
      <c r="B1879">
        <v>4.3224999999999998</v>
      </c>
      <c r="C1879">
        <v>6.055E-2</v>
      </c>
      <c r="D1879">
        <v>249</v>
      </c>
      <c r="E1879" t="s">
        <v>2078</v>
      </c>
      <c r="F1879">
        <v>249</v>
      </c>
      <c r="G1879" s="1">
        <v>45175</v>
      </c>
      <c r="H1879" s="6">
        <f t="shared" si="58"/>
        <v>20.229166666666785</v>
      </c>
      <c r="I1879" s="7">
        <f t="shared" si="59"/>
        <v>20.229166666666785</v>
      </c>
    </row>
    <row r="1880" spans="1:9" x14ac:dyDescent="0.2">
      <c r="A1880" t="s">
        <v>2079</v>
      </c>
      <c r="B1880">
        <v>4.327</v>
      </c>
      <c r="C1880">
        <v>6.0600000000000001E-2</v>
      </c>
      <c r="D1880">
        <v>249</v>
      </c>
      <c r="E1880" t="s">
        <v>2079</v>
      </c>
      <c r="F1880">
        <v>249</v>
      </c>
      <c r="G1880" s="1">
        <v>45175</v>
      </c>
      <c r="H1880" s="6">
        <f t="shared" si="58"/>
        <v>20.239583333333453</v>
      </c>
      <c r="I1880" s="7">
        <f t="shared" si="59"/>
        <v>20.239583333333453</v>
      </c>
    </row>
    <row r="1881" spans="1:9" x14ac:dyDescent="0.2">
      <c r="A1881" t="s">
        <v>2080</v>
      </c>
      <c r="B1881">
        <v>4.3369999999999997</v>
      </c>
      <c r="C1881">
        <v>6.0745E-2</v>
      </c>
      <c r="D1881">
        <v>249</v>
      </c>
      <c r="E1881" t="s">
        <v>2080</v>
      </c>
      <c r="F1881">
        <v>249</v>
      </c>
      <c r="G1881" s="1">
        <v>45175</v>
      </c>
      <c r="H1881" s="6">
        <f t="shared" si="58"/>
        <v>20.250000000000121</v>
      </c>
      <c r="I1881" s="7">
        <f t="shared" si="59"/>
        <v>20.250000000000121</v>
      </c>
    </row>
    <row r="1882" spans="1:9" x14ac:dyDescent="0.2">
      <c r="A1882" t="s">
        <v>2081</v>
      </c>
      <c r="B1882">
        <v>4.3170000000000002</v>
      </c>
      <c r="C1882">
        <v>6.0455000000000002E-2</v>
      </c>
      <c r="D1882">
        <v>249</v>
      </c>
      <c r="E1882" t="s">
        <v>2081</v>
      </c>
      <c r="F1882">
        <v>249</v>
      </c>
      <c r="G1882" s="1">
        <v>45175</v>
      </c>
      <c r="H1882" s="6">
        <f t="shared" si="58"/>
        <v>20.260416666666789</v>
      </c>
      <c r="I1882" s="7">
        <f t="shared" si="59"/>
        <v>20.260416666666789</v>
      </c>
    </row>
    <row r="1883" spans="1:9" x14ac:dyDescent="0.2">
      <c r="A1883" t="s">
        <v>2082</v>
      </c>
      <c r="B1883">
        <v>4.3070000000000004</v>
      </c>
      <c r="C1883">
        <v>6.0345000000000003E-2</v>
      </c>
      <c r="D1883">
        <v>249</v>
      </c>
      <c r="E1883" t="s">
        <v>2082</v>
      </c>
      <c r="F1883">
        <v>249</v>
      </c>
      <c r="G1883" s="1">
        <v>45175</v>
      </c>
      <c r="H1883" s="6">
        <f t="shared" si="58"/>
        <v>20.270833333333456</v>
      </c>
      <c r="I1883" s="7">
        <f t="shared" si="59"/>
        <v>20.270833333333456</v>
      </c>
    </row>
    <row r="1884" spans="1:9" x14ac:dyDescent="0.2">
      <c r="A1884" t="s">
        <v>2083</v>
      </c>
      <c r="B1884">
        <v>4.2175000000000002</v>
      </c>
      <c r="C1884">
        <v>5.9084999999999999E-2</v>
      </c>
      <c r="D1884">
        <v>249</v>
      </c>
      <c r="E1884" t="s">
        <v>2083</v>
      </c>
      <c r="F1884">
        <v>249</v>
      </c>
      <c r="G1884" s="1">
        <v>45175</v>
      </c>
      <c r="H1884" s="6">
        <f t="shared" si="58"/>
        <v>20.281250000000124</v>
      </c>
      <c r="I1884" s="7">
        <f t="shared" si="59"/>
        <v>20.281250000000124</v>
      </c>
    </row>
    <row r="1885" spans="1:9" x14ac:dyDescent="0.2">
      <c r="A1885" t="s">
        <v>2084</v>
      </c>
      <c r="B1885">
        <v>4.3105000000000002</v>
      </c>
      <c r="C1885" s="2" t="s">
        <v>2085</v>
      </c>
      <c r="D1885">
        <v>249</v>
      </c>
      <c r="E1885" t="s">
        <v>2084</v>
      </c>
      <c r="F1885">
        <v>249</v>
      </c>
      <c r="G1885" s="1">
        <v>45175</v>
      </c>
      <c r="H1885" s="6">
        <f t="shared" si="58"/>
        <v>20.291666666666792</v>
      </c>
      <c r="I1885" s="7">
        <f t="shared" si="59"/>
        <v>20.291666666666792</v>
      </c>
    </row>
    <row r="1886" spans="1:9" x14ac:dyDescent="0.2">
      <c r="A1886" t="s">
        <v>2086</v>
      </c>
      <c r="B1886">
        <v>4.3185000000000002</v>
      </c>
      <c r="C1886">
        <v>6.0484999999999997E-2</v>
      </c>
      <c r="D1886">
        <v>249</v>
      </c>
      <c r="E1886" t="s">
        <v>2086</v>
      </c>
      <c r="F1886">
        <v>249</v>
      </c>
      <c r="G1886" s="1">
        <v>45175</v>
      </c>
      <c r="H1886" s="6">
        <f t="shared" si="58"/>
        <v>20.30208333333346</v>
      </c>
      <c r="I1886" s="7">
        <f t="shared" si="59"/>
        <v>20.30208333333346</v>
      </c>
    </row>
    <row r="1887" spans="1:9" x14ac:dyDescent="0.2">
      <c r="A1887" t="s">
        <v>2087</v>
      </c>
      <c r="B1887">
        <v>4.282</v>
      </c>
      <c r="C1887">
        <v>5.9995E-2</v>
      </c>
      <c r="D1887">
        <v>249</v>
      </c>
      <c r="E1887" t="s">
        <v>2087</v>
      </c>
      <c r="F1887">
        <v>249</v>
      </c>
      <c r="G1887" s="1">
        <v>45175</v>
      </c>
      <c r="H1887" s="6">
        <f t="shared" si="58"/>
        <v>20.312500000000128</v>
      </c>
      <c r="I1887" s="7">
        <f t="shared" si="59"/>
        <v>20.312500000000128</v>
      </c>
    </row>
    <row r="1888" spans="1:9" x14ac:dyDescent="0.2">
      <c r="A1888" t="s">
        <v>2088</v>
      </c>
      <c r="B1888">
        <v>4.2975000000000003</v>
      </c>
      <c r="C1888">
        <v>6.019E-2</v>
      </c>
      <c r="D1888">
        <v>249</v>
      </c>
      <c r="E1888" t="s">
        <v>2088</v>
      </c>
      <c r="F1888">
        <v>249</v>
      </c>
      <c r="G1888" s="1">
        <v>45175</v>
      </c>
      <c r="H1888" s="6">
        <f t="shared" si="58"/>
        <v>20.322916666666796</v>
      </c>
      <c r="I1888" s="7">
        <f t="shared" si="59"/>
        <v>20.322916666666796</v>
      </c>
    </row>
    <row r="1889" spans="1:9" x14ac:dyDescent="0.2">
      <c r="A1889" t="s">
        <v>2089</v>
      </c>
      <c r="B1889">
        <v>4.2605000000000004</v>
      </c>
      <c r="C1889">
        <v>5.9685000000000002E-2</v>
      </c>
      <c r="D1889">
        <v>249</v>
      </c>
      <c r="E1889" t="s">
        <v>2089</v>
      </c>
      <c r="F1889">
        <v>249</v>
      </c>
      <c r="G1889" s="1">
        <v>45175</v>
      </c>
      <c r="H1889" s="6">
        <f t="shared" si="58"/>
        <v>20.333333333333464</v>
      </c>
      <c r="I1889" s="7">
        <f t="shared" si="59"/>
        <v>20.333333333333464</v>
      </c>
    </row>
    <row r="1890" spans="1:9" x14ac:dyDescent="0.2">
      <c r="A1890" t="s">
        <v>2090</v>
      </c>
      <c r="B1890">
        <v>4.2370000000000001</v>
      </c>
      <c r="C1890">
        <v>5.9334999999999999E-2</v>
      </c>
      <c r="D1890">
        <v>249</v>
      </c>
      <c r="E1890" t="s">
        <v>2090</v>
      </c>
      <c r="F1890">
        <v>249</v>
      </c>
      <c r="G1890" s="1">
        <v>45175</v>
      </c>
      <c r="H1890" s="6">
        <f t="shared" si="58"/>
        <v>20.343750000000131</v>
      </c>
      <c r="I1890" s="7">
        <f t="shared" si="59"/>
        <v>20.343750000000131</v>
      </c>
    </row>
    <row r="1891" spans="1:9" x14ac:dyDescent="0.2">
      <c r="A1891" t="s">
        <v>2091</v>
      </c>
      <c r="B1891">
        <v>4.1879999999999997</v>
      </c>
      <c r="C1891" s="2" t="s">
        <v>2092</v>
      </c>
      <c r="D1891">
        <v>249</v>
      </c>
      <c r="E1891" t="s">
        <v>2091</v>
      </c>
      <c r="F1891">
        <v>249</v>
      </c>
      <c r="G1891" s="1">
        <v>45175</v>
      </c>
      <c r="H1891" s="6">
        <f t="shared" si="58"/>
        <v>20.354166666666799</v>
      </c>
      <c r="I1891" s="7">
        <f t="shared" si="59"/>
        <v>20.354166666666799</v>
      </c>
    </row>
    <row r="1892" spans="1:9" x14ac:dyDescent="0.2">
      <c r="A1892" t="s">
        <v>2093</v>
      </c>
      <c r="B1892">
        <v>4.1669999999999998</v>
      </c>
      <c r="C1892">
        <v>5.8345000000000001E-2</v>
      </c>
      <c r="D1892">
        <v>249</v>
      </c>
      <c r="E1892" t="s">
        <v>2093</v>
      </c>
      <c r="F1892">
        <v>249</v>
      </c>
      <c r="G1892" s="1">
        <v>45175</v>
      </c>
      <c r="H1892" s="6">
        <f t="shared" si="58"/>
        <v>20.364583333333467</v>
      </c>
      <c r="I1892" s="7">
        <f t="shared" si="59"/>
        <v>20.364583333333467</v>
      </c>
    </row>
    <row r="1893" spans="1:9" x14ac:dyDescent="0.2">
      <c r="A1893" t="s">
        <v>2094</v>
      </c>
      <c r="B1893" s="2" t="s">
        <v>2095</v>
      </c>
      <c r="C1893">
        <v>5.7849999999999999E-2</v>
      </c>
      <c r="D1893">
        <v>249</v>
      </c>
      <c r="E1893" t="s">
        <v>2094</v>
      </c>
      <c r="F1893">
        <v>249</v>
      </c>
      <c r="G1893" s="1">
        <v>45175</v>
      </c>
      <c r="H1893" s="6">
        <f t="shared" si="58"/>
        <v>20.375000000000135</v>
      </c>
      <c r="I1893" s="7">
        <f t="shared" si="59"/>
        <v>20.375000000000135</v>
      </c>
    </row>
    <row r="1894" spans="1:9" x14ac:dyDescent="0.2">
      <c r="A1894" t="s">
        <v>2096</v>
      </c>
      <c r="B1894">
        <v>4.0860000000000003</v>
      </c>
      <c r="C1894">
        <v>5.7239999999999999E-2</v>
      </c>
      <c r="D1894">
        <v>249</v>
      </c>
      <c r="E1894" t="s">
        <v>2096</v>
      </c>
      <c r="F1894">
        <v>249</v>
      </c>
      <c r="G1894" s="1">
        <v>45175</v>
      </c>
      <c r="H1894" s="6">
        <f t="shared" si="58"/>
        <v>20.385416666666803</v>
      </c>
      <c r="I1894" s="7">
        <f t="shared" si="59"/>
        <v>20.385416666666803</v>
      </c>
    </row>
    <row r="1895" spans="1:9" x14ac:dyDescent="0.2">
      <c r="A1895" t="s">
        <v>2097</v>
      </c>
      <c r="B1895">
        <v>4.0255000000000001</v>
      </c>
      <c r="C1895">
        <v>5.6384999999999998E-2</v>
      </c>
      <c r="D1895">
        <v>249</v>
      </c>
      <c r="E1895" t="s">
        <v>2097</v>
      </c>
      <c r="F1895">
        <v>249</v>
      </c>
      <c r="G1895" s="1">
        <v>45175</v>
      </c>
      <c r="H1895" s="6">
        <f t="shared" si="58"/>
        <v>20.395833333333471</v>
      </c>
      <c r="I1895" s="7">
        <f t="shared" si="59"/>
        <v>20.395833333333471</v>
      </c>
    </row>
    <row r="1896" spans="1:9" x14ac:dyDescent="0.2">
      <c r="A1896" t="s">
        <v>2098</v>
      </c>
      <c r="B1896">
        <v>3.9870000000000001</v>
      </c>
      <c r="C1896">
        <v>5.5864999999999998E-2</v>
      </c>
      <c r="D1896">
        <v>249</v>
      </c>
      <c r="E1896" t="s">
        <v>2098</v>
      </c>
      <c r="F1896">
        <v>249</v>
      </c>
      <c r="G1896" s="1">
        <v>45175</v>
      </c>
      <c r="H1896" s="6">
        <f t="shared" si="58"/>
        <v>20.406250000000139</v>
      </c>
      <c r="I1896" s="7">
        <f t="shared" si="59"/>
        <v>20.406250000000139</v>
      </c>
    </row>
    <row r="1897" spans="1:9" x14ac:dyDescent="0.2">
      <c r="A1897" t="s">
        <v>2099</v>
      </c>
      <c r="B1897">
        <v>3.8885000000000001</v>
      </c>
      <c r="C1897">
        <v>5.4465E-2</v>
      </c>
      <c r="D1897">
        <v>249</v>
      </c>
      <c r="E1897" t="s">
        <v>2099</v>
      </c>
      <c r="F1897">
        <v>249</v>
      </c>
      <c r="G1897" s="1">
        <v>45175</v>
      </c>
      <c r="H1897" s="6">
        <f t="shared" si="58"/>
        <v>20.416666666666806</v>
      </c>
      <c r="I1897" s="7">
        <f t="shared" si="59"/>
        <v>20.416666666666806</v>
      </c>
    </row>
    <row r="1898" spans="1:9" x14ac:dyDescent="0.2">
      <c r="A1898" t="s">
        <v>2100</v>
      </c>
      <c r="B1898">
        <v>3.8935</v>
      </c>
      <c r="C1898">
        <v>5.4545000000000003E-2</v>
      </c>
      <c r="D1898">
        <v>249</v>
      </c>
      <c r="E1898" t="s">
        <v>2100</v>
      </c>
      <c r="F1898">
        <v>249</v>
      </c>
      <c r="G1898" s="1">
        <v>45175</v>
      </c>
      <c r="H1898" s="6">
        <f t="shared" si="58"/>
        <v>20.427083333333474</v>
      </c>
      <c r="I1898" s="7">
        <f t="shared" si="59"/>
        <v>20.427083333333474</v>
      </c>
    </row>
    <row r="1899" spans="1:9" x14ac:dyDescent="0.2">
      <c r="A1899" t="s">
        <v>2101</v>
      </c>
      <c r="B1899">
        <v>3.8359999999999999</v>
      </c>
      <c r="C1899">
        <v>5.373E-2</v>
      </c>
      <c r="D1899">
        <v>249</v>
      </c>
      <c r="E1899" t="s">
        <v>2101</v>
      </c>
      <c r="F1899">
        <v>249</v>
      </c>
      <c r="G1899" s="1">
        <v>45175</v>
      </c>
      <c r="H1899" s="6">
        <f t="shared" si="58"/>
        <v>20.437500000000142</v>
      </c>
      <c r="I1899" s="7">
        <f t="shared" si="59"/>
        <v>20.437500000000142</v>
      </c>
    </row>
    <row r="1900" spans="1:9" x14ac:dyDescent="0.2">
      <c r="A1900" t="s">
        <v>2102</v>
      </c>
      <c r="B1900">
        <v>3.7959999999999998</v>
      </c>
      <c r="C1900">
        <v>5.3170000000000002E-2</v>
      </c>
      <c r="D1900">
        <v>249</v>
      </c>
      <c r="E1900" t="s">
        <v>2102</v>
      </c>
      <c r="F1900">
        <v>249</v>
      </c>
      <c r="G1900" s="1">
        <v>45175</v>
      </c>
      <c r="H1900" s="6">
        <f t="shared" si="58"/>
        <v>20.44791666666681</v>
      </c>
      <c r="I1900" s="7">
        <f t="shared" si="59"/>
        <v>20.44791666666681</v>
      </c>
    </row>
    <row r="1901" spans="1:9" x14ac:dyDescent="0.2">
      <c r="A1901" t="s">
        <v>2103</v>
      </c>
      <c r="B1901">
        <v>3.7294999999999998</v>
      </c>
      <c r="C1901">
        <v>5.2240000000000002E-2</v>
      </c>
      <c r="D1901">
        <v>249</v>
      </c>
      <c r="E1901" t="s">
        <v>2103</v>
      </c>
      <c r="F1901">
        <v>249</v>
      </c>
      <c r="G1901" s="1">
        <v>45175</v>
      </c>
      <c r="H1901" s="6">
        <f t="shared" si="58"/>
        <v>20.458333333333478</v>
      </c>
      <c r="I1901" s="7">
        <f t="shared" si="59"/>
        <v>20.458333333333478</v>
      </c>
    </row>
    <row r="1902" spans="1:9" x14ac:dyDescent="0.2">
      <c r="A1902" t="s">
        <v>2104</v>
      </c>
      <c r="B1902">
        <v>3.7010000000000001</v>
      </c>
      <c r="C1902">
        <v>5.1839999999999997E-2</v>
      </c>
      <c r="D1902">
        <v>249</v>
      </c>
      <c r="E1902" t="s">
        <v>2104</v>
      </c>
      <c r="F1902">
        <v>249</v>
      </c>
      <c r="G1902" s="1">
        <v>45175</v>
      </c>
      <c r="H1902" s="6">
        <f t="shared" si="58"/>
        <v>20.468750000000146</v>
      </c>
      <c r="I1902" s="7">
        <f t="shared" si="59"/>
        <v>20.468750000000146</v>
      </c>
    </row>
    <row r="1903" spans="1:9" x14ac:dyDescent="0.2">
      <c r="A1903" t="s">
        <v>2105</v>
      </c>
      <c r="B1903">
        <v>3.6985000000000001</v>
      </c>
      <c r="C1903">
        <v>5.1790000000000003E-2</v>
      </c>
      <c r="D1903">
        <v>249</v>
      </c>
      <c r="E1903" t="s">
        <v>2105</v>
      </c>
      <c r="F1903">
        <v>249</v>
      </c>
      <c r="G1903" s="1">
        <v>45175</v>
      </c>
      <c r="H1903" s="6">
        <f t="shared" si="58"/>
        <v>20.479166666666814</v>
      </c>
      <c r="I1903" s="7">
        <f t="shared" si="59"/>
        <v>20.479166666666814</v>
      </c>
    </row>
    <row r="1904" spans="1:9" x14ac:dyDescent="0.2">
      <c r="A1904" t="s">
        <v>2106</v>
      </c>
      <c r="B1904">
        <v>3.6549999999999998</v>
      </c>
      <c r="C1904">
        <v>5.117E-2</v>
      </c>
      <c r="D1904">
        <v>249</v>
      </c>
      <c r="E1904" t="s">
        <v>2106</v>
      </c>
      <c r="F1904">
        <v>249</v>
      </c>
      <c r="G1904" s="1">
        <v>45175</v>
      </c>
      <c r="H1904" s="6">
        <f t="shared" si="58"/>
        <v>20.489583333333481</v>
      </c>
      <c r="I1904" s="7">
        <f t="shared" si="59"/>
        <v>20.489583333333481</v>
      </c>
    </row>
    <row r="1905" spans="1:9" x14ac:dyDescent="0.2">
      <c r="A1905" t="s">
        <v>2107</v>
      </c>
      <c r="B1905">
        <v>3.613</v>
      </c>
      <c r="C1905">
        <v>5.0625000000000003E-2</v>
      </c>
      <c r="D1905">
        <v>249</v>
      </c>
      <c r="E1905" t="s">
        <v>2107</v>
      </c>
      <c r="F1905">
        <v>249</v>
      </c>
      <c r="G1905" s="1">
        <v>45175</v>
      </c>
      <c r="H1905" s="6">
        <f t="shared" si="58"/>
        <v>20.500000000000149</v>
      </c>
      <c r="I1905" s="7">
        <f t="shared" si="59"/>
        <v>20.500000000000149</v>
      </c>
    </row>
    <row r="1906" spans="1:9" x14ac:dyDescent="0.2">
      <c r="A1906" t="s">
        <v>2108</v>
      </c>
      <c r="B1906">
        <v>3.62</v>
      </c>
      <c r="C1906">
        <v>5.0715000000000003E-2</v>
      </c>
      <c r="D1906">
        <v>249</v>
      </c>
      <c r="E1906" t="s">
        <v>2108</v>
      </c>
      <c r="F1906">
        <v>249</v>
      </c>
      <c r="G1906" s="1">
        <v>45175</v>
      </c>
      <c r="H1906" s="6">
        <f t="shared" si="58"/>
        <v>20.510416666666817</v>
      </c>
      <c r="I1906" s="7">
        <f t="shared" si="59"/>
        <v>20.510416666666817</v>
      </c>
    </row>
    <row r="1907" spans="1:9" x14ac:dyDescent="0.2">
      <c r="A1907" t="s">
        <v>2109</v>
      </c>
      <c r="B1907">
        <v>3.605</v>
      </c>
      <c r="C1907">
        <v>5.0494999999999998E-2</v>
      </c>
      <c r="D1907">
        <v>249</v>
      </c>
      <c r="E1907" t="s">
        <v>2109</v>
      </c>
      <c r="F1907">
        <v>249</v>
      </c>
      <c r="G1907" s="1">
        <v>45175</v>
      </c>
      <c r="H1907" s="6">
        <f t="shared" si="58"/>
        <v>20.520833333333485</v>
      </c>
      <c r="I1907" s="7">
        <f t="shared" si="59"/>
        <v>20.520833333333485</v>
      </c>
    </row>
    <row r="1908" spans="1:9" x14ac:dyDescent="0.2">
      <c r="A1908" t="s">
        <v>2110</v>
      </c>
      <c r="B1908" s="2" t="s">
        <v>2111</v>
      </c>
      <c r="C1908">
        <v>5.0795E-2</v>
      </c>
      <c r="D1908">
        <v>249</v>
      </c>
      <c r="E1908" t="s">
        <v>2110</v>
      </c>
      <c r="F1908">
        <v>249</v>
      </c>
      <c r="G1908" s="1">
        <v>45175</v>
      </c>
      <c r="H1908" s="6">
        <f t="shared" si="58"/>
        <v>20.531250000000153</v>
      </c>
      <c r="I1908" s="7">
        <f t="shared" si="59"/>
        <v>20.531250000000153</v>
      </c>
    </row>
    <row r="1909" spans="1:9" x14ac:dyDescent="0.2">
      <c r="A1909" t="s">
        <v>2112</v>
      </c>
      <c r="B1909">
        <v>3.6234999999999999</v>
      </c>
      <c r="C1909">
        <v>5.076E-2</v>
      </c>
      <c r="D1909">
        <v>249</v>
      </c>
      <c r="E1909" t="s">
        <v>2112</v>
      </c>
      <c r="F1909">
        <v>249</v>
      </c>
      <c r="G1909" s="1">
        <v>45175</v>
      </c>
      <c r="H1909" s="6">
        <f t="shared" si="58"/>
        <v>20.541666666666821</v>
      </c>
      <c r="I1909" s="7">
        <f t="shared" si="59"/>
        <v>20.541666666666821</v>
      </c>
    </row>
    <row r="1910" spans="1:9" x14ac:dyDescent="0.2">
      <c r="A1910" t="s">
        <v>2113</v>
      </c>
      <c r="B1910">
        <v>3.609</v>
      </c>
      <c r="C1910">
        <v>5.0534999999999997E-2</v>
      </c>
      <c r="D1910">
        <v>249</v>
      </c>
      <c r="E1910" t="s">
        <v>2113</v>
      </c>
      <c r="F1910">
        <v>249</v>
      </c>
      <c r="G1910" s="1">
        <v>45175</v>
      </c>
      <c r="H1910" s="6">
        <f t="shared" si="58"/>
        <v>20.552083333333488</v>
      </c>
      <c r="I1910" s="7">
        <f t="shared" si="59"/>
        <v>20.552083333333488</v>
      </c>
    </row>
    <row r="1911" spans="1:9" x14ac:dyDescent="0.2">
      <c r="A1911" t="s">
        <v>2114</v>
      </c>
      <c r="B1911">
        <v>3.6025</v>
      </c>
      <c r="C1911">
        <v>5.0459999999999998E-2</v>
      </c>
      <c r="D1911">
        <v>249</v>
      </c>
      <c r="E1911" t="s">
        <v>2114</v>
      </c>
      <c r="F1911">
        <v>249</v>
      </c>
      <c r="G1911" s="1">
        <v>45175</v>
      </c>
      <c r="H1911" s="6">
        <f t="shared" si="58"/>
        <v>20.562500000000156</v>
      </c>
      <c r="I1911" s="7">
        <f t="shared" si="59"/>
        <v>20.562500000000156</v>
      </c>
    </row>
    <row r="1912" spans="1:9" x14ac:dyDescent="0.2">
      <c r="A1912" t="s">
        <v>2115</v>
      </c>
      <c r="B1912">
        <v>3.5975000000000001</v>
      </c>
      <c r="C1912" s="2" t="s">
        <v>1597</v>
      </c>
      <c r="D1912">
        <v>249</v>
      </c>
      <c r="E1912" t="s">
        <v>2115</v>
      </c>
      <c r="F1912">
        <v>249</v>
      </c>
      <c r="G1912" s="1">
        <v>45175</v>
      </c>
      <c r="H1912" s="6">
        <f t="shared" si="58"/>
        <v>20.572916666666824</v>
      </c>
      <c r="I1912" s="7">
        <f t="shared" si="59"/>
        <v>20.572916666666824</v>
      </c>
    </row>
    <row r="1913" spans="1:9" x14ac:dyDescent="0.2">
      <c r="A1913" t="s">
        <v>2116</v>
      </c>
      <c r="B1913">
        <v>3.589</v>
      </c>
      <c r="C1913">
        <v>5.0279999999999998E-2</v>
      </c>
      <c r="D1913">
        <v>249</v>
      </c>
      <c r="E1913" t="s">
        <v>2116</v>
      </c>
      <c r="F1913">
        <v>249</v>
      </c>
      <c r="G1913" s="1">
        <v>45175</v>
      </c>
      <c r="H1913" s="6">
        <f t="shared" si="58"/>
        <v>20.583333333333492</v>
      </c>
      <c r="I1913" s="7">
        <f t="shared" si="59"/>
        <v>20.583333333333492</v>
      </c>
    </row>
    <row r="1914" spans="1:9" x14ac:dyDescent="0.2">
      <c r="A1914" t="s">
        <v>2117</v>
      </c>
      <c r="B1914" s="2" t="s">
        <v>2118</v>
      </c>
      <c r="C1914">
        <v>5.0215000000000003E-2</v>
      </c>
      <c r="D1914">
        <v>249</v>
      </c>
      <c r="E1914" t="s">
        <v>2117</v>
      </c>
      <c r="F1914">
        <v>249</v>
      </c>
      <c r="G1914" s="1">
        <v>45175</v>
      </c>
      <c r="H1914" s="6">
        <f t="shared" si="58"/>
        <v>20.59375000000016</v>
      </c>
      <c r="I1914" s="7">
        <f t="shared" si="59"/>
        <v>20.59375000000016</v>
      </c>
    </row>
    <row r="1915" spans="1:9" x14ac:dyDescent="0.2">
      <c r="A1915" t="s">
        <v>2119</v>
      </c>
      <c r="B1915">
        <v>3.5605000000000002</v>
      </c>
      <c r="C1915">
        <v>4.9880000000000001E-2</v>
      </c>
      <c r="D1915">
        <v>249</v>
      </c>
      <c r="E1915" t="s">
        <v>2119</v>
      </c>
      <c r="F1915">
        <v>249</v>
      </c>
      <c r="G1915" s="1">
        <v>45175</v>
      </c>
      <c r="H1915" s="6">
        <f t="shared" si="58"/>
        <v>20.604166666666828</v>
      </c>
      <c r="I1915" s="7">
        <f t="shared" si="59"/>
        <v>20.604166666666828</v>
      </c>
    </row>
    <row r="1916" spans="1:9" x14ac:dyDescent="0.2">
      <c r="A1916" t="s">
        <v>2120</v>
      </c>
      <c r="B1916">
        <v>3.5419999999999998</v>
      </c>
      <c r="C1916">
        <v>4.9610000000000001E-2</v>
      </c>
      <c r="D1916">
        <v>249</v>
      </c>
      <c r="E1916" t="s">
        <v>2120</v>
      </c>
      <c r="F1916">
        <v>249</v>
      </c>
      <c r="G1916" s="1">
        <v>45175</v>
      </c>
      <c r="H1916" s="6">
        <f t="shared" si="58"/>
        <v>20.614583333333496</v>
      </c>
      <c r="I1916" s="7">
        <f t="shared" si="59"/>
        <v>20.614583333333496</v>
      </c>
    </row>
    <row r="1917" spans="1:9" x14ac:dyDescent="0.2">
      <c r="A1917" t="s">
        <v>2121</v>
      </c>
      <c r="B1917">
        <v>3.5459999999999998</v>
      </c>
      <c r="C1917" s="2" t="s">
        <v>2122</v>
      </c>
      <c r="D1917">
        <v>249</v>
      </c>
      <c r="E1917" t="s">
        <v>2121</v>
      </c>
      <c r="F1917">
        <v>249</v>
      </c>
      <c r="G1917" s="1">
        <v>45175</v>
      </c>
      <c r="H1917" s="6">
        <f t="shared" si="58"/>
        <v>20.625000000000163</v>
      </c>
      <c r="I1917" s="7">
        <f t="shared" si="59"/>
        <v>20.625000000000163</v>
      </c>
    </row>
    <row r="1918" spans="1:9" x14ac:dyDescent="0.2">
      <c r="A1918" t="s">
        <v>2123</v>
      </c>
      <c r="B1918">
        <v>3.5474999999999999</v>
      </c>
      <c r="C1918">
        <v>4.9695000000000003E-2</v>
      </c>
      <c r="D1918">
        <v>249</v>
      </c>
      <c r="E1918" t="s">
        <v>2123</v>
      </c>
      <c r="F1918">
        <v>249</v>
      </c>
      <c r="G1918" s="1">
        <v>45175</v>
      </c>
      <c r="H1918" s="6">
        <f t="shared" si="58"/>
        <v>20.635416666666831</v>
      </c>
      <c r="I1918" s="7">
        <f t="shared" si="59"/>
        <v>20.635416666666831</v>
      </c>
    </row>
    <row r="1919" spans="1:9" x14ac:dyDescent="0.2">
      <c r="A1919" t="s">
        <v>2124</v>
      </c>
      <c r="B1919">
        <v>3.5489999999999999</v>
      </c>
      <c r="C1919">
        <v>4.972E-2</v>
      </c>
      <c r="D1919">
        <v>249</v>
      </c>
      <c r="E1919" t="s">
        <v>2124</v>
      </c>
      <c r="F1919">
        <v>249</v>
      </c>
      <c r="G1919" s="1">
        <v>45175</v>
      </c>
      <c r="H1919" s="6">
        <f t="shared" si="58"/>
        <v>20.645833333333499</v>
      </c>
      <c r="I1919" s="7">
        <f t="shared" si="59"/>
        <v>20.645833333333499</v>
      </c>
    </row>
    <row r="1920" spans="1:9" x14ac:dyDescent="0.2">
      <c r="A1920" t="s">
        <v>2125</v>
      </c>
      <c r="B1920">
        <v>3.5205000000000002</v>
      </c>
      <c r="C1920">
        <v>4.9294999999999999E-2</v>
      </c>
      <c r="D1920">
        <v>249</v>
      </c>
      <c r="E1920" t="s">
        <v>2125</v>
      </c>
      <c r="F1920">
        <v>249</v>
      </c>
      <c r="G1920" s="1">
        <v>45175</v>
      </c>
      <c r="H1920" s="6">
        <f t="shared" si="58"/>
        <v>20.656250000000167</v>
      </c>
      <c r="I1920" s="7">
        <f t="shared" si="59"/>
        <v>20.656250000000167</v>
      </c>
    </row>
    <row r="1921" spans="1:9" x14ac:dyDescent="0.2">
      <c r="A1921" t="s">
        <v>2126</v>
      </c>
      <c r="B1921">
        <v>3.5445000000000002</v>
      </c>
      <c r="C1921">
        <v>4.965E-2</v>
      </c>
      <c r="D1921">
        <v>249</v>
      </c>
      <c r="E1921" t="s">
        <v>2126</v>
      </c>
      <c r="F1921">
        <v>249</v>
      </c>
      <c r="G1921" s="1">
        <v>45175</v>
      </c>
      <c r="H1921" s="6">
        <f t="shared" si="58"/>
        <v>20.666666666666835</v>
      </c>
      <c r="I1921" s="7">
        <f t="shared" si="59"/>
        <v>20.666666666666835</v>
      </c>
    </row>
    <row r="1922" spans="1:9" x14ac:dyDescent="0.2">
      <c r="A1922" t="s">
        <v>2127</v>
      </c>
      <c r="B1922">
        <v>3.5505</v>
      </c>
      <c r="C1922">
        <v>4.9735000000000001E-2</v>
      </c>
      <c r="D1922">
        <v>249</v>
      </c>
      <c r="E1922" t="s">
        <v>2127</v>
      </c>
      <c r="F1922">
        <v>249</v>
      </c>
      <c r="G1922" s="1">
        <v>45175</v>
      </c>
      <c r="H1922" s="6">
        <f t="shared" si="58"/>
        <v>20.677083333333503</v>
      </c>
      <c r="I1922" s="7">
        <f t="shared" si="59"/>
        <v>20.677083333333503</v>
      </c>
    </row>
    <row r="1923" spans="1:9" x14ac:dyDescent="0.2">
      <c r="A1923" t="s">
        <v>2128</v>
      </c>
      <c r="B1923">
        <v>3.5535000000000001</v>
      </c>
      <c r="C1923">
        <v>4.9770000000000002E-2</v>
      </c>
      <c r="D1923">
        <v>249</v>
      </c>
      <c r="E1923" t="s">
        <v>2128</v>
      </c>
      <c r="F1923">
        <v>249</v>
      </c>
      <c r="G1923" s="1">
        <v>45175</v>
      </c>
      <c r="H1923" s="6">
        <f t="shared" ref="H1923:H1986" si="60">H1922+$K$1</f>
        <v>20.687500000000171</v>
      </c>
      <c r="I1923" s="7">
        <f t="shared" ref="I1923:I1986" si="61">I1922+$K$1</f>
        <v>20.687500000000171</v>
      </c>
    </row>
    <row r="1924" spans="1:9" x14ac:dyDescent="0.2">
      <c r="A1924" t="s">
        <v>2129</v>
      </c>
      <c r="B1924">
        <v>3.556</v>
      </c>
      <c r="C1924">
        <v>4.9799999999999997E-2</v>
      </c>
      <c r="D1924">
        <v>249</v>
      </c>
      <c r="E1924" t="s">
        <v>2129</v>
      </c>
      <c r="F1924">
        <v>249</v>
      </c>
      <c r="G1924" s="1">
        <v>45175</v>
      </c>
      <c r="H1924" s="6">
        <f t="shared" si="60"/>
        <v>20.697916666666838</v>
      </c>
      <c r="I1924" s="7">
        <f t="shared" si="61"/>
        <v>20.697916666666838</v>
      </c>
    </row>
    <row r="1925" spans="1:9" x14ac:dyDescent="0.2">
      <c r="A1925" t="s">
        <v>2130</v>
      </c>
      <c r="B1925">
        <v>3.5325000000000002</v>
      </c>
      <c r="C1925" s="2" t="s">
        <v>193</v>
      </c>
      <c r="D1925">
        <v>249</v>
      </c>
      <c r="E1925" t="s">
        <v>2130</v>
      </c>
      <c r="F1925">
        <v>249</v>
      </c>
      <c r="G1925" s="1">
        <v>45175</v>
      </c>
      <c r="H1925" s="6">
        <f t="shared" si="60"/>
        <v>20.708333333333506</v>
      </c>
      <c r="I1925" s="7">
        <f t="shared" si="61"/>
        <v>20.708333333333506</v>
      </c>
    </row>
    <row r="1926" spans="1:9" x14ac:dyDescent="0.2">
      <c r="A1926" t="s">
        <v>2131</v>
      </c>
      <c r="B1926" s="2" t="s">
        <v>1818</v>
      </c>
      <c r="C1926">
        <v>4.9689999999999998E-2</v>
      </c>
      <c r="D1926">
        <v>249</v>
      </c>
      <c r="E1926" t="s">
        <v>2131</v>
      </c>
      <c r="F1926">
        <v>249</v>
      </c>
      <c r="G1926" s="1">
        <v>45175</v>
      </c>
      <c r="H1926" s="6">
        <f t="shared" si="60"/>
        <v>20.718750000000174</v>
      </c>
      <c r="I1926" s="7">
        <f t="shared" si="61"/>
        <v>20.718750000000174</v>
      </c>
    </row>
    <row r="1927" spans="1:9" x14ac:dyDescent="0.2">
      <c r="A1927" t="s">
        <v>2132</v>
      </c>
      <c r="B1927">
        <v>3.581</v>
      </c>
      <c r="C1927">
        <v>5.015E-2</v>
      </c>
      <c r="D1927">
        <v>249</v>
      </c>
      <c r="E1927" t="s">
        <v>2132</v>
      </c>
      <c r="F1927">
        <v>249</v>
      </c>
      <c r="G1927" s="1">
        <v>45175</v>
      </c>
      <c r="H1927" s="6">
        <f t="shared" si="60"/>
        <v>20.729166666666842</v>
      </c>
      <c r="I1927" s="7">
        <f t="shared" si="61"/>
        <v>20.729166666666842</v>
      </c>
    </row>
    <row r="1928" spans="1:9" x14ac:dyDescent="0.2">
      <c r="A1928" t="s">
        <v>2133</v>
      </c>
      <c r="B1928">
        <v>3.5510000000000002</v>
      </c>
      <c r="C1928">
        <v>4.9744999999999998E-2</v>
      </c>
      <c r="D1928">
        <v>249</v>
      </c>
      <c r="E1928" t="s">
        <v>2133</v>
      </c>
      <c r="F1928">
        <v>249</v>
      </c>
      <c r="G1928" s="1">
        <v>45175</v>
      </c>
      <c r="H1928" s="6">
        <f t="shared" si="60"/>
        <v>20.73958333333351</v>
      </c>
      <c r="I1928" s="7">
        <f t="shared" si="61"/>
        <v>20.73958333333351</v>
      </c>
    </row>
    <row r="1929" spans="1:9" x14ac:dyDescent="0.2">
      <c r="A1929" t="s">
        <v>2134</v>
      </c>
      <c r="B1929">
        <v>3.5369999999999999</v>
      </c>
      <c r="C1929">
        <v>4.9525E-2</v>
      </c>
      <c r="D1929">
        <v>250</v>
      </c>
      <c r="E1929" t="s">
        <v>2134</v>
      </c>
      <c r="F1929">
        <v>249</v>
      </c>
      <c r="G1929" s="1">
        <v>45175</v>
      </c>
      <c r="H1929" s="6">
        <f t="shared" si="60"/>
        <v>20.750000000000178</v>
      </c>
      <c r="I1929" s="7">
        <f t="shared" si="61"/>
        <v>20.750000000000178</v>
      </c>
    </row>
    <row r="1930" spans="1:9" x14ac:dyDescent="0.2">
      <c r="A1930" t="s">
        <v>2135</v>
      </c>
      <c r="B1930" s="2" t="s">
        <v>296</v>
      </c>
      <c r="C1930">
        <v>5.0090000000000003E-2</v>
      </c>
      <c r="D1930">
        <v>250</v>
      </c>
      <c r="E1930" t="s">
        <v>2135</v>
      </c>
      <c r="F1930">
        <v>249</v>
      </c>
      <c r="G1930" s="1">
        <v>45175</v>
      </c>
      <c r="H1930" s="6">
        <f t="shared" si="60"/>
        <v>20.760416666666845</v>
      </c>
      <c r="I1930" s="7">
        <f t="shared" si="61"/>
        <v>20.760416666666845</v>
      </c>
    </row>
    <row r="1931" spans="1:9" x14ac:dyDescent="0.2">
      <c r="A1931" t="s">
        <v>2136</v>
      </c>
      <c r="B1931">
        <v>3.55</v>
      </c>
      <c r="C1931" s="2" t="s">
        <v>2137</v>
      </c>
      <c r="D1931">
        <v>250</v>
      </c>
      <c r="E1931" t="s">
        <v>2136</v>
      </c>
      <c r="F1931">
        <v>249</v>
      </c>
      <c r="G1931" s="1">
        <v>45175</v>
      </c>
      <c r="H1931" s="6">
        <f t="shared" si="60"/>
        <v>20.770833333333513</v>
      </c>
      <c r="I1931" s="7">
        <f t="shared" si="61"/>
        <v>20.770833333333513</v>
      </c>
    </row>
    <row r="1932" spans="1:9" x14ac:dyDescent="0.2">
      <c r="A1932" t="s">
        <v>2138</v>
      </c>
      <c r="B1932">
        <v>3.5945</v>
      </c>
      <c r="C1932" s="2" t="s">
        <v>2139</v>
      </c>
      <c r="D1932">
        <v>250</v>
      </c>
      <c r="E1932" t="s">
        <v>2138</v>
      </c>
      <c r="F1932">
        <v>249</v>
      </c>
      <c r="G1932" s="1">
        <v>45175</v>
      </c>
      <c r="H1932" s="6">
        <f t="shared" si="60"/>
        <v>20.781250000000181</v>
      </c>
      <c r="I1932" s="7">
        <f t="shared" si="61"/>
        <v>20.781250000000181</v>
      </c>
    </row>
    <row r="1933" spans="1:9" x14ac:dyDescent="0.2">
      <c r="A1933" t="s">
        <v>2140</v>
      </c>
      <c r="B1933">
        <v>3.5804999999999998</v>
      </c>
      <c r="C1933">
        <v>5.015E-2</v>
      </c>
      <c r="D1933">
        <v>250</v>
      </c>
      <c r="E1933" t="s">
        <v>2140</v>
      </c>
      <c r="F1933">
        <v>249</v>
      </c>
      <c r="G1933" s="1">
        <v>45175</v>
      </c>
      <c r="H1933" s="6">
        <f t="shared" si="60"/>
        <v>20.791666666666849</v>
      </c>
      <c r="I1933" s="7">
        <f t="shared" si="61"/>
        <v>20.791666666666849</v>
      </c>
    </row>
    <row r="1934" spans="1:9" x14ac:dyDescent="0.2">
      <c r="A1934" t="s">
        <v>2141</v>
      </c>
      <c r="B1934">
        <v>3.585</v>
      </c>
      <c r="C1934">
        <v>5.0205E-2</v>
      </c>
      <c r="D1934">
        <v>250</v>
      </c>
      <c r="E1934" t="s">
        <v>2141</v>
      </c>
      <c r="F1934">
        <v>249</v>
      </c>
      <c r="G1934" s="1">
        <v>45175</v>
      </c>
      <c r="H1934" s="6">
        <f t="shared" si="60"/>
        <v>20.802083333333517</v>
      </c>
      <c r="I1934" s="7">
        <f t="shared" si="61"/>
        <v>20.802083333333517</v>
      </c>
    </row>
    <row r="1935" spans="1:9" x14ac:dyDescent="0.2">
      <c r="A1935" t="s">
        <v>2142</v>
      </c>
      <c r="B1935">
        <v>3.601</v>
      </c>
      <c r="C1935">
        <v>5.0439999999999999E-2</v>
      </c>
      <c r="D1935">
        <v>250</v>
      </c>
      <c r="E1935" t="s">
        <v>2142</v>
      </c>
      <c r="F1935">
        <v>249</v>
      </c>
      <c r="G1935" s="1">
        <v>45175</v>
      </c>
      <c r="H1935" s="6">
        <f t="shared" si="60"/>
        <v>20.812500000000185</v>
      </c>
      <c r="I1935" s="7">
        <f t="shared" si="61"/>
        <v>20.812500000000185</v>
      </c>
    </row>
    <row r="1936" spans="1:9" x14ac:dyDescent="0.2">
      <c r="A1936" t="s">
        <v>2143</v>
      </c>
      <c r="B1936">
        <v>3.5785</v>
      </c>
      <c r="C1936" s="2" t="s">
        <v>2144</v>
      </c>
      <c r="D1936">
        <v>250</v>
      </c>
      <c r="E1936" t="s">
        <v>2143</v>
      </c>
      <c r="F1936">
        <v>249</v>
      </c>
      <c r="G1936" s="1">
        <v>45175</v>
      </c>
      <c r="H1936" s="6">
        <f t="shared" si="60"/>
        <v>20.822916666666853</v>
      </c>
      <c r="I1936" s="7">
        <f t="shared" si="61"/>
        <v>20.822916666666853</v>
      </c>
    </row>
    <row r="1937" spans="1:9" x14ac:dyDescent="0.2">
      <c r="A1937" t="s">
        <v>2145</v>
      </c>
      <c r="B1937">
        <v>3.6164999999999998</v>
      </c>
      <c r="C1937">
        <v>5.0654999999999999E-2</v>
      </c>
      <c r="D1937">
        <v>250</v>
      </c>
      <c r="E1937" t="s">
        <v>2145</v>
      </c>
      <c r="F1937">
        <v>249</v>
      </c>
      <c r="G1937" s="1">
        <v>45175</v>
      </c>
      <c r="H1937" s="6">
        <f t="shared" si="60"/>
        <v>20.83333333333352</v>
      </c>
      <c r="I1937" s="7">
        <f t="shared" si="61"/>
        <v>20.83333333333352</v>
      </c>
    </row>
    <row r="1938" spans="1:9" x14ac:dyDescent="0.2">
      <c r="A1938" t="s">
        <v>2146</v>
      </c>
      <c r="B1938">
        <v>3.6480000000000001</v>
      </c>
      <c r="C1938">
        <v>5.1104999999999998E-2</v>
      </c>
      <c r="D1938">
        <v>250</v>
      </c>
      <c r="E1938" t="s">
        <v>2146</v>
      </c>
      <c r="F1938">
        <v>249</v>
      </c>
      <c r="G1938" s="1">
        <v>45175</v>
      </c>
      <c r="H1938" s="6">
        <f t="shared" si="60"/>
        <v>20.843750000000188</v>
      </c>
      <c r="I1938" s="7">
        <f t="shared" si="61"/>
        <v>20.843750000000188</v>
      </c>
    </row>
    <row r="1939" spans="1:9" x14ac:dyDescent="0.2">
      <c r="A1939" t="s">
        <v>2147</v>
      </c>
      <c r="B1939" s="2" t="s">
        <v>1688</v>
      </c>
      <c r="C1939">
        <v>5.0750000000000003E-2</v>
      </c>
      <c r="D1939">
        <v>250</v>
      </c>
      <c r="E1939" t="s">
        <v>2147</v>
      </c>
      <c r="F1939">
        <v>249</v>
      </c>
      <c r="G1939" s="1">
        <v>45175</v>
      </c>
      <c r="H1939" s="6">
        <f t="shared" si="60"/>
        <v>20.854166666666856</v>
      </c>
      <c r="I1939" s="7">
        <f t="shared" si="61"/>
        <v>20.854166666666856</v>
      </c>
    </row>
    <row r="1940" spans="1:9" x14ac:dyDescent="0.2">
      <c r="A1940" t="s">
        <v>2148</v>
      </c>
      <c r="B1940">
        <v>3.6659999999999999</v>
      </c>
      <c r="C1940">
        <v>5.135E-2</v>
      </c>
      <c r="D1940">
        <v>250</v>
      </c>
      <c r="E1940" t="s">
        <v>2148</v>
      </c>
      <c r="F1940">
        <v>249</v>
      </c>
      <c r="G1940" s="1">
        <v>45175</v>
      </c>
      <c r="H1940" s="6">
        <f t="shared" si="60"/>
        <v>20.864583333333524</v>
      </c>
      <c r="I1940" s="7">
        <f t="shared" si="61"/>
        <v>20.864583333333524</v>
      </c>
    </row>
    <row r="1941" spans="1:9" x14ac:dyDescent="0.2">
      <c r="A1941" t="s">
        <v>2149</v>
      </c>
      <c r="B1941">
        <v>3.7149999999999999</v>
      </c>
      <c r="C1941">
        <v>5.2025000000000002E-2</v>
      </c>
      <c r="D1941">
        <v>250</v>
      </c>
      <c r="E1941" t="s">
        <v>2149</v>
      </c>
      <c r="F1941">
        <v>249</v>
      </c>
      <c r="G1941" s="1">
        <v>45175</v>
      </c>
      <c r="H1941" s="6">
        <f t="shared" si="60"/>
        <v>20.875000000000192</v>
      </c>
      <c r="I1941" s="7">
        <f t="shared" si="61"/>
        <v>20.875000000000192</v>
      </c>
    </row>
    <row r="1942" spans="1:9" x14ac:dyDescent="0.2">
      <c r="A1942" t="s">
        <v>2150</v>
      </c>
      <c r="B1942">
        <v>3.754</v>
      </c>
      <c r="C1942">
        <v>5.2595000000000003E-2</v>
      </c>
      <c r="D1942">
        <v>250</v>
      </c>
      <c r="E1942" t="s">
        <v>2150</v>
      </c>
      <c r="F1942">
        <v>249</v>
      </c>
      <c r="G1942" s="1">
        <v>45175</v>
      </c>
      <c r="H1942" s="6">
        <f t="shared" si="60"/>
        <v>20.88541666666686</v>
      </c>
      <c r="I1942" s="7">
        <f t="shared" si="61"/>
        <v>20.88541666666686</v>
      </c>
    </row>
    <row r="1943" spans="1:9" x14ac:dyDescent="0.2">
      <c r="A1943" t="s">
        <v>2151</v>
      </c>
      <c r="B1943">
        <v>3.8180000000000001</v>
      </c>
      <c r="C1943">
        <v>5.348E-2</v>
      </c>
      <c r="D1943">
        <v>250</v>
      </c>
      <c r="E1943" t="s">
        <v>2151</v>
      </c>
      <c r="F1943">
        <v>249</v>
      </c>
      <c r="G1943" s="1">
        <v>45175</v>
      </c>
      <c r="H1943" s="6">
        <f t="shared" si="60"/>
        <v>20.895833333333528</v>
      </c>
      <c r="I1943" s="7">
        <f t="shared" si="61"/>
        <v>20.895833333333528</v>
      </c>
    </row>
    <row r="1944" spans="1:9" x14ac:dyDescent="0.2">
      <c r="A1944" t="s">
        <v>2152</v>
      </c>
      <c r="B1944">
        <v>3.8820000000000001</v>
      </c>
      <c r="C1944" s="2" t="s">
        <v>2153</v>
      </c>
      <c r="D1944">
        <v>250</v>
      </c>
      <c r="E1944" t="s">
        <v>2152</v>
      </c>
      <c r="F1944">
        <v>249</v>
      </c>
      <c r="G1944" s="1">
        <v>45175</v>
      </c>
      <c r="H1944" s="6">
        <f t="shared" si="60"/>
        <v>20.906250000000195</v>
      </c>
      <c r="I1944" s="7">
        <f t="shared" si="61"/>
        <v>20.906250000000195</v>
      </c>
    </row>
    <row r="1945" spans="1:9" x14ac:dyDescent="0.2">
      <c r="A1945" t="s">
        <v>2154</v>
      </c>
      <c r="B1945">
        <v>3.9295</v>
      </c>
      <c r="C1945">
        <v>5.5044999999999997E-2</v>
      </c>
      <c r="D1945">
        <v>250</v>
      </c>
      <c r="E1945" t="s">
        <v>2154</v>
      </c>
      <c r="F1945">
        <v>249</v>
      </c>
      <c r="G1945" s="1">
        <v>45175</v>
      </c>
      <c r="H1945" s="6">
        <f t="shared" si="60"/>
        <v>20.916666666666863</v>
      </c>
      <c r="I1945" s="7">
        <f t="shared" si="61"/>
        <v>20.916666666666863</v>
      </c>
    </row>
    <row r="1946" spans="1:9" x14ac:dyDescent="0.2">
      <c r="A1946" t="s">
        <v>2155</v>
      </c>
      <c r="B1946">
        <v>4.0155000000000003</v>
      </c>
      <c r="C1946">
        <v>5.6250000000000001E-2</v>
      </c>
      <c r="D1946">
        <v>250</v>
      </c>
      <c r="E1946" t="s">
        <v>2155</v>
      </c>
      <c r="F1946">
        <v>249</v>
      </c>
      <c r="G1946" s="1">
        <v>45175</v>
      </c>
      <c r="H1946" s="6">
        <f t="shared" si="60"/>
        <v>20.927083333333531</v>
      </c>
      <c r="I1946" s="7">
        <f t="shared" si="61"/>
        <v>20.927083333333531</v>
      </c>
    </row>
    <row r="1947" spans="1:9" x14ac:dyDescent="0.2">
      <c r="A1947" t="s">
        <v>2156</v>
      </c>
      <c r="B1947">
        <v>4.056</v>
      </c>
      <c r="C1947">
        <v>5.6809999999999999E-2</v>
      </c>
      <c r="D1947">
        <v>250</v>
      </c>
      <c r="E1947" t="s">
        <v>2156</v>
      </c>
      <c r="F1947">
        <v>249</v>
      </c>
      <c r="G1947" s="1">
        <v>45175</v>
      </c>
      <c r="H1947" s="6">
        <f t="shared" si="60"/>
        <v>20.937500000000199</v>
      </c>
      <c r="I1947" s="7">
        <f t="shared" si="61"/>
        <v>20.937500000000199</v>
      </c>
    </row>
    <row r="1948" spans="1:9" x14ac:dyDescent="0.2">
      <c r="A1948" t="s">
        <v>2157</v>
      </c>
      <c r="B1948">
        <v>4.1180000000000003</v>
      </c>
      <c r="C1948">
        <v>5.7674999999999997E-2</v>
      </c>
      <c r="D1948">
        <v>250</v>
      </c>
      <c r="E1948" t="s">
        <v>2157</v>
      </c>
      <c r="F1948">
        <v>249</v>
      </c>
      <c r="G1948" s="1">
        <v>45175</v>
      </c>
      <c r="H1948" s="6">
        <f t="shared" si="60"/>
        <v>20.947916666666867</v>
      </c>
      <c r="I1948" s="7">
        <f t="shared" si="61"/>
        <v>20.947916666666867</v>
      </c>
    </row>
    <row r="1949" spans="1:9" x14ac:dyDescent="0.2">
      <c r="A1949" t="s">
        <v>2158</v>
      </c>
      <c r="B1949">
        <v>4.1734999999999998</v>
      </c>
      <c r="C1949">
        <v>5.8450000000000002E-2</v>
      </c>
      <c r="D1949">
        <v>250</v>
      </c>
      <c r="E1949" t="s">
        <v>2158</v>
      </c>
      <c r="F1949">
        <v>249</v>
      </c>
      <c r="G1949" s="1">
        <v>45175</v>
      </c>
      <c r="H1949" s="6">
        <f t="shared" si="60"/>
        <v>20.958333333333535</v>
      </c>
      <c r="I1949" s="7">
        <f t="shared" si="61"/>
        <v>20.958333333333535</v>
      </c>
    </row>
    <row r="1950" spans="1:9" x14ac:dyDescent="0.2">
      <c r="A1950" t="s">
        <v>2159</v>
      </c>
      <c r="B1950">
        <v>4.1980000000000004</v>
      </c>
      <c r="C1950">
        <v>5.8805000000000003E-2</v>
      </c>
      <c r="D1950">
        <v>250</v>
      </c>
      <c r="E1950" t="s">
        <v>2159</v>
      </c>
      <c r="F1950">
        <v>249</v>
      </c>
      <c r="G1950" s="1">
        <v>45175</v>
      </c>
      <c r="H1950" s="6">
        <f t="shared" si="60"/>
        <v>20.968750000000203</v>
      </c>
      <c r="I1950" s="7">
        <f t="shared" si="61"/>
        <v>20.968750000000203</v>
      </c>
    </row>
    <row r="1951" spans="1:9" x14ac:dyDescent="0.2">
      <c r="A1951" t="s">
        <v>2160</v>
      </c>
      <c r="B1951">
        <v>4.2605000000000004</v>
      </c>
      <c r="C1951">
        <v>5.9674999999999999E-2</v>
      </c>
      <c r="D1951">
        <v>250</v>
      </c>
      <c r="E1951" t="s">
        <v>2160</v>
      </c>
      <c r="F1951">
        <v>249</v>
      </c>
      <c r="G1951" s="1">
        <v>45175</v>
      </c>
      <c r="H1951" s="6">
        <f t="shared" si="60"/>
        <v>20.97916666666687</v>
      </c>
      <c r="I1951" s="7">
        <f t="shared" si="61"/>
        <v>20.97916666666687</v>
      </c>
    </row>
    <row r="1952" spans="1:9" x14ac:dyDescent="0.2">
      <c r="A1952" t="s">
        <v>2161</v>
      </c>
      <c r="B1952">
        <v>4.2590000000000003</v>
      </c>
      <c r="C1952" s="2" t="s">
        <v>2162</v>
      </c>
      <c r="D1952">
        <v>250</v>
      </c>
      <c r="E1952" t="s">
        <v>2161</v>
      </c>
      <c r="F1952">
        <v>249</v>
      </c>
      <c r="G1952" s="1">
        <v>45175</v>
      </c>
      <c r="H1952" s="6">
        <f t="shared" si="60"/>
        <v>20.989583333333538</v>
      </c>
      <c r="I1952" s="7">
        <f t="shared" si="61"/>
        <v>20.989583333333538</v>
      </c>
    </row>
    <row r="1953" spans="1:9" x14ac:dyDescent="0.2">
      <c r="A1953" t="s">
        <v>2163</v>
      </c>
      <c r="B1953">
        <v>4.2889999999999997</v>
      </c>
      <c r="C1953">
        <v>6.0080000000000001E-2</v>
      </c>
      <c r="D1953">
        <v>250</v>
      </c>
      <c r="E1953" t="s">
        <v>2163</v>
      </c>
      <c r="F1953">
        <v>250</v>
      </c>
      <c r="G1953" s="1">
        <v>45176</v>
      </c>
      <c r="H1953" s="6">
        <f t="shared" si="60"/>
        <v>21.000000000000206</v>
      </c>
      <c r="I1953" s="7">
        <f t="shared" si="61"/>
        <v>21.000000000000206</v>
      </c>
    </row>
    <row r="1954" spans="1:9" x14ac:dyDescent="0.2">
      <c r="A1954" t="s">
        <v>2164</v>
      </c>
      <c r="B1954">
        <v>4.29</v>
      </c>
      <c r="C1954">
        <v>6.0095000000000003E-2</v>
      </c>
      <c r="D1954">
        <v>250</v>
      </c>
      <c r="E1954" t="s">
        <v>2164</v>
      </c>
      <c r="F1954">
        <v>250</v>
      </c>
      <c r="G1954" s="1">
        <v>45176</v>
      </c>
      <c r="H1954" s="6">
        <f t="shared" si="60"/>
        <v>21.010416666666874</v>
      </c>
      <c r="I1954" s="7">
        <f t="shared" si="61"/>
        <v>21.010416666666874</v>
      </c>
    </row>
    <row r="1955" spans="1:9" x14ac:dyDescent="0.2">
      <c r="A1955" t="s">
        <v>2165</v>
      </c>
      <c r="B1955">
        <v>4.3005000000000004</v>
      </c>
      <c r="C1955">
        <v>6.0240000000000002E-2</v>
      </c>
      <c r="D1955">
        <v>250</v>
      </c>
      <c r="E1955" t="s">
        <v>2165</v>
      </c>
      <c r="F1955">
        <v>250</v>
      </c>
      <c r="G1955" s="1">
        <v>45176</v>
      </c>
      <c r="H1955" s="6">
        <f t="shared" si="60"/>
        <v>21.020833333333542</v>
      </c>
      <c r="I1955" s="7">
        <f t="shared" si="61"/>
        <v>21.020833333333542</v>
      </c>
    </row>
    <row r="1956" spans="1:9" x14ac:dyDescent="0.2">
      <c r="A1956" t="s">
        <v>2166</v>
      </c>
      <c r="B1956">
        <v>4.3224999999999998</v>
      </c>
      <c r="C1956">
        <v>6.055E-2</v>
      </c>
      <c r="D1956">
        <v>250</v>
      </c>
      <c r="E1956" t="s">
        <v>2166</v>
      </c>
      <c r="F1956">
        <v>250</v>
      </c>
      <c r="G1956" s="1">
        <v>45176</v>
      </c>
      <c r="H1956" s="6">
        <f t="shared" si="60"/>
        <v>21.03125000000021</v>
      </c>
      <c r="I1956" s="7">
        <f t="shared" si="61"/>
        <v>21.03125000000021</v>
      </c>
    </row>
    <row r="1957" spans="1:9" x14ac:dyDescent="0.2">
      <c r="A1957" t="s">
        <v>2167</v>
      </c>
      <c r="B1957">
        <v>4.3205</v>
      </c>
      <c r="C1957">
        <v>6.0525000000000002E-2</v>
      </c>
      <c r="D1957">
        <v>250</v>
      </c>
      <c r="E1957" t="s">
        <v>2167</v>
      </c>
      <c r="F1957">
        <v>250</v>
      </c>
      <c r="G1957" s="1">
        <v>45176</v>
      </c>
      <c r="H1957" s="6">
        <f t="shared" si="60"/>
        <v>21.041666666666877</v>
      </c>
      <c r="I1957" s="7">
        <f t="shared" si="61"/>
        <v>21.041666666666877</v>
      </c>
    </row>
    <row r="1958" spans="1:9" x14ac:dyDescent="0.2">
      <c r="A1958" t="s">
        <v>2168</v>
      </c>
      <c r="B1958">
        <v>4.3354999999999997</v>
      </c>
      <c r="C1958">
        <v>6.0745E-2</v>
      </c>
      <c r="D1958">
        <v>250</v>
      </c>
      <c r="E1958" t="s">
        <v>2168</v>
      </c>
      <c r="F1958">
        <v>250</v>
      </c>
      <c r="G1958" s="1">
        <v>45176</v>
      </c>
      <c r="H1958" s="6">
        <f t="shared" si="60"/>
        <v>21.052083333333545</v>
      </c>
      <c r="I1958" s="7">
        <f t="shared" si="61"/>
        <v>21.052083333333545</v>
      </c>
    </row>
    <row r="1959" spans="1:9" x14ac:dyDescent="0.2">
      <c r="A1959" t="s">
        <v>2169</v>
      </c>
      <c r="B1959">
        <v>4.34</v>
      </c>
      <c r="C1959">
        <v>6.0775000000000003E-2</v>
      </c>
      <c r="D1959">
        <v>250</v>
      </c>
      <c r="E1959" t="s">
        <v>2169</v>
      </c>
      <c r="F1959">
        <v>250</v>
      </c>
      <c r="G1959" s="1">
        <v>45176</v>
      </c>
      <c r="H1959" s="6">
        <f t="shared" si="60"/>
        <v>21.062500000000213</v>
      </c>
      <c r="I1959" s="7">
        <f t="shared" si="61"/>
        <v>21.062500000000213</v>
      </c>
    </row>
    <row r="1960" spans="1:9" x14ac:dyDescent="0.2">
      <c r="A1960" t="s">
        <v>2170</v>
      </c>
      <c r="B1960">
        <v>4.3585000000000003</v>
      </c>
      <c r="C1960">
        <v>6.1054999999999998E-2</v>
      </c>
      <c r="D1960">
        <v>250</v>
      </c>
      <c r="E1960" t="s">
        <v>2170</v>
      </c>
      <c r="F1960">
        <v>250</v>
      </c>
      <c r="G1960" s="1">
        <v>45176</v>
      </c>
      <c r="H1960" s="6">
        <f t="shared" si="60"/>
        <v>21.072916666666881</v>
      </c>
      <c r="I1960" s="7">
        <f t="shared" si="61"/>
        <v>21.072916666666881</v>
      </c>
    </row>
    <row r="1961" spans="1:9" x14ac:dyDescent="0.2">
      <c r="A1961" t="s">
        <v>2171</v>
      </c>
      <c r="B1961">
        <v>4.3390000000000004</v>
      </c>
      <c r="C1961">
        <v>6.0769999999999998E-2</v>
      </c>
      <c r="D1961">
        <v>250</v>
      </c>
      <c r="E1961" t="s">
        <v>2171</v>
      </c>
      <c r="F1961">
        <v>250</v>
      </c>
      <c r="G1961" s="1">
        <v>45176</v>
      </c>
      <c r="H1961" s="6">
        <f t="shared" si="60"/>
        <v>21.083333333333549</v>
      </c>
      <c r="I1961" s="7">
        <f t="shared" si="61"/>
        <v>21.083333333333549</v>
      </c>
    </row>
    <row r="1962" spans="1:9" x14ac:dyDescent="0.2">
      <c r="A1962" t="s">
        <v>2172</v>
      </c>
      <c r="B1962">
        <v>4.3685</v>
      </c>
      <c r="C1962">
        <v>6.1179999999999998E-2</v>
      </c>
      <c r="D1962">
        <v>250</v>
      </c>
      <c r="E1962" t="s">
        <v>2172</v>
      </c>
      <c r="F1962">
        <v>250</v>
      </c>
      <c r="G1962" s="1">
        <v>45176</v>
      </c>
      <c r="H1962" s="6">
        <f t="shared" si="60"/>
        <v>21.093750000000217</v>
      </c>
      <c r="I1962" s="7">
        <f t="shared" si="61"/>
        <v>21.093750000000217</v>
      </c>
    </row>
    <row r="1963" spans="1:9" x14ac:dyDescent="0.2">
      <c r="A1963" t="s">
        <v>2173</v>
      </c>
      <c r="B1963">
        <v>4.3540000000000001</v>
      </c>
      <c r="C1963">
        <v>6.0995000000000001E-2</v>
      </c>
      <c r="D1963">
        <v>250</v>
      </c>
      <c r="E1963" t="s">
        <v>2173</v>
      </c>
      <c r="F1963">
        <v>250</v>
      </c>
      <c r="G1963" s="1">
        <v>45176</v>
      </c>
      <c r="H1963" s="6">
        <f t="shared" si="60"/>
        <v>21.104166666666885</v>
      </c>
      <c r="I1963" s="7">
        <f t="shared" si="61"/>
        <v>21.104166666666885</v>
      </c>
    </row>
    <row r="1964" spans="1:9" x14ac:dyDescent="0.2">
      <c r="A1964" t="s">
        <v>2174</v>
      </c>
      <c r="B1964">
        <v>4.3665000000000003</v>
      </c>
      <c r="C1964">
        <v>6.1144999999999998E-2</v>
      </c>
      <c r="D1964">
        <v>250</v>
      </c>
      <c r="E1964" t="s">
        <v>2174</v>
      </c>
      <c r="F1964">
        <v>250</v>
      </c>
      <c r="G1964" s="1">
        <v>45176</v>
      </c>
      <c r="H1964" s="6">
        <f t="shared" si="60"/>
        <v>21.114583333333552</v>
      </c>
      <c r="I1964" s="7">
        <f t="shared" si="61"/>
        <v>21.114583333333552</v>
      </c>
    </row>
    <row r="1965" spans="1:9" x14ac:dyDescent="0.2">
      <c r="A1965" t="s">
        <v>2175</v>
      </c>
      <c r="B1965">
        <v>4.3445</v>
      </c>
      <c r="C1965" s="2" t="s">
        <v>1760</v>
      </c>
      <c r="D1965">
        <v>250</v>
      </c>
      <c r="E1965" t="s">
        <v>2175</v>
      </c>
      <c r="F1965">
        <v>250</v>
      </c>
      <c r="G1965" s="1">
        <v>45176</v>
      </c>
      <c r="H1965" s="6">
        <f t="shared" si="60"/>
        <v>21.12500000000022</v>
      </c>
      <c r="I1965" s="7">
        <f t="shared" si="61"/>
        <v>21.12500000000022</v>
      </c>
    </row>
    <row r="1966" spans="1:9" x14ac:dyDescent="0.2">
      <c r="A1966" t="s">
        <v>2176</v>
      </c>
      <c r="B1966">
        <v>4.3535000000000004</v>
      </c>
      <c r="C1966">
        <v>6.0979999999999999E-2</v>
      </c>
      <c r="D1966">
        <v>250</v>
      </c>
      <c r="E1966" t="s">
        <v>2176</v>
      </c>
      <c r="F1966">
        <v>250</v>
      </c>
      <c r="G1966" s="1">
        <v>45176</v>
      </c>
      <c r="H1966" s="6">
        <f t="shared" si="60"/>
        <v>21.135416666666888</v>
      </c>
      <c r="I1966" s="7">
        <f t="shared" si="61"/>
        <v>21.135416666666888</v>
      </c>
    </row>
    <row r="1967" spans="1:9" x14ac:dyDescent="0.2">
      <c r="A1967" t="s">
        <v>2177</v>
      </c>
      <c r="B1967">
        <v>4.3654999999999999</v>
      </c>
      <c r="C1967">
        <v>6.1135000000000002E-2</v>
      </c>
      <c r="D1967">
        <v>250</v>
      </c>
      <c r="E1967" t="s">
        <v>2177</v>
      </c>
      <c r="F1967">
        <v>250</v>
      </c>
      <c r="G1967" s="1">
        <v>45176</v>
      </c>
      <c r="H1967" s="6">
        <f t="shared" si="60"/>
        <v>21.145833333333556</v>
      </c>
      <c r="I1967" s="7">
        <f t="shared" si="61"/>
        <v>21.145833333333556</v>
      </c>
    </row>
    <row r="1968" spans="1:9" x14ac:dyDescent="0.2">
      <c r="A1968" t="s">
        <v>2178</v>
      </c>
      <c r="B1968">
        <v>4.3514999999999997</v>
      </c>
      <c r="C1968">
        <v>6.0940000000000001E-2</v>
      </c>
      <c r="D1968">
        <v>250</v>
      </c>
      <c r="E1968" t="s">
        <v>2178</v>
      </c>
      <c r="F1968">
        <v>250</v>
      </c>
      <c r="G1968" s="1">
        <v>45176</v>
      </c>
      <c r="H1968" s="6">
        <f t="shared" si="60"/>
        <v>21.156250000000224</v>
      </c>
      <c r="I1968" s="7">
        <f t="shared" si="61"/>
        <v>21.156250000000224</v>
      </c>
    </row>
    <row r="1969" spans="1:9" x14ac:dyDescent="0.2">
      <c r="A1969" t="s">
        <v>2179</v>
      </c>
      <c r="B1969">
        <v>4.3659999999999997</v>
      </c>
      <c r="C1969">
        <v>6.114E-2</v>
      </c>
      <c r="D1969">
        <v>250</v>
      </c>
      <c r="E1969" t="s">
        <v>2179</v>
      </c>
      <c r="F1969">
        <v>250</v>
      </c>
      <c r="G1969" s="1">
        <v>45176</v>
      </c>
      <c r="H1969" s="6">
        <f t="shared" si="60"/>
        <v>21.166666666666892</v>
      </c>
      <c r="I1969" s="7">
        <f t="shared" si="61"/>
        <v>21.166666666666892</v>
      </c>
    </row>
    <row r="1970" spans="1:9" x14ac:dyDescent="0.2">
      <c r="A1970" t="s">
        <v>2180</v>
      </c>
      <c r="B1970">
        <v>4.3369999999999997</v>
      </c>
      <c r="C1970">
        <v>6.0760000000000002E-2</v>
      </c>
      <c r="D1970">
        <v>250</v>
      </c>
      <c r="E1970" t="s">
        <v>2180</v>
      </c>
      <c r="F1970">
        <v>250</v>
      </c>
      <c r="G1970" s="1">
        <v>45176</v>
      </c>
      <c r="H1970" s="6">
        <f t="shared" si="60"/>
        <v>21.17708333333356</v>
      </c>
      <c r="I1970" s="7">
        <f t="shared" si="61"/>
        <v>21.17708333333356</v>
      </c>
    </row>
    <row r="1971" spans="1:9" x14ac:dyDescent="0.2">
      <c r="A1971" t="s">
        <v>2181</v>
      </c>
      <c r="B1971">
        <v>4.3360000000000003</v>
      </c>
      <c r="C1971">
        <v>6.0745E-2</v>
      </c>
      <c r="D1971">
        <v>250</v>
      </c>
      <c r="E1971" t="s">
        <v>2181</v>
      </c>
      <c r="F1971">
        <v>250</v>
      </c>
      <c r="G1971" s="1">
        <v>45176</v>
      </c>
      <c r="H1971" s="6">
        <f t="shared" si="60"/>
        <v>21.187500000000227</v>
      </c>
      <c r="I1971" s="7">
        <f t="shared" si="61"/>
        <v>21.187500000000227</v>
      </c>
    </row>
    <row r="1972" spans="1:9" x14ac:dyDescent="0.2">
      <c r="A1972" t="s">
        <v>2182</v>
      </c>
      <c r="B1972">
        <v>4.3209999999999997</v>
      </c>
      <c r="C1972">
        <v>6.0519999999999997E-2</v>
      </c>
      <c r="D1972">
        <v>250</v>
      </c>
      <c r="E1972" t="s">
        <v>2182</v>
      </c>
      <c r="F1972">
        <v>250</v>
      </c>
      <c r="G1972" s="1">
        <v>45176</v>
      </c>
      <c r="H1972" s="6">
        <f t="shared" si="60"/>
        <v>21.197916666666895</v>
      </c>
      <c r="I1972" s="7">
        <f t="shared" si="61"/>
        <v>21.197916666666895</v>
      </c>
    </row>
    <row r="1973" spans="1:9" x14ac:dyDescent="0.2">
      <c r="A1973" t="s">
        <v>2183</v>
      </c>
      <c r="B1973">
        <v>4.3494999999999999</v>
      </c>
      <c r="C1973" s="2" t="s">
        <v>2184</v>
      </c>
      <c r="D1973">
        <v>250</v>
      </c>
      <c r="E1973" t="s">
        <v>2183</v>
      </c>
      <c r="F1973">
        <v>250</v>
      </c>
      <c r="G1973" s="1">
        <v>45176</v>
      </c>
      <c r="H1973" s="6">
        <f t="shared" si="60"/>
        <v>21.208333333333563</v>
      </c>
      <c r="I1973" s="7">
        <f t="shared" si="61"/>
        <v>21.208333333333563</v>
      </c>
    </row>
    <row r="1974" spans="1:9" x14ac:dyDescent="0.2">
      <c r="A1974" t="s">
        <v>2185</v>
      </c>
      <c r="B1974">
        <v>4.3280000000000003</v>
      </c>
      <c r="C1974">
        <v>6.062E-2</v>
      </c>
      <c r="D1974">
        <v>250</v>
      </c>
      <c r="E1974" t="s">
        <v>2185</v>
      </c>
      <c r="F1974">
        <v>250</v>
      </c>
      <c r="G1974" s="1">
        <v>45176</v>
      </c>
      <c r="H1974" s="6">
        <f t="shared" si="60"/>
        <v>21.218750000000231</v>
      </c>
      <c r="I1974" s="7">
        <f t="shared" si="61"/>
        <v>21.218750000000231</v>
      </c>
    </row>
    <row r="1975" spans="1:9" x14ac:dyDescent="0.2">
      <c r="A1975" t="s">
        <v>2186</v>
      </c>
      <c r="B1975">
        <v>4.3259999999999996</v>
      </c>
      <c r="C1975">
        <v>6.0589999999999998E-2</v>
      </c>
      <c r="D1975">
        <v>250</v>
      </c>
      <c r="E1975" t="s">
        <v>2186</v>
      </c>
      <c r="F1975">
        <v>250</v>
      </c>
      <c r="G1975" s="1">
        <v>45176</v>
      </c>
      <c r="H1975" s="6">
        <f t="shared" si="60"/>
        <v>21.229166666666899</v>
      </c>
      <c r="I1975" s="7">
        <f t="shared" si="61"/>
        <v>21.229166666666899</v>
      </c>
    </row>
    <row r="1976" spans="1:9" x14ac:dyDescent="0.2">
      <c r="A1976" t="s">
        <v>2187</v>
      </c>
      <c r="B1976">
        <v>4.3010000000000002</v>
      </c>
      <c r="C1976">
        <v>6.0249999999999998E-2</v>
      </c>
      <c r="D1976">
        <v>250</v>
      </c>
      <c r="E1976" t="s">
        <v>2187</v>
      </c>
      <c r="F1976">
        <v>250</v>
      </c>
      <c r="G1976" s="1">
        <v>45176</v>
      </c>
      <c r="H1976" s="6">
        <f t="shared" si="60"/>
        <v>21.239583333333567</v>
      </c>
      <c r="I1976" s="7">
        <f t="shared" si="61"/>
        <v>21.239583333333567</v>
      </c>
    </row>
    <row r="1977" spans="1:9" x14ac:dyDescent="0.2">
      <c r="A1977" t="s">
        <v>2188</v>
      </c>
      <c r="B1977">
        <v>4.3220000000000001</v>
      </c>
      <c r="C1977">
        <v>6.0569999999999999E-2</v>
      </c>
      <c r="D1977">
        <v>250</v>
      </c>
      <c r="E1977" t="s">
        <v>2188</v>
      </c>
      <c r="F1977">
        <v>250</v>
      </c>
      <c r="G1977" s="1">
        <v>45176</v>
      </c>
      <c r="H1977" s="6">
        <f t="shared" si="60"/>
        <v>21.250000000000234</v>
      </c>
      <c r="I1977" s="7">
        <f t="shared" si="61"/>
        <v>21.250000000000234</v>
      </c>
    </row>
    <row r="1978" spans="1:9" x14ac:dyDescent="0.2">
      <c r="A1978" t="s">
        <v>2189</v>
      </c>
      <c r="B1978">
        <v>4.3129999999999997</v>
      </c>
      <c r="C1978" s="2" t="s">
        <v>577</v>
      </c>
      <c r="D1978">
        <v>250</v>
      </c>
      <c r="E1978" t="s">
        <v>2189</v>
      </c>
      <c r="F1978">
        <v>250</v>
      </c>
      <c r="G1978" s="1">
        <v>45176</v>
      </c>
      <c r="H1978" s="6">
        <f t="shared" si="60"/>
        <v>21.260416666666902</v>
      </c>
      <c r="I1978" s="7">
        <f t="shared" si="61"/>
        <v>21.260416666666902</v>
      </c>
    </row>
    <row r="1979" spans="1:9" x14ac:dyDescent="0.2">
      <c r="A1979" t="s">
        <v>2190</v>
      </c>
      <c r="B1979">
        <v>4.3280000000000003</v>
      </c>
      <c r="C1979">
        <v>6.0639999999999999E-2</v>
      </c>
      <c r="D1979">
        <v>250</v>
      </c>
      <c r="E1979" t="s">
        <v>2190</v>
      </c>
      <c r="F1979">
        <v>250</v>
      </c>
      <c r="G1979" s="1">
        <v>45176</v>
      </c>
      <c r="H1979" s="6">
        <f t="shared" si="60"/>
        <v>21.27083333333357</v>
      </c>
      <c r="I1979" s="7">
        <f t="shared" si="61"/>
        <v>21.27083333333357</v>
      </c>
    </row>
    <row r="1980" spans="1:9" x14ac:dyDescent="0.2">
      <c r="A1980" t="s">
        <v>2191</v>
      </c>
      <c r="B1980">
        <v>4.2854999999999999</v>
      </c>
      <c r="C1980">
        <v>6.0034999999999998E-2</v>
      </c>
      <c r="D1980">
        <v>250</v>
      </c>
      <c r="E1980" t="s">
        <v>2191</v>
      </c>
      <c r="F1980">
        <v>250</v>
      </c>
      <c r="G1980" s="1">
        <v>45176</v>
      </c>
      <c r="H1980" s="6">
        <f t="shared" si="60"/>
        <v>21.281250000000238</v>
      </c>
      <c r="I1980" s="7">
        <f t="shared" si="61"/>
        <v>21.281250000000238</v>
      </c>
    </row>
    <row r="1981" spans="1:9" x14ac:dyDescent="0.2">
      <c r="A1981" t="s">
        <v>2192</v>
      </c>
      <c r="B1981">
        <v>4.3055000000000003</v>
      </c>
      <c r="C1981">
        <v>6.0304999999999997E-2</v>
      </c>
      <c r="D1981">
        <v>250</v>
      </c>
      <c r="E1981" t="s">
        <v>2192</v>
      </c>
      <c r="F1981">
        <v>250</v>
      </c>
      <c r="G1981" s="1">
        <v>45176</v>
      </c>
      <c r="H1981" s="6">
        <f t="shared" si="60"/>
        <v>21.291666666666906</v>
      </c>
      <c r="I1981" s="7">
        <f t="shared" si="61"/>
        <v>21.291666666666906</v>
      </c>
    </row>
    <row r="1982" spans="1:9" x14ac:dyDescent="0.2">
      <c r="A1982" t="s">
        <v>2193</v>
      </c>
      <c r="B1982">
        <v>4.29</v>
      </c>
      <c r="C1982">
        <v>6.0104999999999999E-2</v>
      </c>
      <c r="D1982">
        <v>250</v>
      </c>
      <c r="E1982" t="s">
        <v>2193</v>
      </c>
      <c r="F1982">
        <v>250</v>
      </c>
      <c r="G1982" s="1">
        <v>45176</v>
      </c>
      <c r="H1982" s="6">
        <f t="shared" si="60"/>
        <v>21.302083333333574</v>
      </c>
      <c r="I1982" s="7">
        <f t="shared" si="61"/>
        <v>21.302083333333574</v>
      </c>
    </row>
    <row r="1983" spans="1:9" x14ac:dyDescent="0.2">
      <c r="A1983" t="s">
        <v>2194</v>
      </c>
      <c r="B1983">
        <v>4.2605000000000004</v>
      </c>
      <c r="C1983">
        <v>5.9679999999999997E-2</v>
      </c>
      <c r="D1983">
        <v>250</v>
      </c>
      <c r="E1983" t="s">
        <v>2194</v>
      </c>
      <c r="F1983">
        <v>250</v>
      </c>
      <c r="G1983" s="1">
        <v>45176</v>
      </c>
      <c r="H1983" s="6">
        <f t="shared" si="60"/>
        <v>21.312500000000242</v>
      </c>
      <c r="I1983" s="7">
        <f t="shared" si="61"/>
        <v>21.312500000000242</v>
      </c>
    </row>
    <row r="1984" spans="1:9" x14ac:dyDescent="0.2">
      <c r="A1984" t="s">
        <v>2195</v>
      </c>
      <c r="B1984">
        <v>4.2685000000000004</v>
      </c>
      <c r="C1984">
        <v>5.9790000000000003E-2</v>
      </c>
      <c r="D1984">
        <v>250</v>
      </c>
      <c r="E1984" t="s">
        <v>2195</v>
      </c>
      <c r="F1984">
        <v>250</v>
      </c>
      <c r="G1984" s="1">
        <v>45176</v>
      </c>
      <c r="H1984" s="6">
        <f t="shared" si="60"/>
        <v>21.322916666666909</v>
      </c>
      <c r="I1984" s="7">
        <f t="shared" si="61"/>
        <v>21.322916666666909</v>
      </c>
    </row>
    <row r="1985" spans="1:9" x14ac:dyDescent="0.2">
      <c r="A1985" t="s">
        <v>2196</v>
      </c>
      <c r="B1985">
        <v>4.2350000000000003</v>
      </c>
      <c r="C1985">
        <v>5.9310000000000002E-2</v>
      </c>
      <c r="D1985">
        <v>250</v>
      </c>
      <c r="E1985" t="s">
        <v>2196</v>
      </c>
      <c r="F1985">
        <v>250</v>
      </c>
      <c r="G1985" s="1">
        <v>45176</v>
      </c>
      <c r="H1985" s="6">
        <f t="shared" si="60"/>
        <v>21.333333333333577</v>
      </c>
      <c r="I1985" s="7">
        <f t="shared" si="61"/>
        <v>21.333333333333577</v>
      </c>
    </row>
    <row r="1986" spans="1:9" x14ac:dyDescent="0.2">
      <c r="A1986" t="s">
        <v>2197</v>
      </c>
      <c r="B1986">
        <v>4.2445000000000004</v>
      </c>
      <c r="C1986">
        <v>5.9475E-2</v>
      </c>
      <c r="D1986">
        <v>250</v>
      </c>
      <c r="E1986" t="s">
        <v>2197</v>
      </c>
      <c r="F1986">
        <v>250</v>
      </c>
      <c r="G1986" s="1">
        <v>45176</v>
      </c>
      <c r="H1986" s="6">
        <f t="shared" si="60"/>
        <v>21.343750000000245</v>
      </c>
      <c r="I1986" s="7">
        <f t="shared" si="61"/>
        <v>21.343750000000245</v>
      </c>
    </row>
    <row r="1987" spans="1:9" x14ac:dyDescent="0.2">
      <c r="A1987" t="s">
        <v>2198</v>
      </c>
      <c r="B1987">
        <v>4.2240000000000002</v>
      </c>
      <c r="C1987">
        <v>5.917E-2</v>
      </c>
      <c r="D1987">
        <v>250</v>
      </c>
      <c r="E1987" t="s">
        <v>2198</v>
      </c>
      <c r="F1987">
        <v>250</v>
      </c>
      <c r="G1987" s="1">
        <v>45176</v>
      </c>
      <c r="H1987" s="6">
        <f t="shared" ref="H1987:H2050" si="62">H1986+$K$1</f>
        <v>21.354166666666913</v>
      </c>
      <c r="I1987" s="7">
        <f t="shared" ref="I1987:I2050" si="63">I1986+$K$1</f>
        <v>21.354166666666913</v>
      </c>
    </row>
    <row r="1988" spans="1:9" x14ac:dyDescent="0.2">
      <c r="A1988" t="s">
        <v>2199</v>
      </c>
      <c r="B1988">
        <v>4.1840000000000002</v>
      </c>
      <c r="C1988">
        <v>5.8610000000000002E-2</v>
      </c>
      <c r="D1988">
        <v>250</v>
      </c>
      <c r="E1988" t="s">
        <v>2199</v>
      </c>
      <c r="F1988">
        <v>250</v>
      </c>
      <c r="G1988" s="1">
        <v>45176</v>
      </c>
      <c r="H1988" s="6">
        <f t="shared" si="62"/>
        <v>21.364583333333581</v>
      </c>
      <c r="I1988" s="7">
        <f t="shared" si="63"/>
        <v>21.364583333333581</v>
      </c>
    </row>
    <row r="1989" spans="1:9" x14ac:dyDescent="0.2">
      <c r="A1989" t="s">
        <v>2200</v>
      </c>
      <c r="B1989">
        <v>4.1829999999999998</v>
      </c>
      <c r="C1989">
        <v>5.8595000000000001E-2</v>
      </c>
      <c r="D1989">
        <v>250</v>
      </c>
      <c r="E1989" t="s">
        <v>2200</v>
      </c>
      <c r="F1989">
        <v>250</v>
      </c>
      <c r="G1989" s="1">
        <v>45176</v>
      </c>
      <c r="H1989" s="6">
        <f t="shared" si="62"/>
        <v>21.375000000000249</v>
      </c>
      <c r="I1989" s="7">
        <f t="shared" si="63"/>
        <v>21.375000000000249</v>
      </c>
    </row>
    <row r="1990" spans="1:9" x14ac:dyDescent="0.2">
      <c r="A1990" t="s">
        <v>2201</v>
      </c>
      <c r="B1990">
        <v>4.1340000000000003</v>
      </c>
      <c r="C1990">
        <v>5.7895000000000002E-2</v>
      </c>
      <c r="D1990">
        <v>250</v>
      </c>
      <c r="E1990" t="s">
        <v>2201</v>
      </c>
      <c r="F1990">
        <v>250</v>
      </c>
      <c r="G1990" s="1">
        <v>45176</v>
      </c>
      <c r="H1990" s="6">
        <f t="shared" si="62"/>
        <v>21.385416666666917</v>
      </c>
      <c r="I1990" s="7">
        <f t="shared" si="63"/>
        <v>21.385416666666917</v>
      </c>
    </row>
    <row r="1991" spans="1:9" x14ac:dyDescent="0.2">
      <c r="A1991" t="s">
        <v>2202</v>
      </c>
      <c r="B1991" s="2" t="s">
        <v>1109</v>
      </c>
      <c r="C1991">
        <v>5.7375000000000002E-2</v>
      </c>
      <c r="D1991">
        <v>250</v>
      </c>
      <c r="E1991" t="s">
        <v>2202</v>
      </c>
      <c r="F1991">
        <v>250</v>
      </c>
      <c r="G1991" s="1">
        <v>45176</v>
      </c>
      <c r="H1991" s="6">
        <f t="shared" si="62"/>
        <v>21.395833333333584</v>
      </c>
      <c r="I1991" s="7">
        <f t="shared" si="63"/>
        <v>21.395833333333584</v>
      </c>
    </row>
    <row r="1992" spans="1:9" x14ac:dyDescent="0.2">
      <c r="A1992" t="s">
        <v>2203</v>
      </c>
      <c r="B1992">
        <v>4.0445000000000002</v>
      </c>
      <c r="C1992">
        <v>5.6649999999999999E-2</v>
      </c>
      <c r="D1992">
        <v>250</v>
      </c>
      <c r="E1992" t="s">
        <v>2203</v>
      </c>
      <c r="F1992">
        <v>250</v>
      </c>
      <c r="G1992" s="1">
        <v>45176</v>
      </c>
      <c r="H1992" s="6">
        <f t="shared" si="62"/>
        <v>21.406250000000252</v>
      </c>
      <c r="I1992" s="7">
        <f t="shared" si="63"/>
        <v>21.406250000000252</v>
      </c>
    </row>
    <row r="1993" spans="1:9" x14ac:dyDescent="0.2">
      <c r="A1993" t="s">
        <v>2204</v>
      </c>
      <c r="B1993">
        <v>3.9649999999999999</v>
      </c>
      <c r="C1993">
        <v>5.5550000000000002E-2</v>
      </c>
      <c r="D1993">
        <v>250</v>
      </c>
      <c r="E1993" t="s">
        <v>2204</v>
      </c>
      <c r="F1993">
        <v>250</v>
      </c>
      <c r="G1993" s="1">
        <v>45176</v>
      </c>
      <c r="H1993" s="6">
        <f t="shared" si="62"/>
        <v>21.41666666666692</v>
      </c>
      <c r="I1993" s="7">
        <f t="shared" si="63"/>
        <v>21.41666666666692</v>
      </c>
    </row>
    <row r="1994" spans="1:9" x14ac:dyDescent="0.2">
      <c r="A1994" t="s">
        <v>2205</v>
      </c>
      <c r="B1994">
        <v>3.9464999999999999</v>
      </c>
      <c r="C1994">
        <v>5.5265000000000002E-2</v>
      </c>
      <c r="D1994">
        <v>250</v>
      </c>
      <c r="E1994" t="s">
        <v>2205</v>
      </c>
      <c r="F1994">
        <v>250</v>
      </c>
      <c r="G1994" s="1">
        <v>45176</v>
      </c>
      <c r="H1994" s="6">
        <f t="shared" si="62"/>
        <v>21.427083333333588</v>
      </c>
      <c r="I1994" s="7">
        <f t="shared" si="63"/>
        <v>21.427083333333588</v>
      </c>
    </row>
    <row r="1995" spans="1:9" x14ac:dyDescent="0.2">
      <c r="A1995" t="s">
        <v>2206</v>
      </c>
      <c r="B1995">
        <v>3.9239999999999999</v>
      </c>
      <c r="C1995">
        <v>5.4945000000000001E-2</v>
      </c>
      <c r="D1995">
        <v>250</v>
      </c>
      <c r="E1995" t="s">
        <v>2206</v>
      </c>
      <c r="F1995">
        <v>250</v>
      </c>
      <c r="G1995" s="1">
        <v>45176</v>
      </c>
      <c r="H1995" s="6">
        <f t="shared" si="62"/>
        <v>21.437500000000256</v>
      </c>
      <c r="I1995" s="7">
        <f t="shared" si="63"/>
        <v>21.437500000000256</v>
      </c>
    </row>
    <row r="1996" spans="1:9" x14ac:dyDescent="0.2">
      <c r="A1996" t="s">
        <v>2207</v>
      </c>
      <c r="B1996">
        <v>3.8275000000000001</v>
      </c>
      <c r="C1996">
        <v>5.3620000000000001E-2</v>
      </c>
      <c r="D1996">
        <v>250</v>
      </c>
      <c r="E1996" t="s">
        <v>2207</v>
      </c>
      <c r="F1996">
        <v>250</v>
      </c>
      <c r="G1996" s="1">
        <v>45176</v>
      </c>
      <c r="H1996" s="6">
        <f t="shared" si="62"/>
        <v>21.447916666666924</v>
      </c>
      <c r="I1996" s="7">
        <f t="shared" si="63"/>
        <v>21.447916666666924</v>
      </c>
    </row>
    <row r="1997" spans="1:9" x14ac:dyDescent="0.2">
      <c r="A1997" t="s">
        <v>2208</v>
      </c>
      <c r="B1997">
        <v>3.84</v>
      </c>
      <c r="C1997">
        <v>5.3780000000000001E-2</v>
      </c>
      <c r="D1997">
        <v>250</v>
      </c>
      <c r="E1997" t="s">
        <v>2208</v>
      </c>
      <c r="F1997">
        <v>250</v>
      </c>
      <c r="G1997" s="1">
        <v>45176</v>
      </c>
      <c r="H1997" s="6">
        <f t="shared" si="62"/>
        <v>21.458333333333591</v>
      </c>
      <c r="I1997" s="7">
        <f t="shared" si="63"/>
        <v>21.458333333333591</v>
      </c>
    </row>
    <row r="1998" spans="1:9" x14ac:dyDescent="0.2">
      <c r="A1998" t="s">
        <v>2209</v>
      </c>
      <c r="B1998">
        <v>3.7995000000000001</v>
      </c>
      <c r="C1998" s="2" t="s">
        <v>2210</v>
      </c>
      <c r="D1998">
        <v>250</v>
      </c>
      <c r="E1998" t="s">
        <v>2209</v>
      </c>
      <c r="F1998">
        <v>250</v>
      </c>
      <c r="G1998" s="1">
        <v>45176</v>
      </c>
      <c r="H1998" s="6">
        <f t="shared" si="62"/>
        <v>21.468750000000259</v>
      </c>
      <c r="I1998" s="7">
        <f t="shared" si="63"/>
        <v>21.468750000000259</v>
      </c>
    </row>
    <row r="1999" spans="1:9" x14ac:dyDescent="0.2">
      <c r="A1999" t="s">
        <v>2211</v>
      </c>
      <c r="B1999">
        <v>3.7589999999999999</v>
      </c>
      <c r="C1999" s="2" t="s">
        <v>1681</v>
      </c>
      <c r="D1999">
        <v>250</v>
      </c>
      <c r="E1999" t="s">
        <v>2211</v>
      </c>
      <c r="F1999">
        <v>250</v>
      </c>
      <c r="G1999" s="1">
        <v>45176</v>
      </c>
      <c r="H1999" s="6">
        <f t="shared" si="62"/>
        <v>21.479166666666927</v>
      </c>
      <c r="I1999" s="7">
        <f t="shared" si="63"/>
        <v>21.479166666666927</v>
      </c>
    </row>
    <row r="2000" spans="1:9" x14ac:dyDescent="0.2">
      <c r="A2000" t="s">
        <v>2212</v>
      </c>
      <c r="B2000">
        <v>3.74</v>
      </c>
      <c r="C2000">
        <v>5.2405E-2</v>
      </c>
      <c r="D2000">
        <v>250</v>
      </c>
      <c r="E2000" t="s">
        <v>2212</v>
      </c>
      <c r="F2000">
        <v>250</v>
      </c>
      <c r="G2000" s="1">
        <v>45176</v>
      </c>
      <c r="H2000" s="6">
        <f t="shared" si="62"/>
        <v>21.489583333333595</v>
      </c>
      <c r="I2000" s="7">
        <f t="shared" si="63"/>
        <v>21.489583333333595</v>
      </c>
    </row>
    <row r="2001" spans="1:9" x14ac:dyDescent="0.2">
      <c r="A2001" t="s">
        <v>2213</v>
      </c>
      <c r="B2001">
        <v>3.6749999999999998</v>
      </c>
      <c r="C2001">
        <v>5.1470000000000002E-2</v>
      </c>
      <c r="D2001">
        <v>250</v>
      </c>
      <c r="E2001" t="s">
        <v>2213</v>
      </c>
      <c r="F2001">
        <v>250</v>
      </c>
      <c r="G2001" s="1">
        <v>45176</v>
      </c>
      <c r="H2001" s="6">
        <f t="shared" si="62"/>
        <v>21.500000000000263</v>
      </c>
      <c r="I2001" s="7">
        <f t="shared" si="63"/>
        <v>21.500000000000263</v>
      </c>
    </row>
    <row r="2002" spans="1:9" x14ac:dyDescent="0.2">
      <c r="A2002" t="s">
        <v>2214</v>
      </c>
      <c r="B2002">
        <v>3.63</v>
      </c>
      <c r="C2002">
        <v>5.0849999999999999E-2</v>
      </c>
      <c r="D2002">
        <v>250</v>
      </c>
      <c r="E2002" t="s">
        <v>2214</v>
      </c>
      <c r="F2002">
        <v>250</v>
      </c>
      <c r="G2002" s="1">
        <v>45176</v>
      </c>
      <c r="H2002" s="6">
        <f t="shared" si="62"/>
        <v>21.510416666666931</v>
      </c>
      <c r="I2002" s="7">
        <f t="shared" si="63"/>
        <v>21.510416666666931</v>
      </c>
    </row>
    <row r="2003" spans="1:9" x14ac:dyDescent="0.2">
      <c r="A2003" t="s">
        <v>2215</v>
      </c>
      <c r="B2003">
        <v>3.6680000000000001</v>
      </c>
      <c r="C2003">
        <v>5.1365000000000001E-2</v>
      </c>
      <c r="D2003">
        <v>250</v>
      </c>
      <c r="E2003" t="s">
        <v>2215</v>
      </c>
      <c r="F2003">
        <v>250</v>
      </c>
      <c r="G2003" s="1">
        <v>45176</v>
      </c>
      <c r="H2003" s="6">
        <f t="shared" si="62"/>
        <v>21.520833333333599</v>
      </c>
      <c r="I2003" s="7">
        <f t="shared" si="63"/>
        <v>21.520833333333599</v>
      </c>
    </row>
    <row r="2004" spans="1:9" x14ac:dyDescent="0.2">
      <c r="A2004" t="s">
        <v>2216</v>
      </c>
      <c r="B2004">
        <v>3.621</v>
      </c>
      <c r="C2004">
        <v>5.0720000000000001E-2</v>
      </c>
      <c r="D2004">
        <v>250</v>
      </c>
      <c r="E2004" t="s">
        <v>2216</v>
      </c>
      <c r="F2004">
        <v>250</v>
      </c>
      <c r="G2004" s="1">
        <v>45176</v>
      </c>
      <c r="H2004" s="6">
        <f t="shared" si="62"/>
        <v>21.531250000000266</v>
      </c>
      <c r="I2004" s="7">
        <f t="shared" si="63"/>
        <v>21.531250000000266</v>
      </c>
    </row>
    <row r="2005" spans="1:9" x14ac:dyDescent="0.2">
      <c r="A2005" t="s">
        <v>2217</v>
      </c>
      <c r="B2005">
        <v>3.6375000000000002</v>
      </c>
      <c r="C2005">
        <v>5.0965000000000003E-2</v>
      </c>
      <c r="D2005">
        <v>250</v>
      </c>
      <c r="E2005" t="s">
        <v>2217</v>
      </c>
      <c r="F2005">
        <v>250</v>
      </c>
      <c r="G2005" s="1">
        <v>45176</v>
      </c>
      <c r="H2005" s="6">
        <f t="shared" si="62"/>
        <v>21.541666666666934</v>
      </c>
      <c r="I2005" s="7">
        <f t="shared" si="63"/>
        <v>21.541666666666934</v>
      </c>
    </row>
    <row r="2006" spans="1:9" x14ac:dyDescent="0.2">
      <c r="A2006" t="s">
        <v>2218</v>
      </c>
      <c r="B2006">
        <v>3.5975000000000001</v>
      </c>
      <c r="C2006">
        <v>5.0404999999999998E-2</v>
      </c>
      <c r="D2006">
        <v>250</v>
      </c>
      <c r="E2006" t="s">
        <v>2218</v>
      </c>
      <c r="F2006">
        <v>250</v>
      </c>
      <c r="G2006" s="1">
        <v>45176</v>
      </c>
      <c r="H2006" s="6">
        <f t="shared" si="62"/>
        <v>21.552083333333602</v>
      </c>
      <c r="I2006" s="7">
        <f t="shared" si="63"/>
        <v>21.552083333333602</v>
      </c>
    </row>
    <row r="2007" spans="1:9" x14ac:dyDescent="0.2">
      <c r="A2007" t="s">
        <v>2219</v>
      </c>
      <c r="B2007">
        <v>3.5594999999999999</v>
      </c>
      <c r="C2007">
        <v>4.9865E-2</v>
      </c>
      <c r="D2007">
        <v>250</v>
      </c>
      <c r="E2007" t="s">
        <v>2219</v>
      </c>
      <c r="F2007">
        <v>250</v>
      </c>
      <c r="G2007" s="1">
        <v>45176</v>
      </c>
      <c r="H2007" s="6">
        <f t="shared" si="62"/>
        <v>21.56250000000027</v>
      </c>
      <c r="I2007" s="7">
        <f t="shared" si="63"/>
        <v>21.56250000000027</v>
      </c>
    </row>
    <row r="2008" spans="1:9" x14ac:dyDescent="0.2">
      <c r="A2008" t="s">
        <v>2220</v>
      </c>
      <c r="B2008">
        <v>3.5474999999999999</v>
      </c>
      <c r="C2008">
        <v>4.9700000000000001E-2</v>
      </c>
      <c r="D2008">
        <v>250</v>
      </c>
      <c r="E2008" t="s">
        <v>2220</v>
      </c>
      <c r="F2008">
        <v>250</v>
      </c>
      <c r="G2008" s="1">
        <v>45176</v>
      </c>
      <c r="H2008" s="6">
        <f t="shared" si="62"/>
        <v>21.572916666666938</v>
      </c>
      <c r="I2008" s="7">
        <f t="shared" si="63"/>
        <v>21.572916666666938</v>
      </c>
    </row>
    <row r="2009" spans="1:9" x14ac:dyDescent="0.2">
      <c r="A2009" t="s">
        <v>2221</v>
      </c>
      <c r="B2009">
        <v>3.5735000000000001</v>
      </c>
      <c r="C2009">
        <v>5.0055000000000002E-2</v>
      </c>
      <c r="D2009">
        <v>250</v>
      </c>
      <c r="E2009" t="s">
        <v>2221</v>
      </c>
      <c r="F2009">
        <v>250</v>
      </c>
      <c r="G2009" s="1">
        <v>45176</v>
      </c>
      <c r="H2009" s="6">
        <f t="shared" si="62"/>
        <v>21.583333333333606</v>
      </c>
      <c r="I2009" s="7">
        <f t="shared" si="63"/>
        <v>21.583333333333606</v>
      </c>
    </row>
    <row r="2010" spans="1:9" x14ac:dyDescent="0.2">
      <c r="A2010" t="s">
        <v>2222</v>
      </c>
      <c r="B2010">
        <v>3.5430000000000001</v>
      </c>
      <c r="C2010">
        <v>4.9630000000000001E-2</v>
      </c>
      <c r="D2010">
        <v>250</v>
      </c>
      <c r="E2010" t="s">
        <v>2222</v>
      </c>
      <c r="F2010">
        <v>250</v>
      </c>
      <c r="G2010" s="1">
        <v>45176</v>
      </c>
      <c r="H2010" s="6">
        <f t="shared" si="62"/>
        <v>21.593750000000274</v>
      </c>
      <c r="I2010" s="7">
        <f t="shared" si="63"/>
        <v>21.593750000000274</v>
      </c>
    </row>
    <row r="2011" spans="1:9" x14ac:dyDescent="0.2">
      <c r="A2011" t="s">
        <v>2223</v>
      </c>
      <c r="B2011">
        <v>3.5455000000000001</v>
      </c>
      <c r="C2011">
        <v>4.9669999999999999E-2</v>
      </c>
      <c r="D2011">
        <v>250</v>
      </c>
      <c r="E2011" t="s">
        <v>2223</v>
      </c>
      <c r="F2011">
        <v>250</v>
      </c>
      <c r="G2011" s="1">
        <v>45176</v>
      </c>
      <c r="H2011" s="6">
        <f t="shared" si="62"/>
        <v>21.604166666666941</v>
      </c>
      <c r="I2011" s="7">
        <f t="shared" si="63"/>
        <v>21.604166666666941</v>
      </c>
    </row>
    <row r="2012" spans="1:9" x14ac:dyDescent="0.2">
      <c r="A2012" t="s">
        <v>2224</v>
      </c>
      <c r="B2012">
        <v>3.5680000000000001</v>
      </c>
      <c r="C2012">
        <v>4.9970000000000001E-2</v>
      </c>
      <c r="D2012">
        <v>250</v>
      </c>
      <c r="E2012" t="s">
        <v>2224</v>
      </c>
      <c r="F2012">
        <v>250</v>
      </c>
      <c r="G2012" s="1">
        <v>45176</v>
      </c>
      <c r="H2012" s="6">
        <f t="shared" si="62"/>
        <v>21.614583333333609</v>
      </c>
      <c r="I2012" s="7">
        <f t="shared" si="63"/>
        <v>21.614583333333609</v>
      </c>
    </row>
    <row r="2013" spans="1:9" x14ac:dyDescent="0.2">
      <c r="A2013" t="s">
        <v>2225</v>
      </c>
      <c r="B2013">
        <v>3.544</v>
      </c>
      <c r="C2013">
        <v>4.9654999999999998E-2</v>
      </c>
      <c r="D2013">
        <v>250</v>
      </c>
      <c r="E2013" t="s">
        <v>2225</v>
      </c>
      <c r="F2013">
        <v>250</v>
      </c>
      <c r="G2013" s="1">
        <v>45176</v>
      </c>
      <c r="H2013" s="6">
        <f t="shared" si="62"/>
        <v>21.625000000000277</v>
      </c>
      <c r="I2013" s="7">
        <f t="shared" si="63"/>
        <v>21.625000000000277</v>
      </c>
    </row>
    <row r="2014" spans="1:9" x14ac:dyDescent="0.2">
      <c r="A2014" t="s">
        <v>2226</v>
      </c>
      <c r="B2014">
        <v>3.5179999999999998</v>
      </c>
      <c r="C2014">
        <v>4.9265000000000003E-2</v>
      </c>
      <c r="D2014">
        <v>250</v>
      </c>
      <c r="E2014" t="s">
        <v>2226</v>
      </c>
      <c r="F2014">
        <v>250</v>
      </c>
      <c r="G2014" s="1">
        <v>45176</v>
      </c>
      <c r="H2014" s="6">
        <f t="shared" si="62"/>
        <v>21.635416666666945</v>
      </c>
      <c r="I2014" s="7">
        <f t="shared" si="63"/>
        <v>21.635416666666945</v>
      </c>
    </row>
    <row r="2015" spans="1:9" x14ac:dyDescent="0.2">
      <c r="A2015" t="s">
        <v>2227</v>
      </c>
      <c r="B2015">
        <v>3.548</v>
      </c>
      <c r="C2015">
        <v>4.9685E-2</v>
      </c>
      <c r="D2015">
        <v>250</v>
      </c>
      <c r="E2015" t="s">
        <v>2227</v>
      </c>
      <c r="F2015">
        <v>250</v>
      </c>
      <c r="G2015" s="1">
        <v>45176</v>
      </c>
      <c r="H2015" s="6">
        <f t="shared" si="62"/>
        <v>21.645833333333613</v>
      </c>
      <c r="I2015" s="7">
        <f t="shared" si="63"/>
        <v>21.645833333333613</v>
      </c>
    </row>
    <row r="2016" spans="1:9" x14ac:dyDescent="0.2">
      <c r="A2016" t="s">
        <v>2228</v>
      </c>
      <c r="B2016">
        <v>3.5760000000000001</v>
      </c>
      <c r="C2016">
        <v>5.0099999999999999E-2</v>
      </c>
      <c r="D2016">
        <v>250</v>
      </c>
      <c r="E2016" t="s">
        <v>2228</v>
      </c>
      <c r="F2016">
        <v>250</v>
      </c>
      <c r="G2016" s="1">
        <v>45176</v>
      </c>
      <c r="H2016" s="6">
        <f t="shared" si="62"/>
        <v>21.656250000000281</v>
      </c>
      <c r="I2016" s="7">
        <f t="shared" si="63"/>
        <v>21.656250000000281</v>
      </c>
    </row>
    <row r="2017" spans="1:9" x14ac:dyDescent="0.2">
      <c r="A2017" t="s">
        <v>2229</v>
      </c>
      <c r="B2017">
        <v>3.5550000000000002</v>
      </c>
      <c r="C2017">
        <v>4.9794999999999999E-2</v>
      </c>
      <c r="D2017">
        <v>250</v>
      </c>
      <c r="E2017" t="s">
        <v>2229</v>
      </c>
      <c r="F2017">
        <v>250</v>
      </c>
      <c r="G2017" s="1">
        <v>45176</v>
      </c>
      <c r="H2017" s="6">
        <f t="shared" si="62"/>
        <v>21.666666666666949</v>
      </c>
      <c r="I2017" s="7">
        <f t="shared" si="63"/>
        <v>21.666666666666949</v>
      </c>
    </row>
    <row r="2018" spans="1:9" x14ac:dyDescent="0.2">
      <c r="A2018" t="s">
        <v>2230</v>
      </c>
      <c r="B2018">
        <v>3.5884999999999998</v>
      </c>
      <c r="C2018">
        <v>5.0290000000000001E-2</v>
      </c>
      <c r="D2018">
        <v>250</v>
      </c>
      <c r="E2018" t="s">
        <v>2230</v>
      </c>
      <c r="F2018">
        <v>250</v>
      </c>
      <c r="G2018" s="1">
        <v>45176</v>
      </c>
      <c r="H2018" s="6">
        <f t="shared" si="62"/>
        <v>21.677083333333616</v>
      </c>
      <c r="I2018" s="7">
        <f t="shared" si="63"/>
        <v>21.677083333333616</v>
      </c>
    </row>
    <row r="2019" spans="1:9" x14ac:dyDescent="0.2">
      <c r="A2019" t="s">
        <v>2231</v>
      </c>
      <c r="B2019">
        <v>3.5924999999999998</v>
      </c>
      <c r="C2019">
        <v>5.0325000000000002E-2</v>
      </c>
      <c r="D2019">
        <v>250</v>
      </c>
      <c r="E2019" t="s">
        <v>2231</v>
      </c>
      <c r="F2019">
        <v>250</v>
      </c>
      <c r="G2019" s="1">
        <v>45176</v>
      </c>
      <c r="H2019" s="6">
        <f t="shared" si="62"/>
        <v>21.687500000000284</v>
      </c>
      <c r="I2019" s="7">
        <f t="shared" si="63"/>
        <v>21.687500000000284</v>
      </c>
    </row>
    <row r="2020" spans="1:9" x14ac:dyDescent="0.2">
      <c r="A2020" t="s">
        <v>2232</v>
      </c>
      <c r="B2020">
        <v>3.5914999999999999</v>
      </c>
      <c r="C2020">
        <v>5.0310000000000001E-2</v>
      </c>
      <c r="D2020">
        <v>250</v>
      </c>
      <c r="E2020" t="s">
        <v>2232</v>
      </c>
      <c r="F2020">
        <v>250</v>
      </c>
      <c r="G2020" s="1">
        <v>45176</v>
      </c>
      <c r="H2020" s="6">
        <f t="shared" si="62"/>
        <v>21.697916666666952</v>
      </c>
      <c r="I2020" s="7">
        <f t="shared" si="63"/>
        <v>21.697916666666952</v>
      </c>
    </row>
    <row r="2021" spans="1:9" x14ac:dyDescent="0.2">
      <c r="A2021" t="s">
        <v>2233</v>
      </c>
      <c r="B2021">
        <v>3.617</v>
      </c>
      <c r="C2021">
        <v>5.0665000000000002E-2</v>
      </c>
      <c r="D2021">
        <v>250</v>
      </c>
      <c r="E2021" t="s">
        <v>2233</v>
      </c>
      <c r="F2021">
        <v>250</v>
      </c>
      <c r="G2021" s="1">
        <v>45176</v>
      </c>
      <c r="H2021" s="6">
        <f t="shared" si="62"/>
        <v>21.70833333333362</v>
      </c>
      <c r="I2021" s="7">
        <f t="shared" si="63"/>
        <v>21.70833333333362</v>
      </c>
    </row>
    <row r="2022" spans="1:9" x14ac:dyDescent="0.2">
      <c r="A2022" t="s">
        <v>2234</v>
      </c>
      <c r="B2022">
        <v>3.6284999999999998</v>
      </c>
      <c r="C2022">
        <v>5.0819999999999997E-2</v>
      </c>
      <c r="D2022">
        <v>250</v>
      </c>
      <c r="E2022" t="s">
        <v>2234</v>
      </c>
      <c r="F2022">
        <v>250</v>
      </c>
      <c r="G2022" s="1">
        <v>45176</v>
      </c>
      <c r="H2022" s="6">
        <f t="shared" si="62"/>
        <v>21.718750000000288</v>
      </c>
      <c r="I2022" s="7">
        <f t="shared" si="63"/>
        <v>21.718750000000288</v>
      </c>
    </row>
    <row r="2023" spans="1:9" x14ac:dyDescent="0.2">
      <c r="A2023" t="s">
        <v>2235</v>
      </c>
      <c r="B2023">
        <v>3.5434999999999999</v>
      </c>
      <c r="C2023">
        <v>4.9610000000000001E-2</v>
      </c>
      <c r="D2023">
        <v>250</v>
      </c>
      <c r="E2023" t="s">
        <v>2235</v>
      </c>
      <c r="F2023">
        <v>250</v>
      </c>
      <c r="G2023" s="1">
        <v>45176</v>
      </c>
      <c r="H2023" s="6">
        <f t="shared" si="62"/>
        <v>21.729166666666956</v>
      </c>
      <c r="I2023" s="7">
        <f t="shared" si="63"/>
        <v>21.729166666666956</v>
      </c>
    </row>
    <row r="2024" spans="1:9" x14ac:dyDescent="0.2">
      <c r="A2024" t="s">
        <v>2236</v>
      </c>
      <c r="B2024">
        <v>3.62</v>
      </c>
      <c r="C2024">
        <v>5.0709999999999998E-2</v>
      </c>
      <c r="D2024">
        <v>250</v>
      </c>
      <c r="E2024" t="s">
        <v>2236</v>
      </c>
      <c r="F2024">
        <v>250</v>
      </c>
      <c r="G2024" s="1">
        <v>45176</v>
      </c>
      <c r="H2024" s="6">
        <f t="shared" si="62"/>
        <v>21.739583333333623</v>
      </c>
      <c r="I2024" s="7">
        <f t="shared" si="63"/>
        <v>21.739583333333623</v>
      </c>
    </row>
    <row r="2025" spans="1:9" x14ac:dyDescent="0.2">
      <c r="A2025" t="s">
        <v>2237</v>
      </c>
      <c r="B2025">
        <v>3.6360000000000001</v>
      </c>
      <c r="C2025">
        <v>5.0939999999999999E-2</v>
      </c>
      <c r="D2025">
        <v>251</v>
      </c>
      <c r="E2025" t="s">
        <v>2237</v>
      </c>
      <c r="F2025">
        <v>250</v>
      </c>
      <c r="G2025" s="1">
        <v>45176</v>
      </c>
      <c r="H2025" s="6">
        <f t="shared" si="62"/>
        <v>21.750000000000291</v>
      </c>
      <c r="I2025" s="7">
        <f t="shared" si="63"/>
        <v>21.750000000000291</v>
      </c>
    </row>
    <row r="2026" spans="1:9" x14ac:dyDescent="0.2">
      <c r="A2026" t="s">
        <v>2238</v>
      </c>
      <c r="B2026">
        <v>3.6074999999999999</v>
      </c>
      <c r="C2026">
        <v>5.0534999999999997E-2</v>
      </c>
      <c r="D2026">
        <v>251</v>
      </c>
      <c r="E2026" t="s">
        <v>2238</v>
      </c>
      <c r="F2026">
        <v>250</v>
      </c>
      <c r="G2026" s="1">
        <v>45176</v>
      </c>
      <c r="H2026" s="6">
        <f t="shared" si="62"/>
        <v>21.760416666666959</v>
      </c>
      <c r="I2026" s="7">
        <f t="shared" si="63"/>
        <v>21.760416666666959</v>
      </c>
    </row>
    <row r="2027" spans="1:9" x14ac:dyDescent="0.2">
      <c r="A2027" t="s">
        <v>2239</v>
      </c>
      <c r="B2027">
        <v>3.5815000000000001</v>
      </c>
      <c r="C2027">
        <v>5.0185E-2</v>
      </c>
      <c r="D2027">
        <v>251</v>
      </c>
      <c r="E2027" t="s">
        <v>2239</v>
      </c>
      <c r="F2027">
        <v>250</v>
      </c>
      <c r="G2027" s="1">
        <v>45176</v>
      </c>
      <c r="H2027" s="6">
        <f t="shared" si="62"/>
        <v>21.770833333333627</v>
      </c>
      <c r="I2027" s="7">
        <f t="shared" si="63"/>
        <v>21.770833333333627</v>
      </c>
    </row>
    <row r="2028" spans="1:9" x14ac:dyDescent="0.2">
      <c r="A2028" t="s">
        <v>2240</v>
      </c>
      <c r="B2028">
        <v>3.6004999999999998</v>
      </c>
      <c r="C2028">
        <v>5.0435000000000001E-2</v>
      </c>
      <c r="D2028">
        <v>251</v>
      </c>
      <c r="E2028" t="s">
        <v>2240</v>
      </c>
      <c r="F2028">
        <v>250</v>
      </c>
      <c r="G2028" s="1">
        <v>45176</v>
      </c>
      <c r="H2028" s="6">
        <f t="shared" si="62"/>
        <v>21.781250000000295</v>
      </c>
      <c r="I2028" s="7">
        <f t="shared" si="63"/>
        <v>21.781250000000295</v>
      </c>
    </row>
    <row r="2029" spans="1:9" x14ac:dyDescent="0.2">
      <c r="A2029" t="s">
        <v>2241</v>
      </c>
      <c r="B2029" s="2" t="s">
        <v>1825</v>
      </c>
      <c r="C2029" s="2" t="s">
        <v>672</v>
      </c>
      <c r="D2029">
        <v>251</v>
      </c>
      <c r="E2029" t="s">
        <v>2241</v>
      </c>
      <c r="F2029">
        <v>250</v>
      </c>
      <c r="G2029" s="1">
        <v>45176</v>
      </c>
      <c r="H2029" s="6">
        <f t="shared" si="62"/>
        <v>21.791666666666963</v>
      </c>
      <c r="I2029" s="7">
        <f t="shared" si="63"/>
        <v>21.791666666666963</v>
      </c>
    </row>
    <row r="2030" spans="1:9" x14ac:dyDescent="0.2">
      <c r="A2030" t="s">
        <v>2242</v>
      </c>
      <c r="B2030">
        <v>3.6255000000000002</v>
      </c>
      <c r="C2030" s="2" t="s">
        <v>2243</v>
      </c>
      <c r="D2030">
        <v>251</v>
      </c>
      <c r="E2030" t="s">
        <v>2242</v>
      </c>
      <c r="F2030">
        <v>250</v>
      </c>
      <c r="G2030" s="1">
        <v>45176</v>
      </c>
      <c r="H2030" s="6">
        <f t="shared" si="62"/>
        <v>21.802083333333631</v>
      </c>
      <c r="I2030" s="7">
        <f t="shared" si="63"/>
        <v>21.802083333333631</v>
      </c>
    </row>
    <row r="2031" spans="1:9" x14ac:dyDescent="0.2">
      <c r="A2031" t="s">
        <v>2244</v>
      </c>
      <c r="B2031">
        <v>3.5865</v>
      </c>
      <c r="C2031">
        <v>5.024E-2</v>
      </c>
      <c r="D2031">
        <v>251</v>
      </c>
      <c r="E2031" t="s">
        <v>2244</v>
      </c>
      <c r="F2031">
        <v>250</v>
      </c>
      <c r="G2031" s="1">
        <v>45176</v>
      </c>
      <c r="H2031" s="6">
        <f t="shared" si="62"/>
        <v>21.812500000000298</v>
      </c>
      <c r="I2031" s="7">
        <f t="shared" si="63"/>
        <v>21.812500000000298</v>
      </c>
    </row>
    <row r="2032" spans="1:9" x14ac:dyDescent="0.2">
      <c r="A2032" t="s">
        <v>2245</v>
      </c>
      <c r="B2032" s="2" t="s">
        <v>1825</v>
      </c>
      <c r="C2032">
        <v>5.0689999999999999E-2</v>
      </c>
      <c r="D2032">
        <v>251</v>
      </c>
      <c r="E2032" t="s">
        <v>2245</v>
      </c>
      <c r="F2032">
        <v>250</v>
      </c>
      <c r="G2032" s="1">
        <v>45176</v>
      </c>
      <c r="H2032" s="6">
        <f t="shared" si="62"/>
        <v>21.822916666666966</v>
      </c>
      <c r="I2032" s="7">
        <f t="shared" si="63"/>
        <v>21.822916666666966</v>
      </c>
    </row>
    <row r="2033" spans="1:9" x14ac:dyDescent="0.2">
      <c r="A2033" t="s">
        <v>2246</v>
      </c>
      <c r="B2033">
        <v>3.6059999999999999</v>
      </c>
      <c r="C2033">
        <v>5.0494999999999998E-2</v>
      </c>
      <c r="D2033">
        <v>251</v>
      </c>
      <c r="E2033" t="s">
        <v>2246</v>
      </c>
      <c r="F2033">
        <v>250</v>
      </c>
      <c r="G2033" s="1">
        <v>45176</v>
      </c>
      <c r="H2033" s="6">
        <f t="shared" si="62"/>
        <v>21.833333333333634</v>
      </c>
      <c r="I2033" s="7">
        <f t="shared" si="63"/>
        <v>21.833333333333634</v>
      </c>
    </row>
    <row r="2034" spans="1:9" x14ac:dyDescent="0.2">
      <c r="A2034" t="s">
        <v>2247</v>
      </c>
      <c r="B2034">
        <v>3.6684999999999999</v>
      </c>
      <c r="C2034">
        <v>5.1409999999999997E-2</v>
      </c>
      <c r="D2034">
        <v>251</v>
      </c>
      <c r="E2034" t="s">
        <v>2247</v>
      </c>
      <c r="F2034">
        <v>250</v>
      </c>
      <c r="G2034" s="1">
        <v>45176</v>
      </c>
      <c r="H2034" s="6">
        <f t="shared" si="62"/>
        <v>21.843750000000302</v>
      </c>
      <c r="I2034" s="7">
        <f t="shared" si="63"/>
        <v>21.843750000000302</v>
      </c>
    </row>
    <row r="2035" spans="1:9" x14ac:dyDescent="0.2">
      <c r="A2035" t="s">
        <v>2248</v>
      </c>
      <c r="B2035">
        <v>3.7465000000000002</v>
      </c>
      <c r="C2035">
        <v>5.2470000000000003E-2</v>
      </c>
      <c r="D2035">
        <v>251</v>
      </c>
      <c r="E2035" t="s">
        <v>2248</v>
      </c>
      <c r="F2035">
        <v>250</v>
      </c>
      <c r="G2035" s="1">
        <v>45176</v>
      </c>
      <c r="H2035" s="6">
        <f t="shared" si="62"/>
        <v>21.85416666666697</v>
      </c>
      <c r="I2035" s="7">
        <f t="shared" si="63"/>
        <v>21.85416666666697</v>
      </c>
    </row>
    <row r="2036" spans="1:9" x14ac:dyDescent="0.2">
      <c r="A2036" t="s">
        <v>2249</v>
      </c>
      <c r="B2036" s="2" t="s">
        <v>2250</v>
      </c>
      <c r="C2036" s="2" t="s">
        <v>1497</v>
      </c>
      <c r="D2036">
        <v>251</v>
      </c>
      <c r="E2036" t="s">
        <v>2249</v>
      </c>
      <c r="F2036">
        <v>250</v>
      </c>
      <c r="G2036" s="1">
        <v>45176</v>
      </c>
      <c r="H2036" s="6">
        <f t="shared" si="62"/>
        <v>21.864583333333638</v>
      </c>
      <c r="I2036" s="7">
        <f t="shared" si="63"/>
        <v>21.864583333333638</v>
      </c>
    </row>
    <row r="2037" spans="1:9" x14ac:dyDescent="0.2">
      <c r="A2037" t="s">
        <v>2251</v>
      </c>
      <c r="B2037">
        <v>3.8105000000000002</v>
      </c>
      <c r="C2037">
        <v>5.3370000000000001E-2</v>
      </c>
      <c r="D2037">
        <v>251</v>
      </c>
      <c r="E2037" t="s">
        <v>2251</v>
      </c>
      <c r="F2037">
        <v>250</v>
      </c>
      <c r="G2037" s="1">
        <v>45176</v>
      </c>
      <c r="H2037" s="6">
        <f t="shared" si="62"/>
        <v>21.875000000000306</v>
      </c>
      <c r="I2037" s="7">
        <f t="shared" si="63"/>
        <v>21.875000000000306</v>
      </c>
    </row>
    <row r="2038" spans="1:9" x14ac:dyDescent="0.2">
      <c r="A2038" t="s">
        <v>2252</v>
      </c>
      <c r="B2038" s="2" t="s">
        <v>2253</v>
      </c>
      <c r="C2038">
        <v>5.3775000000000003E-2</v>
      </c>
      <c r="D2038">
        <v>251</v>
      </c>
      <c r="E2038" t="s">
        <v>2252</v>
      </c>
      <c r="F2038">
        <v>250</v>
      </c>
      <c r="G2038" s="1">
        <v>45176</v>
      </c>
      <c r="H2038" s="6">
        <f t="shared" si="62"/>
        <v>21.885416666666973</v>
      </c>
      <c r="I2038" s="7">
        <f t="shared" si="63"/>
        <v>21.885416666666973</v>
      </c>
    </row>
    <row r="2039" spans="1:9" x14ac:dyDescent="0.2">
      <c r="A2039" t="s">
        <v>2254</v>
      </c>
      <c r="B2039">
        <v>3.8944999999999999</v>
      </c>
      <c r="C2039">
        <v>5.4539999999999998E-2</v>
      </c>
      <c r="D2039">
        <v>251</v>
      </c>
      <c r="E2039" t="s">
        <v>2254</v>
      </c>
      <c r="F2039">
        <v>250</v>
      </c>
      <c r="G2039" s="1">
        <v>45176</v>
      </c>
      <c r="H2039" s="6">
        <f t="shared" si="62"/>
        <v>21.895833333333641</v>
      </c>
      <c r="I2039" s="7">
        <f t="shared" si="63"/>
        <v>21.895833333333641</v>
      </c>
    </row>
    <row r="2040" spans="1:9" x14ac:dyDescent="0.2">
      <c r="A2040" t="s">
        <v>2255</v>
      </c>
      <c r="B2040">
        <v>3.9754999999999998</v>
      </c>
      <c r="C2040">
        <v>5.5695000000000001E-2</v>
      </c>
      <c r="D2040">
        <v>251</v>
      </c>
      <c r="E2040" t="s">
        <v>2255</v>
      </c>
      <c r="F2040">
        <v>250</v>
      </c>
      <c r="G2040" s="1">
        <v>45176</v>
      </c>
      <c r="H2040" s="6">
        <f t="shared" si="62"/>
        <v>21.906250000000309</v>
      </c>
      <c r="I2040" s="7">
        <f t="shared" si="63"/>
        <v>21.906250000000309</v>
      </c>
    </row>
    <row r="2041" spans="1:9" x14ac:dyDescent="0.2">
      <c r="A2041" t="s">
        <v>2256</v>
      </c>
      <c r="B2041">
        <v>3.9845000000000002</v>
      </c>
      <c r="C2041" s="2" t="s">
        <v>2257</v>
      </c>
      <c r="D2041">
        <v>251</v>
      </c>
      <c r="E2041" t="s">
        <v>2256</v>
      </c>
      <c r="F2041">
        <v>250</v>
      </c>
      <c r="G2041" s="1">
        <v>45176</v>
      </c>
      <c r="H2041" s="6">
        <f t="shared" si="62"/>
        <v>21.916666666666977</v>
      </c>
      <c r="I2041" s="7">
        <f t="shared" si="63"/>
        <v>21.916666666666977</v>
      </c>
    </row>
    <row r="2042" spans="1:9" x14ac:dyDescent="0.2">
      <c r="A2042" t="s">
        <v>2258</v>
      </c>
      <c r="B2042">
        <v>4.0570000000000004</v>
      </c>
      <c r="C2042">
        <v>5.6820000000000002E-2</v>
      </c>
      <c r="D2042">
        <v>251</v>
      </c>
      <c r="E2042" t="s">
        <v>2258</v>
      </c>
      <c r="F2042">
        <v>250</v>
      </c>
      <c r="G2042" s="1">
        <v>45176</v>
      </c>
      <c r="H2042" s="6">
        <f t="shared" si="62"/>
        <v>21.927083333333645</v>
      </c>
      <c r="I2042" s="7">
        <f t="shared" si="63"/>
        <v>21.927083333333645</v>
      </c>
    </row>
    <row r="2043" spans="1:9" x14ac:dyDescent="0.2">
      <c r="A2043" t="s">
        <v>2259</v>
      </c>
      <c r="B2043">
        <v>4.1304999999999996</v>
      </c>
      <c r="C2043">
        <v>5.7860000000000002E-2</v>
      </c>
      <c r="D2043">
        <v>251</v>
      </c>
      <c r="E2043" t="s">
        <v>2259</v>
      </c>
      <c r="F2043">
        <v>250</v>
      </c>
      <c r="G2043" s="1">
        <v>45176</v>
      </c>
      <c r="H2043" s="6">
        <f t="shared" si="62"/>
        <v>21.937500000000313</v>
      </c>
      <c r="I2043" s="7">
        <f t="shared" si="63"/>
        <v>21.937500000000313</v>
      </c>
    </row>
    <row r="2044" spans="1:9" x14ac:dyDescent="0.2">
      <c r="A2044" t="s">
        <v>2260</v>
      </c>
      <c r="B2044">
        <v>4.1879999999999997</v>
      </c>
      <c r="C2044" s="2" t="s">
        <v>2092</v>
      </c>
      <c r="D2044">
        <v>251</v>
      </c>
      <c r="E2044" t="s">
        <v>2260</v>
      </c>
      <c r="F2044">
        <v>250</v>
      </c>
      <c r="G2044" s="1">
        <v>45176</v>
      </c>
      <c r="H2044" s="6">
        <f t="shared" si="62"/>
        <v>21.94791666666698</v>
      </c>
      <c r="I2044" s="7">
        <f t="shared" si="63"/>
        <v>21.94791666666698</v>
      </c>
    </row>
    <row r="2045" spans="1:9" x14ac:dyDescent="0.2">
      <c r="A2045" t="s">
        <v>2261</v>
      </c>
      <c r="B2045" s="2" t="s">
        <v>2262</v>
      </c>
      <c r="C2045" s="2" t="s">
        <v>2263</v>
      </c>
      <c r="D2045">
        <v>251</v>
      </c>
      <c r="E2045" t="s">
        <v>2261</v>
      </c>
      <c r="F2045">
        <v>250</v>
      </c>
      <c r="G2045" s="1">
        <v>45176</v>
      </c>
      <c r="H2045" s="6">
        <f t="shared" si="62"/>
        <v>21.958333333333648</v>
      </c>
      <c r="I2045" s="7">
        <f t="shared" si="63"/>
        <v>21.958333333333648</v>
      </c>
    </row>
    <row r="2046" spans="1:9" x14ac:dyDescent="0.2">
      <c r="A2046" t="s">
        <v>2264</v>
      </c>
      <c r="B2046">
        <v>4.32</v>
      </c>
      <c r="C2046">
        <v>6.0490000000000002E-2</v>
      </c>
      <c r="D2046">
        <v>251</v>
      </c>
      <c r="E2046" t="s">
        <v>2264</v>
      </c>
      <c r="F2046">
        <v>250</v>
      </c>
      <c r="G2046" s="1">
        <v>45176</v>
      </c>
      <c r="H2046" s="6">
        <f t="shared" si="62"/>
        <v>21.968750000000316</v>
      </c>
      <c r="I2046" s="7">
        <f t="shared" si="63"/>
        <v>21.968750000000316</v>
      </c>
    </row>
    <row r="2047" spans="1:9" x14ac:dyDescent="0.2">
      <c r="A2047" t="s">
        <v>2265</v>
      </c>
      <c r="B2047">
        <v>4.3254999999999999</v>
      </c>
      <c r="C2047">
        <v>6.0569999999999999E-2</v>
      </c>
      <c r="D2047">
        <v>251</v>
      </c>
      <c r="E2047" t="s">
        <v>2265</v>
      </c>
      <c r="F2047">
        <v>250</v>
      </c>
      <c r="G2047" s="1">
        <v>45176</v>
      </c>
      <c r="H2047" s="6">
        <f t="shared" si="62"/>
        <v>21.979166666666984</v>
      </c>
      <c r="I2047" s="7">
        <f t="shared" si="63"/>
        <v>21.979166666666984</v>
      </c>
    </row>
    <row r="2048" spans="1:9" x14ac:dyDescent="0.2">
      <c r="A2048" t="s">
        <v>2266</v>
      </c>
      <c r="B2048">
        <v>4.41</v>
      </c>
      <c r="C2048">
        <v>6.1774999999999997E-2</v>
      </c>
      <c r="D2048">
        <v>251</v>
      </c>
      <c r="E2048" t="s">
        <v>2266</v>
      </c>
      <c r="F2048">
        <v>250</v>
      </c>
      <c r="G2048" s="1">
        <v>45176</v>
      </c>
      <c r="H2048" s="6">
        <f t="shared" si="62"/>
        <v>21.989583333333652</v>
      </c>
      <c r="I2048" s="7">
        <f t="shared" si="63"/>
        <v>21.989583333333652</v>
      </c>
    </row>
    <row r="2049" spans="1:9" x14ac:dyDescent="0.2">
      <c r="A2049" t="s">
        <v>2267</v>
      </c>
      <c r="B2049">
        <v>4.3754999999999997</v>
      </c>
      <c r="C2049">
        <v>6.1269999999999998E-2</v>
      </c>
      <c r="D2049">
        <v>251</v>
      </c>
      <c r="E2049" t="s">
        <v>2267</v>
      </c>
      <c r="F2049">
        <v>251</v>
      </c>
      <c r="G2049" s="1">
        <v>45177</v>
      </c>
      <c r="H2049" s="6">
        <f t="shared" si="62"/>
        <v>22.00000000000032</v>
      </c>
      <c r="I2049" s="7">
        <f t="shared" si="63"/>
        <v>22.00000000000032</v>
      </c>
    </row>
    <row r="2050" spans="1:9" x14ac:dyDescent="0.2">
      <c r="A2050" t="s">
        <v>2268</v>
      </c>
      <c r="B2050">
        <v>4.41</v>
      </c>
      <c r="C2050" s="2" t="s">
        <v>2269</v>
      </c>
      <c r="D2050">
        <v>251</v>
      </c>
      <c r="E2050" t="s">
        <v>2268</v>
      </c>
      <c r="F2050">
        <v>251</v>
      </c>
      <c r="G2050" s="1">
        <v>45177</v>
      </c>
      <c r="H2050" s="6">
        <f t="shared" si="62"/>
        <v>22.010416666666988</v>
      </c>
      <c r="I2050" s="7">
        <f t="shared" si="63"/>
        <v>22.010416666666988</v>
      </c>
    </row>
    <row r="2051" spans="1:9" x14ac:dyDescent="0.2">
      <c r="A2051" t="s">
        <v>2270</v>
      </c>
      <c r="B2051">
        <v>4.4405000000000001</v>
      </c>
      <c r="C2051">
        <v>6.2210000000000001E-2</v>
      </c>
      <c r="D2051">
        <v>251</v>
      </c>
      <c r="E2051" t="s">
        <v>2270</v>
      </c>
      <c r="F2051">
        <v>251</v>
      </c>
      <c r="G2051" s="1">
        <v>45177</v>
      </c>
      <c r="H2051" s="6">
        <f t="shared" ref="H2051:H2114" si="64">H2050+$K$1</f>
        <v>22.020833333333655</v>
      </c>
      <c r="I2051" s="7">
        <f t="shared" ref="I2051:I2114" si="65">I2050+$K$1</f>
        <v>22.020833333333655</v>
      </c>
    </row>
    <row r="2052" spans="1:9" x14ac:dyDescent="0.2">
      <c r="A2052" t="s">
        <v>2271</v>
      </c>
      <c r="B2052">
        <v>4.4485000000000001</v>
      </c>
      <c r="C2052">
        <v>6.2300000000000001E-2</v>
      </c>
      <c r="D2052">
        <v>251</v>
      </c>
      <c r="E2052" t="s">
        <v>2271</v>
      </c>
      <c r="F2052">
        <v>251</v>
      </c>
      <c r="G2052" s="1">
        <v>45177</v>
      </c>
      <c r="H2052" s="6">
        <f t="shared" si="64"/>
        <v>22.031250000000323</v>
      </c>
      <c r="I2052" s="7">
        <f t="shared" si="65"/>
        <v>22.031250000000323</v>
      </c>
    </row>
    <row r="2053" spans="1:9" x14ac:dyDescent="0.2">
      <c r="A2053" t="s">
        <v>2272</v>
      </c>
      <c r="B2053">
        <v>4.4524999999999997</v>
      </c>
      <c r="C2053">
        <v>6.2350000000000003E-2</v>
      </c>
      <c r="D2053">
        <v>251</v>
      </c>
      <c r="E2053" t="s">
        <v>2272</v>
      </c>
      <c r="F2053">
        <v>251</v>
      </c>
      <c r="G2053" s="1">
        <v>45177</v>
      </c>
      <c r="H2053" s="6">
        <f t="shared" si="64"/>
        <v>22.041666666666991</v>
      </c>
      <c r="I2053" s="7">
        <f t="shared" si="65"/>
        <v>22.041666666666991</v>
      </c>
    </row>
    <row r="2054" spans="1:9" x14ac:dyDescent="0.2">
      <c r="A2054" t="s">
        <v>2273</v>
      </c>
      <c r="B2054">
        <v>4.476</v>
      </c>
      <c r="C2054">
        <v>6.2674999999999995E-2</v>
      </c>
      <c r="D2054">
        <v>251</v>
      </c>
      <c r="E2054" t="s">
        <v>2273</v>
      </c>
      <c r="F2054">
        <v>251</v>
      </c>
      <c r="G2054" s="1">
        <v>45177</v>
      </c>
      <c r="H2054" s="6">
        <f t="shared" si="64"/>
        <v>22.052083333333659</v>
      </c>
      <c r="I2054" s="7">
        <f t="shared" si="65"/>
        <v>22.052083333333659</v>
      </c>
    </row>
    <row r="2055" spans="1:9" x14ac:dyDescent="0.2">
      <c r="A2055" t="s">
        <v>2274</v>
      </c>
      <c r="B2055">
        <v>4.4649999999999999</v>
      </c>
      <c r="C2055">
        <v>6.2530000000000002E-2</v>
      </c>
      <c r="D2055">
        <v>251</v>
      </c>
      <c r="E2055" t="s">
        <v>2274</v>
      </c>
      <c r="F2055">
        <v>251</v>
      </c>
      <c r="G2055" s="1">
        <v>45177</v>
      </c>
      <c r="H2055" s="6">
        <f t="shared" si="64"/>
        <v>22.062500000000327</v>
      </c>
      <c r="I2055" s="7">
        <f t="shared" si="65"/>
        <v>22.062500000000327</v>
      </c>
    </row>
    <row r="2056" spans="1:9" x14ac:dyDescent="0.2">
      <c r="A2056" t="s">
        <v>2275</v>
      </c>
      <c r="B2056">
        <v>4.452</v>
      </c>
      <c r="C2056">
        <v>6.234E-2</v>
      </c>
      <c r="D2056">
        <v>251</v>
      </c>
      <c r="E2056" t="s">
        <v>2275</v>
      </c>
      <c r="F2056">
        <v>251</v>
      </c>
      <c r="G2056" s="1">
        <v>45177</v>
      </c>
      <c r="H2056" s="6">
        <f t="shared" si="64"/>
        <v>22.072916666666995</v>
      </c>
      <c r="I2056" s="7">
        <f t="shared" si="65"/>
        <v>22.072916666666995</v>
      </c>
    </row>
    <row r="2057" spans="1:9" x14ac:dyDescent="0.2">
      <c r="A2057" t="s">
        <v>2276</v>
      </c>
      <c r="B2057">
        <v>4.4409999999999998</v>
      </c>
      <c r="C2057">
        <v>6.2190000000000002E-2</v>
      </c>
      <c r="D2057">
        <v>251</v>
      </c>
      <c r="E2057" t="s">
        <v>2276</v>
      </c>
      <c r="F2057">
        <v>251</v>
      </c>
      <c r="G2057" s="1">
        <v>45177</v>
      </c>
      <c r="H2057" s="6">
        <f t="shared" si="64"/>
        <v>22.083333333333663</v>
      </c>
      <c r="I2057" s="7">
        <f t="shared" si="65"/>
        <v>22.083333333333663</v>
      </c>
    </row>
    <row r="2058" spans="1:9" x14ac:dyDescent="0.2">
      <c r="A2058" t="s">
        <v>2277</v>
      </c>
      <c r="B2058">
        <v>4.4390000000000001</v>
      </c>
      <c r="C2058">
        <v>6.2175000000000001E-2</v>
      </c>
      <c r="D2058">
        <v>251</v>
      </c>
      <c r="E2058" t="s">
        <v>2277</v>
      </c>
      <c r="F2058">
        <v>251</v>
      </c>
      <c r="G2058" s="1">
        <v>45177</v>
      </c>
      <c r="H2058" s="6">
        <f t="shared" si="64"/>
        <v>22.09375000000033</v>
      </c>
      <c r="I2058" s="7">
        <f t="shared" si="65"/>
        <v>22.09375000000033</v>
      </c>
    </row>
    <row r="2059" spans="1:9" x14ac:dyDescent="0.2">
      <c r="A2059" t="s">
        <v>2278</v>
      </c>
      <c r="B2059">
        <v>4.4409999999999998</v>
      </c>
      <c r="C2059">
        <v>6.2210000000000001E-2</v>
      </c>
      <c r="D2059">
        <v>251</v>
      </c>
      <c r="E2059" t="s">
        <v>2278</v>
      </c>
      <c r="F2059">
        <v>251</v>
      </c>
      <c r="G2059" s="1">
        <v>45177</v>
      </c>
      <c r="H2059" s="6">
        <f t="shared" si="64"/>
        <v>22.104166666666998</v>
      </c>
      <c r="I2059" s="7">
        <f t="shared" si="65"/>
        <v>22.104166666666998</v>
      </c>
    </row>
    <row r="2060" spans="1:9" x14ac:dyDescent="0.2">
      <c r="A2060" t="s">
        <v>2279</v>
      </c>
      <c r="B2060">
        <v>4.4595000000000002</v>
      </c>
      <c r="C2060" s="2" t="s">
        <v>2280</v>
      </c>
      <c r="D2060">
        <v>251</v>
      </c>
      <c r="E2060" t="s">
        <v>2279</v>
      </c>
      <c r="F2060">
        <v>251</v>
      </c>
      <c r="G2060" s="1">
        <v>45177</v>
      </c>
      <c r="H2060" s="6">
        <f t="shared" si="64"/>
        <v>22.114583333333666</v>
      </c>
      <c r="I2060" s="7">
        <f t="shared" si="65"/>
        <v>22.114583333333666</v>
      </c>
    </row>
    <row r="2061" spans="1:9" x14ac:dyDescent="0.2">
      <c r="A2061" t="s">
        <v>2281</v>
      </c>
      <c r="B2061">
        <v>4.46</v>
      </c>
      <c r="C2061">
        <v>6.2460000000000002E-2</v>
      </c>
      <c r="D2061">
        <v>251</v>
      </c>
      <c r="E2061" t="s">
        <v>2281</v>
      </c>
      <c r="F2061">
        <v>251</v>
      </c>
      <c r="G2061" s="1">
        <v>45177</v>
      </c>
      <c r="H2061" s="6">
        <f t="shared" si="64"/>
        <v>22.125000000000334</v>
      </c>
      <c r="I2061" s="7">
        <f t="shared" si="65"/>
        <v>22.125000000000334</v>
      </c>
    </row>
    <row r="2062" spans="1:9" x14ac:dyDescent="0.2">
      <c r="A2062" t="s">
        <v>2282</v>
      </c>
      <c r="B2062">
        <v>4.4714999999999998</v>
      </c>
      <c r="C2062">
        <v>6.2630000000000005E-2</v>
      </c>
      <c r="D2062">
        <v>251</v>
      </c>
      <c r="E2062" t="s">
        <v>2282</v>
      </c>
      <c r="F2062">
        <v>251</v>
      </c>
      <c r="G2062" s="1">
        <v>45177</v>
      </c>
      <c r="H2062" s="6">
        <f t="shared" si="64"/>
        <v>22.135416666667002</v>
      </c>
      <c r="I2062" s="7">
        <f t="shared" si="65"/>
        <v>22.135416666667002</v>
      </c>
    </row>
    <row r="2063" spans="1:9" x14ac:dyDescent="0.2">
      <c r="A2063" t="s">
        <v>2283</v>
      </c>
      <c r="B2063">
        <v>4.4370000000000003</v>
      </c>
      <c r="C2063">
        <v>6.216E-2</v>
      </c>
      <c r="D2063">
        <v>251</v>
      </c>
      <c r="E2063" t="s">
        <v>2283</v>
      </c>
      <c r="F2063">
        <v>251</v>
      </c>
      <c r="G2063" s="1">
        <v>45177</v>
      </c>
      <c r="H2063" s="6">
        <f t="shared" si="64"/>
        <v>22.14583333333367</v>
      </c>
      <c r="I2063" s="7">
        <f t="shared" si="65"/>
        <v>22.14583333333367</v>
      </c>
    </row>
    <row r="2064" spans="1:9" x14ac:dyDescent="0.2">
      <c r="A2064" t="s">
        <v>2284</v>
      </c>
      <c r="B2064" s="2" t="s">
        <v>2285</v>
      </c>
      <c r="C2064">
        <v>6.2125E-2</v>
      </c>
      <c r="D2064">
        <v>251</v>
      </c>
      <c r="E2064" t="s">
        <v>2284</v>
      </c>
      <c r="F2064">
        <v>251</v>
      </c>
      <c r="G2064" s="1">
        <v>45177</v>
      </c>
      <c r="H2064" s="6">
        <f t="shared" si="64"/>
        <v>22.156250000000338</v>
      </c>
      <c r="I2064" s="7">
        <f t="shared" si="65"/>
        <v>22.156250000000338</v>
      </c>
    </row>
    <row r="2065" spans="1:9" x14ac:dyDescent="0.2">
      <c r="A2065" t="s">
        <v>2286</v>
      </c>
      <c r="B2065">
        <v>4.4675000000000002</v>
      </c>
      <c r="C2065">
        <v>6.2594999999999998E-2</v>
      </c>
      <c r="D2065">
        <v>251</v>
      </c>
      <c r="E2065" t="s">
        <v>2286</v>
      </c>
      <c r="F2065">
        <v>251</v>
      </c>
      <c r="G2065" s="1">
        <v>45177</v>
      </c>
      <c r="H2065" s="6">
        <f t="shared" si="64"/>
        <v>22.166666666667005</v>
      </c>
      <c r="I2065" s="7">
        <f t="shared" si="65"/>
        <v>22.166666666667005</v>
      </c>
    </row>
    <row r="2066" spans="1:9" x14ac:dyDescent="0.2">
      <c r="A2066" t="s">
        <v>2287</v>
      </c>
      <c r="B2066">
        <v>4.4379999999999997</v>
      </c>
      <c r="C2066">
        <v>6.2164999999999998E-2</v>
      </c>
      <c r="D2066">
        <v>251</v>
      </c>
      <c r="E2066" t="s">
        <v>2287</v>
      </c>
      <c r="F2066">
        <v>251</v>
      </c>
      <c r="G2066" s="1">
        <v>45177</v>
      </c>
      <c r="H2066" s="6">
        <f t="shared" si="64"/>
        <v>22.177083333333673</v>
      </c>
      <c r="I2066" s="7">
        <f t="shared" si="65"/>
        <v>22.177083333333673</v>
      </c>
    </row>
    <row r="2067" spans="1:9" x14ac:dyDescent="0.2">
      <c r="A2067" t="s">
        <v>2288</v>
      </c>
      <c r="B2067">
        <v>4.484</v>
      </c>
      <c r="C2067">
        <v>6.2805E-2</v>
      </c>
      <c r="D2067">
        <v>251</v>
      </c>
      <c r="E2067" t="s">
        <v>2288</v>
      </c>
      <c r="F2067">
        <v>251</v>
      </c>
      <c r="G2067" s="1">
        <v>45177</v>
      </c>
      <c r="H2067" s="6">
        <f t="shared" si="64"/>
        <v>22.187500000000341</v>
      </c>
      <c r="I2067" s="7">
        <f t="shared" si="65"/>
        <v>22.187500000000341</v>
      </c>
    </row>
    <row r="2068" spans="1:9" x14ac:dyDescent="0.2">
      <c r="A2068" t="s">
        <v>2289</v>
      </c>
      <c r="B2068">
        <v>4.4494999999999996</v>
      </c>
      <c r="C2068">
        <v>6.2300000000000001E-2</v>
      </c>
      <c r="D2068">
        <v>251</v>
      </c>
      <c r="E2068" t="s">
        <v>2289</v>
      </c>
      <c r="F2068">
        <v>251</v>
      </c>
      <c r="G2068" s="1">
        <v>45177</v>
      </c>
      <c r="H2068" s="6">
        <f t="shared" si="64"/>
        <v>22.197916666667009</v>
      </c>
      <c r="I2068" s="7">
        <f t="shared" si="65"/>
        <v>22.197916666667009</v>
      </c>
    </row>
    <row r="2069" spans="1:9" x14ac:dyDescent="0.2">
      <c r="A2069" t="s">
        <v>2290</v>
      </c>
      <c r="B2069">
        <v>4.4485000000000001</v>
      </c>
      <c r="C2069">
        <v>6.232E-2</v>
      </c>
      <c r="D2069">
        <v>251</v>
      </c>
      <c r="E2069" t="s">
        <v>2290</v>
      </c>
      <c r="F2069">
        <v>251</v>
      </c>
      <c r="G2069" s="1">
        <v>45177</v>
      </c>
      <c r="H2069" s="6">
        <f t="shared" si="64"/>
        <v>22.208333333333677</v>
      </c>
      <c r="I2069" s="7">
        <f t="shared" si="65"/>
        <v>22.208333333333677</v>
      </c>
    </row>
    <row r="2070" spans="1:9" x14ac:dyDescent="0.2">
      <c r="A2070" t="s">
        <v>2291</v>
      </c>
      <c r="B2070">
        <v>4.4349999999999996</v>
      </c>
      <c r="C2070">
        <v>6.2129999999999998E-2</v>
      </c>
      <c r="D2070">
        <v>251</v>
      </c>
      <c r="E2070" t="s">
        <v>2291</v>
      </c>
      <c r="F2070">
        <v>251</v>
      </c>
      <c r="G2070" s="1">
        <v>45177</v>
      </c>
      <c r="H2070" s="6">
        <f t="shared" si="64"/>
        <v>22.218750000000345</v>
      </c>
      <c r="I2070" s="7">
        <f t="shared" si="65"/>
        <v>22.218750000000345</v>
      </c>
    </row>
    <row r="2071" spans="1:9" x14ac:dyDescent="0.2">
      <c r="A2071" t="s">
        <v>2292</v>
      </c>
      <c r="B2071">
        <v>4.4610000000000003</v>
      </c>
      <c r="C2071">
        <v>6.2484999999999999E-2</v>
      </c>
      <c r="D2071">
        <v>251</v>
      </c>
      <c r="E2071" t="s">
        <v>2292</v>
      </c>
      <c r="F2071">
        <v>251</v>
      </c>
      <c r="G2071" s="1">
        <v>45177</v>
      </c>
      <c r="H2071" s="6">
        <f t="shared" si="64"/>
        <v>22.229166666667012</v>
      </c>
      <c r="I2071" s="7">
        <f t="shared" si="65"/>
        <v>22.229166666667012</v>
      </c>
    </row>
    <row r="2072" spans="1:9" x14ac:dyDescent="0.2">
      <c r="A2072" t="s">
        <v>2293</v>
      </c>
      <c r="B2072">
        <v>4.4565000000000001</v>
      </c>
      <c r="C2072">
        <v>6.2425000000000001E-2</v>
      </c>
      <c r="D2072">
        <v>251</v>
      </c>
      <c r="E2072" t="s">
        <v>2293</v>
      </c>
      <c r="F2072">
        <v>251</v>
      </c>
      <c r="G2072" s="1">
        <v>45177</v>
      </c>
      <c r="H2072" s="6">
        <f t="shared" si="64"/>
        <v>22.23958333333368</v>
      </c>
      <c r="I2072" s="7">
        <f t="shared" si="65"/>
        <v>22.23958333333368</v>
      </c>
    </row>
    <row r="2073" spans="1:9" x14ac:dyDescent="0.2">
      <c r="A2073" t="s">
        <v>2294</v>
      </c>
      <c r="B2073">
        <v>4.4714999999999998</v>
      </c>
      <c r="C2073">
        <v>6.2625E-2</v>
      </c>
      <c r="D2073">
        <v>251</v>
      </c>
      <c r="E2073" t="s">
        <v>2294</v>
      </c>
      <c r="F2073">
        <v>251</v>
      </c>
      <c r="G2073" s="1">
        <v>45177</v>
      </c>
      <c r="H2073" s="6">
        <f t="shared" si="64"/>
        <v>22.250000000000348</v>
      </c>
      <c r="I2073" s="7">
        <f t="shared" si="65"/>
        <v>22.250000000000348</v>
      </c>
    </row>
    <row r="2074" spans="1:9" x14ac:dyDescent="0.2">
      <c r="A2074" t="s">
        <v>2295</v>
      </c>
      <c r="B2074">
        <v>4.4225000000000003</v>
      </c>
      <c r="C2074">
        <v>6.1945E-2</v>
      </c>
      <c r="D2074">
        <v>251</v>
      </c>
      <c r="E2074" t="s">
        <v>2295</v>
      </c>
      <c r="F2074">
        <v>251</v>
      </c>
      <c r="G2074" s="1">
        <v>45177</v>
      </c>
      <c r="H2074" s="6">
        <f t="shared" si="64"/>
        <v>22.260416666667016</v>
      </c>
      <c r="I2074" s="7">
        <f t="shared" si="65"/>
        <v>22.260416666667016</v>
      </c>
    </row>
    <row r="2075" spans="1:9" x14ac:dyDescent="0.2">
      <c r="A2075" t="s">
        <v>2296</v>
      </c>
      <c r="B2075">
        <v>4.4290000000000003</v>
      </c>
      <c r="C2075">
        <v>6.2010000000000003E-2</v>
      </c>
      <c r="D2075">
        <v>251</v>
      </c>
      <c r="E2075" t="s">
        <v>2296</v>
      </c>
      <c r="F2075">
        <v>251</v>
      </c>
      <c r="G2075" s="1">
        <v>45177</v>
      </c>
      <c r="H2075" s="6">
        <f t="shared" si="64"/>
        <v>22.270833333333684</v>
      </c>
      <c r="I2075" s="7">
        <f t="shared" si="65"/>
        <v>22.270833333333684</v>
      </c>
    </row>
    <row r="2076" spans="1:9" x14ac:dyDescent="0.2">
      <c r="A2076" t="s">
        <v>2297</v>
      </c>
      <c r="B2076">
        <v>4.4465000000000003</v>
      </c>
      <c r="C2076">
        <v>6.2280000000000002E-2</v>
      </c>
      <c r="D2076">
        <v>251</v>
      </c>
      <c r="E2076" t="s">
        <v>2297</v>
      </c>
      <c r="F2076">
        <v>251</v>
      </c>
      <c r="G2076" s="1">
        <v>45177</v>
      </c>
      <c r="H2076" s="6">
        <f t="shared" si="64"/>
        <v>22.281250000000352</v>
      </c>
      <c r="I2076" s="7">
        <f t="shared" si="65"/>
        <v>22.281250000000352</v>
      </c>
    </row>
    <row r="2077" spans="1:9" x14ac:dyDescent="0.2">
      <c r="A2077" t="s">
        <v>2298</v>
      </c>
      <c r="B2077">
        <v>4.4269999999999996</v>
      </c>
      <c r="C2077">
        <v>6.2024999999999997E-2</v>
      </c>
      <c r="D2077">
        <v>251</v>
      </c>
      <c r="E2077" t="s">
        <v>2298</v>
      </c>
      <c r="F2077">
        <v>251</v>
      </c>
      <c r="G2077" s="1">
        <v>45177</v>
      </c>
      <c r="H2077" s="6">
        <f t="shared" si="64"/>
        <v>22.29166666666702</v>
      </c>
      <c r="I2077" s="7">
        <f t="shared" si="65"/>
        <v>22.29166666666702</v>
      </c>
    </row>
    <row r="2078" spans="1:9" x14ac:dyDescent="0.2">
      <c r="A2078" t="s">
        <v>2299</v>
      </c>
      <c r="B2078">
        <v>4.4210000000000003</v>
      </c>
      <c r="C2078">
        <v>6.1925000000000001E-2</v>
      </c>
      <c r="D2078">
        <v>251</v>
      </c>
      <c r="E2078" t="s">
        <v>2299</v>
      </c>
      <c r="F2078">
        <v>251</v>
      </c>
      <c r="G2078" s="1">
        <v>45177</v>
      </c>
      <c r="H2078" s="6">
        <f t="shared" si="64"/>
        <v>22.302083333333687</v>
      </c>
      <c r="I2078" s="7">
        <f t="shared" si="65"/>
        <v>22.302083333333687</v>
      </c>
    </row>
    <row r="2079" spans="1:9" x14ac:dyDescent="0.2">
      <c r="A2079" t="s">
        <v>2300</v>
      </c>
      <c r="B2079" s="2" t="s">
        <v>2301</v>
      </c>
      <c r="C2079">
        <v>6.1484999999999998E-2</v>
      </c>
      <c r="D2079">
        <v>251</v>
      </c>
      <c r="E2079" t="s">
        <v>2300</v>
      </c>
      <c r="F2079">
        <v>251</v>
      </c>
      <c r="G2079" s="1">
        <v>45177</v>
      </c>
      <c r="H2079" s="6">
        <f t="shared" si="64"/>
        <v>22.312500000000355</v>
      </c>
      <c r="I2079" s="7">
        <f t="shared" si="65"/>
        <v>22.312500000000355</v>
      </c>
    </row>
    <row r="2080" spans="1:9" x14ac:dyDescent="0.2">
      <c r="A2080" t="s">
        <v>2302</v>
      </c>
      <c r="B2080" s="2" t="s">
        <v>2303</v>
      </c>
      <c r="C2080">
        <v>6.1870000000000001E-2</v>
      </c>
      <c r="D2080">
        <v>251</v>
      </c>
      <c r="E2080" t="s">
        <v>2302</v>
      </c>
      <c r="F2080">
        <v>251</v>
      </c>
      <c r="G2080" s="1">
        <v>45177</v>
      </c>
      <c r="H2080" s="6">
        <f t="shared" si="64"/>
        <v>22.322916666667023</v>
      </c>
      <c r="I2080" s="7">
        <f t="shared" si="65"/>
        <v>22.322916666667023</v>
      </c>
    </row>
    <row r="2081" spans="1:9" x14ac:dyDescent="0.2">
      <c r="A2081" t="s">
        <v>2304</v>
      </c>
      <c r="B2081">
        <v>4.3860000000000001</v>
      </c>
      <c r="C2081">
        <v>6.1425E-2</v>
      </c>
      <c r="D2081">
        <v>251</v>
      </c>
      <c r="E2081" t="s">
        <v>2304</v>
      </c>
      <c r="F2081">
        <v>251</v>
      </c>
      <c r="G2081" s="1">
        <v>45177</v>
      </c>
      <c r="H2081" s="6">
        <f t="shared" si="64"/>
        <v>22.333333333333691</v>
      </c>
      <c r="I2081" s="7">
        <f t="shared" si="65"/>
        <v>22.333333333333691</v>
      </c>
    </row>
    <row r="2082" spans="1:9" x14ac:dyDescent="0.2">
      <c r="A2082" t="s">
        <v>2305</v>
      </c>
      <c r="B2082">
        <v>4.3365</v>
      </c>
      <c r="C2082">
        <v>6.0740000000000002E-2</v>
      </c>
      <c r="D2082">
        <v>251</v>
      </c>
      <c r="E2082" t="s">
        <v>2305</v>
      </c>
      <c r="F2082">
        <v>251</v>
      </c>
      <c r="G2082" s="1">
        <v>45177</v>
      </c>
      <c r="H2082" s="6">
        <f t="shared" si="64"/>
        <v>22.343750000000359</v>
      </c>
      <c r="I2082" s="7">
        <f t="shared" si="65"/>
        <v>22.343750000000359</v>
      </c>
    </row>
    <row r="2083" spans="1:9" x14ac:dyDescent="0.2">
      <c r="A2083" t="s">
        <v>2306</v>
      </c>
      <c r="B2083">
        <v>4.3425000000000002</v>
      </c>
      <c r="C2083">
        <v>6.0830000000000002E-2</v>
      </c>
      <c r="D2083">
        <v>251</v>
      </c>
      <c r="E2083" t="s">
        <v>2306</v>
      </c>
      <c r="F2083">
        <v>251</v>
      </c>
      <c r="G2083" s="1">
        <v>45177</v>
      </c>
      <c r="H2083" s="6">
        <f t="shared" si="64"/>
        <v>22.354166666667027</v>
      </c>
      <c r="I2083" s="7">
        <f t="shared" si="65"/>
        <v>22.354166666667027</v>
      </c>
    </row>
    <row r="2084" spans="1:9" x14ac:dyDescent="0.2">
      <c r="A2084" t="s">
        <v>2307</v>
      </c>
      <c r="B2084">
        <v>4.3114999999999997</v>
      </c>
      <c r="C2084">
        <v>6.0400000000000002E-2</v>
      </c>
      <c r="D2084">
        <v>251</v>
      </c>
      <c r="E2084" t="s">
        <v>2307</v>
      </c>
      <c r="F2084">
        <v>251</v>
      </c>
      <c r="G2084" s="1">
        <v>45177</v>
      </c>
      <c r="H2084" s="6">
        <f t="shared" si="64"/>
        <v>22.364583333333695</v>
      </c>
      <c r="I2084" s="7">
        <f t="shared" si="65"/>
        <v>22.364583333333695</v>
      </c>
    </row>
    <row r="2085" spans="1:9" x14ac:dyDescent="0.2">
      <c r="A2085" t="s">
        <v>2308</v>
      </c>
      <c r="B2085">
        <v>4.2294999999999998</v>
      </c>
      <c r="C2085">
        <v>5.9255000000000002E-2</v>
      </c>
      <c r="D2085">
        <v>251</v>
      </c>
      <c r="E2085" t="s">
        <v>2308</v>
      </c>
      <c r="F2085">
        <v>251</v>
      </c>
      <c r="G2085" s="1">
        <v>45177</v>
      </c>
      <c r="H2085" s="6">
        <f t="shared" si="64"/>
        <v>22.375000000000362</v>
      </c>
      <c r="I2085" s="7">
        <f t="shared" si="65"/>
        <v>22.375000000000362</v>
      </c>
    </row>
    <row r="2086" spans="1:9" x14ac:dyDescent="0.2">
      <c r="A2086" t="s">
        <v>2309</v>
      </c>
      <c r="B2086">
        <v>4.2035</v>
      </c>
      <c r="C2086">
        <v>5.8895000000000003E-2</v>
      </c>
      <c r="D2086">
        <v>251</v>
      </c>
      <c r="E2086" t="s">
        <v>2309</v>
      </c>
      <c r="F2086">
        <v>251</v>
      </c>
      <c r="G2086" s="1">
        <v>45177</v>
      </c>
      <c r="H2086" s="6">
        <f t="shared" si="64"/>
        <v>22.38541666666703</v>
      </c>
      <c r="I2086" s="7">
        <f t="shared" si="65"/>
        <v>22.38541666666703</v>
      </c>
    </row>
    <row r="2087" spans="1:9" x14ac:dyDescent="0.2">
      <c r="A2087" t="s">
        <v>2310</v>
      </c>
      <c r="B2087">
        <v>4.1475</v>
      </c>
      <c r="C2087">
        <v>5.8084999999999998E-2</v>
      </c>
      <c r="D2087">
        <v>251</v>
      </c>
      <c r="E2087" t="s">
        <v>2310</v>
      </c>
      <c r="F2087">
        <v>251</v>
      </c>
      <c r="G2087" s="1">
        <v>45177</v>
      </c>
      <c r="H2087" s="6">
        <f t="shared" si="64"/>
        <v>22.395833333333698</v>
      </c>
      <c r="I2087" s="7">
        <f t="shared" si="65"/>
        <v>22.395833333333698</v>
      </c>
    </row>
    <row r="2088" spans="1:9" x14ac:dyDescent="0.2">
      <c r="A2088" t="s">
        <v>2311</v>
      </c>
      <c r="B2088">
        <v>4.1180000000000003</v>
      </c>
      <c r="C2088">
        <v>5.7685E-2</v>
      </c>
      <c r="D2088">
        <v>251</v>
      </c>
      <c r="E2088" t="s">
        <v>2311</v>
      </c>
      <c r="F2088">
        <v>251</v>
      </c>
      <c r="G2088" s="1">
        <v>45177</v>
      </c>
      <c r="H2088" s="6">
        <f t="shared" si="64"/>
        <v>22.406250000000366</v>
      </c>
      <c r="I2088" s="7">
        <f t="shared" si="65"/>
        <v>22.406250000000366</v>
      </c>
    </row>
    <row r="2089" spans="1:9" x14ac:dyDescent="0.2">
      <c r="A2089" t="s">
        <v>2312</v>
      </c>
      <c r="B2089">
        <v>4.0495000000000001</v>
      </c>
      <c r="C2089">
        <v>5.6724999999999998E-2</v>
      </c>
      <c r="D2089">
        <v>251</v>
      </c>
      <c r="E2089" t="s">
        <v>2312</v>
      </c>
      <c r="F2089">
        <v>251</v>
      </c>
      <c r="G2089" s="1">
        <v>45177</v>
      </c>
      <c r="H2089" s="6">
        <f t="shared" si="64"/>
        <v>22.416666666667034</v>
      </c>
      <c r="I2089" s="7">
        <f t="shared" si="65"/>
        <v>22.416666666667034</v>
      </c>
    </row>
    <row r="2090" spans="1:9" x14ac:dyDescent="0.2">
      <c r="A2090" t="s">
        <v>2313</v>
      </c>
      <c r="B2090">
        <v>3.9860000000000002</v>
      </c>
      <c r="C2090">
        <v>5.5825E-2</v>
      </c>
      <c r="D2090">
        <v>251</v>
      </c>
      <c r="E2090" t="s">
        <v>2313</v>
      </c>
      <c r="F2090">
        <v>251</v>
      </c>
      <c r="G2090" s="1">
        <v>45177</v>
      </c>
      <c r="H2090" s="6">
        <f t="shared" si="64"/>
        <v>22.427083333333702</v>
      </c>
      <c r="I2090" s="7">
        <f t="shared" si="65"/>
        <v>22.427083333333702</v>
      </c>
    </row>
    <row r="2091" spans="1:9" x14ac:dyDescent="0.2">
      <c r="A2091" t="s">
        <v>2314</v>
      </c>
      <c r="B2091">
        <v>3.9409999999999998</v>
      </c>
      <c r="C2091">
        <v>5.5204999999999997E-2</v>
      </c>
      <c r="D2091">
        <v>251</v>
      </c>
      <c r="E2091" t="s">
        <v>2314</v>
      </c>
      <c r="F2091">
        <v>251</v>
      </c>
      <c r="G2091" s="1">
        <v>45177</v>
      </c>
      <c r="H2091" s="6">
        <f t="shared" si="64"/>
        <v>22.437500000000369</v>
      </c>
      <c r="I2091" s="7">
        <f t="shared" si="65"/>
        <v>22.437500000000369</v>
      </c>
    </row>
    <row r="2092" spans="1:9" x14ac:dyDescent="0.2">
      <c r="A2092" t="s">
        <v>2315</v>
      </c>
      <c r="B2092">
        <v>3.9055</v>
      </c>
      <c r="C2092">
        <v>5.4715E-2</v>
      </c>
      <c r="D2092">
        <v>251</v>
      </c>
      <c r="E2092" t="s">
        <v>2315</v>
      </c>
      <c r="F2092">
        <v>251</v>
      </c>
      <c r="G2092" s="1">
        <v>45177</v>
      </c>
      <c r="H2092" s="6">
        <f t="shared" si="64"/>
        <v>22.447916666667037</v>
      </c>
      <c r="I2092" s="7">
        <f t="shared" si="65"/>
        <v>22.447916666667037</v>
      </c>
    </row>
    <row r="2093" spans="1:9" x14ac:dyDescent="0.2">
      <c r="A2093" t="s">
        <v>2316</v>
      </c>
      <c r="B2093" s="2" t="s">
        <v>2317</v>
      </c>
      <c r="C2093">
        <v>5.4300000000000001E-2</v>
      </c>
      <c r="D2093">
        <v>251</v>
      </c>
      <c r="E2093" t="s">
        <v>2316</v>
      </c>
      <c r="F2093">
        <v>251</v>
      </c>
      <c r="G2093" s="1">
        <v>45177</v>
      </c>
      <c r="H2093" s="6">
        <f t="shared" si="64"/>
        <v>22.458333333333705</v>
      </c>
      <c r="I2093" s="7">
        <f t="shared" si="65"/>
        <v>22.458333333333705</v>
      </c>
    </row>
    <row r="2094" spans="1:9" x14ac:dyDescent="0.2">
      <c r="A2094" t="s">
        <v>2318</v>
      </c>
      <c r="B2094">
        <v>3.879</v>
      </c>
      <c r="C2094">
        <v>5.432E-2</v>
      </c>
      <c r="D2094">
        <v>251</v>
      </c>
      <c r="E2094" t="s">
        <v>2318</v>
      </c>
      <c r="F2094">
        <v>251</v>
      </c>
      <c r="G2094" s="1">
        <v>45177</v>
      </c>
      <c r="H2094" s="6">
        <f t="shared" si="64"/>
        <v>22.468750000000373</v>
      </c>
      <c r="I2094" s="7">
        <f t="shared" si="65"/>
        <v>22.468750000000373</v>
      </c>
    </row>
    <row r="2095" spans="1:9" x14ac:dyDescent="0.2">
      <c r="A2095" t="s">
        <v>2319</v>
      </c>
      <c r="B2095">
        <v>3.8815</v>
      </c>
      <c r="C2095">
        <v>5.4385000000000003E-2</v>
      </c>
      <c r="D2095">
        <v>251</v>
      </c>
      <c r="E2095" t="s">
        <v>2319</v>
      </c>
      <c r="F2095">
        <v>251</v>
      </c>
      <c r="G2095" s="1">
        <v>45177</v>
      </c>
      <c r="H2095" s="6">
        <f t="shared" si="64"/>
        <v>22.479166666667041</v>
      </c>
      <c r="I2095" s="7">
        <f t="shared" si="65"/>
        <v>22.479166666667041</v>
      </c>
    </row>
    <row r="2096" spans="1:9" x14ac:dyDescent="0.2">
      <c r="A2096" t="s">
        <v>2320</v>
      </c>
      <c r="B2096">
        <v>3.8445</v>
      </c>
      <c r="C2096">
        <v>5.3850000000000002E-2</v>
      </c>
      <c r="D2096">
        <v>251</v>
      </c>
      <c r="E2096" t="s">
        <v>2320</v>
      </c>
      <c r="F2096">
        <v>251</v>
      </c>
      <c r="G2096" s="1">
        <v>45177</v>
      </c>
      <c r="H2096" s="6">
        <f t="shared" si="64"/>
        <v>22.489583333333709</v>
      </c>
      <c r="I2096" s="7">
        <f t="shared" si="65"/>
        <v>22.489583333333709</v>
      </c>
    </row>
    <row r="2097" spans="1:9" x14ac:dyDescent="0.2">
      <c r="A2097" t="s">
        <v>2321</v>
      </c>
      <c r="B2097">
        <v>3.8239999999999998</v>
      </c>
      <c r="C2097">
        <v>5.3554999999999998E-2</v>
      </c>
      <c r="D2097">
        <v>251</v>
      </c>
      <c r="E2097" t="s">
        <v>2321</v>
      </c>
      <c r="F2097">
        <v>251</v>
      </c>
      <c r="G2097" s="1">
        <v>45177</v>
      </c>
      <c r="H2097" s="6">
        <f t="shared" si="64"/>
        <v>22.500000000000377</v>
      </c>
      <c r="I2097" s="7">
        <f t="shared" si="65"/>
        <v>22.500000000000377</v>
      </c>
    </row>
    <row r="2098" spans="1:9" x14ac:dyDescent="0.2">
      <c r="A2098" t="s">
        <v>2322</v>
      </c>
      <c r="B2098">
        <v>3.8069999999999999</v>
      </c>
      <c r="C2098">
        <v>5.3339999999999999E-2</v>
      </c>
      <c r="D2098">
        <v>251</v>
      </c>
      <c r="E2098" t="s">
        <v>2322</v>
      </c>
      <c r="F2098">
        <v>251</v>
      </c>
      <c r="G2098" s="1">
        <v>45177</v>
      </c>
      <c r="H2098" s="6">
        <f t="shared" si="64"/>
        <v>22.510416666667044</v>
      </c>
      <c r="I2098" s="7">
        <f t="shared" si="65"/>
        <v>22.510416666667044</v>
      </c>
    </row>
    <row r="2099" spans="1:9" x14ac:dyDescent="0.2">
      <c r="A2099" t="s">
        <v>2323</v>
      </c>
      <c r="B2099">
        <v>3.7685</v>
      </c>
      <c r="C2099">
        <v>5.2784999999999999E-2</v>
      </c>
      <c r="D2099">
        <v>251</v>
      </c>
      <c r="E2099" t="s">
        <v>2323</v>
      </c>
      <c r="F2099">
        <v>251</v>
      </c>
      <c r="G2099" s="1">
        <v>45177</v>
      </c>
      <c r="H2099" s="6">
        <f t="shared" si="64"/>
        <v>22.520833333333712</v>
      </c>
      <c r="I2099" s="7">
        <f t="shared" si="65"/>
        <v>22.520833333333712</v>
      </c>
    </row>
    <row r="2100" spans="1:9" x14ac:dyDescent="0.2">
      <c r="A2100" t="s">
        <v>2324</v>
      </c>
      <c r="B2100" s="2" t="s">
        <v>2325</v>
      </c>
      <c r="C2100">
        <v>5.2935000000000003E-2</v>
      </c>
      <c r="D2100">
        <v>251</v>
      </c>
      <c r="E2100" t="s">
        <v>2324</v>
      </c>
      <c r="F2100">
        <v>251</v>
      </c>
      <c r="G2100" s="1">
        <v>45177</v>
      </c>
      <c r="H2100" s="6">
        <f t="shared" si="64"/>
        <v>22.53125000000038</v>
      </c>
      <c r="I2100" s="7">
        <f t="shared" si="65"/>
        <v>22.53125000000038</v>
      </c>
    </row>
    <row r="2101" spans="1:9" x14ac:dyDescent="0.2">
      <c r="A2101" t="s">
        <v>2326</v>
      </c>
      <c r="B2101">
        <v>3.7709999999999999</v>
      </c>
      <c r="C2101">
        <v>5.2835E-2</v>
      </c>
      <c r="D2101">
        <v>251</v>
      </c>
      <c r="E2101" t="s">
        <v>2326</v>
      </c>
      <c r="F2101">
        <v>251</v>
      </c>
      <c r="G2101" s="1">
        <v>45177</v>
      </c>
      <c r="H2101" s="6">
        <f t="shared" si="64"/>
        <v>22.541666666667048</v>
      </c>
      <c r="I2101" s="7">
        <f t="shared" si="65"/>
        <v>22.541666666667048</v>
      </c>
    </row>
    <row r="2102" spans="1:9" x14ac:dyDescent="0.2">
      <c r="A2102" t="s">
        <v>2327</v>
      </c>
      <c r="B2102">
        <v>3.7694999999999999</v>
      </c>
      <c r="C2102">
        <v>5.2804999999999998E-2</v>
      </c>
      <c r="D2102">
        <v>251</v>
      </c>
      <c r="E2102" t="s">
        <v>2327</v>
      </c>
      <c r="F2102">
        <v>251</v>
      </c>
      <c r="G2102" s="1">
        <v>45177</v>
      </c>
      <c r="H2102" s="6">
        <f t="shared" si="64"/>
        <v>22.552083333333716</v>
      </c>
      <c r="I2102" s="7">
        <f t="shared" si="65"/>
        <v>22.552083333333716</v>
      </c>
    </row>
    <row r="2103" spans="1:9" x14ac:dyDescent="0.2">
      <c r="A2103" t="s">
        <v>2328</v>
      </c>
      <c r="B2103">
        <v>3.7565</v>
      </c>
      <c r="C2103">
        <v>5.2615000000000002E-2</v>
      </c>
      <c r="D2103">
        <v>251</v>
      </c>
      <c r="E2103" t="s">
        <v>2328</v>
      </c>
      <c r="F2103">
        <v>251</v>
      </c>
      <c r="G2103" s="1">
        <v>45177</v>
      </c>
      <c r="H2103" s="6">
        <f t="shared" si="64"/>
        <v>22.562500000000384</v>
      </c>
      <c r="I2103" s="7">
        <f t="shared" si="65"/>
        <v>22.562500000000384</v>
      </c>
    </row>
    <row r="2104" spans="1:9" x14ac:dyDescent="0.2">
      <c r="A2104" t="s">
        <v>2329</v>
      </c>
      <c r="B2104">
        <v>3.7054999999999998</v>
      </c>
      <c r="C2104">
        <v>5.1900000000000002E-2</v>
      </c>
      <c r="D2104">
        <v>251</v>
      </c>
      <c r="E2104" t="s">
        <v>2329</v>
      </c>
      <c r="F2104">
        <v>251</v>
      </c>
      <c r="G2104" s="1">
        <v>45177</v>
      </c>
      <c r="H2104" s="6">
        <f t="shared" si="64"/>
        <v>22.572916666667052</v>
      </c>
      <c r="I2104" s="7">
        <f t="shared" si="65"/>
        <v>22.572916666667052</v>
      </c>
    </row>
    <row r="2105" spans="1:9" x14ac:dyDescent="0.2">
      <c r="A2105" t="s">
        <v>2330</v>
      </c>
      <c r="B2105" s="2" t="s">
        <v>1389</v>
      </c>
      <c r="C2105">
        <v>5.1830000000000001E-2</v>
      </c>
      <c r="D2105">
        <v>251</v>
      </c>
      <c r="E2105" t="s">
        <v>2330</v>
      </c>
      <c r="F2105">
        <v>251</v>
      </c>
      <c r="G2105" s="1">
        <v>45177</v>
      </c>
      <c r="H2105" s="6">
        <f t="shared" si="64"/>
        <v>22.583333333333719</v>
      </c>
      <c r="I2105" s="7">
        <f t="shared" si="65"/>
        <v>22.583333333333719</v>
      </c>
    </row>
    <row r="2106" spans="1:9" x14ac:dyDescent="0.2">
      <c r="A2106" t="s">
        <v>2331</v>
      </c>
      <c r="B2106">
        <v>3.7134999999999998</v>
      </c>
      <c r="C2106">
        <v>5.2019999999999997E-2</v>
      </c>
      <c r="D2106">
        <v>251</v>
      </c>
      <c r="E2106" t="s">
        <v>2331</v>
      </c>
      <c r="F2106">
        <v>251</v>
      </c>
      <c r="G2106" s="1">
        <v>45177</v>
      </c>
      <c r="H2106" s="6">
        <f t="shared" si="64"/>
        <v>22.593750000000387</v>
      </c>
      <c r="I2106" s="7">
        <f t="shared" si="65"/>
        <v>22.593750000000387</v>
      </c>
    </row>
    <row r="2107" spans="1:9" x14ac:dyDescent="0.2">
      <c r="A2107" t="s">
        <v>2332</v>
      </c>
      <c r="B2107">
        <v>3.7174999999999998</v>
      </c>
      <c r="C2107">
        <v>5.2065E-2</v>
      </c>
      <c r="D2107">
        <v>251</v>
      </c>
      <c r="E2107" t="s">
        <v>2332</v>
      </c>
      <c r="F2107">
        <v>251</v>
      </c>
      <c r="G2107" s="1">
        <v>45177</v>
      </c>
      <c r="H2107" s="6">
        <f t="shared" si="64"/>
        <v>22.604166666667055</v>
      </c>
      <c r="I2107" s="7">
        <f t="shared" si="65"/>
        <v>22.604166666667055</v>
      </c>
    </row>
    <row r="2108" spans="1:9" x14ac:dyDescent="0.2">
      <c r="A2108" t="s">
        <v>2333</v>
      </c>
      <c r="B2108">
        <v>3.6884999999999999</v>
      </c>
      <c r="C2108">
        <v>5.1670000000000001E-2</v>
      </c>
      <c r="D2108">
        <v>251</v>
      </c>
      <c r="E2108" t="s">
        <v>2333</v>
      </c>
      <c r="F2108">
        <v>251</v>
      </c>
      <c r="G2108" s="1">
        <v>45177</v>
      </c>
      <c r="H2108" s="6">
        <f t="shared" si="64"/>
        <v>22.614583333333723</v>
      </c>
      <c r="I2108" s="7">
        <f t="shared" si="65"/>
        <v>22.614583333333723</v>
      </c>
    </row>
    <row r="2109" spans="1:9" x14ac:dyDescent="0.2">
      <c r="A2109" t="s">
        <v>2334</v>
      </c>
      <c r="B2109" s="2" t="s">
        <v>2335</v>
      </c>
      <c r="C2109">
        <v>5.178E-2</v>
      </c>
      <c r="D2109">
        <v>251</v>
      </c>
      <c r="E2109" t="s">
        <v>2334</v>
      </c>
      <c r="F2109">
        <v>251</v>
      </c>
      <c r="G2109" s="1">
        <v>45177</v>
      </c>
      <c r="H2109" s="6">
        <f t="shared" si="64"/>
        <v>22.625000000000391</v>
      </c>
      <c r="I2109" s="7">
        <f t="shared" si="65"/>
        <v>22.625000000000391</v>
      </c>
    </row>
    <row r="2110" spans="1:9" x14ac:dyDescent="0.2">
      <c r="A2110" t="s">
        <v>2336</v>
      </c>
      <c r="B2110">
        <v>3.7040000000000002</v>
      </c>
      <c r="C2110">
        <v>5.1885000000000001E-2</v>
      </c>
      <c r="D2110">
        <v>251</v>
      </c>
      <c r="E2110" t="s">
        <v>2336</v>
      </c>
      <c r="F2110">
        <v>251</v>
      </c>
      <c r="G2110" s="1">
        <v>45177</v>
      </c>
      <c r="H2110" s="6">
        <f t="shared" si="64"/>
        <v>22.635416666667059</v>
      </c>
      <c r="I2110" s="7">
        <f t="shared" si="65"/>
        <v>22.635416666667059</v>
      </c>
    </row>
    <row r="2111" spans="1:9" x14ac:dyDescent="0.2">
      <c r="A2111" t="s">
        <v>2337</v>
      </c>
      <c r="B2111">
        <v>3.6775000000000002</v>
      </c>
      <c r="C2111">
        <v>5.1525000000000001E-2</v>
      </c>
      <c r="D2111">
        <v>251</v>
      </c>
      <c r="E2111" t="s">
        <v>2337</v>
      </c>
      <c r="F2111">
        <v>251</v>
      </c>
      <c r="G2111" s="1">
        <v>45177</v>
      </c>
      <c r="H2111" s="6">
        <f t="shared" si="64"/>
        <v>22.645833333333727</v>
      </c>
      <c r="I2111" s="7">
        <f t="shared" si="65"/>
        <v>22.645833333333727</v>
      </c>
    </row>
    <row r="2112" spans="1:9" x14ac:dyDescent="0.2">
      <c r="A2112" t="s">
        <v>2338</v>
      </c>
      <c r="B2112">
        <v>3.6974999999999998</v>
      </c>
      <c r="C2112">
        <v>5.178E-2</v>
      </c>
      <c r="D2112">
        <v>251</v>
      </c>
      <c r="E2112" t="s">
        <v>2338</v>
      </c>
      <c r="F2112">
        <v>251</v>
      </c>
      <c r="G2112" s="1">
        <v>45177</v>
      </c>
      <c r="H2112" s="6">
        <f t="shared" si="64"/>
        <v>22.656250000000394</v>
      </c>
      <c r="I2112" s="7">
        <f t="shared" si="65"/>
        <v>22.656250000000394</v>
      </c>
    </row>
    <row r="2113" spans="1:9" x14ac:dyDescent="0.2">
      <c r="A2113" t="s">
        <v>2339</v>
      </c>
      <c r="B2113" s="2" t="s">
        <v>2340</v>
      </c>
      <c r="C2113">
        <v>5.1139999999999998E-2</v>
      </c>
      <c r="D2113">
        <v>251</v>
      </c>
      <c r="E2113" t="s">
        <v>2339</v>
      </c>
      <c r="F2113">
        <v>251</v>
      </c>
      <c r="G2113" s="1">
        <v>45177</v>
      </c>
      <c r="H2113" s="6">
        <f t="shared" si="64"/>
        <v>22.666666666667062</v>
      </c>
      <c r="I2113" s="7">
        <f t="shared" si="65"/>
        <v>22.666666666667062</v>
      </c>
    </row>
    <row r="2114" spans="1:9" x14ac:dyDescent="0.2">
      <c r="A2114" t="s">
        <v>2341</v>
      </c>
      <c r="B2114">
        <v>3.6364999999999998</v>
      </c>
      <c r="C2114">
        <v>5.0930000000000003E-2</v>
      </c>
      <c r="D2114">
        <v>251</v>
      </c>
      <c r="E2114" t="s">
        <v>2341</v>
      </c>
      <c r="F2114">
        <v>251</v>
      </c>
      <c r="G2114" s="1">
        <v>45177</v>
      </c>
      <c r="H2114" s="6">
        <f t="shared" si="64"/>
        <v>22.67708333333373</v>
      </c>
      <c r="I2114" s="7">
        <f t="shared" si="65"/>
        <v>22.67708333333373</v>
      </c>
    </row>
    <row r="2115" spans="1:9" x14ac:dyDescent="0.2">
      <c r="A2115" t="s">
        <v>2342</v>
      </c>
      <c r="B2115">
        <v>3.6545000000000001</v>
      </c>
      <c r="C2115">
        <v>5.1185000000000001E-2</v>
      </c>
      <c r="D2115">
        <v>251</v>
      </c>
      <c r="E2115" t="s">
        <v>2342</v>
      </c>
      <c r="F2115">
        <v>251</v>
      </c>
      <c r="G2115" s="1">
        <v>45177</v>
      </c>
      <c r="H2115" s="6">
        <f t="shared" ref="H2115:H2178" si="66">H2114+$K$1</f>
        <v>22.687500000000398</v>
      </c>
      <c r="I2115" s="7">
        <f t="shared" ref="I2115:I2178" si="67">I2114+$K$1</f>
        <v>22.687500000000398</v>
      </c>
    </row>
    <row r="2116" spans="1:9" x14ac:dyDescent="0.2">
      <c r="A2116" t="s">
        <v>2343</v>
      </c>
      <c r="B2116">
        <v>3.6059999999999999</v>
      </c>
      <c r="C2116">
        <v>5.0514999999999997E-2</v>
      </c>
      <c r="D2116">
        <v>251</v>
      </c>
      <c r="E2116" t="s">
        <v>2343</v>
      </c>
      <c r="F2116">
        <v>251</v>
      </c>
      <c r="G2116" s="1">
        <v>45177</v>
      </c>
      <c r="H2116" s="6">
        <f t="shared" si="66"/>
        <v>22.697916666667066</v>
      </c>
      <c r="I2116" s="7">
        <f t="shared" si="67"/>
        <v>22.697916666667066</v>
      </c>
    </row>
    <row r="2117" spans="1:9" x14ac:dyDescent="0.2">
      <c r="A2117" t="s">
        <v>2344</v>
      </c>
      <c r="B2117">
        <v>3.6539999999999999</v>
      </c>
      <c r="C2117">
        <v>5.1185000000000001E-2</v>
      </c>
      <c r="D2117">
        <v>251</v>
      </c>
      <c r="E2117" t="s">
        <v>2344</v>
      </c>
      <c r="F2117">
        <v>251</v>
      </c>
      <c r="G2117" s="1">
        <v>45177</v>
      </c>
      <c r="H2117" s="6">
        <f t="shared" si="66"/>
        <v>22.708333333333734</v>
      </c>
      <c r="I2117" s="7">
        <f t="shared" si="67"/>
        <v>22.708333333333734</v>
      </c>
    </row>
    <row r="2118" spans="1:9" x14ac:dyDescent="0.2">
      <c r="A2118" t="s">
        <v>2345</v>
      </c>
      <c r="B2118">
        <v>3.6675</v>
      </c>
      <c r="C2118">
        <v>5.1360000000000003E-2</v>
      </c>
      <c r="D2118">
        <v>251</v>
      </c>
      <c r="E2118" t="s">
        <v>2345</v>
      </c>
      <c r="F2118">
        <v>251</v>
      </c>
      <c r="G2118" s="1">
        <v>45177</v>
      </c>
      <c r="H2118" s="6">
        <f t="shared" si="66"/>
        <v>22.718750000000401</v>
      </c>
      <c r="I2118" s="7">
        <f t="shared" si="67"/>
        <v>22.718750000000401</v>
      </c>
    </row>
    <row r="2119" spans="1:9" x14ac:dyDescent="0.2">
      <c r="A2119" t="s">
        <v>2346</v>
      </c>
      <c r="B2119">
        <v>3.673</v>
      </c>
      <c r="C2119" s="2" t="s">
        <v>2347</v>
      </c>
      <c r="D2119">
        <v>251</v>
      </c>
      <c r="E2119" t="s">
        <v>2346</v>
      </c>
      <c r="F2119">
        <v>251</v>
      </c>
      <c r="G2119" s="1">
        <v>45177</v>
      </c>
      <c r="H2119" s="6">
        <f t="shared" si="66"/>
        <v>22.729166666667069</v>
      </c>
      <c r="I2119" s="7">
        <f t="shared" si="67"/>
        <v>22.729166666667069</v>
      </c>
    </row>
    <row r="2120" spans="1:9" x14ac:dyDescent="0.2">
      <c r="A2120" t="s">
        <v>2348</v>
      </c>
      <c r="B2120">
        <v>3.6859999999999999</v>
      </c>
      <c r="C2120">
        <v>5.1635E-2</v>
      </c>
      <c r="D2120">
        <v>251</v>
      </c>
      <c r="E2120" t="s">
        <v>2348</v>
      </c>
      <c r="F2120">
        <v>251</v>
      </c>
      <c r="G2120" s="1">
        <v>45177</v>
      </c>
      <c r="H2120" s="6">
        <f t="shared" si="66"/>
        <v>22.739583333333737</v>
      </c>
      <c r="I2120" s="7">
        <f t="shared" si="67"/>
        <v>22.739583333333737</v>
      </c>
    </row>
    <row r="2121" spans="1:9" x14ac:dyDescent="0.2">
      <c r="A2121" t="s">
        <v>2349</v>
      </c>
      <c r="B2121">
        <v>3.6255000000000002</v>
      </c>
      <c r="C2121">
        <v>5.0775000000000001E-2</v>
      </c>
      <c r="D2121">
        <v>252</v>
      </c>
      <c r="E2121" t="s">
        <v>2349</v>
      </c>
      <c r="F2121">
        <v>251</v>
      </c>
      <c r="G2121" s="1">
        <v>45177</v>
      </c>
      <c r="H2121" s="6">
        <f t="shared" si="66"/>
        <v>22.750000000000405</v>
      </c>
      <c r="I2121" s="7">
        <f t="shared" si="67"/>
        <v>22.750000000000405</v>
      </c>
    </row>
    <row r="2122" spans="1:9" x14ac:dyDescent="0.2">
      <c r="A2122" t="s">
        <v>2350</v>
      </c>
      <c r="B2122">
        <v>3.64</v>
      </c>
      <c r="C2122">
        <v>5.0990000000000001E-2</v>
      </c>
      <c r="D2122">
        <v>252</v>
      </c>
      <c r="E2122" t="s">
        <v>2350</v>
      </c>
      <c r="F2122">
        <v>251</v>
      </c>
      <c r="G2122" s="1">
        <v>45177</v>
      </c>
      <c r="H2122" s="6">
        <f t="shared" si="66"/>
        <v>22.760416666667073</v>
      </c>
      <c r="I2122" s="7">
        <f t="shared" si="67"/>
        <v>22.760416666667073</v>
      </c>
    </row>
    <row r="2123" spans="1:9" x14ac:dyDescent="0.2">
      <c r="A2123" t="s">
        <v>2351</v>
      </c>
      <c r="B2123">
        <v>3.6265000000000001</v>
      </c>
      <c r="C2123">
        <v>5.0779999999999999E-2</v>
      </c>
      <c r="D2123">
        <v>252</v>
      </c>
      <c r="E2123" t="s">
        <v>2351</v>
      </c>
      <c r="F2123">
        <v>251</v>
      </c>
      <c r="G2123" s="1">
        <v>45177</v>
      </c>
      <c r="H2123" s="6">
        <f t="shared" si="66"/>
        <v>22.770833333333741</v>
      </c>
      <c r="I2123" s="7">
        <f t="shared" si="67"/>
        <v>22.770833333333741</v>
      </c>
    </row>
    <row r="2124" spans="1:9" x14ac:dyDescent="0.2">
      <c r="A2124" t="s">
        <v>2352</v>
      </c>
      <c r="B2124">
        <v>3.6025</v>
      </c>
      <c r="C2124">
        <v>5.0465000000000003E-2</v>
      </c>
      <c r="D2124">
        <v>252</v>
      </c>
      <c r="E2124" t="s">
        <v>2352</v>
      </c>
      <c r="F2124">
        <v>251</v>
      </c>
      <c r="G2124" s="1">
        <v>45177</v>
      </c>
      <c r="H2124" s="6">
        <f t="shared" si="66"/>
        <v>22.781250000000409</v>
      </c>
      <c r="I2124" s="7">
        <f t="shared" si="67"/>
        <v>22.781250000000409</v>
      </c>
    </row>
    <row r="2125" spans="1:9" x14ac:dyDescent="0.2">
      <c r="A2125" t="s">
        <v>2353</v>
      </c>
      <c r="B2125">
        <v>3.6509999999999998</v>
      </c>
      <c r="C2125">
        <v>5.1135E-2</v>
      </c>
      <c r="D2125">
        <v>252</v>
      </c>
      <c r="E2125" t="s">
        <v>2353</v>
      </c>
      <c r="F2125">
        <v>251</v>
      </c>
      <c r="G2125" s="1">
        <v>45177</v>
      </c>
      <c r="H2125" s="6">
        <f t="shared" si="66"/>
        <v>22.791666666667076</v>
      </c>
      <c r="I2125" s="7">
        <f t="shared" si="67"/>
        <v>22.791666666667076</v>
      </c>
    </row>
    <row r="2126" spans="1:9" x14ac:dyDescent="0.2">
      <c r="A2126" t="s">
        <v>2354</v>
      </c>
      <c r="B2126">
        <v>3.6469999999999998</v>
      </c>
      <c r="C2126">
        <v>5.108E-2</v>
      </c>
      <c r="D2126">
        <v>252</v>
      </c>
      <c r="E2126" t="s">
        <v>2354</v>
      </c>
      <c r="F2126">
        <v>251</v>
      </c>
      <c r="G2126" s="1">
        <v>45177</v>
      </c>
      <c r="H2126" s="6">
        <f t="shared" si="66"/>
        <v>22.802083333333744</v>
      </c>
      <c r="I2126" s="7">
        <f t="shared" si="67"/>
        <v>22.802083333333744</v>
      </c>
    </row>
    <row r="2127" spans="1:9" x14ac:dyDescent="0.2">
      <c r="A2127" t="s">
        <v>2355</v>
      </c>
      <c r="B2127" s="2" t="s">
        <v>2111</v>
      </c>
      <c r="C2127">
        <v>5.0810000000000001E-2</v>
      </c>
      <c r="D2127">
        <v>252</v>
      </c>
      <c r="E2127" t="s">
        <v>2355</v>
      </c>
      <c r="F2127">
        <v>251</v>
      </c>
      <c r="G2127" s="1">
        <v>45177</v>
      </c>
      <c r="H2127" s="6">
        <f t="shared" si="66"/>
        <v>22.812500000000412</v>
      </c>
      <c r="I2127" s="7">
        <f t="shared" si="67"/>
        <v>22.812500000000412</v>
      </c>
    </row>
    <row r="2128" spans="1:9" x14ac:dyDescent="0.2">
      <c r="A2128" t="s">
        <v>2356</v>
      </c>
      <c r="B2128">
        <v>3.613</v>
      </c>
      <c r="C2128">
        <v>5.0599999999999999E-2</v>
      </c>
      <c r="D2128">
        <v>252</v>
      </c>
      <c r="E2128" t="s">
        <v>2356</v>
      </c>
      <c r="F2128">
        <v>251</v>
      </c>
      <c r="G2128" s="1">
        <v>45177</v>
      </c>
      <c r="H2128" s="6">
        <f t="shared" si="66"/>
        <v>22.82291666666708</v>
      </c>
      <c r="I2128" s="7">
        <f t="shared" si="67"/>
        <v>22.82291666666708</v>
      </c>
    </row>
    <row r="2129" spans="1:9" x14ac:dyDescent="0.2">
      <c r="A2129" t="s">
        <v>2357</v>
      </c>
      <c r="B2129">
        <v>3.6859999999999999</v>
      </c>
      <c r="C2129">
        <v>5.1619999999999999E-2</v>
      </c>
      <c r="D2129">
        <v>252</v>
      </c>
      <c r="E2129" t="s">
        <v>2357</v>
      </c>
      <c r="F2129">
        <v>251</v>
      </c>
      <c r="G2129" s="1">
        <v>45177</v>
      </c>
      <c r="H2129" s="6">
        <f t="shared" si="66"/>
        <v>22.833333333333748</v>
      </c>
      <c r="I2129" s="7">
        <f t="shared" si="67"/>
        <v>22.833333333333748</v>
      </c>
    </row>
    <row r="2130" spans="1:9" x14ac:dyDescent="0.2">
      <c r="A2130" t="s">
        <v>2358</v>
      </c>
      <c r="B2130">
        <v>3.6835</v>
      </c>
      <c r="C2130">
        <v>5.1595000000000002E-2</v>
      </c>
      <c r="D2130">
        <v>252</v>
      </c>
      <c r="E2130" t="s">
        <v>2358</v>
      </c>
      <c r="F2130">
        <v>251</v>
      </c>
      <c r="G2130" s="1">
        <v>45177</v>
      </c>
      <c r="H2130" s="6">
        <f t="shared" si="66"/>
        <v>22.843750000000416</v>
      </c>
      <c r="I2130" s="7">
        <f t="shared" si="67"/>
        <v>22.843750000000416</v>
      </c>
    </row>
    <row r="2131" spans="1:9" x14ac:dyDescent="0.2">
      <c r="A2131" t="s">
        <v>2359</v>
      </c>
      <c r="B2131">
        <v>3.7149999999999999</v>
      </c>
      <c r="C2131">
        <v>5.2025000000000002E-2</v>
      </c>
      <c r="D2131">
        <v>252</v>
      </c>
      <c r="E2131" t="s">
        <v>2359</v>
      </c>
      <c r="F2131">
        <v>251</v>
      </c>
      <c r="G2131" s="1">
        <v>45177</v>
      </c>
      <c r="H2131" s="6">
        <f t="shared" si="66"/>
        <v>22.854166666667084</v>
      </c>
      <c r="I2131" s="7">
        <f t="shared" si="67"/>
        <v>22.854166666667084</v>
      </c>
    </row>
    <row r="2132" spans="1:9" x14ac:dyDescent="0.2">
      <c r="A2132" t="s">
        <v>2360</v>
      </c>
      <c r="B2132">
        <v>3.7690000000000001</v>
      </c>
      <c r="C2132">
        <v>5.2815000000000001E-2</v>
      </c>
      <c r="D2132">
        <v>252</v>
      </c>
      <c r="E2132" t="s">
        <v>2360</v>
      </c>
      <c r="F2132">
        <v>251</v>
      </c>
      <c r="G2132" s="1">
        <v>45177</v>
      </c>
      <c r="H2132" s="6">
        <f t="shared" si="66"/>
        <v>22.864583333333751</v>
      </c>
      <c r="I2132" s="7">
        <f t="shared" si="67"/>
        <v>22.864583333333751</v>
      </c>
    </row>
    <row r="2133" spans="1:9" x14ac:dyDescent="0.2">
      <c r="A2133" t="s">
        <v>2361</v>
      </c>
      <c r="B2133">
        <v>3.8214999999999999</v>
      </c>
      <c r="C2133">
        <v>5.3530000000000001E-2</v>
      </c>
      <c r="D2133">
        <v>252</v>
      </c>
      <c r="E2133" t="s">
        <v>2361</v>
      </c>
      <c r="F2133">
        <v>251</v>
      </c>
      <c r="G2133" s="1">
        <v>45177</v>
      </c>
      <c r="H2133" s="6">
        <f t="shared" si="66"/>
        <v>22.875000000000419</v>
      </c>
      <c r="I2133" s="7">
        <f t="shared" si="67"/>
        <v>22.875000000000419</v>
      </c>
    </row>
    <row r="2134" spans="1:9" x14ac:dyDescent="0.2">
      <c r="A2134" t="s">
        <v>2362</v>
      </c>
      <c r="B2134">
        <v>3.875</v>
      </c>
      <c r="C2134">
        <v>5.4269999999999999E-2</v>
      </c>
      <c r="D2134">
        <v>252</v>
      </c>
      <c r="E2134" t="s">
        <v>2362</v>
      </c>
      <c r="F2134">
        <v>251</v>
      </c>
      <c r="G2134" s="1">
        <v>45177</v>
      </c>
      <c r="H2134" s="6">
        <f t="shared" si="66"/>
        <v>22.885416666667087</v>
      </c>
      <c r="I2134" s="7">
        <f t="shared" si="67"/>
        <v>22.885416666667087</v>
      </c>
    </row>
    <row r="2135" spans="1:9" x14ac:dyDescent="0.2">
      <c r="A2135" t="s">
        <v>2363</v>
      </c>
      <c r="B2135">
        <v>3.8980000000000001</v>
      </c>
      <c r="C2135">
        <v>5.4614999999999997E-2</v>
      </c>
      <c r="D2135">
        <v>252</v>
      </c>
      <c r="E2135" t="s">
        <v>2363</v>
      </c>
      <c r="F2135">
        <v>251</v>
      </c>
      <c r="G2135" s="1">
        <v>45177</v>
      </c>
      <c r="H2135" s="6">
        <f t="shared" si="66"/>
        <v>22.895833333333755</v>
      </c>
      <c r="I2135" s="7">
        <f t="shared" si="67"/>
        <v>22.895833333333755</v>
      </c>
    </row>
    <row r="2136" spans="1:9" x14ac:dyDescent="0.2">
      <c r="A2136" t="s">
        <v>2364</v>
      </c>
      <c r="B2136">
        <v>3.9550000000000001</v>
      </c>
      <c r="C2136">
        <v>5.5405000000000003E-2</v>
      </c>
      <c r="D2136">
        <v>252</v>
      </c>
      <c r="E2136" t="s">
        <v>2364</v>
      </c>
      <c r="F2136">
        <v>251</v>
      </c>
      <c r="G2136" s="1">
        <v>45177</v>
      </c>
      <c r="H2136" s="6">
        <f t="shared" si="66"/>
        <v>22.906250000000423</v>
      </c>
      <c r="I2136" s="7">
        <f t="shared" si="67"/>
        <v>22.906250000000423</v>
      </c>
    </row>
    <row r="2137" spans="1:9" x14ac:dyDescent="0.2">
      <c r="A2137" t="s">
        <v>2365</v>
      </c>
      <c r="B2137">
        <v>4.0460000000000003</v>
      </c>
      <c r="C2137">
        <v>5.6665E-2</v>
      </c>
      <c r="D2137">
        <v>252</v>
      </c>
      <c r="E2137" t="s">
        <v>2365</v>
      </c>
      <c r="F2137">
        <v>251</v>
      </c>
      <c r="G2137" s="1">
        <v>45177</v>
      </c>
      <c r="H2137" s="6">
        <f t="shared" si="66"/>
        <v>22.916666666667091</v>
      </c>
      <c r="I2137" s="7">
        <f t="shared" si="67"/>
        <v>22.916666666667091</v>
      </c>
    </row>
    <row r="2138" spans="1:9" x14ac:dyDescent="0.2">
      <c r="A2138" t="s">
        <v>2366</v>
      </c>
      <c r="B2138">
        <v>4.0919999999999996</v>
      </c>
      <c r="C2138">
        <v>5.7299999999999997E-2</v>
      </c>
      <c r="D2138">
        <v>252</v>
      </c>
      <c r="E2138" t="s">
        <v>2366</v>
      </c>
      <c r="F2138">
        <v>251</v>
      </c>
      <c r="G2138" s="1">
        <v>45177</v>
      </c>
      <c r="H2138" s="6">
        <f t="shared" si="66"/>
        <v>22.927083333333758</v>
      </c>
      <c r="I2138" s="7">
        <f t="shared" si="67"/>
        <v>22.927083333333758</v>
      </c>
    </row>
    <row r="2139" spans="1:9" x14ac:dyDescent="0.2">
      <c r="A2139" t="s">
        <v>2367</v>
      </c>
      <c r="B2139">
        <v>4.9790000000000001</v>
      </c>
      <c r="C2139">
        <v>6.9739999999999996E-2</v>
      </c>
      <c r="D2139">
        <v>252</v>
      </c>
      <c r="E2139" t="s">
        <v>2367</v>
      </c>
      <c r="F2139">
        <v>251</v>
      </c>
      <c r="G2139" s="1">
        <v>45177</v>
      </c>
      <c r="H2139" s="6">
        <f t="shared" si="66"/>
        <v>22.937500000000426</v>
      </c>
      <c r="I2139" s="7">
        <f t="shared" si="67"/>
        <v>22.937500000000426</v>
      </c>
    </row>
    <row r="2140" spans="1:9" x14ac:dyDescent="0.2">
      <c r="A2140" t="s">
        <v>2368</v>
      </c>
      <c r="B2140">
        <v>4.2149999999999999</v>
      </c>
      <c r="C2140">
        <v>5.9034999999999997E-2</v>
      </c>
      <c r="D2140">
        <v>252</v>
      </c>
      <c r="E2140" t="s">
        <v>2368</v>
      </c>
      <c r="F2140">
        <v>251</v>
      </c>
      <c r="G2140" s="1">
        <v>45177</v>
      </c>
      <c r="H2140" s="6">
        <f t="shared" si="66"/>
        <v>22.947916666667094</v>
      </c>
      <c r="I2140" s="7">
        <f t="shared" si="67"/>
        <v>22.947916666667094</v>
      </c>
    </row>
    <row r="2141" spans="1:9" x14ac:dyDescent="0.2">
      <c r="A2141" t="s">
        <v>2369</v>
      </c>
      <c r="B2141">
        <v>4.2690000000000001</v>
      </c>
      <c r="C2141">
        <v>5.978E-2</v>
      </c>
      <c r="D2141">
        <v>252</v>
      </c>
      <c r="E2141" t="s">
        <v>2369</v>
      </c>
      <c r="F2141">
        <v>251</v>
      </c>
      <c r="G2141" s="1">
        <v>45177</v>
      </c>
      <c r="H2141" s="6">
        <f t="shared" si="66"/>
        <v>22.958333333333762</v>
      </c>
      <c r="I2141" s="7">
        <f t="shared" si="67"/>
        <v>22.958333333333762</v>
      </c>
    </row>
    <row r="2142" spans="1:9" x14ac:dyDescent="0.2">
      <c r="A2142" t="s">
        <v>2370</v>
      </c>
      <c r="B2142">
        <v>4.3079999999999998</v>
      </c>
      <c r="C2142" s="2" t="s">
        <v>2371</v>
      </c>
      <c r="D2142">
        <v>252</v>
      </c>
      <c r="E2142" t="s">
        <v>2370</v>
      </c>
      <c r="F2142">
        <v>251</v>
      </c>
      <c r="G2142" s="1">
        <v>45177</v>
      </c>
      <c r="H2142" s="6">
        <f t="shared" si="66"/>
        <v>22.96875000000043</v>
      </c>
      <c r="I2142" s="7">
        <f t="shared" si="67"/>
        <v>22.96875000000043</v>
      </c>
    </row>
    <row r="2143" spans="1:9" x14ac:dyDescent="0.2">
      <c r="A2143" t="s">
        <v>2372</v>
      </c>
      <c r="B2143">
        <v>4.3650000000000002</v>
      </c>
      <c r="C2143">
        <v>6.1159999999999999E-2</v>
      </c>
      <c r="D2143">
        <v>252</v>
      </c>
      <c r="E2143" t="s">
        <v>2372</v>
      </c>
      <c r="F2143">
        <v>251</v>
      </c>
      <c r="G2143" s="1">
        <v>45177</v>
      </c>
      <c r="H2143" s="6">
        <f t="shared" si="66"/>
        <v>22.979166666667098</v>
      </c>
      <c r="I2143" s="7">
        <f t="shared" si="67"/>
        <v>22.979166666667098</v>
      </c>
    </row>
    <row r="2144" spans="1:9" x14ac:dyDescent="0.2">
      <c r="A2144" t="s">
        <v>2373</v>
      </c>
      <c r="B2144">
        <v>4.3695000000000004</v>
      </c>
      <c r="C2144">
        <v>6.1214999999999999E-2</v>
      </c>
      <c r="D2144">
        <v>252</v>
      </c>
      <c r="E2144" t="s">
        <v>2373</v>
      </c>
      <c r="F2144">
        <v>251</v>
      </c>
      <c r="G2144" s="1">
        <v>45177</v>
      </c>
      <c r="H2144" s="6">
        <f t="shared" si="66"/>
        <v>22.989583333333766</v>
      </c>
      <c r="I2144" s="7">
        <f t="shared" si="67"/>
        <v>22.989583333333766</v>
      </c>
    </row>
    <row r="2145" spans="1:9" x14ac:dyDescent="0.2">
      <c r="A2145" t="s">
        <v>2374</v>
      </c>
      <c r="B2145">
        <v>4.4044999999999996</v>
      </c>
      <c r="C2145">
        <v>6.1690000000000002E-2</v>
      </c>
      <c r="D2145">
        <v>252</v>
      </c>
      <c r="E2145" t="s">
        <v>2374</v>
      </c>
      <c r="F2145">
        <v>252</v>
      </c>
      <c r="G2145" s="1">
        <v>45178</v>
      </c>
      <c r="H2145" s="6">
        <f t="shared" si="66"/>
        <v>23.000000000000433</v>
      </c>
      <c r="I2145" s="7">
        <f t="shared" si="67"/>
        <v>23.000000000000433</v>
      </c>
    </row>
    <row r="2146" spans="1:9" x14ac:dyDescent="0.2">
      <c r="A2146" t="s">
        <v>2375</v>
      </c>
      <c r="B2146">
        <v>4.4130000000000003</v>
      </c>
      <c r="C2146">
        <v>6.1815000000000002E-2</v>
      </c>
      <c r="D2146">
        <v>252</v>
      </c>
      <c r="E2146" t="s">
        <v>2375</v>
      </c>
      <c r="F2146">
        <v>252</v>
      </c>
      <c r="G2146" s="1">
        <v>45178</v>
      </c>
      <c r="H2146" s="6">
        <f t="shared" si="66"/>
        <v>23.010416666667101</v>
      </c>
      <c r="I2146" s="7">
        <f t="shared" si="67"/>
        <v>23.010416666667101</v>
      </c>
    </row>
    <row r="2147" spans="1:9" x14ac:dyDescent="0.2">
      <c r="A2147" t="s">
        <v>2376</v>
      </c>
      <c r="B2147">
        <v>4.444</v>
      </c>
      <c r="C2147">
        <v>6.2265000000000001E-2</v>
      </c>
      <c r="D2147">
        <v>252</v>
      </c>
      <c r="E2147" t="s">
        <v>2376</v>
      </c>
      <c r="F2147">
        <v>252</v>
      </c>
      <c r="G2147" s="1">
        <v>45178</v>
      </c>
      <c r="H2147" s="6">
        <f t="shared" si="66"/>
        <v>23.020833333333769</v>
      </c>
      <c r="I2147" s="7">
        <f t="shared" si="67"/>
        <v>23.020833333333769</v>
      </c>
    </row>
    <row r="2148" spans="1:9" x14ac:dyDescent="0.2">
      <c r="A2148" t="s">
        <v>2377</v>
      </c>
      <c r="B2148">
        <v>4.4405000000000001</v>
      </c>
      <c r="C2148">
        <v>6.2184999999999997E-2</v>
      </c>
      <c r="D2148">
        <v>252</v>
      </c>
      <c r="E2148" t="s">
        <v>2377</v>
      </c>
      <c r="F2148">
        <v>252</v>
      </c>
      <c r="G2148" s="1">
        <v>45178</v>
      </c>
      <c r="H2148" s="6">
        <f t="shared" si="66"/>
        <v>23.031250000000437</v>
      </c>
      <c r="I2148" s="7">
        <f t="shared" si="67"/>
        <v>23.031250000000437</v>
      </c>
    </row>
    <row r="2149" spans="1:9" x14ac:dyDescent="0.2">
      <c r="A2149" t="s">
        <v>2378</v>
      </c>
      <c r="B2149">
        <v>4.46</v>
      </c>
      <c r="C2149">
        <v>6.2495000000000002E-2</v>
      </c>
      <c r="D2149">
        <v>252</v>
      </c>
      <c r="E2149" t="s">
        <v>2378</v>
      </c>
      <c r="F2149">
        <v>252</v>
      </c>
      <c r="G2149" s="1">
        <v>45178</v>
      </c>
      <c r="H2149" s="6">
        <f t="shared" si="66"/>
        <v>23.041666666667105</v>
      </c>
      <c r="I2149" s="7">
        <f t="shared" si="67"/>
        <v>23.041666666667105</v>
      </c>
    </row>
    <row r="2150" spans="1:9" x14ac:dyDescent="0.2">
      <c r="A2150" t="s">
        <v>2379</v>
      </c>
      <c r="B2150">
        <v>4.4764999999999997</v>
      </c>
      <c r="C2150">
        <v>6.2689999999999996E-2</v>
      </c>
      <c r="D2150">
        <v>252</v>
      </c>
      <c r="E2150" t="s">
        <v>2379</v>
      </c>
      <c r="F2150">
        <v>252</v>
      </c>
      <c r="G2150" s="1">
        <v>45178</v>
      </c>
      <c r="H2150" s="6">
        <f t="shared" si="66"/>
        <v>23.052083333333773</v>
      </c>
      <c r="I2150" s="7">
        <f t="shared" si="67"/>
        <v>23.052083333333773</v>
      </c>
    </row>
    <row r="2151" spans="1:9" x14ac:dyDescent="0.2">
      <c r="A2151" t="s">
        <v>2380</v>
      </c>
      <c r="B2151">
        <v>4.4740000000000002</v>
      </c>
      <c r="C2151">
        <v>6.2670000000000003E-2</v>
      </c>
      <c r="D2151">
        <v>252</v>
      </c>
      <c r="E2151" t="s">
        <v>2380</v>
      </c>
      <c r="F2151">
        <v>252</v>
      </c>
      <c r="G2151" s="1">
        <v>45178</v>
      </c>
      <c r="H2151" s="6">
        <f t="shared" si="66"/>
        <v>23.062500000000441</v>
      </c>
      <c r="I2151" s="7">
        <f t="shared" si="67"/>
        <v>23.062500000000441</v>
      </c>
    </row>
    <row r="2152" spans="1:9" x14ac:dyDescent="0.2">
      <c r="A2152" t="s">
        <v>2381</v>
      </c>
      <c r="B2152">
        <v>4.4630000000000001</v>
      </c>
      <c r="C2152">
        <v>6.2505000000000005E-2</v>
      </c>
      <c r="D2152">
        <v>252</v>
      </c>
      <c r="E2152" t="s">
        <v>2381</v>
      </c>
      <c r="F2152">
        <v>252</v>
      </c>
      <c r="G2152" s="1">
        <v>45178</v>
      </c>
      <c r="H2152" s="6">
        <f t="shared" si="66"/>
        <v>23.072916666667108</v>
      </c>
      <c r="I2152" s="7">
        <f t="shared" si="67"/>
        <v>23.072916666667108</v>
      </c>
    </row>
    <row r="2153" spans="1:9" x14ac:dyDescent="0.2">
      <c r="A2153" t="s">
        <v>2382</v>
      </c>
      <c r="B2153">
        <v>4.4664999999999999</v>
      </c>
      <c r="C2153">
        <v>6.2549999999999994E-2</v>
      </c>
      <c r="D2153">
        <v>252</v>
      </c>
      <c r="E2153" t="s">
        <v>2382</v>
      </c>
      <c r="F2153">
        <v>252</v>
      </c>
      <c r="G2153" s="1">
        <v>45178</v>
      </c>
      <c r="H2153" s="6">
        <f t="shared" si="66"/>
        <v>23.083333333333776</v>
      </c>
      <c r="I2153" s="7">
        <f t="shared" si="67"/>
        <v>23.083333333333776</v>
      </c>
    </row>
    <row r="2154" spans="1:9" x14ac:dyDescent="0.2">
      <c r="A2154" t="s">
        <v>2383</v>
      </c>
      <c r="B2154">
        <v>4.4829999999999997</v>
      </c>
      <c r="C2154">
        <v>6.2799999999999995E-2</v>
      </c>
      <c r="D2154">
        <v>252</v>
      </c>
      <c r="E2154" t="s">
        <v>2383</v>
      </c>
      <c r="F2154">
        <v>252</v>
      </c>
      <c r="G2154" s="1">
        <v>45178</v>
      </c>
      <c r="H2154" s="6">
        <f t="shared" si="66"/>
        <v>23.093750000000444</v>
      </c>
      <c r="I2154" s="7">
        <f t="shared" si="67"/>
        <v>23.093750000000444</v>
      </c>
    </row>
    <row r="2155" spans="1:9" x14ac:dyDescent="0.2">
      <c r="A2155" t="s">
        <v>2384</v>
      </c>
      <c r="B2155">
        <v>4.4855</v>
      </c>
      <c r="C2155">
        <v>6.2814999999999996E-2</v>
      </c>
      <c r="D2155">
        <v>252</v>
      </c>
      <c r="E2155" t="s">
        <v>2384</v>
      </c>
      <c r="F2155">
        <v>252</v>
      </c>
      <c r="G2155" s="1">
        <v>45178</v>
      </c>
      <c r="H2155" s="6">
        <f t="shared" si="66"/>
        <v>23.104166666667112</v>
      </c>
      <c r="I2155" s="7">
        <f t="shared" si="67"/>
        <v>23.104166666667112</v>
      </c>
    </row>
    <row r="2156" spans="1:9" x14ac:dyDescent="0.2">
      <c r="A2156" t="s">
        <v>2385</v>
      </c>
      <c r="B2156">
        <v>4.4645000000000001</v>
      </c>
      <c r="C2156">
        <v>6.2539999999999998E-2</v>
      </c>
      <c r="D2156">
        <v>252</v>
      </c>
      <c r="E2156" t="s">
        <v>2385</v>
      </c>
      <c r="F2156">
        <v>252</v>
      </c>
      <c r="G2156" s="1">
        <v>45178</v>
      </c>
      <c r="H2156" s="6">
        <f t="shared" si="66"/>
        <v>23.11458333333378</v>
      </c>
      <c r="I2156" s="7">
        <f t="shared" si="67"/>
        <v>23.11458333333378</v>
      </c>
    </row>
    <row r="2157" spans="1:9" x14ac:dyDescent="0.2">
      <c r="A2157" t="s">
        <v>2386</v>
      </c>
      <c r="B2157">
        <v>4.4539999999999997</v>
      </c>
      <c r="C2157">
        <v>6.2390000000000001E-2</v>
      </c>
      <c r="D2157">
        <v>252</v>
      </c>
      <c r="E2157" t="s">
        <v>2386</v>
      </c>
      <c r="F2157">
        <v>252</v>
      </c>
      <c r="G2157" s="1">
        <v>45178</v>
      </c>
      <c r="H2157" s="6">
        <f t="shared" si="66"/>
        <v>23.125000000000448</v>
      </c>
      <c r="I2157" s="7">
        <f t="shared" si="67"/>
        <v>23.125000000000448</v>
      </c>
    </row>
    <row r="2158" spans="1:9" x14ac:dyDescent="0.2">
      <c r="A2158" t="s">
        <v>2387</v>
      </c>
      <c r="B2158">
        <v>4.484</v>
      </c>
      <c r="C2158">
        <v>6.2805E-2</v>
      </c>
      <c r="D2158">
        <v>252</v>
      </c>
      <c r="E2158" t="s">
        <v>2387</v>
      </c>
      <c r="F2158">
        <v>252</v>
      </c>
      <c r="G2158" s="1">
        <v>45178</v>
      </c>
      <c r="H2158" s="6">
        <f t="shared" si="66"/>
        <v>23.135416666667115</v>
      </c>
      <c r="I2158" s="7">
        <f t="shared" si="67"/>
        <v>23.135416666667115</v>
      </c>
    </row>
    <row r="2159" spans="1:9" x14ac:dyDescent="0.2">
      <c r="A2159" t="s">
        <v>2388</v>
      </c>
      <c r="B2159">
        <v>4.476</v>
      </c>
      <c r="C2159">
        <v>6.2685000000000005E-2</v>
      </c>
      <c r="D2159">
        <v>252</v>
      </c>
      <c r="E2159" t="s">
        <v>2388</v>
      </c>
      <c r="F2159">
        <v>252</v>
      </c>
      <c r="G2159" s="1">
        <v>45178</v>
      </c>
      <c r="H2159" s="6">
        <f t="shared" si="66"/>
        <v>23.145833333333783</v>
      </c>
      <c r="I2159" s="7">
        <f t="shared" si="67"/>
        <v>23.145833333333783</v>
      </c>
    </row>
    <row r="2160" spans="1:9" x14ac:dyDescent="0.2">
      <c r="A2160" t="s">
        <v>2389</v>
      </c>
      <c r="B2160" s="2" t="s">
        <v>1459</v>
      </c>
      <c r="C2160" s="2" t="s">
        <v>2390</v>
      </c>
      <c r="D2160">
        <v>252</v>
      </c>
      <c r="E2160" t="s">
        <v>2389</v>
      </c>
      <c r="F2160">
        <v>252</v>
      </c>
      <c r="G2160" s="1">
        <v>45178</v>
      </c>
      <c r="H2160" s="6">
        <f t="shared" si="66"/>
        <v>23.156250000000451</v>
      </c>
      <c r="I2160" s="7">
        <f t="shared" si="67"/>
        <v>23.156250000000451</v>
      </c>
    </row>
    <row r="2161" spans="1:9" x14ac:dyDescent="0.2">
      <c r="A2161" t="s">
        <v>2391</v>
      </c>
      <c r="B2161">
        <v>4.4885000000000002</v>
      </c>
      <c r="C2161">
        <v>6.2865000000000004E-2</v>
      </c>
      <c r="D2161">
        <v>252</v>
      </c>
      <c r="E2161" t="s">
        <v>2391</v>
      </c>
      <c r="F2161">
        <v>252</v>
      </c>
      <c r="G2161" s="1">
        <v>45178</v>
      </c>
      <c r="H2161" s="6">
        <f t="shared" si="66"/>
        <v>23.166666666667119</v>
      </c>
      <c r="I2161" s="7">
        <f t="shared" si="67"/>
        <v>23.166666666667119</v>
      </c>
    </row>
    <row r="2162" spans="1:9" x14ac:dyDescent="0.2">
      <c r="A2162" t="s">
        <v>2392</v>
      </c>
      <c r="B2162">
        <v>4.4455</v>
      </c>
      <c r="C2162">
        <v>6.2274999999999997E-2</v>
      </c>
      <c r="D2162">
        <v>252</v>
      </c>
      <c r="E2162" t="s">
        <v>2392</v>
      </c>
      <c r="F2162">
        <v>252</v>
      </c>
      <c r="G2162" s="1">
        <v>45178</v>
      </c>
      <c r="H2162" s="6">
        <f t="shared" si="66"/>
        <v>23.177083333333787</v>
      </c>
      <c r="I2162" s="7">
        <f t="shared" si="67"/>
        <v>23.177083333333787</v>
      </c>
    </row>
    <row r="2163" spans="1:9" x14ac:dyDescent="0.2">
      <c r="A2163" t="s">
        <v>2393</v>
      </c>
      <c r="B2163">
        <v>4.1020000000000003</v>
      </c>
      <c r="C2163">
        <v>5.7459999999999997E-2</v>
      </c>
      <c r="D2163">
        <v>252</v>
      </c>
      <c r="E2163" t="s">
        <v>2393</v>
      </c>
      <c r="F2163">
        <v>252</v>
      </c>
      <c r="G2163" s="1">
        <v>45178</v>
      </c>
      <c r="H2163" s="6">
        <f t="shared" si="66"/>
        <v>23.187500000000455</v>
      </c>
      <c r="I2163" s="7">
        <f t="shared" si="67"/>
        <v>23.187500000000455</v>
      </c>
    </row>
    <row r="2164" spans="1:9" x14ac:dyDescent="0.2">
      <c r="A2164" t="s">
        <v>2394</v>
      </c>
      <c r="B2164">
        <v>4.4619999999999997</v>
      </c>
      <c r="C2164">
        <v>6.2530000000000002E-2</v>
      </c>
      <c r="D2164">
        <v>252</v>
      </c>
      <c r="E2164" t="s">
        <v>2394</v>
      </c>
      <c r="F2164">
        <v>252</v>
      </c>
      <c r="G2164" s="1">
        <v>45178</v>
      </c>
      <c r="H2164" s="6">
        <f t="shared" si="66"/>
        <v>23.197916666667123</v>
      </c>
      <c r="I2164" s="7">
        <f t="shared" si="67"/>
        <v>23.197916666667123</v>
      </c>
    </row>
    <row r="2165" spans="1:9" x14ac:dyDescent="0.2">
      <c r="A2165" t="s">
        <v>2395</v>
      </c>
      <c r="B2165">
        <v>4.444</v>
      </c>
      <c r="C2165">
        <v>6.225E-2</v>
      </c>
      <c r="D2165">
        <v>252</v>
      </c>
      <c r="E2165" t="s">
        <v>2395</v>
      </c>
      <c r="F2165">
        <v>252</v>
      </c>
      <c r="G2165" s="1">
        <v>45178</v>
      </c>
      <c r="H2165" s="6">
        <f t="shared" si="66"/>
        <v>23.20833333333379</v>
      </c>
      <c r="I2165" s="7">
        <f t="shared" si="67"/>
        <v>23.20833333333379</v>
      </c>
    </row>
    <row r="2166" spans="1:9" x14ac:dyDescent="0.2">
      <c r="A2166" t="s">
        <v>2396</v>
      </c>
      <c r="B2166">
        <v>4.4530000000000003</v>
      </c>
      <c r="C2166">
        <v>6.2375E-2</v>
      </c>
      <c r="D2166">
        <v>252</v>
      </c>
      <c r="E2166" t="s">
        <v>2396</v>
      </c>
      <c r="F2166">
        <v>252</v>
      </c>
      <c r="G2166" s="1">
        <v>45178</v>
      </c>
      <c r="H2166" s="6">
        <f t="shared" si="66"/>
        <v>23.218750000000458</v>
      </c>
      <c r="I2166" s="7">
        <f t="shared" si="67"/>
        <v>23.218750000000458</v>
      </c>
    </row>
    <row r="2167" spans="1:9" x14ac:dyDescent="0.2">
      <c r="A2167" t="s">
        <v>2397</v>
      </c>
      <c r="B2167">
        <v>4.4850000000000003</v>
      </c>
      <c r="C2167">
        <v>6.2829999999999997E-2</v>
      </c>
      <c r="D2167">
        <v>252</v>
      </c>
      <c r="E2167" t="s">
        <v>2397</v>
      </c>
      <c r="F2167">
        <v>252</v>
      </c>
      <c r="G2167" s="1">
        <v>45178</v>
      </c>
      <c r="H2167" s="6">
        <f t="shared" si="66"/>
        <v>23.229166666667126</v>
      </c>
      <c r="I2167" s="7">
        <f t="shared" si="67"/>
        <v>23.229166666667126</v>
      </c>
    </row>
    <row r="2168" spans="1:9" x14ac:dyDescent="0.2">
      <c r="A2168" t="s">
        <v>2398</v>
      </c>
      <c r="B2168">
        <v>4.4675000000000002</v>
      </c>
      <c r="C2168">
        <v>6.2575000000000006E-2</v>
      </c>
      <c r="D2168">
        <v>252</v>
      </c>
      <c r="E2168" t="s">
        <v>2398</v>
      </c>
      <c r="F2168">
        <v>252</v>
      </c>
      <c r="G2168" s="1">
        <v>45178</v>
      </c>
      <c r="H2168" s="6">
        <f t="shared" si="66"/>
        <v>23.239583333333794</v>
      </c>
      <c r="I2168" s="7">
        <f t="shared" si="67"/>
        <v>23.239583333333794</v>
      </c>
    </row>
    <row r="2169" spans="1:9" x14ac:dyDescent="0.2">
      <c r="A2169" t="s">
        <v>2399</v>
      </c>
      <c r="B2169">
        <v>4.4744999999999999</v>
      </c>
      <c r="C2169">
        <v>6.2664999999999998E-2</v>
      </c>
      <c r="D2169">
        <v>252</v>
      </c>
      <c r="E2169" t="s">
        <v>2399</v>
      </c>
      <c r="F2169">
        <v>252</v>
      </c>
      <c r="G2169" s="1">
        <v>45178</v>
      </c>
      <c r="H2169" s="6">
        <f t="shared" si="66"/>
        <v>23.250000000000462</v>
      </c>
      <c r="I2169" s="7">
        <f t="shared" si="67"/>
        <v>23.250000000000462</v>
      </c>
    </row>
    <row r="2170" spans="1:9" x14ac:dyDescent="0.2">
      <c r="A2170" t="s">
        <v>2400</v>
      </c>
      <c r="B2170">
        <v>4.4560000000000004</v>
      </c>
      <c r="C2170">
        <v>6.2405000000000002E-2</v>
      </c>
      <c r="D2170">
        <v>252</v>
      </c>
      <c r="E2170" t="s">
        <v>2400</v>
      </c>
      <c r="F2170">
        <v>252</v>
      </c>
      <c r="G2170" s="1">
        <v>45178</v>
      </c>
      <c r="H2170" s="6">
        <f t="shared" si="66"/>
        <v>23.26041666666713</v>
      </c>
      <c r="I2170" s="7">
        <f t="shared" si="67"/>
        <v>23.26041666666713</v>
      </c>
    </row>
    <row r="2171" spans="1:9" x14ac:dyDescent="0.2">
      <c r="A2171" t="s">
        <v>2401</v>
      </c>
      <c r="B2171" s="2" t="s">
        <v>2402</v>
      </c>
      <c r="C2171">
        <v>6.2570000000000001E-2</v>
      </c>
      <c r="D2171">
        <v>252</v>
      </c>
      <c r="E2171" t="s">
        <v>2401</v>
      </c>
      <c r="F2171">
        <v>252</v>
      </c>
      <c r="G2171" s="1">
        <v>45178</v>
      </c>
      <c r="H2171" s="6">
        <f t="shared" si="66"/>
        <v>23.270833333333798</v>
      </c>
      <c r="I2171" s="7">
        <f t="shared" si="67"/>
        <v>23.270833333333798</v>
      </c>
    </row>
    <row r="2172" spans="1:9" x14ac:dyDescent="0.2">
      <c r="A2172" t="s">
        <v>2403</v>
      </c>
      <c r="B2172" s="2" t="s">
        <v>1540</v>
      </c>
      <c r="C2172">
        <v>6.2429999999999999E-2</v>
      </c>
      <c r="D2172">
        <v>252</v>
      </c>
      <c r="E2172" t="s">
        <v>2403</v>
      </c>
      <c r="F2172">
        <v>252</v>
      </c>
      <c r="G2172" s="1">
        <v>45178</v>
      </c>
      <c r="H2172" s="6">
        <f t="shared" si="66"/>
        <v>23.281250000000465</v>
      </c>
      <c r="I2172" s="7">
        <f t="shared" si="67"/>
        <v>23.281250000000465</v>
      </c>
    </row>
    <row r="2173" spans="1:9" x14ac:dyDescent="0.2">
      <c r="A2173" t="s">
        <v>2404</v>
      </c>
      <c r="B2173">
        <v>4.4569999999999999</v>
      </c>
      <c r="C2173">
        <v>6.2425000000000001E-2</v>
      </c>
      <c r="D2173">
        <v>252</v>
      </c>
      <c r="E2173" t="s">
        <v>2404</v>
      </c>
      <c r="F2173">
        <v>252</v>
      </c>
      <c r="G2173" s="1">
        <v>45178</v>
      </c>
      <c r="H2173" s="6">
        <f t="shared" si="66"/>
        <v>23.291666666667133</v>
      </c>
      <c r="I2173" s="7">
        <f t="shared" si="67"/>
        <v>23.291666666667133</v>
      </c>
    </row>
    <row r="2174" spans="1:9" x14ac:dyDescent="0.2">
      <c r="A2174" t="s">
        <v>2405</v>
      </c>
      <c r="B2174">
        <v>4.4450000000000003</v>
      </c>
      <c r="C2174">
        <v>6.2254999999999998E-2</v>
      </c>
      <c r="D2174">
        <v>252</v>
      </c>
      <c r="E2174" t="s">
        <v>2405</v>
      </c>
      <c r="F2174">
        <v>252</v>
      </c>
      <c r="G2174" s="1">
        <v>45178</v>
      </c>
      <c r="H2174" s="6">
        <f t="shared" si="66"/>
        <v>23.302083333333801</v>
      </c>
      <c r="I2174" s="7">
        <f t="shared" si="67"/>
        <v>23.302083333333801</v>
      </c>
    </row>
    <row r="2175" spans="1:9" x14ac:dyDescent="0.2">
      <c r="A2175" t="s">
        <v>2406</v>
      </c>
      <c r="B2175">
        <v>4.4279999999999999</v>
      </c>
      <c r="C2175">
        <v>6.2019999999999999E-2</v>
      </c>
      <c r="D2175">
        <v>252</v>
      </c>
      <c r="E2175" t="s">
        <v>2406</v>
      </c>
      <c r="F2175">
        <v>252</v>
      </c>
      <c r="G2175" s="1">
        <v>45178</v>
      </c>
      <c r="H2175" s="6">
        <f t="shared" si="66"/>
        <v>23.312500000000469</v>
      </c>
      <c r="I2175" s="7">
        <f t="shared" si="67"/>
        <v>23.312500000000469</v>
      </c>
    </row>
    <row r="2176" spans="1:9" x14ac:dyDescent="0.2">
      <c r="A2176" t="s">
        <v>2407</v>
      </c>
      <c r="B2176">
        <v>4.41</v>
      </c>
      <c r="C2176">
        <v>6.1795000000000003E-2</v>
      </c>
      <c r="D2176">
        <v>252</v>
      </c>
      <c r="E2176" t="s">
        <v>2407</v>
      </c>
      <c r="F2176">
        <v>252</v>
      </c>
      <c r="G2176" s="1">
        <v>45178</v>
      </c>
      <c r="H2176" s="6">
        <f t="shared" si="66"/>
        <v>23.322916666667137</v>
      </c>
      <c r="I2176" s="7">
        <f t="shared" si="67"/>
        <v>23.322916666667137</v>
      </c>
    </row>
    <row r="2177" spans="1:9" x14ac:dyDescent="0.2">
      <c r="A2177" t="s">
        <v>2408</v>
      </c>
      <c r="B2177">
        <v>4.3959999999999999</v>
      </c>
      <c r="C2177">
        <v>6.1580000000000003E-2</v>
      </c>
      <c r="D2177">
        <v>252</v>
      </c>
      <c r="E2177" t="s">
        <v>2408</v>
      </c>
      <c r="F2177">
        <v>252</v>
      </c>
      <c r="G2177" s="1">
        <v>45178</v>
      </c>
      <c r="H2177" s="6">
        <f t="shared" si="66"/>
        <v>23.333333333333805</v>
      </c>
      <c r="I2177" s="7">
        <f t="shared" si="67"/>
        <v>23.333333333333805</v>
      </c>
    </row>
    <row r="2178" spans="1:9" x14ac:dyDescent="0.2">
      <c r="A2178" t="s">
        <v>2409</v>
      </c>
      <c r="B2178">
        <v>4.3630000000000004</v>
      </c>
      <c r="C2178" s="2" t="s">
        <v>2410</v>
      </c>
      <c r="D2178">
        <v>252</v>
      </c>
      <c r="E2178" t="s">
        <v>2409</v>
      </c>
      <c r="F2178">
        <v>252</v>
      </c>
      <c r="G2178" s="1">
        <v>45178</v>
      </c>
      <c r="H2178" s="6">
        <f t="shared" si="66"/>
        <v>23.343750000000473</v>
      </c>
      <c r="I2178" s="7">
        <f t="shared" si="67"/>
        <v>23.343750000000473</v>
      </c>
    </row>
    <row r="2179" spans="1:9" x14ac:dyDescent="0.2">
      <c r="A2179" t="s">
        <v>2411</v>
      </c>
      <c r="B2179">
        <v>4.2904999999999998</v>
      </c>
      <c r="C2179">
        <v>6.0115000000000002E-2</v>
      </c>
      <c r="D2179">
        <v>252</v>
      </c>
      <c r="E2179" t="s">
        <v>2411</v>
      </c>
      <c r="F2179">
        <v>252</v>
      </c>
      <c r="G2179" s="1">
        <v>45178</v>
      </c>
      <c r="H2179" s="6">
        <f t="shared" ref="H2179:H2201" si="68">H2178+$K$1</f>
        <v>23.35416666666714</v>
      </c>
      <c r="I2179" s="7">
        <f t="shared" ref="I2179:I2201" si="69">I2178+$K$1</f>
        <v>23.35416666666714</v>
      </c>
    </row>
    <row r="2180" spans="1:9" x14ac:dyDescent="0.2">
      <c r="A2180" t="s">
        <v>2412</v>
      </c>
      <c r="B2180">
        <v>4.351</v>
      </c>
      <c r="C2180" s="2" t="s">
        <v>2413</v>
      </c>
      <c r="D2180">
        <v>252</v>
      </c>
      <c r="E2180" t="s">
        <v>2412</v>
      </c>
      <c r="F2180">
        <v>252</v>
      </c>
      <c r="G2180" s="1">
        <v>45178</v>
      </c>
      <c r="H2180" s="6">
        <f t="shared" si="68"/>
        <v>23.364583333333808</v>
      </c>
      <c r="I2180" s="7">
        <f t="shared" si="69"/>
        <v>23.364583333333808</v>
      </c>
    </row>
    <row r="2181" spans="1:9" x14ac:dyDescent="0.2">
      <c r="A2181" t="s">
        <v>2414</v>
      </c>
      <c r="B2181">
        <v>4.258</v>
      </c>
      <c r="C2181">
        <v>5.9650000000000002E-2</v>
      </c>
      <c r="D2181">
        <v>252</v>
      </c>
      <c r="E2181" t="s">
        <v>2414</v>
      </c>
      <c r="F2181">
        <v>252</v>
      </c>
      <c r="G2181" s="1">
        <v>45178</v>
      </c>
      <c r="H2181" s="6">
        <f t="shared" si="68"/>
        <v>23.375000000000476</v>
      </c>
      <c r="I2181" s="7">
        <f t="shared" si="69"/>
        <v>23.375000000000476</v>
      </c>
    </row>
    <row r="2182" spans="1:9" x14ac:dyDescent="0.2">
      <c r="A2182" t="s">
        <v>2415</v>
      </c>
      <c r="B2182">
        <v>4.2484999999999999</v>
      </c>
      <c r="C2182">
        <v>5.9514999999999998E-2</v>
      </c>
      <c r="D2182">
        <v>252</v>
      </c>
      <c r="E2182" t="s">
        <v>2415</v>
      </c>
      <c r="F2182">
        <v>252</v>
      </c>
      <c r="G2182" s="1">
        <v>45178</v>
      </c>
      <c r="H2182" s="6">
        <f t="shared" si="68"/>
        <v>23.385416666667144</v>
      </c>
      <c r="I2182" s="7">
        <f t="shared" si="69"/>
        <v>23.385416666667144</v>
      </c>
    </row>
    <row r="2183" spans="1:9" x14ac:dyDescent="0.2">
      <c r="A2183" t="s">
        <v>2416</v>
      </c>
      <c r="B2183">
        <v>4.1835000000000004</v>
      </c>
      <c r="C2183">
        <v>5.8599999999999999E-2</v>
      </c>
      <c r="D2183">
        <v>252</v>
      </c>
      <c r="E2183" t="s">
        <v>2416</v>
      </c>
      <c r="F2183">
        <v>252</v>
      </c>
      <c r="G2183" s="1">
        <v>45178</v>
      </c>
      <c r="H2183" s="6">
        <f t="shared" si="68"/>
        <v>23.395833333333812</v>
      </c>
      <c r="I2183" s="7">
        <f t="shared" si="69"/>
        <v>23.395833333333812</v>
      </c>
    </row>
    <row r="2184" spans="1:9" x14ac:dyDescent="0.2">
      <c r="A2184" t="s">
        <v>2417</v>
      </c>
      <c r="B2184">
        <v>4.1165000000000003</v>
      </c>
      <c r="C2184">
        <v>5.7645000000000002E-2</v>
      </c>
      <c r="D2184">
        <v>252</v>
      </c>
      <c r="E2184" t="s">
        <v>2417</v>
      </c>
      <c r="F2184">
        <v>252</v>
      </c>
      <c r="G2184" s="1">
        <v>45178</v>
      </c>
      <c r="H2184" s="6">
        <f t="shared" si="68"/>
        <v>23.40625000000048</v>
      </c>
      <c r="I2184" s="7">
        <f t="shared" si="69"/>
        <v>23.40625000000048</v>
      </c>
    </row>
    <row r="2185" spans="1:9" x14ac:dyDescent="0.2">
      <c r="A2185" t="s">
        <v>2418</v>
      </c>
      <c r="B2185">
        <v>4.0540000000000003</v>
      </c>
      <c r="C2185">
        <v>5.6785000000000002E-2</v>
      </c>
      <c r="D2185">
        <v>252</v>
      </c>
      <c r="E2185" t="s">
        <v>2418</v>
      </c>
      <c r="F2185">
        <v>252</v>
      </c>
      <c r="G2185" s="1">
        <v>45178</v>
      </c>
      <c r="H2185" s="6">
        <f t="shared" si="68"/>
        <v>23.416666666667147</v>
      </c>
      <c r="I2185" s="7">
        <f t="shared" si="69"/>
        <v>23.416666666667147</v>
      </c>
    </row>
    <row r="2186" spans="1:9" x14ac:dyDescent="0.2">
      <c r="A2186" t="s">
        <v>2419</v>
      </c>
      <c r="B2186">
        <v>4.0039999999999996</v>
      </c>
      <c r="C2186">
        <v>5.6090000000000001E-2</v>
      </c>
      <c r="D2186">
        <v>252</v>
      </c>
      <c r="E2186" t="s">
        <v>2419</v>
      </c>
      <c r="F2186">
        <v>252</v>
      </c>
      <c r="G2186" s="1">
        <v>45178</v>
      </c>
      <c r="H2186" s="6">
        <f t="shared" si="68"/>
        <v>23.427083333333815</v>
      </c>
      <c r="I2186" s="7">
        <f t="shared" si="69"/>
        <v>23.427083333333815</v>
      </c>
    </row>
    <row r="2187" spans="1:9" x14ac:dyDescent="0.2">
      <c r="A2187" t="s">
        <v>2420</v>
      </c>
      <c r="B2187">
        <v>3.9125000000000001</v>
      </c>
      <c r="C2187">
        <v>5.4805E-2</v>
      </c>
      <c r="D2187">
        <v>252</v>
      </c>
      <c r="E2187" t="s">
        <v>2420</v>
      </c>
      <c r="F2187">
        <v>252</v>
      </c>
      <c r="G2187" s="1">
        <v>45178</v>
      </c>
      <c r="H2187" s="6">
        <f t="shared" si="68"/>
        <v>23.437500000000483</v>
      </c>
      <c r="I2187" s="7">
        <f t="shared" si="69"/>
        <v>23.437500000000483</v>
      </c>
    </row>
    <row r="2188" spans="1:9" x14ac:dyDescent="0.2">
      <c r="A2188" t="s">
        <v>2421</v>
      </c>
      <c r="B2188">
        <v>3.9009999999999998</v>
      </c>
      <c r="C2188">
        <v>5.4620000000000002E-2</v>
      </c>
      <c r="D2188">
        <v>252</v>
      </c>
      <c r="E2188" t="s">
        <v>2421</v>
      </c>
      <c r="F2188">
        <v>252</v>
      </c>
      <c r="G2188" s="1">
        <v>45178</v>
      </c>
      <c r="H2188" s="6">
        <f t="shared" si="68"/>
        <v>23.447916666667151</v>
      </c>
      <c r="I2188" s="7">
        <f t="shared" si="69"/>
        <v>23.447916666667151</v>
      </c>
    </row>
    <row r="2189" spans="1:9" x14ac:dyDescent="0.2">
      <c r="A2189" t="s">
        <v>2422</v>
      </c>
      <c r="B2189">
        <v>3.86</v>
      </c>
      <c r="C2189">
        <v>5.4059999999999997E-2</v>
      </c>
      <c r="D2189">
        <v>252</v>
      </c>
      <c r="E2189" t="s">
        <v>2422</v>
      </c>
      <c r="F2189">
        <v>252</v>
      </c>
      <c r="G2189" s="1">
        <v>45178</v>
      </c>
      <c r="H2189" s="6">
        <f t="shared" si="68"/>
        <v>23.458333333333819</v>
      </c>
      <c r="I2189" s="7">
        <f t="shared" si="69"/>
        <v>23.458333333333819</v>
      </c>
    </row>
    <row r="2190" spans="1:9" x14ac:dyDescent="0.2">
      <c r="A2190" t="s">
        <v>2423</v>
      </c>
      <c r="B2190">
        <v>3.8639999999999999</v>
      </c>
      <c r="C2190">
        <v>5.4109999999999998E-2</v>
      </c>
      <c r="D2190">
        <v>252</v>
      </c>
      <c r="E2190" t="s">
        <v>2423</v>
      </c>
      <c r="F2190">
        <v>252</v>
      </c>
      <c r="G2190" s="1">
        <v>45178</v>
      </c>
      <c r="H2190" s="6">
        <f t="shared" si="68"/>
        <v>23.468750000000487</v>
      </c>
      <c r="I2190" s="7">
        <f t="shared" si="69"/>
        <v>23.468750000000487</v>
      </c>
    </row>
    <row r="2191" spans="1:9" x14ac:dyDescent="0.2">
      <c r="A2191" t="s">
        <v>2424</v>
      </c>
      <c r="B2191">
        <v>3.8105000000000002</v>
      </c>
      <c r="C2191">
        <v>5.3400000000000003E-2</v>
      </c>
      <c r="D2191">
        <v>252</v>
      </c>
      <c r="E2191" t="s">
        <v>2424</v>
      </c>
      <c r="F2191">
        <v>252</v>
      </c>
      <c r="G2191" s="1">
        <v>45178</v>
      </c>
      <c r="H2191" s="6">
        <f t="shared" si="68"/>
        <v>23.479166666667155</v>
      </c>
      <c r="I2191" s="7">
        <f t="shared" si="69"/>
        <v>23.479166666667155</v>
      </c>
    </row>
    <row r="2192" spans="1:9" x14ac:dyDescent="0.2">
      <c r="A2192" t="s">
        <v>2425</v>
      </c>
      <c r="B2192">
        <v>3.8285</v>
      </c>
      <c r="C2192">
        <v>5.3635000000000002E-2</v>
      </c>
      <c r="D2192">
        <v>252</v>
      </c>
      <c r="E2192" t="s">
        <v>2425</v>
      </c>
      <c r="F2192">
        <v>252</v>
      </c>
      <c r="G2192" s="1">
        <v>45178</v>
      </c>
      <c r="H2192" s="6">
        <f t="shared" si="68"/>
        <v>23.489583333333822</v>
      </c>
      <c r="I2192" s="7">
        <f t="shared" si="69"/>
        <v>23.489583333333822</v>
      </c>
    </row>
    <row r="2193" spans="1:11" x14ac:dyDescent="0.2">
      <c r="A2193" t="s">
        <v>2426</v>
      </c>
      <c r="B2193">
        <v>3.831</v>
      </c>
      <c r="C2193">
        <v>5.3659999999999999E-2</v>
      </c>
      <c r="D2193">
        <v>252</v>
      </c>
      <c r="E2193" t="s">
        <v>2426</v>
      </c>
      <c r="F2193">
        <v>252</v>
      </c>
      <c r="G2193" s="1">
        <v>45178</v>
      </c>
      <c r="H2193" s="6">
        <f t="shared" si="68"/>
        <v>23.50000000000049</v>
      </c>
      <c r="I2193" s="7">
        <f t="shared" si="69"/>
        <v>23.50000000000049</v>
      </c>
    </row>
    <row r="2194" spans="1:11" x14ac:dyDescent="0.2">
      <c r="A2194" t="s">
        <v>2427</v>
      </c>
      <c r="B2194">
        <v>3.8035000000000001</v>
      </c>
      <c r="C2194">
        <v>5.3280000000000001E-2</v>
      </c>
      <c r="D2194">
        <v>252</v>
      </c>
      <c r="E2194" t="s">
        <v>2427</v>
      </c>
      <c r="F2194">
        <v>252</v>
      </c>
      <c r="G2194" s="1">
        <v>45178</v>
      </c>
      <c r="H2194" s="6">
        <f t="shared" si="68"/>
        <v>23.510416666667158</v>
      </c>
      <c r="I2194" s="7">
        <f t="shared" si="69"/>
        <v>23.510416666667158</v>
      </c>
    </row>
    <row r="2195" spans="1:11" x14ac:dyDescent="0.2">
      <c r="A2195" t="s">
        <v>2428</v>
      </c>
      <c r="B2195">
        <v>3.8195000000000001</v>
      </c>
      <c r="C2195">
        <v>5.3499999999999999E-2</v>
      </c>
      <c r="D2195">
        <v>252</v>
      </c>
      <c r="E2195" t="s">
        <v>2428</v>
      </c>
      <c r="F2195">
        <v>252</v>
      </c>
      <c r="G2195" s="1">
        <v>45178</v>
      </c>
      <c r="H2195" s="6">
        <f t="shared" si="68"/>
        <v>23.520833333333826</v>
      </c>
      <c r="I2195" s="7">
        <f t="shared" si="69"/>
        <v>23.520833333333826</v>
      </c>
    </row>
    <row r="2196" spans="1:11" x14ac:dyDescent="0.2">
      <c r="A2196" t="s">
        <v>2429</v>
      </c>
      <c r="B2196" s="2" t="s">
        <v>2430</v>
      </c>
      <c r="C2196">
        <v>5.2819999999999999E-2</v>
      </c>
      <c r="D2196">
        <v>252</v>
      </c>
      <c r="E2196" t="s">
        <v>2429</v>
      </c>
      <c r="F2196">
        <v>252</v>
      </c>
      <c r="G2196" s="1">
        <v>45178</v>
      </c>
      <c r="H2196" s="6">
        <f t="shared" si="68"/>
        <v>23.531250000000494</v>
      </c>
      <c r="I2196" s="7">
        <f t="shared" si="69"/>
        <v>23.531250000000494</v>
      </c>
    </row>
    <row r="2197" spans="1:11" x14ac:dyDescent="0.2">
      <c r="A2197" t="s">
        <v>2431</v>
      </c>
      <c r="B2197">
        <v>3.7955000000000001</v>
      </c>
      <c r="C2197">
        <v>5.3179999999999998E-2</v>
      </c>
      <c r="D2197">
        <v>252</v>
      </c>
      <c r="E2197" t="s">
        <v>2431</v>
      </c>
      <c r="F2197">
        <v>252</v>
      </c>
      <c r="G2197" s="1">
        <v>45178</v>
      </c>
      <c r="H2197" s="6">
        <f t="shared" si="68"/>
        <v>23.541666666667162</v>
      </c>
      <c r="I2197" s="7">
        <f t="shared" si="69"/>
        <v>23.541666666667162</v>
      </c>
    </row>
    <row r="2198" spans="1:11" x14ac:dyDescent="0.2">
      <c r="A2198" t="s">
        <v>2432</v>
      </c>
      <c r="B2198">
        <v>3.8050000000000002</v>
      </c>
      <c r="C2198">
        <v>5.3275000000000003E-2</v>
      </c>
      <c r="D2198">
        <v>252</v>
      </c>
      <c r="E2198" t="s">
        <v>2432</v>
      </c>
      <c r="F2198">
        <v>252</v>
      </c>
      <c r="G2198" s="1">
        <v>45178</v>
      </c>
      <c r="H2198" s="6">
        <f t="shared" si="68"/>
        <v>23.55208333333383</v>
      </c>
      <c r="I2198" s="7">
        <f t="shared" si="69"/>
        <v>23.55208333333383</v>
      </c>
    </row>
    <row r="2199" spans="1:11" x14ac:dyDescent="0.2">
      <c r="A2199" t="s">
        <v>2433</v>
      </c>
      <c r="B2199">
        <v>3.726</v>
      </c>
      <c r="C2199">
        <v>5.2185000000000002E-2</v>
      </c>
      <c r="D2199">
        <v>252</v>
      </c>
      <c r="E2199" t="s">
        <v>2433</v>
      </c>
      <c r="F2199">
        <v>252</v>
      </c>
      <c r="G2199" s="1">
        <v>45178</v>
      </c>
      <c r="H2199" s="6">
        <f t="shared" si="68"/>
        <v>23.562500000000497</v>
      </c>
      <c r="I2199" s="7">
        <f t="shared" si="69"/>
        <v>23.562500000000497</v>
      </c>
    </row>
    <row r="2200" spans="1:11" x14ac:dyDescent="0.2">
      <c r="A2200" t="s">
        <v>2434</v>
      </c>
      <c r="B2200">
        <v>3.7450000000000001</v>
      </c>
      <c r="C2200">
        <v>5.246E-2</v>
      </c>
      <c r="D2200">
        <v>252</v>
      </c>
      <c r="E2200" t="s">
        <v>2434</v>
      </c>
      <c r="F2200">
        <v>252</v>
      </c>
      <c r="G2200" s="1">
        <v>45178</v>
      </c>
      <c r="H2200" s="6">
        <f t="shared" si="68"/>
        <v>23.572916666667165</v>
      </c>
      <c r="I2200" s="7">
        <f t="shared" si="69"/>
        <v>23.572916666667165</v>
      </c>
    </row>
    <row r="2201" spans="1:11" s="3" customFormat="1" x14ac:dyDescent="0.2">
      <c r="A2201" s="3" t="s">
        <v>2435</v>
      </c>
      <c r="B2201" s="3">
        <v>3.7364999999999999</v>
      </c>
      <c r="C2201" s="4" t="s">
        <v>2436</v>
      </c>
      <c r="D2201" s="3">
        <v>252</v>
      </c>
      <c r="E2201" s="3" t="s">
        <v>2435</v>
      </c>
      <c r="F2201" s="3">
        <v>252</v>
      </c>
      <c r="G2201" s="5">
        <v>45178</v>
      </c>
      <c r="H2201" s="6">
        <f t="shared" si="68"/>
        <v>23.583333333333833</v>
      </c>
      <c r="I2201" s="7">
        <f t="shared" si="69"/>
        <v>23.583333333333833</v>
      </c>
    </row>
    <row r="2202" spans="1:11" s="3" customFormat="1" x14ac:dyDescent="0.2">
      <c r="C2202" s="4"/>
      <c r="G2202" s="5"/>
      <c r="I2202" s="8"/>
    </row>
    <row r="2203" spans="1:11" s="3" customFormat="1" x14ac:dyDescent="0.2">
      <c r="A2203" s="3" t="s">
        <v>2437</v>
      </c>
      <c r="B2203" s="3">
        <v>3.2770000000000001</v>
      </c>
      <c r="C2203" s="3">
        <v>4.5909999999999999E-2</v>
      </c>
      <c r="D2203" s="3">
        <v>255</v>
      </c>
      <c r="E2203" s="3" t="s">
        <v>2437</v>
      </c>
      <c r="F2203" s="3">
        <v>255</v>
      </c>
      <c r="G2203" s="5">
        <v>45181</v>
      </c>
      <c r="H2203" s="6">
        <v>0.70833333333333337</v>
      </c>
      <c r="I2203" s="7">
        <v>0.70833333333333337</v>
      </c>
    </row>
    <row r="2204" spans="1:11" x14ac:dyDescent="0.2">
      <c r="A2204" t="s">
        <v>2438</v>
      </c>
      <c r="B2204">
        <v>4.7759999999999998</v>
      </c>
      <c r="C2204">
        <v>6.6869999999999999E-2</v>
      </c>
      <c r="D2204">
        <v>255</v>
      </c>
      <c r="E2204" t="s">
        <v>2438</v>
      </c>
      <c r="F2204">
        <v>255</v>
      </c>
      <c r="G2204" s="1">
        <v>45181</v>
      </c>
      <c r="H2204" s="6">
        <f t="shared" ref="H2204:H2267" si="70">H2203+$K$1</f>
        <v>0.71875000000000011</v>
      </c>
      <c r="I2204" s="7">
        <f t="shared" ref="I2204:I2267" si="71">I2203+$K$1</f>
        <v>0.71875000000000011</v>
      </c>
    </row>
    <row r="2205" spans="1:11" x14ac:dyDescent="0.2">
      <c r="A2205" t="s">
        <v>2439</v>
      </c>
      <c r="B2205">
        <v>5.1464999999999996</v>
      </c>
      <c r="C2205">
        <v>7.2095000000000006E-2</v>
      </c>
      <c r="D2205">
        <v>255</v>
      </c>
      <c r="E2205" t="s">
        <v>2439</v>
      </c>
      <c r="F2205">
        <v>255</v>
      </c>
      <c r="G2205" s="1">
        <v>45181</v>
      </c>
      <c r="H2205" s="6">
        <f t="shared" si="70"/>
        <v>0.72916666666666685</v>
      </c>
      <c r="I2205" s="7">
        <f t="shared" si="71"/>
        <v>0.72916666666666685</v>
      </c>
      <c r="K2205" s="6"/>
    </row>
    <row r="2206" spans="1:11" x14ac:dyDescent="0.2">
      <c r="A2206" t="s">
        <v>2440</v>
      </c>
      <c r="B2206">
        <v>5.2240000000000002</v>
      </c>
      <c r="C2206">
        <v>7.3169999999999999E-2</v>
      </c>
      <c r="D2206">
        <v>255</v>
      </c>
      <c r="E2206" t="s">
        <v>2440</v>
      </c>
      <c r="F2206">
        <v>255</v>
      </c>
      <c r="G2206" s="1">
        <v>45181</v>
      </c>
      <c r="H2206" s="6">
        <f t="shared" si="70"/>
        <v>0.73958333333333359</v>
      </c>
      <c r="I2206" s="7">
        <f t="shared" si="71"/>
        <v>0.73958333333333359</v>
      </c>
    </row>
    <row r="2207" spans="1:11" x14ac:dyDescent="0.2">
      <c r="A2207" t="s">
        <v>2441</v>
      </c>
      <c r="B2207">
        <v>5.0945</v>
      </c>
      <c r="C2207">
        <v>7.1360000000000007E-2</v>
      </c>
      <c r="D2207">
        <v>256</v>
      </c>
      <c r="E2207" t="s">
        <v>2441</v>
      </c>
      <c r="F2207">
        <v>255</v>
      </c>
      <c r="G2207" s="1">
        <v>45181</v>
      </c>
      <c r="H2207" s="6">
        <f t="shared" si="70"/>
        <v>0.75000000000000033</v>
      </c>
      <c r="I2207" s="7">
        <f t="shared" si="71"/>
        <v>0.75000000000000033</v>
      </c>
    </row>
    <row r="2208" spans="1:11" x14ac:dyDescent="0.2">
      <c r="A2208" t="s">
        <v>2442</v>
      </c>
      <c r="B2208">
        <v>4.45</v>
      </c>
      <c r="C2208">
        <v>6.2304999999999999E-2</v>
      </c>
      <c r="D2208">
        <v>256</v>
      </c>
      <c r="E2208" t="s">
        <v>2442</v>
      </c>
      <c r="F2208">
        <v>255</v>
      </c>
      <c r="G2208" s="1">
        <v>45181</v>
      </c>
      <c r="H2208" s="6">
        <f t="shared" si="70"/>
        <v>0.76041666666666707</v>
      </c>
      <c r="I2208" s="7">
        <f t="shared" si="71"/>
        <v>0.76041666666666707</v>
      </c>
    </row>
    <row r="2209" spans="1:9" x14ac:dyDescent="0.2">
      <c r="A2209" t="s">
        <v>2443</v>
      </c>
      <c r="B2209">
        <v>4.43</v>
      </c>
      <c r="C2209">
        <v>6.2050000000000001E-2</v>
      </c>
      <c r="D2209">
        <v>256</v>
      </c>
      <c r="E2209" t="s">
        <v>2443</v>
      </c>
      <c r="F2209">
        <v>255</v>
      </c>
      <c r="G2209" s="1">
        <v>45181</v>
      </c>
      <c r="H2209" s="6">
        <f t="shared" si="70"/>
        <v>0.77083333333333381</v>
      </c>
      <c r="I2209" s="7">
        <f t="shared" si="71"/>
        <v>0.77083333333333381</v>
      </c>
    </row>
    <row r="2210" spans="1:9" x14ac:dyDescent="0.2">
      <c r="A2210" t="s">
        <v>2444</v>
      </c>
      <c r="B2210">
        <v>4.1950000000000003</v>
      </c>
      <c r="C2210">
        <v>5.8749999999999997E-2</v>
      </c>
      <c r="D2210">
        <v>256</v>
      </c>
      <c r="E2210" t="s">
        <v>2444</v>
      </c>
      <c r="F2210">
        <v>255</v>
      </c>
      <c r="G2210" s="1">
        <v>45181</v>
      </c>
      <c r="H2210" s="6">
        <f t="shared" si="70"/>
        <v>0.78125000000000056</v>
      </c>
      <c r="I2210" s="7">
        <f t="shared" si="71"/>
        <v>0.78125000000000056</v>
      </c>
    </row>
    <row r="2211" spans="1:9" x14ac:dyDescent="0.2">
      <c r="A2211" t="s">
        <v>2445</v>
      </c>
      <c r="B2211">
        <v>3.7650000000000001</v>
      </c>
      <c r="C2211">
        <v>5.2740000000000002E-2</v>
      </c>
      <c r="D2211">
        <v>256</v>
      </c>
      <c r="E2211" t="s">
        <v>2445</v>
      </c>
      <c r="F2211">
        <v>255</v>
      </c>
      <c r="G2211" s="1">
        <v>45181</v>
      </c>
      <c r="H2211" s="6">
        <f t="shared" si="70"/>
        <v>0.7916666666666673</v>
      </c>
      <c r="I2211" s="7">
        <f t="shared" si="71"/>
        <v>0.7916666666666673</v>
      </c>
    </row>
    <row r="2212" spans="1:9" x14ac:dyDescent="0.2">
      <c r="A2212" t="s">
        <v>2446</v>
      </c>
      <c r="B2212">
        <v>3.9015</v>
      </c>
      <c r="C2212">
        <v>5.4629999999999998E-2</v>
      </c>
      <c r="D2212">
        <v>256</v>
      </c>
      <c r="E2212" t="s">
        <v>2446</v>
      </c>
      <c r="F2212">
        <v>255</v>
      </c>
      <c r="G2212" s="1">
        <v>45181</v>
      </c>
      <c r="H2212" s="6">
        <f t="shared" si="70"/>
        <v>0.80208333333333404</v>
      </c>
      <c r="I2212" s="7">
        <f t="shared" si="71"/>
        <v>0.80208333333333404</v>
      </c>
    </row>
    <row r="2213" spans="1:9" x14ac:dyDescent="0.2">
      <c r="A2213" t="s">
        <v>2447</v>
      </c>
      <c r="B2213">
        <v>4.0164999999999997</v>
      </c>
      <c r="C2213">
        <v>5.6235E-2</v>
      </c>
      <c r="D2213">
        <v>256</v>
      </c>
      <c r="E2213" t="s">
        <v>2447</v>
      </c>
      <c r="F2213">
        <v>255</v>
      </c>
      <c r="G2213" s="1">
        <v>45181</v>
      </c>
      <c r="H2213" s="6">
        <f t="shared" si="70"/>
        <v>0.81250000000000078</v>
      </c>
      <c r="I2213" s="7">
        <f t="shared" si="71"/>
        <v>0.81250000000000078</v>
      </c>
    </row>
    <row r="2214" spans="1:9" x14ac:dyDescent="0.2">
      <c r="A2214" t="s">
        <v>2448</v>
      </c>
      <c r="B2214">
        <v>4.0149999999999997</v>
      </c>
      <c r="C2214">
        <v>5.6250000000000001E-2</v>
      </c>
      <c r="D2214">
        <v>256</v>
      </c>
      <c r="E2214" t="s">
        <v>2448</v>
      </c>
      <c r="F2214">
        <v>255</v>
      </c>
      <c r="G2214" s="1">
        <v>45181</v>
      </c>
      <c r="H2214" s="6">
        <f t="shared" si="70"/>
        <v>0.82291666666666752</v>
      </c>
      <c r="I2214" s="7">
        <f t="shared" si="71"/>
        <v>0.82291666666666752</v>
      </c>
    </row>
    <row r="2215" spans="1:9" x14ac:dyDescent="0.2">
      <c r="A2215" t="s">
        <v>2449</v>
      </c>
      <c r="B2215">
        <v>3.8980000000000001</v>
      </c>
      <c r="C2215">
        <v>5.4594999999999998E-2</v>
      </c>
      <c r="D2215">
        <v>256</v>
      </c>
      <c r="E2215" t="s">
        <v>2449</v>
      </c>
      <c r="F2215">
        <v>255</v>
      </c>
      <c r="G2215" s="1">
        <v>45181</v>
      </c>
      <c r="H2215" s="6">
        <f t="shared" si="70"/>
        <v>0.83333333333333426</v>
      </c>
      <c r="I2215" s="7">
        <f t="shared" si="71"/>
        <v>0.83333333333333426</v>
      </c>
    </row>
    <row r="2216" spans="1:9" x14ac:dyDescent="0.2">
      <c r="A2216" t="s">
        <v>2450</v>
      </c>
      <c r="B2216">
        <v>3.7749999999999999</v>
      </c>
      <c r="C2216">
        <v>5.2880000000000003E-2</v>
      </c>
      <c r="D2216">
        <v>256</v>
      </c>
      <c r="E2216" t="s">
        <v>2450</v>
      </c>
      <c r="F2216">
        <v>255</v>
      </c>
      <c r="G2216" s="1">
        <v>45181</v>
      </c>
      <c r="H2216" s="6">
        <f t="shared" si="70"/>
        <v>0.843750000000001</v>
      </c>
      <c r="I2216" s="7">
        <f t="shared" si="71"/>
        <v>0.843750000000001</v>
      </c>
    </row>
    <row r="2217" spans="1:9" x14ac:dyDescent="0.2">
      <c r="A2217" t="s">
        <v>2451</v>
      </c>
      <c r="B2217">
        <v>3.6970000000000001</v>
      </c>
      <c r="C2217">
        <v>5.1790000000000003E-2</v>
      </c>
      <c r="D2217">
        <v>256</v>
      </c>
      <c r="E2217" t="s">
        <v>2451</v>
      </c>
      <c r="F2217">
        <v>255</v>
      </c>
      <c r="G2217" s="1">
        <v>45181</v>
      </c>
      <c r="H2217" s="6">
        <f t="shared" si="70"/>
        <v>0.85416666666666774</v>
      </c>
      <c r="I2217" s="7">
        <f t="shared" si="71"/>
        <v>0.85416666666666774</v>
      </c>
    </row>
    <row r="2218" spans="1:9" x14ac:dyDescent="0.2">
      <c r="A2218" t="s">
        <v>2452</v>
      </c>
      <c r="B2218">
        <v>3.6520000000000001</v>
      </c>
      <c r="C2218">
        <v>5.1150000000000001E-2</v>
      </c>
      <c r="D2218">
        <v>256</v>
      </c>
      <c r="E2218" t="s">
        <v>2452</v>
      </c>
      <c r="F2218">
        <v>255</v>
      </c>
      <c r="G2218" s="1">
        <v>45181</v>
      </c>
      <c r="H2218" s="6">
        <f t="shared" si="70"/>
        <v>0.86458333333333448</v>
      </c>
      <c r="I2218" s="7">
        <f t="shared" si="71"/>
        <v>0.86458333333333448</v>
      </c>
    </row>
    <row r="2219" spans="1:9" x14ac:dyDescent="0.2">
      <c r="A2219" t="s">
        <v>2453</v>
      </c>
      <c r="B2219">
        <v>3.7545000000000002</v>
      </c>
      <c r="C2219">
        <v>5.2609999999999997E-2</v>
      </c>
      <c r="D2219">
        <v>256</v>
      </c>
      <c r="E2219" t="s">
        <v>2453</v>
      </c>
      <c r="F2219">
        <v>255</v>
      </c>
      <c r="G2219" s="1">
        <v>45181</v>
      </c>
      <c r="H2219" s="6">
        <f t="shared" si="70"/>
        <v>0.87500000000000122</v>
      </c>
      <c r="I2219" s="7">
        <f t="shared" si="71"/>
        <v>0.87500000000000122</v>
      </c>
    </row>
    <row r="2220" spans="1:9" x14ac:dyDescent="0.2">
      <c r="A2220" t="s">
        <v>2454</v>
      </c>
      <c r="B2220">
        <v>3.7915000000000001</v>
      </c>
      <c r="C2220">
        <v>5.3095000000000003E-2</v>
      </c>
      <c r="D2220">
        <v>256</v>
      </c>
      <c r="E2220" t="s">
        <v>2454</v>
      </c>
      <c r="F2220">
        <v>255</v>
      </c>
      <c r="G2220" s="1">
        <v>45181</v>
      </c>
      <c r="H2220" s="6">
        <f t="shared" si="70"/>
        <v>0.88541666666666796</v>
      </c>
      <c r="I2220" s="7">
        <f t="shared" si="71"/>
        <v>0.88541666666666796</v>
      </c>
    </row>
    <row r="2221" spans="1:9" x14ac:dyDescent="0.2">
      <c r="A2221" t="s">
        <v>2455</v>
      </c>
      <c r="B2221">
        <v>3.7334999999999998</v>
      </c>
      <c r="C2221">
        <v>5.2304999999999997E-2</v>
      </c>
      <c r="D2221">
        <v>256</v>
      </c>
      <c r="E2221" t="s">
        <v>2455</v>
      </c>
      <c r="F2221">
        <v>255</v>
      </c>
      <c r="G2221" s="1">
        <v>45181</v>
      </c>
      <c r="H2221" s="6">
        <f t="shared" si="70"/>
        <v>0.8958333333333347</v>
      </c>
      <c r="I2221" s="7">
        <f t="shared" si="71"/>
        <v>0.8958333333333347</v>
      </c>
    </row>
    <row r="2222" spans="1:9" x14ac:dyDescent="0.2">
      <c r="A2222" t="s">
        <v>2456</v>
      </c>
      <c r="B2222" s="2" t="s">
        <v>2457</v>
      </c>
      <c r="C2222">
        <v>5.1950000000000003E-2</v>
      </c>
      <c r="D2222">
        <v>256</v>
      </c>
      <c r="E2222" t="s">
        <v>2456</v>
      </c>
      <c r="F2222">
        <v>255</v>
      </c>
      <c r="G2222" s="1">
        <v>45181</v>
      </c>
      <c r="H2222" s="6">
        <f t="shared" si="70"/>
        <v>0.90625000000000144</v>
      </c>
      <c r="I2222" s="7">
        <f t="shared" si="71"/>
        <v>0.90625000000000144</v>
      </c>
    </row>
    <row r="2223" spans="1:9" x14ac:dyDescent="0.2">
      <c r="A2223" t="s">
        <v>2458</v>
      </c>
      <c r="B2223">
        <v>3.8105000000000002</v>
      </c>
      <c r="C2223">
        <v>5.3370000000000001E-2</v>
      </c>
      <c r="D2223">
        <v>256</v>
      </c>
      <c r="E2223" t="s">
        <v>2458</v>
      </c>
      <c r="F2223">
        <v>255</v>
      </c>
      <c r="G2223" s="1">
        <v>45181</v>
      </c>
      <c r="H2223" s="6">
        <f t="shared" si="70"/>
        <v>0.91666666666666818</v>
      </c>
      <c r="I2223" s="7">
        <f t="shared" si="71"/>
        <v>0.91666666666666818</v>
      </c>
    </row>
    <row r="2224" spans="1:9" x14ac:dyDescent="0.2">
      <c r="A2224" t="s">
        <v>2459</v>
      </c>
      <c r="B2224">
        <v>3.7465000000000002</v>
      </c>
      <c r="C2224">
        <v>5.246E-2</v>
      </c>
      <c r="D2224">
        <v>256</v>
      </c>
      <c r="E2224" t="s">
        <v>2459</v>
      </c>
      <c r="F2224">
        <v>255</v>
      </c>
      <c r="G2224" s="1">
        <v>45181</v>
      </c>
      <c r="H2224" s="6">
        <f t="shared" si="70"/>
        <v>0.92708333333333492</v>
      </c>
      <c r="I2224" s="7">
        <f t="shared" si="71"/>
        <v>0.92708333333333492</v>
      </c>
    </row>
    <row r="2225" spans="1:9" x14ac:dyDescent="0.2">
      <c r="A2225" t="s">
        <v>2460</v>
      </c>
      <c r="B2225">
        <v>3.8050000000000002</v>
      </c>
      <c r="C2225" s="2" t="s">
        <v>2461</v>
      </c>
      <c r="D2225">
        <v>256</v>
      </c>
      <c r="E2225" t="s">
        <v>2460</v>
      </c>
      <c r="F2225">
        <v>255</v>
      </c>
      <c r="G2225" s="1">
        <v>45181</v>
      </c>
      <c r="H2225" s="6">
        <f t="shared" si="70"/>
        <v>0.93750000000000167</v>
      </c>
      <c r="I2225" s="7">
        <f t="shared" si="71"/>
        <v>0.93750000000000167</v>
      </c>
    </row>
    <row r="2226" spans="1:9" x14ac:dyDescent="0.2">
      <c r="A2226" t="s">
        <v>2462</v>
      </c>
      <c r="B2226">
        <v>3.8050000000000002</v>
      </c>
      <c r="C2226">
        <v>5.3280000000000001E-2</v>
      </c>
      <c r="D2226">
        <v>256</v>
      </c>
      <c r="E2226" t="s">
        <v>2462</v>
      </c>
      <c r="F2226">
        <v>255</v>
      </c>
      <c r="G2226" s="1">
        <v>45181</v>
      </c>
      <c r="H2226" s="6">
        <f t="shared" si="70"/>
        <v>0.94791666666666841</v>
      </c>
      <c r="I2226" s="7">
        <f t="shared" si="71"/>
        <v>0.94791666666666841</v>
      </c>
    </row>
    <row r="2227" spans="1:9" x14ac:dyDescent="0.2">
      <c r="A2227" t="s">
        <v>2463</v>
      </c>
      <c r="B2227" s="2" t="s">
        <v>1039</v>
      </c>
      <c r="C2227">
        <v>5.3870000000000001E-2</v>
      </c>
      <c r="D2227">
        <v>256</v>
      </c>
      <c r="E2227" t="s">
        <v>2463</v>
      </c>
      <c r="F2227">
        <v>255</v>
      </c>
      <c r="G2227" s="1">
        <v>45181</v>
      </c>
      <c r="H2227" s="6">
        <f t="shared" si="70"/>
        <v>0.95833333333333515</v>
      </c>
      <c r="I2227" s="7">
        <f t="shared" si="71"/>
        <v>0.95833333333333515</v>
      </c>
    </row>
    <row r="2228" spans="1:9" x14ac:dyDescent="0.2">
      <c r="A2228" t="s">
        <v>2464</v>
      </c>
      <c r="B2228">
        <v>3.948</v>
      </c>
      <c r="C2228">
        <v>5.5285000000000001E-2</v>
      </c>
      <c r="D2228">
        <v>256</v>
      </c>
      <c r="E2228" t="s">
        <v>2464</v>
      </c>
      <c r="F2228">
        <v>255</v>
      </c>
      <c r="G2228" s="1">
        <v>45181</v>
      </c>
      <c r="H2228" s="6">
        <f t="shared" si="70"/>
        <v>0.96875000000000189</v>
      </c>
      <c r="I2228" s="7">
        <f t="shared" si="71"/>
        <v>0.96875000000000189</v>
      </c>
    </row>
    <row r="2229" spans="1:9" x14ac:dyDescent="0.2">
      <c r="A2229" t="s">
        <v>2465</v>
      </c>
      <c r="B2229" s="2" t="s">
        <v>2466</v>
      </c>
      <c r="C2229">
        <v>5.5844999999999999E-2</v>
      </c>
      <c r="D2229">
        <v>256</v>
      </c>
      <c r="E2229" t="s">
        <v>2465</v>
      </c>
      <c r="F2229">
        <v>255</v>
      </c>
      <c r="G2229" s="1">
        <v>45181</v>
      </c>
      <c r="H2229" s="6">
        <f t="shared" si="70"/>
        <v>0.97916666666666863</v>
      </c>
      <c r="I2229" s="7">
        <f t="shared" si="71"/>
        <v>0.97916666666666863</v>
      </c>
    </row>
    <row r="2230" spans="1:9" x14ac:dyDescent="0.2">
      <c r="A2230" t="s">
        <v>2467</v>
      </c>
      <c r="B2230">
        <v>3.9664999999999999</v>
      </c>
      <c r="C2230">
        <v>5.5550000000000002E-2</v>
      </c>
      <c r="D2230">
        <v>256</v>
      </c>
      <c r="E2230" t="s">
        <v>2467</v>
      </c>
      <c r="F2230">
        <v>255</v>
      </c>
      <c r="G2230" s="1">
        <v>45181</v>
      </c>
      <c r="H2230" s="6">
        <f t="shared" si="70"/>
        <v>0.98958333333333537</v>
      </c>
      <c r="I2230" s="7">
        <f t="shared" si="71"/>
        <v>0.98958333333333537</v>
      </c>
    </row>
    <row r="2231" spans="1:9" x14ac:dyDescent="0.2">
      <c r="A2231" t="s">
        <v>2468</v>
      </c>
      <c r="B2231" s="2" t="s">
        <v>286</v>
      </c>
      <c r="C2231">
        <v>5.4585000000000002E-2</v>
      </c>
      <c r="D2231">
        <v>256</v>
      </c>
      <c r="E2231" t="s">
        <v>2468</v>
      </c>
      <c r="F2231">
        <v>256</v>
      </c>
      <c r="G2231" s="1">
        <v>45182</v>
      </c>
      <c r="H2231" s="6">
        <f t="shared" si="70"/>
        <v>1.000000000000002</v>
      </c>
      <c r="I2231" s="7">
        <f t="shared" si="71"/>
        <v>1.000000000000002</v>
      </c>
    </row>
    <row r="2232" spans="1:9" x14ac:dyDescent="0.2">
      <c r="A2232" t="s">
        <v>2469</v>
      </c>
      <c r="B2232">
        <v>3.8485</v>
      </c>
      <c r="C2232">
        <v>5.391E-2</v>
      </c>
      <c r="D2232">
        <v>256</v>
      </c>
      <c r="E2232" t="s">
        <v>2469</v>
      </c>
      <c r="F2232">
        <v>256</v>
      </c>
      <c r="G2232" s="1">
        <v>45182</v>
      </c>
      <c r="H2232" s="6">
        <f t="shared" si="70"/>
        <v>1.0104166666666687</v>
      </c>
      <c r="I2232" s="7">
        <f t="shared" si="71"/>
        <v>1.0104166666666687</v>
      </c>
    </row>
    <row r="2233" spans="1:9" x14ac:dyDescent="0.2">
      <c r="A2233" t="s">
        <v>2470</v>
      </c>
      <c r="B2233">
        <v>3.97</v>
      </c>
      <c r="C2233">
        <v>5.5599999999999997E-2</v>
      </c>
      <c r="D2233">
        <v>256</v>
      </c>
      <c r="E2233" t="s">
        <v>2470</v>
      </c>
      <c r="F2233">
        <v>256</v>
      </c>
      <c r="G2233" s="1">
        <v>45182</v>
      </c>
      <c r="H2233" s="6">
        <f t="shared" si="70"/>
        <v>1.0208333333333355</v>
      </c>
      <c r="I2233" s="7">
        <f t="shared" si="71"/>
        <v>1.0208333333333355</v>
      </c>
    </row>
    <row r="2234" spans="1:9" x14ac:dyDescent="0.2">
      <c r="A2234" t="s">
        <v>2471</v>
      </c>
      <c r="B2234">
        <v>3.8685</v>
      </c>
      <c r="C2234">
        <v>5.4175000000000001E-2</v>
      </c>
      <c r="D2234">
        <v>256</v>
      </c>
      <c r="E2234" t="s">
        <v>2471</v>
      </c>
      <c r="F2234">
        <v>256</v>
      </c>
      <c r="G2234" s="1">
        <v>45182</v>
      </c>
      <c r="H2234" s="6">
        <f t="shared" si="70"/>
        <v>1.0312500000000022</v>
      </c>
      <c r="I2234" s="7">
        <f t="shared" si="71"/>
        <v>1.0312500000000022</v>
      </c>
    </row>
    <row r="2235" spans="1:9" x14ac:dyDescent="0.2">
      <c r="A2235" t="s">
        <v>2472</v>
      </c>
      <c r="B2235">
        <v>3.9420000000000002</v>
      </c>
      <c r="C2235">
        <v>5.5204999999999997E-2</v>
      </c>
      <c r="D2235">
        <v>256</v>
      </c>
      <c r="E2235" t="s">
        <v>2472</v>
      </c>
      <c r="F2235">
        <v>256</v>
      </c>
      <c r="G2235" s="1">
        <v>45182</v>
      </c>
      <c r="H2235" s="6">
        <f t="shared" si="70"/>
        <v>1.041666666666669</v>
      </c>
      <c r="I2235" s="7">
        <f t="shared" si="71"/>
        <v>1.041666666666669</v>
      </c>
    </row>
    <row r="2236" spans="1:9" x14ac:dyDescent="0.2">
      <c r="A2236" t="s">
        <v>2473</v>
      </c>
      <c r="B2236">
        <v>4.0640000000000001</v>
      </c>
      <c r="C2236">
        <v>5.6930000000000001E-2</v>
      </c>
      <c r="D2236">
        <v>256</v>
      </c>
      <c r="E2236" t="s">
        <v>2473</v>
      </c>
      <c r="F2236">
        <v>256</v>
      </c>
      <c r="G2236" s="1">
        <v>45182</v>
      </c>
      <c r="H2236" s="6">
        <f t="shared" si="70"/>
        <v>1.0520833333333357</v>
      </c>
      <c r="I2236" s="7">
        <f t="shared" si="71"/>
        <v>1.0520833333333357</v>
      </c>
    </row>
    <row r="2237" spans="1:9" x14ac:dyDescent="0.2">
      <c r="A2237" t="s">
        <v>2474</v>
      </c>
      <c r="B2237">
        <v>4.1059999999999999</v>
      </c>
      <c r="C2237">
        <v>5.7505000000000001E-2</v>
      </c>
      <c r="D2237">
        <v>256</v>
      </c>
      <c r="E2237" t="s">
        <v>2474</v>
      </c>
      <c r="F2237">
        <v>256</v>
      </c>
      <c r="G2237" s="1">
        <v>45182</v>
      </c>
      <c r="H2237" s="6">
        <f t="shared" si="70"/>
        <v>1.0625000000000024</v>
      </c>
      <c r="I2237" s="7">
        <f t="shared" si="71"/>
        <v>1.0625000000000024</v>
      </c>
    </row>
    <row r="2238" spans="1:9" x14ac:dyDescent="0.2">
      <c r="A2238" t="s">
        <v>2475</v>
      </c>
      <c r="B2238">
        <v>3.9895</v>
      </c>
      <c r="C2238">
        <v>5.5870000000000003E-2</v>
      </c>
      <c r="D2238">
        <v>256</v>
      </c>
      <c r="E2238" t="s">
        <v>2475</v>
      </c>
      <c r="F2238">
        <v>256</v>
      </c>
      <c r="G2238" s="1">
        <v>45182</v>
      </c>
      <c r="H2238" s="6">
        <f t="shared" si="70"/>
        <v>1.0729166666666692</v>
      </c>
      <c r="I2238" s="7">
        <f t="shared" si="71"/>
        <v>1.0729166666666692</v>
      </c>
    </row>
    <row r="2239" spans="1:9" x14ac:dyDescent="0.2">
      <c r="A2239" t="s">
        <v>2476</v>
      </c>
      <c r="B2239">
        <v>4.1055000000000001</v>
      </c>
      <c r="C2239">
        <v>5.7509999999999999E-2</v>
      </c>
      <c r="D2239">
        <v>256</v>
      </c>
      <c r="E2239" t="s">
        <v>2476</v>
      </c>
      <c r="F2239">
        <v>256</v>
      </c>
      <c r="G2239" s="1">
        <v>45182</v>
      </c>
      <c r="H2239" s="6">
        <f t="shared" si="70"/>
        <v>1.0833333333333359</v>
      </c>
      <c r="I2239" s="7">
        <f t="shared" si="71"/>
        <v>1.0833333333333359</v>
      </c>
    </row>
    <row r="2240" spans="1:9" x14ac:dyDescent="0.2">
      <c r="A2240" t="s">
        <v>2477</v>
      </c>
      <c r="B2240">
        <v>4.1074999999999999</v>
      </c>
      <c r="C2240">
        <v>5.7549999999999997E-2</v>
      </c>
      <c r="D2240">
        <v>256</v>
      </c>
      <c r="E2240" t="s">
        <v>2477</v>
      </c>
      <c r="F2240">
        <v>256</v>
      </c>
      <c r="G2240" s="1">
        <v>45182</v>
      </c>
      <c r="H2240" s="6">
        <f t="shared" si="70"/>
        <v>1.0937500000000027</v>
      </c>
      <c r="I2240" s="7">
        <f t="shared" si="71"/>
        <v>1.0937500000000027</v>
      </c>
    </row>
    <row r="2241" spans="1:9" x14ac:dyDescent="0.2">
      <c r="A2241" t="s">
        <v>2478</v>
      </c>
      <c r="B2241">
        <v>4.1595000000000004</v>
      </c>
      <c r="C2241">
        <v>5.8270000000000002E-2</v>
      </c>
      <c r="D2241">
        <v>256</v>
      </c>
      <c r="E2241" t="s">
        <v>2478</v>
      </c>
      <c r="F2241">
        <v>256</v>
      </c>
      <c r="G2241" s="1">
        <v>45182</v>
      </c>
      <c r="H2241" s="6">
        <f t="shared" si="70"/>
        <v>1.1041666666666694</v>
      </c>
      <c r="I2241" s="7">
        <f t="shared" si="71"/>
        <v>1.1041666666666694</v>
      </c>
    </row>
    <row r="2242" spans="1:9" x14ac:dyDescent="0.2">
      <c r="A2242" t="s">
        <v>2479</v>
      </c>
      <c r="B2242">
        <v>4.0720000000000001</v>
      </c>
      <c r="C2242">
        <v>5.7020000000000001E-2</v>
      </c>
      <c r="D2242">
        <v>256</v>
      </c>
      <c r="E2242" t="s">
        <v>2479</v>
      </c>
      <c r="F2242">
        <v>256</v>
      </c>
      <c r="G2242" s="1">
        <v>45182</v>
      </c>
      <c r="H2242" s="6">
        <f t="shared" si="70"/>
        <v>1.1145833333333361</v>
      </c>
      <c r="I2242" s="7">
        <f t="shared" si="71"/>
        <v>1.1145833333333361</v>
      </c>
    </row>
    <row r="2243" spans="1:9" x14ac:dyDescent="0.2">
      <c r="A2243" t="s">
        <v>2480</v>
      </c>
      <c r="B2243">
        <v>4.1914999999999996</v>
      </c>
      <c r="C2243">
        <v>5.8720000000000001E-2</v>
      </c>
      <c r="D2243">
        <v>256</v>
      </c>
      <c r="E2243" t="s">
        <v>2480</v>
      </c>
      <c r="F2243">
        <v>256</v>
      </c>
      <c r="G2243" s="1">
        <v>45182</v>
      </c>
      <c r="H2243" s="6">
        <f t="shared" si="70"/>
        <v>1.1250000000000029</v>
      </c>
      <c r="I2243" s="7">
        <f t="shared" si="71"/>
        <v>1.1250000000000029</v>
      </c>
    </row>
    <row r="2244" spans="1:9" x14ac:dyDescent="0.2">
      <c r="A2244" t="s">
        <v>2481</v>
      </c>
      <c r="B2244">
        <v>4.2119999999999997</v>
      </c>
      <c r="C2244">
        <v>5.9005000000000002E-2</v>
      </c>
      <c r="D2244">
        <v>256</v>
      </c>
      <c r="E2244" t="s">
        <v>2481</v>
      </c>
      <c r="F2244">
        <v>256</v>
      </c>
      <c r="G2244" s="1">
        <v>45182</v>
      </c>
      <c r="H2244" s="6">
        <f t="shared" si="70"/>
        <v>1.1354166666666696</v>
      </c>
      <c r="I2244" s="7">
        <f t="shared" si="71"/>
        <v>1.1354166666666696</v>
      </c>
    </row>
    <row r="2245" spans="1:9" x14ac:dyDescent="0.2">
      <c r="A2245" t="s">
        <v>2482</v>
      </c>
      <c r="B2245">
        <v>4.0979999999999999</v>
      </c>
      <c r="C2245">
        <v>5.74E-2</v>
      </c>
      <c r="D2245">
        <v>256</v>
      </c>
      <c r="E2245" t="s">
        <v>2482</v>
      </c>
      <c r="F2245">
        <v>256</v>
      </c>
      <c r="G2245" s="1">
        <v>45182</v>
      </c>
      <c r="H2245" s="6">
        <f t="shared" si="70"/>
        <v>1.1458333333333364</v>
      </c>
      <c r="I2245" s="7">
        <f t="shared" si="71"/>
        <v>1.1458333333333364</v>
      </c>
    </row>
    <row r="2246" spans="1:9" x14ac:dyDescent="0.2">
      <c r="A2246" t="s">
        <v>2483</v>
      </c>
      <c r="B2246">
        <v>4.1795</v>
      </c>
      <c r="C2246">
        <v>5.8540000000000002E-2</v>
      </c>
      <c r="D2246">
        <v>256</v>
      </c>
      <c r="E2246" t="s">
        <v>2483</v>
      </c>
      <c r="F2246">
        <v>256</v>
      </c>
      <c r="G2246" s="1">
        <v>45182</v>
      </c>
      <c r="H2246" s="6">
        <f t="shared" si="70"/>
        <v>1.1562500000000031</v>
      </c>
      <c r="I2246" s="7">
        <f t="shared" si="71"/>
        <v>1.1562500000000031</v>
      </c>
    </row>
    <row r="2247" spans="1:9" x14ac:dyDescent="0.2">
      <c r="A2247" t="s">
        <v>2484</v>
      </c>
      <c r="B2247">
        <v>4.1254999999999997</v>
      </c>
      <c r="C2247">
        <v>5.7775E-2</v>
      </c>
      <c r="D2247">
        <v>256</v>
      </c>
      <c r="E2247" t="s">
        <v>2484</v>
      </c>
      <c r="F2247">
        <v>256</v>
      </c>
      <c r="G2247" s="1">
        <v>45182</v>
      </c>
      <c r="H2247" s="6">
        <f t="shared" si="70"/>
        <v>1.1666666666666698</v>
      </c>
      <c r="I2247" s="7">
        <f t="shared" si="71"/>
        <v>1.1666666666666698</v>
      </c>
    </row>
    <row r="2248" spans="1:9" x14ac:dyDescent="0.2">
      <c r="A2248" t="s">
        <v>2485</v>
      </c>
      <c r="B2248">
        <v>4.0674999999999999</v>
      </c>
      <c r="C2248">
        <v>5.6965000000000002E-2</v>
      </c>
      <c r="D2248">
        <v>256</v>
      </c>
      <c r="E2248" t="s">
        <v>2485</v>
      </c>
      <c r="F2248">
        <v>256</v>
      </c>
      <c r="G2248" s="1">
        <v>45182</v>
      </c>
      <c r="H2248" s="6">
        <f t="shared" si="70"/>
        <v>1.1770833333333366</v>
      </c>
      <c r="I2248" s="7">
        <f t="shared" si="71"/>
        <v>1.1770833333333366</v>
      </c>
    </row>
    <row r="2249" spans="1:9" x14ac:dyDescent="0.2">
      <c r="A2249" t="s">
        <v>2486</v>
      </c>
      <c r="B2249">
        <v>4.0389999999999997</v>
      </c>
      <c r="C2249">
        <v>5.6579999999999998E-2</v>
      </c>
      <c r="D2249">
        <v>256</v>
      </c>
      <c r="E2249" t="s">
        <v>2486</v>
      </c>
      <c r="F2249">
        <v>256</v>
      </c>
      <c r="G2249" s="1">
        <v>45182</v>
      </c>
      <c r="H2249" s="6">
        <f t="shared" si="70"/>
        <v>1.1875000000000033</v>
      </c>
      <c r="I2249" s="7">
        <f t="shared" si="71"/>
        <v>1.1875000000000033</v>
      </c>
    </row>
    <row r="2250" spans="1:9" x14ac:dyDescent="0.2">
      <c r="A2250" t="s">
        <v>2487</v>
      </c>
      <c r="B2250">
        <v>3.9634999999999998</v>
      </c>
      <c r="C2250">
        <v>5.5500000000000001E-2</v>
      </c>
      <c r="D2250">
        <v>256</v>
      </c>
      <c r="E2250" t="s">
        <v>2487</v>
      </c>
      <c r="F2250">
        <v>256</v>
      </c>
      <c r="G2250" s="1">
        <v>45182</v>
      </c>
      <c r="H2250" s="6">
        <f t="shared" si="70"/>
        <v>1.1979166666666701</v>
      </c>
      <c r="I2250" s="7">
        <f t="shared" si="71"/>
        <v>1.1979166666666701</v>
      </c>
    </row>
    <row r="2251" spans="1:9" x14ac:dyDescent="0.2">
      <c r="A2251" t="s">
        <v>2488</v>
      </c>
      <c r="B2251">
        <v>4.0830000000000002</v>
      </c>
      <c r="C2251">
        <v>5.7189999999999998E-2</v>
      </c>
      <c r="D2251">
        <v>256</v>
      </c>
      <c r="E2251" t="s">
        <v>2488</v>
      </c>
      <c r="F2251">
        <v>256</v>
      </c>
      <c r="G2251" s="1">
        <v>45182</v>
      </c>
      <c r="H2251" s="6">
        <f t="shared" si="70"/>
        <v>1.2083333333333368</v>
      </c>
      <c r="I2251" s="7">
        <f t="shared" si="71"/>
        <v>1.2083333333333368</v>
      </c>
    </row>
    <row r="2252" spans="1:9" x14ac:dyDescent="0.2">
      <c r="A2252" t="s">
        <v>2489</v>
      </c>
      <c r="B2252">
        <v>4.1070000000000002</v>
      </c>
      <c r="C2252" s="2" t="s">
        <v>2490</v>
      </c>
      <c r="D2252">
        <v>256</v>
      </c>
      <c r="E2252" t="s">
        <v>2489</v>
      </c>
      <c r="F2252">
        <v>256</v>
      </c>
      <c r="G2252" s="1">
        <v>45182</v>
      </c>
      <c r="H2252" s="6">
        <f t="shared" si="70"/>
        <v>1.2187500000000036</v>
      </c>
      <c r="I2252" s="7">
        <f t="shared" si="71"/>
        <v>1.2187500000000036</v>
      </c>
    </row>
    <row r="2253" spans="1:9" x14ac:dyDescent="0.2">
      <c r="A2253" t="s">
        <v>2491</v>
      </c>
      <c r="B2253">
        <v>4.1325000000000003</v>
      </c>
      <c r="C2253" s="2" t="s">
        <v>1519</v>
      </c>
      <c r="D2253">
        <v>256</v>
      </c>
      <c r="E2253" t="s">
        <v>2491</v>
      </c>
      <c r="F2253">
        <v>256</v>
      </c>
      <c r="G2253" s="1">
        <v>45182</v>
      </c>
      <c r="H2253" s="6">
        <f t="shared" si="70"/>
        <v>1.2291666666666703</v>
      </c>
      <c r="I2253" s="7">
        <f t="shared" si="71"/>
        <v>1.2291666666666703</v>
      </c>
    </row>
    <row r="2254" spans="1:9" x14ac:dyDescent="0.2">
      <c r="A2254" t="s">
        <v>2492</v>
      </c>
      <c r="B2254">
        <v>4.13</v>
      </c>
      <c r="C2254">
        <v>5.7845000000000001E-2</v>
      </c>
      <c r="D2254">
        <v>256</v>
      </c>
      <c r="E2254" t="s">
        <v>2492</v>
      </c>
      <c r="F2254">
        <v>256</v>
      </c>
      <c r="G2254" s="1">
        <v>45182</v>
      </c>
      <c r="H2254" s="6">
        <f t="shared" si="70"/>
        <v>1.239583333333337</v>
      </c>
      <c r="I2254" s="7">
        <f t="shared" si="71"/>
        <v>1.239583333333337</v>
      </c>
    </row>
    <row r="2255" spans="1:9" x14ac:dyDescent="0.2">
      <c r="A2255" t="s">
        <v>2493</v>
      </c>
      <c r="B2255">
        <v>4.1544999999999996</v>
      </c>
      <c r="C2255">
        <v>5.8200000000000002E-2</v>
      </c>
      <c r="D2255">
        <v>256</v>
      </c>
      <c r="E2255" t="s">
        <v>2493</v>
      </c>
      <c r="F2255">
        <v>256</v>
      </c>
      <c r="G2255" s="1">
        <v>45182</v>
      </c>
      <c r="H2255" s="6">
        <f t="shared" si="70"/>
        <v>1.2500000000000038</v>
      </c>
      <c r="I2255" s="7">
        <f t="shared" si="71"/>
        <v>1.2500000000000038</v>
      </c>
    </row>
    <row r="2256" spans="1:9" x14ac:dyDescent="0.2">
      <c r="A2256" t="s">
        <v>2494</v>
      </c>
      <c r="B2256">
        <v>4</v>
      </c>
      <c r="C2256">
        <v>5.6024999999999998E-2</v>
      </c>
      <c r="D2256">
        <v>256</v>
      </c>
      <c r="E2256" t="s">
        <v>2494</v>
      </c>
      <c r="F2256">
        <v>256</v>
      </c>
      <c r="G2256" s="1">
        <v>45182</v>
      </c>
      <c r="H2256" s="6">
        <f t="shared" si="70"/>
        <v>1.2604166666666705</v>
      </c>
      <c r="I2256" s="7">
        <f t="shared" si="71"/>
        <v>1.2604166666666705</v>
      </c>
    </row>
    <row r="2257" spans="1:9" x14ac:dyDescent="0.2">
      <c r="A2257" t="s">
        <v>2495</v>
      </c>
      <c r="B2257">
        <v>3.9904999999999999</v>
      </c>
      <c r="C2257" s="2" t="s">
        <v>2496</v>
      </c>
      <c r="D2257">
        <v>256</v>
      </c>
      <c r="E2257" t="s">
        <v>2495</v>
      </c>
      <c r="F2257">
        <v>256</v>
      </c>
      <c r="G2257" s="1">
        <v>45182</v>
      </c>
      <c r="H2257" s="6">
        <f t="shared" si="70"/>
        <v>1.2708333333333373</v>
      </c>
      <c r="I2257" s="7">
        <f t="shared" si="71"/>
        <v>1.2708333333333373</v>
      </c>
    </row>
    <row r="2258" spans="1:9" x14ac:dyDescent="0.2">
      <c r="A2258" t="s">
        <v>2497</v>
      </c>
      <c r="B2258">
        <v>3.9554999999999998</v>
      </c>
      <c r="C2258">
        <v>5.5434999999999998E-2</v>
      </c>
      <c r="D2258">
        <v>256</v>
      </c>
      <c r="E2258" t="s">
        <v>2497</v>
      </c>
      <c r="F2258">
        <v>256</v>
      </c>
      <c r="G2258" s="1">
        <v>45182</v>
      </c>
      <c r="H2258" s="6">
        <f t="shared" si="70"/>
        <v>1.281250000000004</v>
      </c>
      <c r="I2258" s="7">
        <f t="shared" si="71"/>
        <v>1.281250000000004</v>
      </c>
    </row>
    <row r="2259" spans="1:9" x14ac:dyDescent="0.2">
      <c r="A2259" t="s">
        <v>2498</v>
      </c>
      <c r="B2259">
        <v>3.9035000000000002</v>
      </c>
      <c r="C2259">
        <v>5.4675000000000001E-2</v>
      </c>
      <c r="D2259">
        <v>256</v>
      </c>
      <c r="E2259" t="s">
        <v>2498</v>
      </c>
      <c r="F2259">
        <v>256</v>
      </c>
      <c r="G2259" s="1">
        <v>45182</v>
      </c>
      <c r="H2259" s="6">
        <f t="shared" si="70"/>
        <v>1.2916666666666707</v>
      </c>
      <c r="I2259" s="7">
        <f t="shared" si="71"/>
        <v>1.2916666666666707</v>
      </c>
    </row>
    <row r="2260" spans="1:9" x14ac:dyDescent="0.2">
      <c r="A2260" t="s">
        <v>2499</v>
      </c>
      <c r="B2260">
        <v>4</v>
      </c>
      <c r="C2260">
        <v>5.6024999999999998E-2</v>
      </c>
      <c r="D2260">
        <v>256</v>
      </c>
      <c r="E2260" t="s">
        <v>2499</v>
      </c>
      <c r="F2260">
        <v>256</v>
      </c>
      <c r="G2260" s="1">
        <v>45182</v>
      </c>
      <c r="H2260" s="6">
        <f t="shared" si="70"/>
        <v>1.3020833333333375</v>
      </c>
      <c r="I2260" s="7">
        <f t="shared" si="71"/>
        <v>1.3020833333333375</v>
      </c>
    </row>
    <row r="2261" spans="1:9" x14ac:dyDescent="0.2">
      <c r="A2261" t="s">
        <v>2500</v>
      </c>
      <c r="B2261">
        <v>3.9015</v>
      </c>
      <c r="C2261">
        <v>5.4655000000000002E-2</v>
      </c>
      <c r="D2261">
        <v>256</v>
      </c>
      <c r="E2261" t="s">
        <v>2500</v>
      </c>
      <c r="F2261">
        <v>256</v>
      </c>
      <c r="G2261" s="1">
        <v>45182</v>
      </c>
      <c r="H2261" s="6">
        <f t="shared" si="70"/>
        <v>1.3125000000000042</v>
      </c>
      <c r="I2261" s="7">
        <f t="shared" si="71"/>
        <v>1.3125000000000042</v>
      </c>
    </row>
    <row r="2262" spans="1:9" x14ac:dyDescent="0.2">
      <c r="A2262" t="s">
        <v>2501</v>
      </c>
      <c r="B2262">
        <v>3.9584999999999999</v>
      </c>
      <c r="C2262">
        <v>5.5449999999999999E-2</v>
      </c>
      <c r="D2262">
        <v>256</v>
      </c>
      <c r="E2262" t="s">
        <v>2501</v>
      </c>
      <c r="F2262">
        <v>256</v>
      </c>
      <c r="G2262" s="1">
        <v>45182</v>
      </c>
      <c r="H2262" s="6">
        <f t="shared" si="70"/>
        <v>1.322916666666671</v>
      </c>
      <c r="I2262" s="7">
        <f t="shared" si="71"/>
        <v>1.322916666666671</v>
      </c>
    </row>
    <row r="2263" spans="1:9" x14ac:dyDescent="0.2">
      <c r="A2263" t="s">
        <v>2502</v>
      </c>
      <c r="B2263">
        <v>3.9525000000000001</v>
      </c>
      <c r="C2263">
        <v>5.5359999999999999E-2</v>
      </c>
      <c r="D2263">
        <v>256</v>
      </c>
      <c r="E2263" t="s">
        <v>2502</v>
      </c>
      <c r="F2263">
        <v>256</v>
      </c>
      <c r="G2263" s="1">
        <v>45182</v>
      </c>
      <c r="H2263" s="6">
        <f t="shared" si="70"/>
        <v>1.3333333333333377</v>
      </c>
      <c r="I2263" s="7">
        <f t="shared" si="71"/>
        <v>1.3333333333333377</v>
      </c>
    </row>
    <row r="2264" spans="1:9" x14ac:dyDescent="0.2">
      <c r="A2264" t="s">
        <v>2503</v>
      </c>
      <c r="B2264">
        <v>3.8275000000000001</v>
      </c>
      <c r="C2264">
        <v>5.3629999999999997E-2</v>
      </c>
      <c r="D2264">
        <v>256</v>
      </c>
      <c r="E2264" t="s">
        <v>2503</v>
      </c>
      <c r="F2264">
        <v>256</v>
      </c>
      <c r="G2264" s="1">
        <v>45182</v>
      </c>
      <c r="H2264" s="6">
        <f t="shared" si="70"/>
        <v>1.3437500000000044</v>
      </c>
      <c r="I2264" s="7">
        <f t="shared" si="71"/>
        <v>1.3437500000000044</v>
      </c>
    </row>
    <row r="2265" spans="1:9" x14ac:dyDescent="0.2">
      <c r="A2265" t="s">
        <v>2504</v>
      </c>
      <c r="B2265">
        <v>4.0194999999999999</v>
      </c>
      <c r="C2265">
        <v>5.629E-2</v>
      </c>
      <c r="D2265">
        <v>256</v>
      </c>
      <c r="E2265" t="s">
        <v>2504</v>
      </c>
      <c r="F2265">
        <v>256</v>
      </c>
      <c r="G2265" s="1">
        <v>45182</v>
      </c>
      <c r="H2265" s="6">
        <f t="shared" si="70"/>
        <v>1.3541666666666712</v>
      </c>
      <c r="I2265" s="7">
        <f t="shared" si="71"/>
        <v>1.3541666666666712</v>
      </c>
    </row>
    <row r="2266" spans="1:9" x14ac:dyDescent="0.2">
      <c r="A2266" t="s">
        <v>2505</v>
      </c>
      <c r="B2266">
        <v>3.8675000000000002</v>
      </c>
      <c r="C2266">
        <v>5.4179999999999999E-2</v>
      </c>
      <c r="D2266">
        <v>256</v>
      </c>
      <c r="E2266" t="s">
        <v>2505</v>
      </c>
      <c r="F2266">
        <v>256</v>
      </c>
      <c r="G2266" s="1">
        <v>45182</v>
      </c>
      <c r="H2266" s="6">
        <f t="shared" si="70"/>
        <v>1.3645833333333379</v>
      </c>
      <c r="I2266" s="7">
        <f t="shared" si="71"/>
        <v>1.3645833333333379</v>
      </c>
    </row>
    <row r="2267" spans="1:9" x14ac:dyDescent="0.2">
      <c r="A2267" t="s">
        <v>2506</v>
      </c>
      <c r="B2267">
        <v>3.657</v>
      </c>
      <c r="C2267">
        <v>5.1225E-2</v>
      </c>
      <c r="D2267">
        <v>256</v>
      </c>
      <c r="E2267" t="s">
        <v>2506</v>
      </c>
      <c r="F2267">
        <v>256</v>
      </c>
      <c r="G2267" s="1">
        <v>45182</v>
      </c>
      <c r="H2267" s="6">
        <f t="shared" si="70"/>
        <v>1.3750000000000047</v>
      </c>
      <c r="I2267" s="7">
        <f t="shared" si="71"/>
        <v>1.3750000000000047</v>
      </c>
    </row>
    <row r="2268" spans="1:9" x14ac:dyDescent="0.2">
      <c r="A2268" t="s">
        <v>2507</v>
      </c>
      <c r="B2268">
        <v>3.9045000000000001</v>
      </c>
      <c r="C2268" s="2" t="s">
        <v>2508</v>
      </c>
      <c r="D2268">
        <v>256</v>
      </c>
      <c r="E2268" t="s">
        <v>2507</v>
      </c>
      <c r="F2268">
        <v>256</v>
      </c>
      <c r="G2268" s="1">
        <v>45182</v>
      </c>
      <c r="H2268" s="6">
        <f t="shared" ref="H2268:H2331" si="72">H2267+$K$1</f>
        <v>1.3854166666666714</v>
      </c>
      <c r="I2268" s="7">
        <f t="shared" ref="I2268:I2331" si="73">I2267+$K$1</f>
        <v>1.3854166666666714</v>
      </c>
    </row>
    <row r="2269" spans="1:9" x14ac:dyDescent="0.2">
      <c r="A2269" t="s">
        <v>2509</v>
      </c>
      <c r="B2269">
        <v>3.9329999999999998</v>
      </c>
      <c r="C2269">
        <v>5.5085000000000002E-2</v>
      </c>
      <c r="D2269">
        <v>256</v>
      </c>
      <c r="E2269" t="s">
        <v>2509</v>
      </c>
      <c r="F2269">
        <v>256</v>
      </c>
      <c r="G2269" s="1">
        <v>45182</v>
      </c>
      <c r="H2269" s="6">
        <f t="shared" si="72"/>
        <v>1.3958333333333381</v>
      </c>
      <c r="I2269" s="7">
        <f t="shared" si="73"/>
        <v>1.3958333333333381</v>
      </c>
    </row>
    <row r="2270" spans="1:9" x14ac:dyDescent="0.2">
      <c r="A2270" t="s">
        <v>2510</v>
      </c>
      <c r="B2270">
        <v>3.9445000000000001</v>
      </c>
      <c r="C2270">
        <v>5.5234999999999999E-2</v>
      </c>
      <c r="D2270">
        <v>256</v>
      </c>
      <c r="E2270" t="s">
        <v>2510</v>
      </c>
      <c r="F2270">
        <v>256</v>
      </c>
      <c r="G2270" s="1">
        <v>45182</v>
      </c>
      <c r="H2270" s="6">
        <f t="shared" si="72"/>
        <v>1.4062500000000049</v>
      </c>
      <c r="I2270" s="7">
        <f t="shared" si="73"/>
        <v>1.4062500000000049</v>
      </c>
    </row>
    <row r="2271" spans="1:9" x14ac:dyDescent="0.2">
      <c r="A2271" t="s">
        <v>2511</v>
      </c>
      <c r="B2271">
        <v>3.996</v>
      </c>
      <c r="C2271">
        <v>5.5980000000000002E-2</v>
      </c>
      <c r="D2271">
        <v>256</v>
      </c>
      <c r="E2271" t="s">
        <v>2511</v>
      </c>
      <c r="F2271">
        <v>256</v>
      </c>
      <c r="G2271" s="1">
        <v>45182</v>
      </c>
      <c r="H2271" s="6">
        <f t="shared" si="72"/>
        <v>1.4166666666666716</v>
      </c>
      <c r="I2271" s="7">
        <f t="shared" si="73"/>
        <v>1.4166666666666716</v>
      </c>
    </row>
    <row r="2272" spans="1:9" x14ac:dyDescent="0.2">
      <c r="A2272" t="s">
        <v>2512</v>
      </c>
      <c r="B2272">
        <v>4.0469999999999997</v>
      </c>
      <c r="C2272">
        <v>5.6680000000000001E-2</v>
      </c>
      <c r="D2272">
        <v>256</v>
      </c>
      <c r="E2272" t="s">
        <v>2512</v>
      </c>
      <c r="F2272">
        <v>256</v>
      </c>
      <c r="G2272" s="1">
        <v>45182</v>
      </c>
      <c r="H2272" s="6">
        <f t="shared" si="72"/>
        <v>1.4270833333333384</v>
      </c>
      <c r="I2272" s="7">
        <f t="shared" si="73"/>
        <v>1.4270833333333384</v>
      </c>
    </row>
    <row r="2273" spans="1:9" x14ac:dyDescent="0.2">
      <c r="A2273" t="s">
        <v>2513</v>
      </c>
      <c r="B2273">
        <v>3.7160000000000002</v>
      </c>
      <c r="C2273">
        <v>5.2049999999999999E-2</v>
      </c>
      <c r="D2273">
        <v>256</v>
      </c>
      <c r="E2273" t="s">
        <v>2513</v>
      </c>
      <c r="F2273">
        <v>256</v>
      </c>
      <c r="G2273" s="1">
        <v>45182</v>
      </c>
      <c r="H2273" s="6">
        <f t="shared" si="72"/>
        <v>1.4375000000000051</v>
      </c>
      <c r="I2273" s="7">
        <f t="shared" si="73"/>
        <v>1.4375000000000051</v>
      </c>
    </row>
    <row r="2274" spans="1:9" x14ac:dyDescent="0.2">
      <c r="A2274" t="s">
        <v>2514</v>
      </c>
      <c r="B2274">
        <v>3.9935</v>
      </c>
      <c r="C2274">
        <v>5.5954999999999998E-2</v>
      </c>
      <c r="D2274">
        <v>256</v>
      </c>
      <c r="E2274" t="s">
        <v>2514</v>
      </c>
      <c r="F2274">
        <v>256</v>
      </c>
      <c r="G2274" s="1">
        <v>45182</v>
      </c>
      <c r="H2274" s="6">
        <f t="shared" si="72"/>
        <v>1.4479166666666718</v>
      </c>
      <c r="I2274" s="7">
        <f t="shared" si="73"/>
        <v>1.4479166666666718</v>
      </c>
    </row>
    <row r="2275" spans="1:9" x14ac:dyDescent="0.2">
      <c r="A2275" t="s">
        <v>2515</v>
      </c>
      <c r="B2275">
        <v>4.016</v>
      </c>
      <c r="C2275">
        <v>5.6235E-2</v>
      </c>
      <c r="D2275">
        <v>256</v>
      </c>
      <c r="E2275" t="s">
        <v>2515</v>
      </c>
      <c r="F2275">
        <v>256</v>
      </c>
      <c r="G2275" s="1">
        <v>45182</v>
      </c>
      <c r="H2275" s="6">
        <f t="shared" si="72"/>
        <v>1.4583333333333386</v>
      </c>
      <c r="I2275" s="7">
        <f t="shared" si="73"/>
        <v>1.4583333333333386</v>
      </c>
    </row>
    <row r="2276" spans="1:9" x14ac:dyDescent="0.2">
      <c r="A2276" t="s">
        <v>2516</v>
      </c>
      <c r="B2276">
        <v>4.0004999999999997</v>
      </c>
      <c r="C2276">
        <v>5.6035000000000001E-2</v>
      </c>
      <c r="D2276">
        <v>256</v>
      </c>
      <c r="E2276" t="s">
        <v>2516</v>
      </c>
      <c r="F2276">
        <v>256</v>
      </c>
      <c r="G2276" s="1">
        <v>45182</v>
      </c>
      <c r="H2276" s="6">
        <f t="shared" si="72"/>
        <v>1.4687500000000053</v>
      </c>
      <c r="I2276" s="7">
        <f t="shared" si="73"/>
        <v>1.4687500000000053</v>
      </c>
    </row>
    <row r="2277" spans="1:9" x14ac:dyDescent="0.2">
      <c r="A2277" t="s">
        <v>2517</v>
      </c>
      <c r="B2277">
        <v>3.8875000000000002</v>
      </c>
      <c r="C2277">
        <v>5.4445E-2</v>
      </c>
      <c r="D2277">
        <v>256</v>
      </c>
      <c r="E2277" t="s">
        <v>2517</v>
      </c>
      <c r="F2277">
        <v>256</v>
      </c>
      <c r="G2277" s="1">
        <v>45182</v>
      </c>
      <c r="H2277" s="6">
        <f t="shared" si="72"/>
        <v>1.4791666666666721</v>
      </c>
      <c r="I2277" s="7">
        <f t="shared" si="73"/>
        <v>1.4791666666666721</v>
      </c>
    </row>
    <row r="2278" spans="1:9" x14ac:dyDescent="0.2">
      <c r="A2278" t="s">
        <v>2518</v>
      </c>
      <c r="B2278">
        <v>3.9620000000000002</v>
      </c>
      <c r="C2278">
        <v>5.5480000000000002E-2</v>
      </c>
      <c r="D2278">
        <v>256</v>
      </c>
      <c r="E2278" t="s">
        <v>2518</v>
      </c>
      <c r="F2278">
        <v>256</v>
      </c>
      <c r="G2278" s="1">
        <v>45182</v>
      </c>
      <c r="H2278" s="6">
        <f t="shared" si="72"/>
        <v>1.4895833333333388</v>
      </c>
      <c r="I2278" s="7">
        <f t="shared" si="73"/>
        <v>1.4895833333333388</v>
      </c>
    </row>
    <row r="2279" spans="1:9" x14ac:dyDescent="0.2">
      <c r="A2279" t="s">
        <v>2519</v>
      </c>
      <c r="B2279">
        <v>3.9409999999999998</v>
      </c>
      <c r="C2279">
        <v>5.5210000000000002E-2</v>
      </c>
      <c r="D2279">
        <v>256</v>
      </c>
      <c r="E2279" t="s">
        <v>2519</v>
      </c>
      <c r="F2279">
        <v>256</v>
      </c>
      <c r="G2279" s="1">
        <v>45182</v>
      </c>
      <c r="H2279" s="6">
        <f t="shared" si="72"/>
        <v>1.5000000000000056</v>
      </c>
      <c r="I2279" s="7">
        <f t="shared" si="73"/>
        <v>1.5000000000000056</v>
      </c>
    </row>
    <row r="2280" spans="1:9" x14ac:dyDescent="0.2">
      <c r="A2280" t="s">
        <v>2520</v>
      </c>
      <c r="B2280">
        <v>3.8645</v>
      </c>
      <c r="C2280">
        <v>5.4155000000000002E-2</v>
      </c>
      <c r="D2280">
        <v>256</v>
      </c>
      <c r="E2280" t="s">
        <v>2520</v>
      </c>
      <c r="F2280">
        <v>256</v>
      </c>
      <c r="G2280" s="1">
        <v>45182</v>
      </c>
      <c r="H2280" s="6">
        <f t="shared" si="72"/>
        <v>1.5104166666666723</v>
      </c>
      <c r="I2280" s="7">
        <f t="shared" si="73"/>
        <v>1.5104166666666723</v>
      </c>
    </row>
    <row r="2281" spans="1:9" x14ac:dyDescent="0.2">
      <c r="A2281" t="s">
        <v>2521</v>
      </c>
      <c r="B2281">
        <v>3.9359999999999999</v>
      </c>
      <c r="C2281">
        <v>5.5140000000000002E-2</v>
      </c>
      <c r="D2281">
        <v>256</v>
      </c>
      <c r="E2281" t="s">
        <v>2521</v>
      </c>
      <c r="F2281">
        <v>256</v>
      </c>
      <c r="G2281" s="1">
        <v>45182</v>
      </c>
      <c r="H2281" s="6">
        <f t="shared" si="72"/>
        <v>1.520833333333339</v>
      </c>
      <c r="I2281" s="7">
        <f t="shared" si="73"/>
        <v>1.520833333333339</v>
      </c>
    </row>
    <row r="2282" spans="1:9" x14ac:dyDescent="0.2">
      <c r="A2282" t="s">
        <v>2522</v>
      </c>
      <c r="B2282">
        <v>3.8975</v>
      </c>
      <c r="C2282">
        <v>5.4594999999999998E-2</v>
      </c>
      <c r="D2282">
        <v>256</v>
      </c>
      <c r="E2282" t="s">
        <v>2522</v>
      </c>
      <c r="F2282">
        <v>256</v>
      </c>
      <c r="G2282" s="1">
        <v>45182</v>
      </c>
      <c r="H2282" s="6">
        <f t="shared" si="72"/>
        <v>1.5312500000000058</v>
      </c>
      <c r="I2282" s="7">
        <f t="shared" si="73"/>
        <v>1.5312500000000058</v>
      </c>
    </row>
    <row r="2283" spans="1:9" x14ac:dyDescent="0.2">
      <c r="A2283" t="s">
        <v>2523</v>
      </c>
      <c r="B2283">
        <v>3.8734999999999999</v>
      </c>
      <c r="C2283">
        <v>5.4254999999999998E-2</v>
      </c>
      <c r="D2283">
        <v>256</v>
      </c>
      <c r="E2283" t="s">
        <v>2523</v>
      </c>
      <c r="F2283">
        <v>256</v>
      </c>
      <c r="G2283" s="1">
        <v>45182</v>
      </c>
      <c r="H2283" s="6">
        <f t="shared" si="72"/>
        <v>1.5416666666666725</v>
      </c>
      <c r="I2283" s="7">
        <f t="shared" si="73"/>
        <v>1.5416666666666725</v>
      </c>
    </row>
    <row r="2284" spans="1:9" x14ac:dyDescent="0.2">
      <c r="A2284" t="s">
        <v>2524</v>
      </c>
      <c r="B2284">
        <v>3.8014999999999999</v>
      </c>
      <c r="C2284">
        <v>5.3234999999999998E-2</v>
      </c>
      <c r="D2284">
        <v>256</v>
      </c>
      <c r="E2284" t="s">
        <v>2524</v>
      </c>
      <c r="F2284">
        <v>256</v>
      </c>
      <c r="G2284" s="1">
        <v>45182</v>
      </c>
      <c r="H2284" s="6">
        <f t="shared" si="72"/>
        <v>1.5520833333333393</v>
      </c>
      <c r="I2284" s="7">
        <f t="shared" si="73"/>
        <v>1.5520833333333393</v>
      </c>
    </row>
    <row r="2285" spans="1:9" x14ac:dyDescent="0.2">
      <c r="A2285" t="s">
        <v>2525</v>
      </c>
      <c r="B2285">
        <v>3.8260000000000001</v>
      </c>
      <c r="C2285">
        <v>5.3600000000000002E-2</v>
      </c>
      <c r="D2285">
        <v>256</v>
      </c>
      <c r="E2285" t="s">
        <v>2525</v>
      </c>
      <c r="F2285">
        <v>256</v>
      </c>
      <c r="G2285" s="1">
        <v>45182</v>
      </c>
      <c r="H2285" s="6">
        <f t="shared" si="72"/>
        <v>1.562500000000006</v>
      </c>
      <c r="I2285" s="7">
        <f t="shared" si="73"/>
        <v>1.562500000000006</v>
      </c>
    </row>
    <row r="2286" spans="1:9" x14ac:dyDescent="0.2">
      <c r="A2286" t="s">
        <v>2526</v>
      </c>
      <c r="B2286" s="2" t="s">
        <v>2527</v>
      </c>
      <c r="C2286" s="2" t="s">
        <v>2528</v>
      </c>
      <c r="D2286">
        <v>256</v>
      </c>
      <c r="E2286" t="s">
        <v>2526</v>
      </c>
      <c r="F2286">
        <v>256</v>
      </c>
      <c r="G2286" s="1">
        <v>45182</v>
      </c>
      <c r="H2286" s="6">
        <f t="shared" si="72"/>
        <v>1.5729166666666727</v>
      </c>
      <c r="I2286" s="7">
        <f t="shared" si="73"/>
        <v>1.5729166666666727</v>
      </c>
    </row>
    <row r="2287" spans="1:9" x14ac:dyDescent="0.2">
      <c r="A2287" t="s">
        <v>2529</v>
      </c>
      <c r="B2287">
        <v>3.7054999999999998</v>
      </c>
      <c r="C2287">
        <v>5.1894999999999997E-2</v>
      </c>
      <c r="D2287">
        <v>256</v>
      </c>
      <c r="E2287" t="s">
        <v>2529</v>
      </c>
      <c r="F2287">
        <v>256</v>
      </c>
      <c r="G2287" s="1">
        <v>45182</v>
      </c>
      <c r="H2287" s="6">
        <f t="shared" si="72"/>
        <v>1.5833333333333395</v>
      </c>
      <c r="I2287" s="7">
        <f t="shared" si="73"/>
        <v>1.5833333333333395</v>
      </c>
    </row>
    <row r="2288" spans="1:9" x14ac:dyDescent="0.2">
      <c r="A2288" t="s">
        <v>2530</v>
      </c>
      <c r="B2288" s="2" t="s">
        <v>2457</v>
      </c>
      <c r="C2288">
        <v>5.1944999999999998E-2</v>
      </c>
      <c r="D2288">
        <v>256</v>
      </c>
      <c r="E2288" t="s">
        <v>2530</v>
      </c>
      <c r="F2288">
        <v>256</v>
      </c>
      <c r="G2288" s="1">
        <v>45182</v>
      </c>
      <c r="H2288" s="6">
        <f t="shared" si="72"/>
        <v>1.5937500000000062</v>
      </c>
      <c r="I2288" s="7">
        <f t="shared" si="73"/>
        <v>1.5937500000000062</v>
      </c>
    </row>
    <row r="2289" spans="1:9" x14ac:dyDescent="0.2">
      <c r="A2289" t="s">
        <v>2531</v>
      </c>
      <c r="B2289">
        <v>3.649</v>
      </c>
      <c r="C2289">
        <v>5.1110000000000003E-2</v>
      </c>
      <c r="D2289">
        <v>256</v>
      </c>
      <c r="E2289" t="s">
        <v>2531</v>
      </c>
      <c r="F2289">
        <v>256</v>
      </c>
      <c r="G2289" s="1">
        <v>45182</v>
      </c>
      <c r="H2289" s="6">
        <f t="shared" si="72"/>
        <v>1.604166666666673</v>
      </c>
      <c r="I2289" s="7">
        <f t="shared" si="73"/>
        <v>1.604166666666673</v>
      </c>
    </row>
    <row r="2290" spans="1:9" x14ac:dyDescent="0.2">
      <c r="A2290" t="s">
        <v>2532</v>
      </c>
      <c r="B2290">
        <v>3.5375000000000001</v>
      </c>
      <c r="C2290">
        <v>4.9555000000000002E-2</v>
      </c>
      <c r="D2290">
        <v>256</v>
      </c>
      <c r="E2290" t="s">
        <v>2532</v>
      </c>
      <c r="F2290">
        <v>256</v>
      </c>
      <c r="G2290" s="1">
        <v>45182</v>
      </c>
      <c r="H2290" s="6">
        <f t="shared" si="72"/>
        <v>1.6145833333333397</v>
      </c>
      <c r="I2290" s="7">
        <f t="shared" si="73"/>
        <v>1.6145833333333397</v>
      </c>
    </row>
    <row r="2291" spans="1:9" x14ac:dyDescent="0.2">
      <c r="A2291" t="s">
        <v>2533</v>
      </c>
      <c r="B2291">
        <v>3.5680000000000001</v>
      </c>
      <c r="C2291">
        <v>4.9970000000000001E-2</v>
      </c>
      <c r="D2291">
        <v>256</v>
      </c>
      <c r="E2291" t="s">
        <v>2533</v>
      </c>
      <c r="F2291">
        <v>256</v>
      </c>
      <c r="G2291" s="1">
        <v>45182</v>
      </c>
      <c r="H2291" s="6">
        <f t="shared" si="72"/>
        <v>1.6250000000000064</v>
      </c>
      <c r="I2291" s="7">
        <f t="shared" si="73"/>
        <v>1.6250000000000064</v>
      </c>
    </row>
    <row r="2292" spans="1:9" x14ac:dyDescent="0.2">
      <c r="A2292" t="s">
        <v>2534</v>
      </c>
      <c r="B2292">
        <v>3.6040000000000001</v>
      </c>
      <c r="C2292">
        <v>5.0494999999999998E-2</v>
      </c>
      <c r="D2292">
        <v>256</v>
      </c>
      <c r="E2292" t="s">
        <v>2534</v>
      </c>
      <c r="F2292">
        <v>256</v>
      </c>
      <c r="G2292" s="1">
        <v>45182</v>
      </c>
      <c r="H2292" s="6">
        <f t="shared" si="72"/>
        <v>1.6354166666666732</v>
      </c>
      <c r="I2292" s="7">
        <f t="shared" si="73"/>
        <v>1.6354166666666732</v>
      </c>
    </row>
    <row r="2293" spans="1:9" x14ac:dyDescent="0.2">
      <c r="A2293" t="s">
        <v>2535</v>
      </c>
      <c r="B2293">
        <v>3.5615000000000001</v>
      </c>
      <c r="C2293" s="2" t="s">
        <v>2536</v>
      </c>
      <c r="D2293">
        <v>256</v>
      </c>
      <c r="E2293" t="s">
        <v>2535</v>
      </c>
      <c r="F2293">
        <v>256</v>
      </c>
      <c r="G2293" s="1">
        <v>45182</v>
      </c>
      <c r="H2293" s="6">
        <f t="shared" si="72"/>
        <v>1.6458333333333399</v>
      </c>
      <c r="I2293" s="7">
        <f t="shared" si="73"/>
        <v>1.6458333333333399</v>
      </c>
    </row>
    <row r="2294" spans="1:9" x14ac:dyDescent="0.2">
      <c r="A2294" t="s">
        <v>2537</v>
      </c>
      <c r="B2294">
        <v>3.5015000000000001</v>
      </c>
      <c r="C2294" s="2" t="s">
        <v>947</v>
      </c>
      <c r="D2294">
        <v>256</v>
      </c>
      <c r="E2294" t="s">
        <v>2537</v>
      </c>
      <c r="F2294">
        <v>256</v>
      </c>
      <c r="G2294" s="1">
        <v>45182</v>
      </c>
      <c r="H2294" s="6">
        <f t="shared" si="72"/>
        <v>1.6562500000000067</v>
      </c>
      <c r="I2294" s="7">
        <f t="shared" si="73"/>
        <v>1.6562500000000067</v>
      </c>
    </row>
    <row r="2295" spans="1:9" x14ac:dyDescent="0.2">
      <c r="A2295" t="s">
        <v>2538</v>
      </c>
      <c r="B2295">
        <v>3.7549999999999999</v>
      </c>
      <c r="C2295">
        <v>5.2604999999999999E-2</v>
      </c>
      <c r="D2295">
        <v>256</v>
      </c>
      <c r="E2295" t="s">
        <v>2538</v>
      </c>
      <c r="F2295">
        <v>256</v>
      </c>
      <c r="G2295" s="1">
        <v>45182</v>
      </c>
      <c r="H2295" s="6">
        <f t="shared" si="72"/>
        <v>1.6666666666666734</v>
      </c>
      <c r="I2295" s="7">
        <f t="shared" si="73"/>
        <v>1.6666666666666734</v>
      </c>
    </row>
    <row r="2296" spans="1:9" x14ac:dyDescent="0.2">
      <c r="A2296" t="s">
        <v>2539</v>
      </c>
      <c r="B2296">
        <v>3.702</v>
      </c>
      <c r="C2296">
        <v>5.1845000000000002E-2</v>
      </c>
      <c r="D2296">
        <v>256</v>
      </c>
      <c r="E2296" t="s">
        <v>2539</v>
      </c>
      <c r="F2296">
        <v>256</v>
      </c>
      <c r="G2296" s="1">
        <v>45182</v>
      </c>
      <c r="H2296" s="6">
        <f t="shared" si="72"/>
        <v>1.6770833333333401</v>
      </c>
      <c r="I2296" s="7">
        <f t="shared" si="73"/>
        <v>1.6770833333333401</v>
      </c>
    </row>
    <row r="2297" spans="1:9" x14ac:dyDescent="0.2">
      <c r="A2297" t="s">
        <v>2540</v>
      </c>
      <c r="B2297">
        <v>3.496</v>
      </c>
      <c r="C2297">
        <v>4.897E-2</v>
      </c>
      <c r="D2297">
        <v>256</v>
      </c>
      <c r="E2297" t="s">
        <v>2540</v>
      </c>
      <c r="F2297">
        <v>256</v>
      </c>
      <c r="G2297" s="1">
        <v>45182</v>
      </c>
      <c r="H2297" s="6">
        <f t="shared" si="72"/>
        <v>1.6875000000000069</v>
      </c>
      <c r="I2297" s="7">
        <f t="shared" si="73"/>
        <v>1.6875000000000069</v>
      </c>
    </row>
    <row r="2298" spans="1:9" x14ac:dyDescent="0.2">
      <c r="A2298" t="s">
        <v>2541</v>
      </c>
      <c r="B2298">
        <v>3.8010000000000002</v>
      </c>
      <c r="C2298">
        <v>5.3234999999999998E-2</v>
      </c>
      <c r="D2298">
        <v>256</v>
      </c>
      <c r="E2298" t="s">
        <v>2541</v>
      </c>
      <c r="F2298">
        <v>256</v>
      </c>
      <c r="G2298" s="1">
        <v>45182</v>
      </c>
      <c r="H2298" s="6">
        <f t="shared" si="72"/>
        <v>1.6979166666666736</v>
      </c>
      <c r="I2298" s="7">
        <f t="shared" si="73"/>
        <v>1.6979166666666736</v>
      </c>
    </row>
    <row r="2299" spans="1:9" x14ac:dyDescent="0.2">
      <c r="A2299" t="s">
        <v>2542</v>
      </c>
      <c r="B2299">
        <v>3.8805000000000001</v>
      </c>
      <c r="C2299">
        <v>5.4355000000000001E-2</v>
      </c>
      <c r="D2299">
        <v>256</v>
      </c>
      <c r="E2299" t="s">
        <v>2542</v>
      </c>
      <c r="F2299">
        <v>256</v>
      </c>
      <c r="G2299" s="1">
        <v>45182</v>
      </c>
      <c r="H2299" s="6">
        <f t="shared" si="72"/>
        <v>1.7083333333333404</v>
      </c>
      <c r="I2299" s="7">
        <f t="shared" si="73"/>
        <v>1.7083333333333404</v>
      </c>
    </row>
    <row r="2300" spans="1:9" x14ac:dyDescent="0.2">
      <c r="A2300" t="s">
        <v>2543</v>
      </c>
      <c r="B2300">
        <v>3.7715000000000001</v>
      </c>
      <c r="C2300">
        <v>5.2824999999999997E-2</v>
      </c>
      <c r="D2300">
        <v>256</v>
      </c>
      <c r="E2300" t="s">
        <v>2543</v>
      </c>
      <c r="F2300">
        <v>256</v>
      </c>
      <c r="G2300" s="1">
        <v>45182</v>
      </c>
      <c r="H2300" s="6">
        <f t="shared" si="72"/>
        <v>1.7187500000000071</v>
      </c>
      <c r="I2300" s="7">
        <f t="shared" si="73"/>
        <v>1.7187500000000071</v>
      </c>
    </row>
    <row r="2301" spans="1:9" x14ac:dyDescent="0.2">
      <c r="A2301" t="s">
        <v>2544</v>
      </c>
      <c r="B2301">
        <v>3.6875</v>
      </c>
      <c r="C2301" s="2" t="s">
        <v>2545</v>
      </c>
      <c r="D2301">
        <v>256</v>
      </c>
      <c r="E2301" t="s">
        <v>2544</v>
      </c>
      <c r="F2301">
        <v>256</v>
      </c>
      <c r="G2301" s="1">
        <v>45182</v>
      </c>
      <c r="H2301" s="6">
        <f t="shared" si="72"/>
        <v>1.7291666666666738</v>
      </c>
      <c r="I2301" s="7">
        <f t="shared" si="73"/>
        <v>1.7291666666666738</v>
      </c>
    </row>
    <row r="2302" spans="1:9" x14ac:dyDescent="0.2">
      <c r="A2302" t="s">
        <v>2546</v>
      </c>
      <c r="B2302">
        <v>3.6320000000000001</v>
      </c>
      <c r="C2302" s="2" t="s">
        <v>2547</v>
      </c>
      <c r="D2302">
        <v>256</v>
      </c>
      <c r="E2302" t="s">
        <v>2546</v>
      </c>
      <c r="F2302">
        <v>256</v>
      </c>
      <c r="G2302" s="1">
        <v>45182</v>
      </c>
      <c r="H2302" s="6">
        <f t="shared" si="72"/>
        <v>1.7395833333333406</v>
      </c>
      <c r="I2302" s="7">
        <f t="shared" si="73"/>
        <v>1.7395833333333406</v>
      </c>
    </row>
    <row r="2303" spans="1:9" x14ac:dyDescent="0.2">
      <c r="A2303" t="s">
        <v>2548</v>
      </c>
      <c r="B2303">
        <v>4.0175000000000001</v>
      </c>
      <c r="C2303">
        <v>5.6270000000000001E-2</v>
      </c>
      <c r="D2303">
        <v>257</v>
      </c>
      <c r="E2303" t="s">
        <v>2548</v>
      </c>
      <c r="F2303">
        <v>256</v>
      </c>
      <c r="G2303" s="1">
        <v>45182</v>
      </c>
      <c r="H2303" s="6">
        <f t="shared" si="72"/>
        <v>1.7500000000000073</v>
      </c>
      <c r="I2303" s="7">
        <f t="shared" si="73"/>
        <v>1.7500000000000073</v>
      </c>
    </row>
    <row r="2304" spans="1:9" x14ac:dyDescent="0.2">
      <c r="A2304" t="s">
        <v>2549</v>
      </c>
      <c r="B2304">
        <v>3.544</v>
      </c>
      <c r="C2304">
        <v>4.9630000000000001E-2</v>
      </c>
      <c r="D2304">
        <v>257</v>
      </c>
      <c r="E2304" t="s">
        <v>2549</v>
      </c>
      <c r="F2304">
        <v>256</v>
      </c>
      <c r="G2304" s="1">
        <v>45182</v>
      </c>
      <c r="H2304" s="6">
        <f t="shared" si="72"/>
        <v>1.7604166666666741</v>
      </c>
      <c r="I2304" s="7">
        <f t="shared" si="73"/>
        <v>1.7604166666666741</v>
      </c>
    </row>
    <row r="2305" spans="1:9" x14ac:dyDescent="0.2">
      <c r="A2305" t="s">
        <v>2550</v>
      </c>
      <c r="B2305">
        <v>3.5375000000000001</v>
      </c>
      <c r="C2305">
        <v>4.9544999999999999E-2</v>
      </c>
      <c r="D2305">
        <v>257</v>
      </c>
      <c r="E2305" t="s">
        <v>2550</v>
      </c>
      <c r="F2305">
        <v>256</v>
      </c>
      <c r="G2305" s="1">
        <v>45182</v>
      </c>
      <c r="H2305" s="6">
        <f t="shared" si="72"/>
        <v>1.7708333333333408</v>
      </c>
      <c r="I2305" s="7">
        <f t="shared" si="73"/>
        <v>1.7708333333333408</v>
      </c>
    </row>
    <row r="2306" spans="1:9" x14ac:dyDescent="0.2">
      <c r="A2306" t="s">
        <v>2551</v>
      </c>
      <c r="B2306">
        <v>3.5470000000000002</v>
      </c>
      <c r="C2306">
        <v>4.9685E-2</v>
      </c>
      <c r="D2306">
        <v>257</v>
      </c>
      <c r="E2306" t="s">
        <v>2551</v>
      </c>
      <c r="F2306">
        <v>256</v>
      </c>
      <c r="G2306" s="1">
        <v>45182</v>
      </c>
      <c r="H2306" s="6">
        <f t="shared" si="72"/>
        <v>1.7812500000000075</v>
      </c>
      <c r="I2306" s="7">
        <f t="shared" si="73"/>
        <v>1.7812500000000075</v>
      </c>
    </row>
    <row r="2307" spans="1:9" x14ac:dyDescent="0.2">
      <c r="A2307" t="s">
        <v>2552</v>
      </c>
      <c r="B2307">
        <v>3.7225000000000001</v>
      </c>
      <c r="C2307">
        <v>5.2135000000000001E-2</v>
      </c>
      <c r="D2307">
        <v>257</v>
      </c>
      <c r="E2307" t="s">
        <v>2552</v>
      </c>
      <c r="F2307">
        <v>256</v>
      </c>
      <c r="G2307" s="1">
        <v>45182</v>
      </c>
      <c r="H2307" s="6">
        <f t="shared" si="72"/>
        <v>1.7916666666666743</v>
      </c>
      <c r="I2307" s="7">
        <f t="shared" si="73"/>
        <v>1.7916666666666743</v>
      </c>
    </row>
    <row r="2308" spans="1:9" x14ac:dyDescent="0.2">
      <c r="A2308" t="s">
        <v>2553</v>
      </c>
      <c r="B2308">
        <v>3.5939999999999999</v>
      </c>
      <c r="C2308">
        <v>5.033E-2</v>
      </c>
      <c r="D2308">
        <v>257</v>
      </c>
      <c r="E2308" t="s">
        <v>2553</v>
      </c>
      <c r="F2308">
        <v>256</v>
      </c>
      <c r="G2308" s="1">
        <v>45182</v>
      </c>
      <c r="H2308" s="6">
        <f t="shared" si="72"/>
        <v>1.802083333333341</v>
      </c>
      <c r="I2308" s="7">
        <f t="shared" si="73"/>
        <v>1.802083333333341</v>
      </c>
    </row>
    <row r="2309" spans="1:9" x14ac:dyDescent="0.2">
      <c r="A2309" t="s">
        <v>2554</v>
      </c>
      <c r="B2309">
        <v>3.625</v>
      </c>
      <c r="C2309">
        <v>5.0755000000000002E-2</v>
      </c>
      <c r="D2309">
        <v>257</v>
      </c>
      <c r="E2309" t="s">
        <v>2554</v>
      </c>
      <c r="F2309">
        <v>256</v>
      </c>
      <c r="G2309" s="1">
        <v>45182</v>
      </c>
      <c r="H2309" s="6">
        <f t="shared" si="72"/>
        <v>1.8125000000000078</v>
      </c>
      <c r="I2309" s="7">
        <f t="shared" si="73"/>
        <v>1.8125000000000078</v>
      </c>
    </row>
    <row r="2310" spans="1:9" x14ac:dyDescent="0.2">
      <c r="A2310" t="s">
        <v>2555</v>
      </c>
      <c r="B2310">
        <v>3.5954999999999999</v>
      </c>
      <c r="C2310">
        <v>5.0360000000000002E-2</v>
      </c>
      <c r="D2310">
        <v>257</v>
      </c>
      <c r="E2310" t="s">
        <v>2555</v>
      </c>
      <c r="F2310">
        <v>256</v>
      </c>
      <c r="G2310" s="1">
        <v>45182</v>
      </c>
      <c r="H2310" s="6">
        <f t="shared" si="72"/>
        <v>1.8229166666666745</v>
      </c>
      <c r="I2310" s="7">
        <f t="shared" si="73"/>
        <v>1.8229166666666745</v>
      </c>
    </row>
    <row r="2311" spans="1:9" x14ac:dyDescent="0.2">
      <c r="A2311" t="s">
        <v>2556</v>
      </c>
      <c r="B2311">
        <v>3.7435</v>
      </c>
      <c r="C2311">
        <v>5.2444999999999999E-2</v>
      </c>
      <c r="D2311">
        <v>257</v>
      </c>
      <c r="E2311" t="s">
        <v>2556</v>
      </c>
      <c r="F2311">
        <v>256</v>
      </c>
      <c r="G2311" s="1">
        <v>45182</v>
      </c>
      <c r="H2311" s="6">
        <f t="shared" si="72"/>
        <v>1.8333333333333413</v>
      </c>
      <c r="I2311" s="7">
        <f t="shared" si="73"/>
        <v>1.8333333333333413</v>
      </c>
    </row>
    <row r="2312" spans="1:9" x14ac:dyDescent="0.2">
      <c r="A2312" t="s">
        <v>2557</v>
      </c>
      <c r="B2312">
        <v>3.577</v>
      </c>
      <c r="C2312">
        <v>5.0115E-2</v>
      </c>
      <c r="D2312">
        <v>257</v>
      </c>
      <c r="E2312" t="s">
        <v>2557</v>
      </c>
      <c r="F2312">
        <v>256</v>
      </c>
      <c r="G2312" s="1">
        <v>45182</v>
      </c>
      <c r="H2312" s="6">
        <f t="shared" si="72"/>
        <v>1.843750000000008</v>
      </c>
      <c r="I2312" s="7">
        <f t="shared" si="73"/>
        <v>1.843750000000008</v>
      </c>
    </row>
    <row r="2313" spans="1:9" x14ac:dyDescent="0.2">
      <c r="A2313" t="s">
        <v>2558</v>
      </c>
      <c r="B2313">
        <v>3.6680000000000001</v>
      </c>
      <c r="C2313">
        <v>5.1380000000000002E-2</v>
      </c>
      <c r="D2313">
        <v>257</v>
      </c>
      <c r="E2313" t="s">
        <v>2558</v>
      </c>
      <c r="F2313">
        <v>256</v>
      </c>
      <c r="G2313" s="1">
        <v>45182</v>
      </c>
      <c r="H2313" s="6">
        <f t="shared" si="72"/>
        <v>1.8541666666666747</v>
      </c>
      <c r="I2313" s="7">
        <f t="shared" si="73"/>
        <v>1.8541666666666747</v>
      </c>
    </row>
    <row r="2314" spans="1:9" x14ac:dyDescent="0.2">
      <c r="A2314" t="s">
        <v>2559</v>
      </c>
      <c r="B2314">
        <v>3.6829999999999998</v>
      </c>
      <c r="C2314">
        <v>5.1589999999999997E-2</v>
      </c>
      <c r="D2314">
        <v>257</v>
      </c>
      <c r="E2314" t="s">
        <v>2559</v>
      </c>
      <c r="F2314">
        <v>256</v>
      </c>
      <c r="G2314" s="1">
        <v>45182</v>
      </c>
      <c r="H2314" s="6">
        <f t="shared" si="72"/>
        <v>1.8645833333333415</v>
      </c>
      <c r="I2314" s="7">
        <f t="shared" si="73"/>
        <v>1.8645833333333415</v>
      </c>
    </row>
    <row r="2315" spans="1:9" x14ac:dyDescent="0.2">
      <c r="A2315" t="s">
        <v>2560</v>
      </c>
      <c r="B2315">
        <v>3.633</v>
      </c>
      <c r="C2315">
        <v>5.0885E-2</v>
      </c>
      <c r="D2315">
        <v>257</v>
      </c>
      <c r="E2315" t="s">
        <v>2560</v>
      </c>
      <c r="F2315">
        <v>256</v>
      </c>
      <c r="G2315" s="1">
        <v>45182</v>
      </c>
      <c r="H2315" s="6">
        <f t="shared" si="72"/>
        <v>1.8750000000000082</v>
      </c>
      <c r="I2315" s="7">
        <f t="shared" si="73"/>
        <v>1.8750000000000082</v>
      </c>
    </row>
    <row r="2316" spans="1:9" x14ac:dyDescent="0.2">
      <c r="A2316" t="s">
        <v>2561</v>
      </c>
      <c r="B2316">
        <v>3.7330000000000001</v>
      </c>
      <c r="C2316">
        <v>5.2299999999999999E-2</v>
      </c>
      <c r="D2316">
        <v>257</v>
      </c>
      <c r="E2316" t="s">
        <v>2561</v>
      </c>
      <c r="F2316">
        <v>256</v>
      </c>
      <c r="G2316" s="1">
        <v>45182</v>
      </c>
      <c r="H2316" s="6">
        <f t="shared" si="72"/>
        <v>1.885416666666675</v>
      </c>
      <c r="I2316" s="7">
        <f t="shared" si="73"/>
        <v>1.885416666666675</v>
      </c>
    </row>
    <row r="2317" spans="1:9" x14ac:dyDescent="0.2">
      <c r="A2317" t="s">
        <v>2562</v>
      </c>
      <c r="B2317">
        <v>3.7309999999999999</v>
      </c>
      <c r="C2317">
        <v>5.2255000000000003E-2</v>
      </c>
      <c r="D2317">
        <v>257</v>
      </c>
      <c r="E2317" t="s">
        <v>2562</v>
      </c>
      <c r="F2317">
        <v>256</v>
      </c>
      <c r="G2317" s="1">
        <v>45182</v>
      </c>
      <c r="H2317" s="6">
        <f t="shared" si="72"/>
        <v>1.8958333333333417</v>
      </c>
      <c r="I2317" s="7">
        <f t="shared" si="73"/>
        <v>1.8958333333333417</v>
      </c>
    </row>
    <row r="2318" spans="1:9" x14ac:dyDescent="0.2">
      <c r="A2318" t="s">
        <v>2563</v>
      </c>
      <c r="B2318">
        <v>3.7075</v>
      </c>
      <c r="C2318">
        <v>5.1929999999999997E-2</v>
      </c>
      <c r="D2318">
        <v>257</v>
      </c>
      <c r="E2318" t="s">
        <v>2563</v>
      </c>
      <c r="F2318">
        <v>256</v>
      </c>
      <c r="G2318" s="1">
        <v>45182</v>
      </c>
      <c r="H2318" s="6">
        <f t="shared" si="72"/>
        <v>1.9062500000000084</v>
      </c>
      <c r="I2318" s="7">
        <f t="shared" si="73"/>
        <v>1.9062500000000084</v>
      </c>
    </row>
    <row r="2319" spans="1:9" x14ac:dyDescent="0.2">
      <c r="A2319" t="s">
        <v>2564</v>
      </c>
      <c r="B2319">
        <v>3.6640000000000001</v>
      </c>
      <c r="C2319">
        <v>5.1334999999999999E-2</v>
      </c>
      <c r="D2319">
        <v>257</v>
      </c>
      <c r="E2319" t="s">
        <v>2564</v>
      </c>
      <c r="F2319">
        <v>256</v>
      </c>
      <c r="G2319" s="1">
        <v>45182</v>
      </c>
      <c r="H2319" s="6">
        <f t="shared" si="72"/>
        <v>1.9166666666666752</v>
      </c>
      <c r="I2319" s="7">
        <f t="shared" si="73"/>
        <v>1.9166666666666752</v>
      </c>
    </row>
    <row r="2320" spans="1:9" x14ac:dyDescent="0.2">
      <c r="A2320" t="s">
        <v>2565</v>
      </c>
      <c r="B2320">
        <v>3.8</v>
      </c>
      <c r="C2320">
        <v>5.3240000000000003E-2</v>
      </c>
      <c r="D2320">
        <v>257</v>
      </c>
      <c r="E2320" t="s">
        <v>2565</v>
      </c>
      <c r="F2320">
        <v>256</v>
      </c>
      <c r="G2320" s="1">
        <v>45182</v>
      </c>
      <c r="H2320" s="6">
        <f t="shared" si="72"/>
        <v>1.9270833333333419</v>
      </c>
      <c r="I2320" s="7">
        <f t="shared" si="73"/>
        <v>1.9270833333333419</v>
      </c>
    </row>
    <row r="2321" spans="1:9" x14ac:dyDescent="0.2">
      <c r="A2321" t="s">
        <v>2566</v>
      </c>
      <c r="B2321">
        <v>3.86</v>
      </c>
      <c r="C2321">
        <v>5.407E-2</v>
      </c>
      <c r="D2321">
        <v>257</v>
      </c>
      <c r="E2321" t="s">
        <v>2566</v>
      </c>
      <c r="F2321">
        <v>256</v>
      </c>
      <c r="G2321" s="1">
        <v>45182</v>
      </c>
      <c r="H2321" s="6">
        <f t="shared" si="72"/>
        <v>1.9375000000000087</v>
      </c>
      <c r="I2321" s="7">
        <f t="shared" si="73"/>
        <v>1.9375000000000087</v>
      </c>
    </row>
    <row r="2322" spans="1:9" x14ac:dyDescent="0.2">
      <c r="A2322" t="s">
        <v>2567</v>
      </c>
      <c r="B2322">
        <v>3.714</v>
      </c>
      <c r="C2322">
        <v>5.2019999999999997E-2</v>
      </c>
      <c r="D2322">
        <v>257</v>
      </c>
      <c r="E2322" t="s">
        <v>2567</v>
      </c>
      <c r="F2322">
        <v>256</v>
      </c>
      <c r="G2322" s="1">
        <v>45182</v>
      </c>
      <c r="H2322" s="6">
        <f t="shared" si="72"/>
        <v>1.9479166666666754</v>
      </c>
      <c r="I2322" s="7">
        <f t="shared" si="73"/>
        <v>1.9479166666666754</v>
      </c>
    </row>
    <row r="2323" spans="1:9" x14ac:dyDescent="0.2">
      <c r="A2323" t="s">
        <v>2568</v>
      </c>
      <c r="B2323">
        <v>3.7240000000000002</v>
      </c>
      <c r="C2323">
        <v>5.2174999999999999E-2</v>
      </c>
      <c r="D2323">
        <v>257</v>
      </c>
      <c r="E2323" t="s">
        <v>2568</v>
      </c>
      <c r="F2323">
        <v>256</v>
      </c>
      <c r="G2323" s="1">
        <v>45182</v>
      </c>
      <c r="H2323" s="6">
        <f t="shared" si="72"/>
        <v>1.9583333333333421</v>
      </c>
      <c r="I2323" s="7">
        <f t="shared" si="73"/>
        <v>1.9583333333333421</v>
      </c>
    </row>
    <row r="2324" spans="1:9" x14ac:dyDescent="0.2">
      <c r="A2324" t="s">
        <v>2569</v>
      </c>
      <c r="B2324">
        <v>3.8570000000000002</v>
      </c>
      <c r="C2324">
        <v>5.4030000000000002E-2</v>
      </c>
      <c r="D2324">
        <v>257</v>
      </c>
      <c r="E2324" t="s">
        <v>2569</v>
      </c>
      <c r="F2324">
        <v>256</v>
      </c>
      <c r="G2324" s="1">
        <v>45182</v>
      </c>
      <c r="H2324" s="6">
        <f t="shared" si="72"/>
        <v>1.9687500000000089</v>
      </c>
      <c r="I2324" s="7">
        <f t="shared" si="73"/>
        <v>1.9687500000000089</v>
      </c>
    </row>
    <row r="2325" spans="1:9" x14ac:dyDescent="0.2">
      <c r="A2325" t="s">
        <v>2570</v>
      </c>
      <c r="B2325">
        <v>3.7164999999999999</v>
      </c>
      <c r="C2325">
        <v>5.2045000000000001E-2</v>
      </c>
      <c r="D2325">
        <v>257</v>
      </c>
      <c r="E2325" t="s">
        <v>2570</v>
      </c>
      <c r="F2325">
        <v>256</v>
      </c>
      <c r="G2325" s="1">
        <v>45182</v>
      </c>
      <c r="H2325" s="6">
        <f t="shared" si="72"/>
        <v>1.9791666666666756</v>
      </c>
      <c r="I2325" s="7">
        <f t="shared" si="73"/>
        <v>1.9791666666666756</v>
      </c>
    </row>
    <row r="2326" spans="1:9" x14ac:dyDescent="0.2">
      <c r="A2326" t="s">
        <v>2571</v>
      </c>
      <c r="B2326">
        <v>3.9275000000000002</v>
      </c>
      <c r="C2326">
        <v>5.5019999999999999E-2</v>
      </c>
      <c r="D2326">
        <v>257</v>
      </c>
      <c r="E2326" t="s">
        <v>2571</v>
      </c>
      <c r="F2326">
        <v>256</v>
      </c>
      <c r="G2326" s="1">
        <v>45182</v>
      </c>
      <c r="H2326" s="6">
        <f t="shared" si="72"/>
        <v>1.9895833333333424</v>
      </c>
      <c r="I2326" s="7">
        <f t="shared" si="73"/>
        <v>1.9895833333333424</v>
      </c>
    </row>
    <row r="2327" spans="1:9" x14ac:dyDescent="0.2">
      <c r="A2327" t="s">
        <v>2572</v>
      </c>
      <c r="B2327">
        <v>3.9849999999999999</v>
      </c>
      <c r="C2327" s="2" t="s">
        <v>2257</v>
      </c>
      <c r="D2327">
        <v>257</v>
      </c>
      <c r="E2327" t="s">
        <v>2572</v>
      </c>
      <c r="F2327">
        <v>257</v>
      </c>
      <c r="G2327" s="1">
        <v>45183</v>
      </c>
      <c r="H2327" s="6">
        <f t="shared" si="72"/>
        <v>2.0000000000000089</v>
      </c>
      <c r="I2327" s="7">
        <f t="shared" si="73"/>
        <v>2.0000000000000089</v>
      </c>
    </row>
    <row r="2328" spans="1:9" x14ac:dyDescent="0.2">
      <c r="A2328" t="s">
        <v>2573</v>
      </c>
      <c r="B2328">
        <v>3.9895</v>
      </c>
      <c r="C2328">
        <v>5.5884999999999997E-2</v>
      </c>
      <c r="D2328">
        <v>257</v>
      </c>
      <c r="E2328" t="s">
        <v>2573</v>
      </c>
      <c r="F2328">
        <v>257</v>
      </c>
      <c r="G2328" s="1">
        <v>45183</v>
      </c>
      <c r="H2328" s="6">
        <f t="shared" si="72"/>
        <v>2.0104166666666754</v>
      </c>
      <c r="I2328" s="7">
        <f t="shared" si="73"/>
        <v>2.0104166666666754</v>
      </c>
    </row>
    <row r="2329" spans="1:9" x14ac:dyDescent="0.2">
      <c r="A2329" t="s">
        <v>2574</v>
      </c>
      <c r="B2329">
        <v>4.0385</v>
      </c>
      <c r="C2329">
        <v>5.6579999999999998E-2</v>
      </c>
      <c r="D2329">
        <v>257</v>
      </c>
      <c r="E2329" t="s">
        <v>2574</v>
      </c>
      <c r="F2329">
        <v>257</v>
      </c>
      <c r="G2329" s="1">
        <v>45183</v>
      </c>
      <c r="H2329" s="6">
        <f t="shared" si="72"/>
        <v>2.0208333333333419</v>
      </c>
      <c r="I2329" s="7">
        <f t="shared" si="73"/>
        <v>2.0208333333333419</v>
      </c>
    </row>
    <row r="2330" spans="1:9" x14ac:dyDescent="0.2">
      <c r="A2330" t="s">
        <v>2575</v>
      </c>
      <c r="B2330">
        <v>3.9605000000000001</v>
      </c>
      <c r="C2330">
        <v>5.5460000000000002E-2</v>
      </c>
      <c r="D2330">
        <v>257</v>
      </c>
      <c r="E2330" t="s">
        <v>2575</v>
      </c>
      <c r="F2330">
        <v>257</v>
      </c>
      <c r="G2330" s="1">
        <v>45183</v>
      </c>
      <c r="H2330" s="6">
        <f t="shared" si="72"/>
        <v>2.0312500000000084</v>
      </c>
      <c r="I2330" s="7">
        <f t="shared" si="73"/>
        <v>2.0312500000000084</v>
      </c>
    </row>
    <row r="2331" spans="1:9" x14ac:dyDescent="0.2">
      <c r="A2331" t="s">
        <v>2576</v>
      </c>
      <c r="B2331">
        <v>4.0205000000000002</v>
      </c>
      <c r="C2331">
        <v>5.6325E-2</v>
      </c>
      <c r="D2331">
        <v>257</v>
      </c>
      <c r="E2331" t="s">
        <v>2576</v>
      </c>
      <c r="F2331">
        <v>257</v>
      </c>
      <c r="G2331" s="1">
        <v>45183</v>
      </c>
      <c r="H2331" s="6">
        <f t="shared" si="72"/>
        <v>2.041666666666675</v>
      </c>
      <c r="I2331" s="7">
        <f t="shared" si="73"/>
        <v>2.041666666666675</v>
      </c>
    </row>
    <row r="2332" spans="1:9" x14ac:dyDescent="0.2">
      <c r="A2332" t="s">
        <v>2577</v>
      </c>
      <c r="B2332">
        <v>4.0685000000000002</v>
      </c>
      <c r="C2332">
        <v>5.6989999999999999E-2</v>
      </c>
      <c r="D2332">
        <v>257</v>
      </c>
      <c r="E2332" t="s">
        <v>2577</v>
      </c>
      <c r="F2332">
        <v>257</v>
      </c>
      <c r="G2332" s="1">
        <v>45183</v>
      </c>
      <c r="H2332" s="6">
        <f t="shared" ref="H2332:H2395" si="74">H2331+$K$1</f>
        <v>2.0520833333333415</v>
      </c>
      <c r="I2332" s="7">
        <f t="shared" ref="I2332:I2395" si="75">I2331+$K$1</f>
        <v>2.0520833333333415</v>
      </c>
    </row>
    <row r="2333" spans="1:9" x14ac:dyDescent="0.2">
      <c r="A2333" t="s">
        <v>2578</v>
      </c>
      <c r="B2333">
        <v>4.1304999999999996</v>
      </c>
      <c r="C2333" s="2" t="s">
        <v>1112</v>
      </c>
      <c r="D2333">
        <v>257</v>
      </c>
      <c r="E2333" t="s">
        <v>2578</v>
      </c>
      <c r="F2333">
        <v>257</v>
      </c>
      <c r="G2333" s="1">
        <v>45183</v>
      </c>
      <c r="H2333" s="6">
        <f t="shared" si="74"/>
        <v>2.062500000000008</v>
      </c>
      <c r="I2333" s="7">
        <f t="shared" si="75"/>
        <v>2.062500000000008</v>
      </c>
    </row>
    <row r="2334" spans="1:9" x14ac:dyDescent="0.2">
      <c r="A2334" t="s">
        <v>2579</v>
      </c>
      <c r="B2334" s="2" t="s">
        <v>2580</v>
      </c>
      <c r="C2334" s="2" t="s">
        <v>2581</v>
      </c>
      <c r="D2334">
        <v>257</v>
      </c>
      <c r="E2334" t="s">
        <v>2579</v>
      </c>
      <c r="F2334">
        <v>257</v>
      </c>
      <c r="G2334" s="1">
        <v>45183</v>
      </c>
      <c r="H2334" s="6">
        <f t="shared" si="74"/>
        <v>2.0729166666666745</v>
      </c>
      <c r="I2334" s="7">
        <f t="shared" si="75"/>
        <v>2.0729166666666745</v>
      </c>
    </row>
    <row r="2335" spans="1:9" x14ac:dyDescent="0.2">
      <c r="A2335" t="s">
        <v>2582</v>
      </c>
      <c r="B2335">
        <v>4.1535000000000002</v>
      </c>
      <c r="C2335">
        <v>5.8194999999999997E-2</v>
      </c>
      <c r="D2335">
        <v>257</v>
      </c>
      <c r="E2335" t="s">
        <v>2582</v>
      </c>
      <c r="F2335">
        <v>257</v>
      </c>
      <c r="G2335" s="1">
        <v>45183</v>
      </c>
      <c r="H2335" s="6">
        <f t="shared" si="74"/>
        <v>2.083333333333341</v>
      </c>
      <c r="I2335" s="7">
        <f t="shared" si="75"/>
        <v>2.083333333333341</v>
      </c>
    </row>
    <row r="2336" spans="1:9" x14ac:dyDescent="0.2">
      <c r="A2336" t="s">
        <v>2583</v>
      </c>
      <c r="B2336">
        <v>4.1219999999999999</v>
      </c>
      <c r="C2336">
        <v>5.7729999999999997E-2</v>
      </c>
      <c r="D2336">
        <v>257</v>
      </c>
      <c r="E2336" t="s">
        <v>2583</v>
      </c>
      <c r="F2336">
        <v>257</v>
      </c>
      <c r="G2336" s="1">
        <v>45183</v>
      </c>
      <c r="H2336" s="6">
        <f t="shared" si="74"/>
        <v>2.0937500000000075</v>
      </c>
      <c r="I2336" s="7">
        <f t="shared" si="75"/>
        <v>2.0937500000000075</v>
      </c>
    </row>
    <row r="2337" spans="1:9" x14ac:dyDescent="0.2">
      <c r="A2337" t="s">
        <v>2584</v>
      </c>
      <c r="B2337">
        <v>4.1565000000000003</v>
      </c>
      <c r="C2337">
        <v>5.8205E-2</v>
      </c>
      <c r="D2337">
        <v>257</v>
      </c>
      <c r="E2337" t="s">
        <v>2584</v>
      </c>
      <c r="F2337">
        <v>257</v>
      </c>
      <c r="G2337" s="1">
        <v>45183</v>
      </c>
      <c r="H2337" s="6">
        <f t="shared" si="74"/>
        <v>2.1041666666666741</v>
      </c>
      <c r="I2337" s="7">
        <f t="shared" si="75"/>
        <v>2.1041666666666741</v>
      </c>
    </row>
    <row r="2338" spans="1:9" x14ac:dyDescent="0.2">
      <c r="A2338" t="s">
        <v>2585</v>
      </c>
      <c r="B2338">
        <v>4.1429999999999998</v>
      </c>
      <c r="C2338">
        <v>5.8029999999999998E-2</v>
      </c>
      <c r="D2338">
        <v>257</v>
      </c>
      <c r="E2338" t="s">
        <v>2585</v>
      </c>
      <c r="F2338">
        <v>257</v>
      </c>
      <c r="G2338" s="1">
        <v>45183</v>
      </c>
      <c r="H2338" s="6">
        <f t="shared" si="74"/>
        <v>2.1145833333333406</v>
      </c>
      <c r="I2338" s="7">
        <f t="shared" si="75"/>
        <v>2.1145833333333406</v>
      </c>
    </row>
    <row r="2339" spans="1:9" x14ac:dyDescent="0.2">
      <c r="A2339" t="s">
        <v>2586</v>
      </c>
      <c r="B2339">
        <v>4.1420000000000003</v>
      </c>
      <c r="C2339">
        <v>5.8014999999999997E-2</v>
      </c>
      <c r="D2339">
        <v>257</v>
      </c>
      <c r="E2339" t="s">
        <v>2586</v>
      </c>
      <c r="F2339">
        <v>257</v>
      </c>
      <c r="G2339" s="1">
        <v>45183</v>
      </c>
      <c r="H2339" s="6">
        <f t="shared" si="74"/>
        <v>2.1250000000000071</v>
      </c>
      <c r="I2339" s="7">
        <f t="shared" si="75"/>
        <v>2.1250000000000071</v>
      </c>
    </row>
    <row r="2340" spans="1:9" x14ac:dyDescent="0.2">
      <c r="A2340" t="s">
        <v>2587</v>
      </c>
      <c r="B2340">
        <v>4.141</v>
      </c>
      <c r="C2340">
        <v>5.8005000000000001E-2</v>
      </c>
      <c r="D2340">
        <v>257</v>
      </c>
      <c r="E2340" t="s">
        <v>2587</v>
      </c>
      <c r="F2340">
        <v>257</v>
      </c>
      <c r="G2340" s="1">
        <v>45183</v>
      </c>
      <c r="H2340" s="6">
        <f t="shared" si="74"/>
        <v>2.1354166666666736</v>
      </c>
      <c r="I2340" s="7">
        <f t="shared" si="75"/>
        <v>2.1354166666666736</v>
      </c>
    </row>
    <row r="2341" spans="1:9" x14ac:dyDescent="0.2">
      <c r="A2341" t="s">
        <v>2588</v>
      </c>
      <c r="B2341">
        <v>4.05</v>
      </c>
      <c r="C2341">
        <v>5.6739999999999999E-2</v>
      </c>
      <c r="D2341">
        <v>257</v>
      </c>
      <c r="E2341" t="s">
        <v>2588</v>
      </c>
      <c r="F2341">
        <v>257</v>
      </c>
      <c r="G2341" s="1">
        <v>45183</v>
      </c>
      <c r="H2341" s="6">
        <f t="shared" si="74"/>
        <v>2.1458333333333401</v>
      </c>
      <c r="I2341" s="7">
        <f t="shared" si="75"/>
        <v>2.1458333333333401</v>
      </c>
    </row>
    <row r="2342" spans="1:9" x14ac:dyDescent="0.2">
      <c r="A2342" t="s">
        <v>2589</v>
      </c>
      <c r="B2342">
        <v>4.0540000000000003</v>
      </c>
      <c r="C2342" s="2" t="s">
        <v>2590</v>
      </c>
      <c r="D2342">
        <v>257</v>
      </c>
      <c r="E2342" t="s">
        <v>2589</v>
      </c>
      <c r="F2342">
        <v>257</v>
      </c>
      <c r="G2342" s="1">
        <v>45183</v>
      </c>
      <c r="H2342" s="6">
        <f t="shared" si="74"/>
        <v>2.1562500000000067</v>
      </c>
      <c r="I2342" s="7">
        <f t="shared" si="75"/>
        <v>2.1562500000000067</v>
      </c>
    </row>
    <row r="2343" spans="1:9" x14ac:dyDescent="0.2">
      <c r="A2343" t="s">
        <v>2591</v>
      </c>
      <c r="B2343">
        <v>4.0609999999999999</v>
      </c>
      <c r="C2343">
        <v>5.6864999999999999E-2</v>
      </c>
      <c r="D2343">
        <v>257</v>
      </c>
      <c r="E2343" t="s">
        <v>2591</v>
      </c>
      <c r="F2343">
        <v>257</v>
      </c>
      <c r="G2343" s="1">
        <v>45183</v>
      </c>
      <c r="H2343" s="6">
        <f t="shared" si="74"/>
        <v>2.1666666666666732</v>
      </c>
      <c r="I2343" s="7">
        <f t="shared" si="75"/>
        <v>2.1666666666666732</v>
      </c>
    </row>
    <row r="2344" spans="1:9" x14ac:dyDescent="0.2">
      <c r="A2344" t="s">
        <v>2592</v>
      </c>
      <c r="B2344">
        <v>4.0270000000000001</v>
      </c>
      <c r="C2344">
        <v>5.6425000000000003E-2</v>
      </c>
      <c r="D2344">
        <v>257</v>
      </c>
      <c r="E2344" t="s">
        <v>2592</v>
      </c>
      <c r="F2344">
        <v>257</v>
      </c>
      <c r="G2344" s="1">
        <v>45183</v>
      </c>
      <c r="H2344" s="6">
        <f t="shared" si="74"/>
        <v>2.1770833333333397</v>
      </c>
      <c r="I2344" s="7">
        <f t="shared" si="75"/>
        <v>2.1770833333333397</v>
      </c>
    </row>
    <row r="2345" spans="1:9" x14ac:dyDescent="0.2">
      <c r="A2345" t="s">
        <v>2593</v>
      </c>
      <c r="B2345">
        <v>3.9260000000000002</v>
      </c>
      <c r="C2345">
        <v>5.4995000000000002E-2</v>
      </c>
      <c r="D2345">
        <v>257</v>
      </c>
      <c r="E2345" t="s">
        <v>2593</v>
      </c>
      <c r="F2345">
        <v>257</v>
      </c>
      <c r="G2345" s="1">
        <v>45183</v>
      </c>
      <c r="H2345" s="6">
        <f t="shared" si="74"/>
        <v>2.1875000000000062</v>
      </c>
      <c r="I2345" s="7">
        <f t="shared" si="75"/>
        <v>2.1875000000000062</v>
      </c>
    </row>
    <row r="2346" spans="1:9" x14ac:dyDescent="0.2">
      <c r="A2346" t="s">
        <v>2594</v>
      </c>
      <c r="B2346">
        <v>3.9740000000000002</v>
      </c>
      <c r="C2346">
        <v>5.5640000000000002E-2</v>
      </c>
      <c r="D2346">
        <v>257</v>
      </c>
      <c r="E2346" t="s">
        <v>2594</v>
      </c>
      <c r="F2346">
        <v>257</v>
      </c>
      <c r="G2346" s="1">
        <v>45183</v>
      </c>
      <c r="H2346" s="6">
        <f t="shared" si="74"/>
        <v>2.1979166666666727</v>
      </c>
      <c r="I2346" s="7">
        <f t="shared" si="75"/>
        <v>2.1979166666666727</v>
      </c>
    </row>
    <row r="2347" spans="1:9" x14ac:dyDescent="0.2">
      <c r="A2347" t="s">
        <v>2595</v>
      </c>
      <c r="B2347">
        <v>3.956</v>
      </c>
      <c r="C2347">
        <v>5.5399999999999998E-2</v>
      </c>
      <c r="D2347">
        <v>257</v>
      </c>
      <c r="E2347" t="s">
        <v>2595</v>
      </c>
      <c r="F2347">
        <v>257</v>
      </c>
      <c r="G2347" s="1">
        <v>45183</v>
      </c>
      <c r="H2347" s="6">
        <f t="shared" si="74"/>
        <v>2.2083333333333393</v>
      </c>
      <c r="I2347" s="7">
        <f t="shared" si="75"/>
        <v>2.2083333333333393</v>
      </c>
    </row>
    <row r="2348" spans="1:9" x14ac:dyDescent="0.2">
      <c r="A2348" t="s">
        <v>2596</v>
      </c>
      <c r="B2348">
        <v>4.1014999999999997</v>
      </c>
      <c r="C2348">
        <v>5.7454999999999999E-2</v>
      </c>
      <c r="D2348">
        <v>257</v>
      </c>
      <c r="E2348" t="s">
        <v>2596</v>
      </c>
      <c r="F2348">
        <v>257</v>
      </c>
      <c r="G2348" s="1">
        <v>45183</v>
      </c>
      <c r="H2348" s="6">
        <f t="shared" si="74"/>
        <v>2.2187500000000058</v>
      </c>
      <c r="I2348" s="7">
        <f t="shared" si="75"/>
        <v>2.2187500000000058</v>
      </c>
    </row>
    <row r="2349" spans="1:9" x14ac:dyDescent="0.2">
      <c r="A2349" t="s">
        <v>2597</v>
      </c>
      <c r="B2349">
        <v>4.0350000000000001</v>
      </c>
      <c r="C2349">
        <v>5.6535000000000002E-2</v>
      </c>
      <c r="D2349">
        <v>257</v>
      </c>
      <c r="E2349" t="s">
        <v>2597</v>
      </c>
      <c r="F2349">
        <v>257</v>
      </c>
      <c r="G2349" s="1">
        <v>45183</v>
      </c>
      <c r="H2349" s="6">
        <f t="shared" si="74"/>
        <v>2.2291666666666723</v>
      </c>
      <c r="I2349" s="7">
        <f t="shared" si="75"/>
        <v>2.2291666666666723</v>
      </c>
    </row>
    <row r="2350" spans="1:9" x14ac:dyDescent="0.2">
      <c r="A2350" t="s">
        <v>2598</v>
      </c>
      <c r="B2350">
        <v>4.1139999999999999</v>
      </c>
      <c r="C2350">
        <v>5.7634999999999999E-2</v>
      </c>
      <c r="D2350">
        <v>257</v>
      </c>
      <c r="E2350" t="s">
        <v>2598</v>
      </c>
      <c r="F2350">
        <v>257</v>
      </c>
      <c r="G2350" s="1">
        <v>45183</v>
      </c>
      <c r="H2350" s="6">
        <f t="shared" si="74"/>
        <v>2.2395833333333388</v>
      </c>
      <c r="I2350" s="7">
        <f t="shared" si="75"/>
        <v>2.2395833333333388</v>
      </c>
    </row>
    <row r="2351" spans="1:9" x14ac:dyDescent="0.2">
      <c r="A2351" t="s">
        <v>2599</v>
      </c>
      <c r="B2351">
        <v>4.0345000000000004</v>
      </c>
      <c r="C2351">
        <v>5.6505E-2</v>
      </c>
      <c r="D2351">
        <v>257</v>
      </c>
      <c r="E2351" t="s">
        <v>2599</v>
      </c>
      <c r="F2351">
        <v>257</v>
      </c>
      <c r="G2351" s="1">
        <v>45183</v>
      </c>
      <c r="H2351" s="6">
        <f t="shared" si="74"/>
        <v>2.2500000000000053</v>
      </c>
      <c r="I2351" s="7">
        <f t="shared" si="75"/>
        <v>2.2500000000000053</v>
      </c>
    </row>
    <row r="2352" spans="1:9" x14ac:dyDescent="0.2">
      <c r="A2352" t="s">
        <v>2600</v>
      </c>
      <c r="B2352">
        <v>4.0765000000000002</v>
      </c>
      <c r="C2352">
        <v>5.7099999999999998E-2</v>
      </c>
      <c r="D2352">
        <v>257</v>
      </c>
      <c r="E2352" t="s">
        <v>2600</v>
      </c>
      <c r="F2352">
        <v>257</v>
      </c>
      <c r="G2352" s="1">
        <v>45183</v>
      </c>
      <c r="H2352" s="6">
        <f t="shared" si="74"/>
        <v>2.2604166666666718</v>
      </c>
      <c r="I2352" s="7">
        <f t="shared" si="75"/>
        <v>2.2604166666666718</v>
      </c>
    </row>
    <row r="2353" spans="1:9" x14ac:dyDescent="0.2">
      <c r="A2353" t="s">
        <v>2601</v>
      </c>
      <c r="B2353">
        <v>3.8439999999999999</v>
      </c>
      <c r="C2353">
        <v>5.3839999999999999E-2</v>
      </c>
      <c r="D2353">
        <v>257</v>
      </c>
      <c r="E2353" t="s">
        <v>2601</v>
      </c>
      <c r="F2353">
        <v>257</v>
      </c>
      <c r="G2353" s="1">
        <v>45183</v>
      </c>
      <c r="H2353" s="6">
        <f t="shared" si="74"/>
        <v>2.2708333333333384</v>
      </c>
      <c r="I2353" s="7">
        <f t="shared" si="75"/>
        <v>2.2708333333333384</v>
      </c>
    </row>
    <row r="2354" spans="1:9" x14ac:dyDescent="0.2">
      <c r="A2354" t="s">
        <v>2602</v>
      </c>
      <c r="B2354">
        <v>4.0149999999999997</v>
      </c>
      <c r="C2354">
        <v>5.6235E-2</v>
      </c>
      <c r="D2354">
        <v>257</v>
      </c>
      <c r="E2354" t="s">
        <v>2602</v>
      </c>
      <c r="F2354">
        <v>257</v>
      </c>
      <c r="G2354" s="1">
        <v>45183</v>
      </c>
      <c r="H2354" s="6">
        <f t="shared" si="74"/>
        <v>2.2812500000000049</v>
      </c>
      <c r="I2354" s="7">
        <f t="shared" si="75"/>
        <v>2.2812500000000049</v>
      </c>
    </row>
    <row r="2355" spans="1:9" x14ac:dyDescent="0.2">
      <c r="A2355" t="s">
        <v>2603</v>
      </c>
      <c r="B2355">
        <v>3.8085</v>
      </c>
      <c r="C2355">
        <v>5.3339999999999999E-2</v>
      </c>
      <c r="D2355">
        <v>257</v>
      </c>
      <c r="E2355" t="s">
        <v>2603</v>
      </c>
      <c r="F2355">
        <v>257</v>
      </c>
      <c r="G2355" s="1">
        <v>45183</v>
      </c>
      <c r="H2355" s="6">
        <f t="shared" si="74"/>
        <v>2.2916666666666714</v>
      </c>
      <c r="I2355" s="7">
        <f t="shared" si="75"/>
        <v>2.2916666666666714</v>
      </c>
    </row>
    <row r="2356" spans="1:9" x14ac:dyDescent="0.2">
      <c r="A2356" t="s">
        <v>2604</v>
      </c>
      <c r="B2356" s="2" t="s">
        <v>143</v>
      </c>
      <c r="C2356">
        <v>5.4170000000000003E-2</v>
      </c>
      <c r="D2356">
        <v>257</v>
      </c>
      <c r="E2356" t="s">
        <v>2604</v>
      </c>
      <c r="F2356">
        <v>257</v>
      </c>
      <c r="G2356" s="1">
        <v>45183</v>
      </c>
      <c r="H2356" s="6">
        <f t="shared" si="74"/>
        <v>2.3020833333333379</v>
      </c>
      <c r="I2356" s="7">
        <f t="shared" si="75"/>
        <v>2.3020833333333379</v>
      </c>
    </row>
    <row r="2357" spans="1:9" x14ac:dyDescent="0.2">
      <c r="A2357" t="s">
        <v>2605</v>
      </c>
      <c r="B2357">
        <v>3.6360000000000001</v>
      </c>
      <c r="C2357">
        <v>5.0915000000000002E-2</v>
      </c>
      <c r="D2357">
        <v>257</v>
      </c>
      <c r="E2357" t="s">
        <v>2605</v>
      </c>
      <c r="F2357">
        <v>257</v>
      </c>
      <c r="G2357" s="1">
        <v>45183</v>
      </c>
      <c r="H2357" s="6">
        <f t="shared" si="74"/>
        <v>2.3125000000000044</v>
      </c>
      <c r="I2357" s="7">
        <f t="shared" si="75"/>
        <v>2.3125000000000044</v>
      </c>
    </row>
    <row r="2358" spans="1:9" x14ac:dyDescent="0.2">
      <c r="A2358" t="s">
        <v>2606</v>
      </c>
      <c r="B2358">
        <v>3.8340000000000001</v>
      </c>
      <c r="C2358">
        <v>5.3690000000000002E-2</v>
      </c>
      <c r="D2358">
        <v>257</v>
      </c>
      <c r="E2358" t="s">
        <v>2606</v>
      </c>
      <c r="F2358">
        <v>257</v>
      </c>
      <c r="G2358" s="1">
        <v>45183</v>
      </c>
      <c r="H2358" s="6">
        <f t="shared" si="74"/>
        <v>2.322916666666671</v>
      </c>
      <c r="I2358" s="7">
        <f t="shared" si="75"/>
        <v>2.322916666666671</v>
      </c>
    </row>
    <row r="2359" spans="1:9" x14ac:dyDescent="0.2">
      <c r="A2359" t="s">
        <v>2607</v>
      </c>
      <c r="B2359">
        <v>3.722</v>
      </c>
      <c r="C2359">
        <v>5.2150000000000002E-2</v>
      </c>
      <c r="D2359">
        <v>257</v>
      </c>
      <c r="E2359" t="s">
        <v>2607</v>
      </c>
      <c r="F2359">
        <v>257</v>
      </c>
      <c r="G2359" s="1">
        <v>45183</v>
      </c>
      <c r="H2359" s="6">
        <f t="shared" si="74"/>
        <v>2.3333333333333375</v>
      </c>
      <c r="I2359" s="7">
        <f t="shared" si="75"/>
        <v>2.3333333333333375</v>
      </c>
    </row>
    <row r="2360" spans="1:9" x14ac:dyDescent="0.2">
      <c r="A2360" t="s">
        <v>2608</v>
      </c>
      <c r="B2360">
        <v>3.7505000000000002</v>
      </c>
      <c r="C2360">
        <v>5.253E-2</v>
      </c>
      <c r="D2360">
        <v>257</v>
      </c>
      <c r="E2360" t="s">
        <v>2608</v>
      </c>
      <c r="F2360">
        <v>257</v>
      </c>
      <c r="G2360" s="1">
        <v>45183</v>
      </c>
      <c r="H2360" s="6">
        <f t="shared" si="74"/>
        <v>2.343750000000004</v>
      </c>
      <c r="I2360" s="7">
        <f t="shared" si="75"/>
        <v>2.343750000000004</v>
      </c>
    </row>
    <row r="2361" spans="1:9" x14ac:dyDescent="0.2">
      <c r="A2361" t="s">
        <v>2609</v>
      </c>
      <c r="B2361">
        <v>3.6179999999999999</v>
      </c>
      <c r="C2361">
        <v>5.0654999999999999E-2</v>
      </c>
      <c r="D2361">
        <v>257</v>
      </c>
      <c r="E2361" t="s">
        <v>2609</v>
      </c>
      <c r="F2361">
        <v>257</v>
      </c>
      <c r="G2361" s="1">
        <v>45183</v>
      </c>
      <c r="H2361" s="6">
        <f t="shared" si="74"/>
        <v>2.3541666666666705</v>
      </c>
      <c r="I2361" s="7">
        <f t="shared" si="75"/>
        <v>2.3541666666666705</v>
      </c>
    </row>
    <row r="2362" spans="1:9" x14ac:dyDescent="0.2">
      <c r="A2362" t="s">
        <v>2610</v>
      </c>
      <c r="B2362">
        <v>3.8740000000000001</v>
      </c>
      <c r="C2362">
        <v>5.4260000000000003E-2</v>
      </c>
      <c r="D2362">
        <v>257</v>
      </c>
      <c r="E2362" t="s">
        <v>2610</v>
      </c>
      <c r="F2362">
        <v>257</v>
      </c>
      <c r="G2362" s="1">
        <v>45183</v>
      </c>
      <c r="H2362" s="6">
        <f t="shared" si="74"/>
        <v>2.364583333333337</v>
      </c>
      <c r="I2362" s="7">
        <f t="shared" si="75"/>
        <v>2.364583333333337</v>
      </c>
    </row>
    <row r="2363" spans="1:9" x14ac:dyDescent="0.2">
      <c r="A2363" t="s">
        <v>2611</v>
      </c>
      <c r="B2363">
        <v>3.7650000000000001</v>
      </c>
      <c r="C2363">
        <v>5.2729999999999999E-2</v>
      </c>
      <c r="D2363">
        <v>257</v>
      </c>
      <c r="E2363" t="s">
        <v>2611</v>
      </c>
      <c r="F2363">
        <v>257</v>
      </c>
      <c r="G2363" s="1">
        <v>45183</v>
      </c>
      <c r="H2363" s="6">
        <f t="shared" si="74"/>
        <v>2.3750000000000036</v>
      </c>
      <c r="I2363" s="7">
        <f t="shared" si="75"/>
        <v>2.3750000000000036</v>
      </c>
    </row>
    <row r="2364" spans="1:9" x14ac:dyDescent="0.2">
      <c r="A2364" t="s">
        <v>2612</v>
      </c>
      <c r="B2364" s="2" t="s">
        <v>2613</v>
      </c>
      <c r="C2364" s="2" t="s">
        <v>402</v>
      </c>
      <c r="D2364">
        <v>257</v>
      </c>
      <c r="E2364" t="s">
        <v>2612</v>
      </c>
      <c r="F2364">
        <v>257</v>
      </c>
      <c r="G2364" s="1">
        <v>45183</v>
      </c>
      <c r="H2364" s="6">
        <f t="shared" si="74"/>
        <v>2.3854166666666701</v>
      </c>
      <c r="I2364" s="7">
        <f t="shared" si="75"/>
        <v>2.3854166666666701</v>
      </c>
    </row>
    <row r="2365" spans="1:9" x14ac:dyDescent="0.2">
      <c r="A2365" t="s">
        <v>2614</v>
      </c>
      <c r="B2365">
        <v>3.7785000000000002</v>
      </c>
      <c r="C2365">
        <v>5.2935000000000003E-2</v>
      </c>
      <c r="D2365">
        <v>257</v>
      </c>
      <c r="E2365" t="s">
        <v>2614</v>
      </c>
      <c r="F2365">
        <v>257</v>
      </c>
      <c r="G2365" s="1">
        <v>45183</v>
      </c>
      <c r="H2365" s="6">
        <f t="shared" si="74"/>
        <v>2.3958333333333366</v>
      </c>
      <c r="I2365" s="7">
        <f t="shared" si="75"/>
        <v>2.3958333333333366</v>
      </c>
    </row>
    <row r="2366" spans="1:9" x14ac:dyDescent="0.2">
      <c r="A2366" t="s">
        <v>2615</v>
      </c>
      <c r="B2366">
        <v>3.6324999999999998</v>
      </c>
      <c r="C2366">
        <v>5.0860000000000002E-2</v>
      </c>
      <c r="D2366">
        <v>257</v>
      </c>
      <c r="E2366" t="s">
        <v>2615</v>
      </c>
      <c r="F2366">
        <v>257</v>
      </c>
      <c r="G2366" s="1">
        <v>45183</v>
      </c>
      <c r="H2366" s="6">
        <f t="shared" si="74"/>
        <v>2.4062500000000031</v>
      </c>
      <c r="I2366" s="7">
        <f t="shared" si="75"/>
        <v>2.4062500000000031</v>
      </c>
    </row>
    <row r="2367" spans="1:9" x14ac:dyDescent="0.2">
      <c r="A2367" t="s">
        <v>2616</v>
      </c>
      <c r="B2367">
        <v>3.911</v>
      </c>
      <c r="C2367">
        <v>5.4769999999999999E-2</v>
      </c>
      <c r="D2367">
        <v>257</v>
      </c>
      <c r="E2367" t="s">
        <v>2616</v>
      </c>
      <c r="F2367">
        <v>257</v>
      </c>
      <c r="G2367" s="1">
        <v>45183</v>
      </c>
      <c r="H2367" s="6">
        <f t="shared" si="74"/>
        <v>2.4166666666666696</v>
      </c>
      <c r="I2367" s="7">
        <f t="shared" si="75"/>
        <v>2.4166666666666696</v>
      </c>
    </row>
    <row r="2368" spans="1:9" x14ac:dyDescent="0.2">
      <c r="A2368" t="s">
        <v>2617</v>
      </c>
      <c r="B2368">
        <v>3.8530000000000002</v>
      </c>
      <c r="C2368">
        <v>5.3969999999999997E-2</v>
      </c>
      <c r="D2368">
        <v>257</v>
      </c>
      <c r="E2368" t="s">
        <v>2617</v>
      </c>
      <c r="F2368">
        <v>257</v>
      </c>
      <c r="G2368" s="1">
        <v>45183</v>
      </c>
      <c r="H2368" s="6">
        <f t="shared" si="74"/>
        <v>2.4270833333333361</v>
      </c>
      <c r="I2368" s="7">
        <f t="shared" si="75"/>
        <v>2.4270833333333361</v>
      </c>
    </row>
    <row r="2369" spans="1:9" x14ac:dyDescent="0.2">
      <c r="A2369" t="s">
        <v>2618</v>
      </c>
      <c r="B2369">
        <v>3.8815</v>
      </c>
      <c r="C2369">
        <v>5.4379999999999998E-2</v>
      </c>
      <c r="D2369">
        <v>257</v>
      </c>
      <c r="E2369" t="s">
        <v>2618</v>
      </c>
      <c r="F2369">
        <v>257</v>
      </c>
      <c r="G2369" s="1">
        <v>45183</v>
      </c>
      <c r="H2369" s="6">
        <f t="shared" si="74"/>
        <v>2.4375000000000027</v>
      </c>
      <c r="I2369" s="7">
        <f t="shared" si="75"/>
        <v>2.4375000000000027</v>
      </c>
    </row>
    <row r="2370" spans="1:9" x14ac:dyDescent="0.2">
      <c r="A2370" t="s">
        <v>2619</v>
      </c>
      <c r="B2370">
        <v>3.7574999999999998</v>
      </c>
      <c r="C2370">
        <v>5.262E-2</v>
      </c>
      <c r="D2370">
        <v>257</v>
      </c>
      <c r="E2370" t="s">
        <v>2619</v>
      </c>
      <c r="F2370">
        <v>257</v>
      </c>
      <c r="G2370" s="1">
        <v>45183</v>
      </c>
      <c r="H2370" s="6">
        <f t="shared" si="74"/>
        <v>2.4479166666666692</v>
      </c>
      <c r="I2370" s="7">
        <f t="shared" si="75"/>
        <v>2.4479166666666692</v>
      </c>
    </row>
    <row r="2371" spans="1:9" x14ac:dyDescent="0.2">
      <c r="A2371" t="s">
        <v>2620</v>
      </c>
      <c r="B2371">
        <v>3.8069999999999999</v>
      </c>
      <c r="C2371">
        <v>5.3319999999999999E-2</v>
      </c>
      <c r="D2371">
        <v>257</v>
      </c>
      <c r="E2371" t="s">
        <v>2620</v>
      </c>
      <c r="F2371">
        <v>257</v>
      </c>
      <c r="G2371" s="1">
        <v>45183</v>
      </c>
      <c r="H2371" s="6">
        <f t="shared" si="74"/>
        <v>2.4583333333333357</v>
      </c>
      <c r="I2371" s="7">
        <f t="shared" si="75"/>
        <v>2.4583333333333357</v>
      </c>
    </row>
    <row r="2372" spans="1:9" x14ac:dyDescent="0.2">
      <c r="A2372" t="s">
        <v>2621</v>
      </c>
      <c r="B2372">
        <v>3.6560000000000001</v>
      </c>
      <c r="C2372">
        <v>5.1205000000000001E-2</v>
      </c>
      <c r="D2372">
        <v>257</v>
      </c>
      <c r="E2372" t="s">
        <v>2621</v>
      </c>
      <c r="F2372">
        <v>257</v>
      </c>
      <c r="G2372" s="1">
        <v>45183</v>
      </c>
      <c r="H2372" s="6">
        <f t="shared" si="74"/>
        <v>2.4687500000000022</v>
      </c>
      <c r="I2372" s="7">
        <f t="shared" si="75"/>
        <v>2.4687500000000022</v>
      </c>
    </row>
    <row r="2373" spans="1:9" x14ac:dyDescent="0.2">
      <c r="A2373" t="s">
        <v>2622</v>
      </c>
      <c r="B2373">
        <v>3.6284999999999998</v>
      </c>
      <c r="C2373">
        <v>5.0825000000000002E-2</v>
      </c>
      <c r="D2373">
        <v>257</v>
      </c>
      <c r="E2373" t="s">
        <v>2622</v>
      </c>
      <c r="F2373">
        <v>257</v>
      </c>
      <c r="G2373" s="1">
        <v>45183</v>
      </c>
      <c r="H2373" s="6">
        <f t="shared" si="74"/>
        <v>2.4791666666666687</v>
      </c>
      <c r="I2373" s="7">
        <f t="shared" si="75"/>
        <v>2.4791666666666687</v>
      </c>
    </row>
    <row r="2374" spans="1:9" x14ac:dyDescent="0.2">
      <c r="A2374" t="s">
        <v>2623</v>
      </c>
      <c r="B2374">
        <v>3.645</v>
      </c>
      <c r="C2374">
        <v>5.1055000000000003E-2</v>
      </c>
      <c r="D2374">
        <v>257</v>
      </c>
      <c r="E2374" t="s">
        <v>2623</v>
      </c>
      <c r="F2374">
        <v>257</v>
      </c>
      <c r="G2374" s="1">
        <v>45183</v>
      </c>
      <c r="H2374" s="6">
        <f t="shared" si="74"/>
        <v>2.4895833333333353</v>
      </c>
      <c r="I2374" s="7">
        <f t="shared" si="75"/>
        <v>2.4895833333333353</v>
      </c>
    </row>
    <row r="2375" spans="1:9" x14ac:dyDescent="0.2">
      <c r="A2375" t="s">
        <v>2624</v>
      </c>
      <c r="B2375">
        <v>3.5219999999999998</v>
      </c>
      <c r="C2375">
        <v>4.9320000000000003E-2</v>
      </c>
      <c r="D2375">
        <v>257</v>
      </c>
      <c r="E2375" t="s">
        <v>2624</v>
      </c>
      <c r="F2375">
        <v>257</v>
      </c>
      <c r="G2375" s="1">
        <v>45183</v>
      </c>
      <c r="H2375" s="6">
        <f t="shared" si="74"/>
        <v>2.5000000000000018</v>
      </c>
      <c r="I2375" s="7">
        <f t="shared" si="75"/>
        <v>2.5000000000000018</v>
      </c>
    </row>
    <row r="2376" spans="1:9" x14ac:dyDescent="0.2">
      <c r="A2376" t="s">
        <v>2625</v>
      </c>
      <c r="B2376">
        <v>3.5510000000000002</v>
      </c>
      <c r="C2376">
        <v>4.972E-2</v>
      </c>
      <c r="D2376">
        <v>257</v>
      </c>
      <c r="E2376" t="s">
        <v>2625</v>
      </c>
      <c r="F2376">
        <v>257</v>
      </c>
      <c r="G2376" s="1">
        <v>45183</v>
      </c>
      <c r="H2376" s="6">
        <f t="shared" si="74"/>
        <v>2.5104166666666683</v>
      </c>
      <c r="I2376" s="7">
        <f t="shared" si="75"/>
        <v>2.5104166666666683</v>
      </c>
    </row>
    <row r="2377" spans="1:9" x14ac:dyDescent="0.2">
      <c r="A2377" t="s">
        <v>2626</v>
      </c>
      <c r="B2377">
        <v>3.4424999999999999</v>
      </c>
      <c r="C2377">
        <v>4.82E-2</v>
      </c>
      <c r="D2377">
        <v>257</v>
      </c>
      <c r="E2377" t="s">
        <v>2626</v>
      </c>
      <c r="F2377">
        <v>257</v>
      </c>
      <c r="G2377" s="1">
        <v>45183</v>
      </c>
      <c r="H2377" s="6">
        <f t="shared" si="74"/>
        <v>2.5208333333333348</v>
      </c>
      <c r="I2377" s="7">
        <f t="shared" si="75"/>
        <v>2.5208333333333348</v>
      </c>
    </row>
    <row r="2378" spans="1:9" x14ac:dyDescent="0.2">
      <c r="A2378" t="s">
        <v>2627</v>
      </c>
      <c r="B2378">
        <v>3.3635000000000002</v>
      </c>
      <c r="C2378">
        <v>4.7120000000000002E-2</v>
      </c>
      <c r="D2378">
        <v>257</v>
      </c>
      <c r="E2378" t="s">
        <v>2627</v>
      </c>
      <c r="F2378">
        <v>257</v>
      </c>
      <c r="G2378" s="1">
        <v>45183</v>
      </c>
      <c r="H2378" s="6">
        <f t="shared" si="74"/>
        <v>2.5312500000000013</v>
      </c>
      <c r="I2378" s="7">
        <f t="shared" si="75"/>
        <v>2.5312500000000013</v>
      </c>
    </row>
    <row r="2379" spans="1:9" x14ac:dyDescent="0.2">
      <c r="A2379" t="s">
        <v>2628</v>
      </c>
      <c r="B2379">
        <v>3.3035000000000001</v>
      </c>
      <c r="C2379">
        <v>4.6274999999999997E-2</v>
      </c>
      <c r="D2379">
        <v>257</v>
      </c>
      <c r="E2379" t="s">
        <v>2628</v>
      </c>
      <c r="F2379">
        <v>257</v>
      </c>
      <c r="G2379" s="1">
        <v>45183</v>
      </c>
      <c r="H2379" s="6">
        <f t="shared" si="74"/>
        <v>2.5416666666666679</v>
      </c>
      <c r="I2379" s="7">
        <f t="shared" si="75"/>
        <v>2.5416666666666679</v>
      </c>
    </row>
    <row r="2380" spans="1:9" x14ac:dyDescent="0.2">
      <c r="A2380" t="s">
        <v>2629</v>
      </c>
      <c r="B2380" s="2" t="s">
        <v>1186</v>
      </c>
      <c r="C2380">
        <v>4.6265000000000001E-2</v>
      </c>
      <c r="D2380">
        <v>257</v>
      </c>
      <c r="E2380" t="s">
        <v>2629</v>
      </c>
      <c r="F2380">
        <v>257</v>
      </c>
      <c r="G2380" s="1">
        <v>45183</v>
      </c>
      <c r="H2380" s="6">
        <f t="shared" si="74"/>
        <v>2.5520833333333344</v>
      </c>
      <c r="I2380" s="7">
        <f t="shared" si="75"/>
        <v>2.5520833333333344</v>
      </c>
    </row>
    <row r="2381" spans="1:9" x14ac:dyDescent="0.2">
      <c r="A2381" t="s">
        <v>2630</v>
      </c>
      <c r="B2381">
        <v>3.3765000000000001</v>
      </c>
      <c r="C2381">
        <v>4.7289999999999999E-2</v>
      </c>
      <c r="D2381">
        <v>257</v>
      </c>
      <c r="E2381" t="s">
        <v>2630</v>
      </c>
      <c r="F2381">
        <v>257</v>
      </c>
      <c r="G2381" s="1">
        <v>45183</v>
      </c>
      <c r="H2381" s="6">
        <f t="shared" si="74"/>
        <v>2.5625000000000009</v>
      </c>
      <c r="I2381" s="7">
        <f t="shared" si="75"/>
        <v>2.5625000000000009</v>
      </c>
    </row>
    <row r="2382" spans="1:9" x14ac:dyDescent="0.2">
      <c r="A2382" t="s">
        <v>2631</v>
      </c>
      <c r="B2382">
        <v>3.129</v>
      </c>
      <c r="C2382">
        <v>4.3819999999999998E-2</v>
      </c>
      <c r="D2382">
        <v>257</v>
      </c>
      <c r="E2382" t="s">
        <v>2631</v>
      </c>
      <c r="F2382">
        <v>257</v>
      </c>
      <c r="G2382" s="1">
        <v>45183</v>
      </c>
      <c r="H2382" s="6">
        <f t="shared" si="74"/>
        <v>2.5729166666666674</v>
      </c>
      <c r="I2382" s="7">
        <f t="shared" si="75"/>
        <v>2.5729166666666674</v>
      </c>
    </row>
    <row r="2383" spans="1:9" x14ac:dyDescent="0.2">
      <c r="A2383" t="s">
        <v>2632</v>
      </c>
      <c r="B2383">
        <v>2.3014999999999999</v>
      </c>
      <c r="C2383">
        <v>3.2245000000000003E-2</v>
      </c>
      <c r="D2383">
        <v>257</v>
      </c>
      <c r="E2383" t="s">
        <v>2632</v>
      </c>
      <c r="F2383">
        <v>257</v>
      </c>
      <c r="G2383" s="1">
        <v>45183</v>
      </c>
      <c r="H2383" s="6">
        <f t="shared" si="74"/>
        <v>2.5833333333333339</v>
      </c>
      <c r="I2383" s="7">
        <f t="shared" si="75"/>
        <v>2.5833333333333339</v>
      </c>
    </row>
    <row r="2384" spans="1:9" x14ac:dyDescent="0.2">
      <c r="A2384" t="s">
        <v>2633</v>
      </c>
      <c r="B2384">
        <v>2.2174999999999998</v>
      </c>
      <c r="C2384">
        <v>3.1054999999999999E-2</v>
      </c>
      <c r="D2384">
        <v>257</v>
      </c>
      <c r="E2384" t="s">
        <v>2633</v>
      </c>
      <c r="F2384">
        <v>257</v>
      </c>
      <c r="G2384" s="1">
        <v>45183</v>
      </c>
      <c r="H2384" s="6">
        <f t="shared" si="74"/>
        <v>2.5937500000000004</v>
      </c>
      <c r="I2384" s="7">
        <f t="shared" si="75"/>
        <v>2.5937500000000004</v>
      </c>
    </row>
    <row r="2385" spans="1:9" x14ac:dyDescent="0.2">
      <c r="A2385" t="s">
        <v>2634</v>
      </c>
      <c r="B2385">
        <v>2.3025000000000002</v>
      </c>
      <c r="C2385">
        <v>3.2245000000000003E-2</v>
      </c>
      <c r="D2385">
        <v>257</v>
      </c>
      <c r="E2385" t="s">
        <v>2634</v>
      </c>
      <c r="F2385">
        <v>257</v>
      </c>
      <c r="G2385" s="1">
        <v>45183</v>
      </c>
      <c r="H2385" s="6">
        <f t="shared" si="74"/>
        <v>2.604166666666667</v>
      </c>
      <c r="I2385" s="7">
        <f t="shared" si="75"/>
        <v>2.604166666666667</v>
      </c>
    </row>
    <row r="2386" spans="1:9" x14ac:dyDescent="0.2">
      <c r="A2386" t="s">
        <v>2635</v>
      </c>
      <c r="B2386">
        <v>2.7250000000000001</v>
      </c>
      <c r="C2386">
        <v>3.8195E-2</v>
      </c>
      <c r="D2386">
        <v>257</v>
      </c>
      <c r="E2386" t="s">
        <v>2635</v>
      </c>
      <c r="F2386">
        <v>257</v>
      </c>
      <c r="G2386" s="1">
        <v>45183</v>
      </c>
      <c r="H2386" s="6">
        <f t="shared" si="74"/>
        <v>2.6145833333333335</v>
      </c>
      <c r="I2386" s="7">
        <f t="shared" si="75"/>
        <v>2.6145833333333335</v>
      </c>
    </row>
    <row r="2387" spans="1:9" x14ac:dyDescent="0.2">
      <c r="A2387" t="s">
        <v>2636</v>
      </c>
      <c r="B2387">
        <v>2.2665000000000002</v>
      </c>
      <c r="C2387">
        <v>3.1745000000000002E-2</v>
      </c>
      <c r="D2387">
        <v>257</v>
      </c>
      <c r="E2387" t="s">
        <v>2636</v>
      </c>
      <c r="F2387">
        <v>257</v>
      </c>
      <c r="G2387" s="1">
        <v>45183</v>
      </c>
      <c r="H2387" s="6">
        <f t="shared" si="74"/>
        <v>2.625</v>
      </c>
      <c r="I2387" s="7">
        <f t="shared" si="75"/>
        <v>2.625</v>
      </c>
    </row>
    <row r="2388" spans="1:9" x14ac:dyDescent="0.2">
      <c r="A2388" t="s">
        <v>2637</v>
      </c>
      <c r="B2388">
        <v>2.4295</v>
      </c>
      <c r="C2388" s="2" t="s">
        <v>2638</v>
      </c>
      <c r="D2388">
        <v>257</v>
      </c>
      <c r="E2388" t="s">
        <v>2637</v>
      </c>
      <c r="F2388">
        <v>257</v>
      </c>
      <c r="G2388" s="1">
        <v>45183</v>
      </c>
      <c r="H2388" s="6">
        <f t="shared" si="74"/>
        <v>2.6354166666666665</v>
      </c>
      <c r="I2388" s="7">
        <f t="shared" si="75"/>
        <v>2.6354166666666665</v>
      </c>
    </row>
    <row r="2389" spans="1:9" x14ac:dyDescent="0.2">
      <c r="A2389" t="s">
        <v>2639</v>
      </c>
      <c r="B2389">
        <v>1.877</v>
      </c>
      <c r="C2389">
        <v>2.6290000000000001E-2</v>
      </c>
      <c r="D2389">
        <v>257</v>
      </c>
      <c r="E2389" t="s">
        <v>2639</v>
      </c>
      <c r="F2389">
        <v>257</v>
      </c>
      <c r="G2389" s="1">
        <v>45183</v>
      </c>
      <c r="H2389" s="6">
        <f t="shared" si="74"/>
        <v>2.645833333333333</v>
      </c>
      <c r="I2389" s="7">
        <f t="shared" si="75"/>
        <v>2.645833333333333</v>
      </c>
    </row>
    <row r="2390" spans="1:9" x14ac:dyDescent="0.2">
      <c r="A2390" t="s">
        <v>2640</v>
      </c>
      <c r="B2390">
        <v>0.02</v>
      </c>
      <c r="C2390" s="2" t="s">
        <v>2641</v>
      </c>
      <c r="D2390">
        <v>257</v>
      </c>
      <c r="E2390" t="s">
        <v>2640</v>
      </c>
      <c r="F2390">
        <v>257</v>
      </c>
      <c r="G2390" s="1">
        <v>45183</v>
      </c>
      <c r="H2390" s="6">
        <f t="shared" si="74"/>
        <v>2.6562499999999996</v>
      </c>
      <c r="I2390" s="7">
        <f t="shared" si="75"/>
        <v>2.6562499999999996</v>
      </c>
    </row>
    <row r="2391" spans="1:9" x14ac:dyDescent="0.2">
      <c r="A2391" t="s">
        <v>2642</v>
      </c>
      <c r="B2391">
        <v>1.899</v>
      </c>
      <c r="C2391">
        <v>2.6585000000000001E-2</v>
      </c>
      <c r="D2391">
        <v>257</v>
      </c>
      <c r="E2391" t="s">
        <v>2642</v>
      </c>
      <c r="F2391">
        <v>257</v>
      </c>
      <c r="G2391" s="1">
        <v>45183</v>
      </c>
      <c r="H2391" s="6">
        <f t="shared" si="74"/>
        <v>2.6666666666666661</v>
      </c>
      <c r="I2391" s="7">
        <f t="shared" si="75"/>
        <v>2.6666666666666661</v>
      </c>
    </row>
    <row r="2392" spans="1:9" x14ac:dyDescent="0.2">
      <c r="A2392" t="s">
        <v>2643</v>
      </c>
      <c r="B2392">
        <v>8.3333333333333301E-2</v>
      </c>
      <c r="C2392">
        <v>1.16666666666666E-3</v>
      </c>
      <c r="D2392">
        <v>257</v>
      </c>
      <c r="E2392" t="s">
        <v>2643</v>
      </c>
      <c r="F2392">
        <v>257</v>
      </c>
      <c r="G2392" s="1">
        <v>45183</v>
      </c>
      <c r="H2392" s="6">
        <f t="shared" si="74"/>
        <v>2.6770833333333326</v>
      </c>
      <c r="I2392" s="7">
        <f t="shared" si="75"/>
        <v>2.6770833333333326</v>
      </c>
    </row>
    <row r="2393" spans="1:9" x14ac:dyDescent="0.2">
      <c r="A2393" t="s">
        <v>2644</v>
      </c>
      <c r="B2393" s="2" t="s">
        <v>2645</v>
      </c>
      <c r="C2393">
        <v>5.1130000000000002E-2</v>
      </c>
      <c r="D2393">
        <v>257</v>
      </c>
      <c r="E2393" t="s">
        <v>2644</v>
      </c>
      <c r="F2393">
        <v>257</v>
      </c>
      <c r="G2393" s="1">
        <v>45183</v>
      </c>
      <c r="H2393" s="6">
        <f t="shared" si="74"/>
        <v>2.6874999999999991</v>
      </c>
      <c r="I2393" s="7">
        <f t="shared" si="75"/>
        <v>2.6874999999999991</v>
      </c>
    </row>
    <row r="2394" spans="1:9" x14ac:dyDescent="0.2">
      <c r="A2394" t="s">
        <v>2646</v>
      </c>
      <c r="B2394">
        <v>3.5630000000000002</v>
      </c>
      <c r="C2394">
        <v>4.9915000000000001E-2</v>
      </c>
      <c r="D2394">
        <v>257</v>
      </c>
      <c r="E2394" t="s">
        <v>2646</v>
      </c>
      <c r="F2394">
        <v>257</v>
      </c>
      <c r="G2394" s="1">
        <v>45183</v>
      </c>
      <c r="H2394" s="6">
        <f t="shared" si="74"/>
        <v>2.6979166666666656</v>
      </c>
      <c r="I2394" s="7">
        <f t="shared" si="75"/>
        <v>2.6979166666666656</v>
      </c>
    </row>
    <row r="2395" spans="1:9" x14ac:dyDescent="0.2">
      <c r="A2395" t="s">
        <v>2647</v>
      </c>
      <c r="B2395">
        <v>3.234</v>
      </c>
      <c r="C2395">
        <v>4.5304999999999998E-2</v>
      </c>
      <c r="D2395">
        <v>257</v>
      </c>
      <c r="E2395" t="s">
        <v>2647</v>
      </c>
      <c r="F2395">
        <v>257</v>
      </c>
      <c r="G2395" s="1">
        <v>45183</v>
      </c>
      <c r="H2395" s="6">
        <f t="shared" si="74"/>
        <v>2.7083333333333321</v>
      </c>
      <c r="I2395" s="7">
        <f t="shared" si="75"/>
        <v>2.7083333333333321</v>
      </c>
    </row>
    <row r="2396" spans="1:9" x14ac:dyDescent="0.2">
      <c r="A2396" t="s">
        <v>2648</v>
      </c>
      <c r="B2396">
        <v>3.3155000000000001</v>
      </c>
      <c r="C2396">
        <v>4.6445E-2</v>
      </c>
      <c r="D2396">
        <v>257</v>
      </c>
      <c r="E2396" t="s">
        <v>2648</v>
      </c>
      <c r="F2396">
        <v>257</v>
      </c>
      <c r="G2396" s="1">
        <v>45183</v>
      </c>
      <c r="H2396" s="6">
        <f t="shared" ref="H2396:H2459" si="76">H2395+$K$1</f>
        <v>2.7187499999999987</v>
      </c>
      <c r="I2396" s="7">
        <f t="shared" ref="I2396:I2459" si="77">I2395+$K$1</f>
        <v>2.7187499999999987</v>
      </c>
    </row>
    <row r="2397" spans="1:9" x14ac:dyDescent="0.2">
      <c r="A2397" t="s">
        <v>2649</v>
      </c>
      <c r="B2397">
        <v>3.9620000000000002</v>
      </c>
      <c r="C2397">
        <v>5.5485E-2</v>
      </c>
      <c r="D2397">
        <v>257</v>
      </c>
      <c r="E2397" t="s">
        <v>2649</v>
      </c>
      <c r="F2397">
        <v>257</v>
      </c>
      <c r="G2397" s="1">
        <v>45183</v>
      </c>
      <c r="H2397" s="6">
        <f t="shared" si="76"/>
        <v>2.7291666666666652</v>
      </c>
      <c r="I2397" s="7">
        <f t="shared" si="77"/>
        <v>2.7291666666666652</v>
      </c>
    </row>
    <row r="2398" spans="1:9" x14ac:dyDescent="0.2">
      <c r="A2398" t="s">
        <v>2650</v>
      </c>
      <c r="B2398">
        <v>3.93</v>
      </c>
      <c r="C2398">
        <v>5.5035000000000001E-2</v>
      </c>
      <c r="D2398">
        <v>257</v>
      </c>
      <c r="E2398" t="s">
        <v>2650</v>
      </c>
      <c r="F2398">
        <v>257</v>
      </c>
      <c r="G2398" s="1">
        <v>45183</v>
      </c>
      <c r="H2398" s="6">
        <f t="shared" si="76"/>
        <v>2.7395833333333317</v>
      </c>
      <c r="I2398" s="7">
        <f t="shared" si="77"/>
        <v>2.7395833333333317</v>
      </c>
    </row>
    <row r="2399" spans="1:9" x14ac:dyDescent="0.2">
      <c r="A2399" t="s">
        <v>2651</v>
      </c>
      <c r="B2399">
        <v>3.762</v>
      </c>
      <c r="C2399">
        <v>5.2685000000000003E-2</v>
      </c>
      <c r="D2399">
        <v>258</v>
      </c>
      <c r="E2399" t="s">
        <v>2651</v>
      </c>
      <c r="F2399">
        <v>257</v>
      </c>
      <c r="G2399" s="1">
        <v>45183</v>
      </c>
      <c r="H2399" s="6">
        <f t="shared" si="76"/>
        <v>2.7499999999999982</v>
      </c>
      <c r="I2399" s="7">
        <f t="shared" si="77"/>
        <v>2.7499999999999982</v>
      </c>
    </row>
    <row r="2400" spans="1:9" x14ac:dyDescent="0.2">
      <c r="A2400" t="s">
        <v>2652</v>
      </c>
      <c r="B2400">
        <v>4.2515000000000001</v>
      </c>
      <c r="C2400">
        <v>5.9565E-2</v>
      </c>
      <c r="D2400">
        <v>258</v>
      </c>
      <c r="E2400" t="s">
        <v>2652</v>
      </c>
      <c r="F2400">
        <v>257</v>
      </c>
      <c r="G2400" s="1">
        <v>45183</v>
      </c>
      <c r="H2400" s="6">
        <f t="shared" si="76"/>
        <v>2.7604166666666647</v>
      </c>
      <c r="I2400" s="7">
        <f t="shared" si="77"/>
        <v>2.7604166666666647</v>
      </c>
    </row>
    <row r="2401" spans="1:9" x14ac:dyDescent="0.2">
      <c r="A2401" t="s">
        <v>2653</v>
      </c>
      <c r="B2401">
        <v>3.6520000000000001</v>
      </c>
      <c r="C2401">
        <v>5.117E-2</v>
      </c>
      <c r="D2401">
        <v>258</v>
      </c>
      <c r="E2401" t="s">
        <v>2653</v>
      </c>
      <c r="F2401">
        <v>257</v>
      </c>
      <c r="G2401" s="1">
        <v>45183</v>
      </c>
      <c r="H2401" s="6">
        <f t="shared" si="76"/>
        <v>2.7708333333333313</v>
      </c>
      <c r="I2401" s="7">
        <f t="shared" si="77"/>
        <v>2.7708333333333313</v>
      </c>
    </row>
    <row r="2402" spans="1:9" x14ac:dyDescent="0.2">
      <c r="A2402" t="s">
        <v>2654</v>
      </c>
      <c r="B2402">
        <v>3.4864999999999999</v>
      </c>
      <c r="C2402">
        <v>4.8835000000000003E-2</v>
      </c>
      <c r="D2402">
        <v>258</v>
      </c>
      <c r="E2402" t="s">
        <v>2654</v>
      </c>
      <c r="F2402">
        <v>257</v>
      </c>
      <c r="G2402" s="1">
        <v>45183</v>
      </c>
      <c r="H2402" s="6">
        <f t="shared" si="76"/>
        <v>2.7812499999999978</v>
      </c>
      <c r="I2402" s="7">
        <f t="shared" si="77"/>
        <v>2.7812499999999978</v>
      </c>
    </row>
    <row r="2403" spans="1:9" x14ac:dyDescent="0.2">
      <c r="A2403" t="s">
        <v>2655</v>
      </c>
      <c r="B2403">
        <v>3.5960000000000001</v>
      </c>
      <c r="C2403">
        <v>5.0369999999999998E-2</v>
      </c>
      <c r="D2403">
        <v>258</v>
      </c>
      <c r="E2403" t="s">
        <v>2655</v>
      </c>
      <c r="F2403">
        <v>257</v>
      </c>
      <c r="G2403" s="1">
        <v>45183</v>
      </c>
      <c r="H2403" s="6">
        <f t="shared" si="76"/>
        <v>2.7916666666666643</v>
      </c>
      <c r="I2403" s="7">
        <f t="shared" si="77"/>
        <v>2.7916666666666643</v>
      </c>
    </row>
    <row r="2404" spans="1:9" x14ac:dyDescent="0.2">
      <c r="A2404" t="s">
        <v>2656</v>
      </c>
      <c r="B2404">
        <v>3.7080000000000002</v>
      </c>
      <c r="C2404">
        <v>5.1935000000000002E-2</v>
      </c>
      <c r="D2404">
        <v>258</v>
      </c>
      <c r="E2404" t="s">
        <v>2656</v>
      </c>
      <c r="F2404">
        <v>257</v>
      </c>
      <c r="G2404" s="1">
        <v>45183</v>
      </c>
      <c r="H2404" s="6">
        <f t="shared" si="76"/>
        <v>2.8020833333333308</v>
      </c>
      <c r="I2404" s="7">
        <f t="shared" si="77"/>
        <v>2.8020833333333308</v>
      </c>
    </row>
    <row r="2405" spans="1:9" x14ac:dyDescent="0.2">
      <c r="A2405" t="s">
        <v>2657</v>
      </c>
      <c r="B2405">
        <v>3.8125</v>
      </c>
      <c r="C2405">
        <v>5.3394999999999998E-2</v>
      </c>
      <c r="D2405">
        <v>258</v>
      </c>
      <c r="E2405" t="s">
        <v>2657</v>
      </c>
      <c r="F2405">
        <v>257</v>
      </c>
      <c r="G2405" s="1">
        <v>45183</v>
      </c>
      <c r="H2405" s="6">
        <f t="shared" si="76"/>
        <v>2.8124999999999973</v>
      </c>
      <c r="I2405" s="7">
        <f t="shared" si="77"/>
        <v>2.8124999999999973</v>
      </c>
    </row>
    <row r="2406" spans="1:9" x14ac:dyDescent="0.2">
      <c r="A2406" t="s">
        <v>2658</v>
      </c>
      <c r="B2406">
        <v>3.6309999999999998</v>
      </c>
      <c r="C2406">
        <v>5.0865E-2</v>
      </c>
      <c r="D2406">
        <v>258</v>
      </c>
      <c r="E2406" t="s">
        <v>2658</v>
      </c>
      <c r="F2406">
        <v>257</v>
      </c>
      <c r="G2406" s="1">
        <v>45183</v>
      </c>
      <c r="H2406" s="6">
        <f t="shared" si="76"/>
        <v>2.8229166666666639</v>
      </c>
      <c r="I2406" s="7">
        <f t="shared" si="77"/>
        <v>2.8229166666666639</v>
      </c>
    </row>
    <row r="2407" spans="1:9" x14ac:dyDescent="0.2">
      <c r="A2407" t="s">
        <v>2659</v>
      </c>
      <c r="B2407">
        <v>3.7435</v>
      </c>
      <c r="C2407">
        <v>5.2424999999999999E-2</v>
      </c>
      <c r="D2407">
        <v>258</v>
      </c>
      <c r="E2407" t="s">
        <v>2659</v>
      </c>
      <c r="F2407">
        <v>257</v>
      </c>
      <c r="G2407" s="1">
        <v>45183</v>
      </c>
      <c r="H2407" s="6">
        <f t="shared" si="76"/>
        <v>2.8333333333333304</v>
      </c>
      <c r="I2407" s="7">
        <f t="shared" si="77"/>
        <v>2.8333333333333304</v>
      </c>
    </row>
    <row r="2408" spans="1:9" x14ac:dyDescent="0.2">
      <c r="A2408" t="s">
        <v>2660</v>
      </c>
      <c r="B2408">
        <v>3.61</v>
      </c>
      <c r="C2408">
        <v>5.0549999999999998E-2</v>
      </c>
      <c r="D2408">
        <v>258</v>
      </c>
      <c r="E2408" t="s">
        <v>2660</v>
      </c>
      <c r="F2408">
        <v>257</v>
      </c>
      <c r="G2408" s="1">
        <v>45183</v>
      </c>
      <c r="H2408" s="6">
        <f t="shared" si="76"/>
        <v>2.8437499999999969</v>
      </c>
      <c r="I2408" s="7">
        <f t="shared" si="77"/>
        <v>2.8437499999999969</v>
      </c>
    </row>
    <row r="2409" spans="1:9" x14ac:dyDescent="0.2">
      <c r="A2409" t="s">
        <v>2661</v>
      </c>
      <c r="B2409">
        <v>3.7919999999999998</v>
      </c>
      <c r="C2409">
        <v>5.3104999999999999E-2</v>
      </c>
      <c r="D2409">
        <v>258</v>
      </c>
      <c r="E2409" t="s">
        <v>2661</v>
      </c>
      <c r="F2409">
        <v>257</v>
      </c>
      <c r="G2409" s="1">
        <v>45183</v>
      </c>
      <c r="H2409" s="6">
        <f t="shared" si="76"/>
        <v>2.8541666666666634</v>
      </c>
      <c r="I2409" s="7">
        <f t="shared" si="77"/>
        <v>2.8541666666666634</v>
      </c>
    </row>
    <row r="2410" spans="1:9" x14ac:dyDescent="0.2">
      <c r="A2410" t="s">
        <v>2662</v>
      </c>
      <c r="B2410">
        <v>3.702</v>
      </c>
      <c r="C2410">
        <v>5.185E-2</v>
      </c>
      <c r="D2410">
        <v>258</v>
      </c>
      <c r="E2410" t="s">
        <v>2662</v>
      </c>
      <c r="F2410">
        <v>257</v>
      </c>
      <c r="G2410" s="1">
        <v>45183</v>
      </c>
      <c r="H2410" s="6">
        <f t="shared" si="76"/>
        <v>2.8645833333333299</v>
      </c>
      <c r="I2410" s="7">
        <f t="shared" si="77"/>
        <v>2.8645833333333299</v>
      </c>
    </row>
    <row r="2411" spans="1:9" x14ac:dyDescent="0.2">
      <c r="A2411" t="s">
        <v>2663</v>
      </c>
      <c r="B2411">
        <v>3.6840000000000002</v>
      </c>
      <c r="C2411">
        <v>5.1604999999999998E-2</v>
      </c>
      <c r="D2411">
        <v>258</v>
      </c>
      <c r="E2411" t="s">
        <v>2663</v>
      </c>
      <c r="F2411">
        <v>257</v>
      </c>
      <c r="G2411" s="1">
        <v>45183</v>
      </c>
      <c r="H2411" s="6">
        <f t="shared" si="76"/>
        <v>2.8749999999999964</v>
      </c>
      <c r="I2411" s="7">
        <f t="shared" si="77"/>
        <v>2.8749999999999964</v>
      </c>
    </row>
    <row r="2412" spans="1:9" x14ac:dyDescent="0.2">
      <c r="A2412" t="s">
        <v>2664</v>
      </c>
      <c r="B2412">
        <v>3.8149999999999999</v>
      </c>
      <c r="C2412">
        <v>5.3429999999999998E-2</v>
      </c>
      <c r="D2412">
        <v>258</v>
      </c>
      <c r="E2412" t="s">
        <v>2664</v>
      </c>
      <c r="F2412">
        <v>257</v>
      </c>
      <c r="G2412" s="1">
        <v>45183</v>
      </c>
      <c r="H2412" s="6">
        <f t="shared" si="76"/>
        <v>2.885416666666663</v>
      </c>
      <c r="I2412" s="7">
        <f t="shared" si="77"/>
        <v>2.885416666666663</v>
      </c>
    </row>
    <row r="2413" spans="1:9" x14ac:dyDescent="0.2">
      <c r="A2413" t="s">
        <v>2665</v>
      </c>
      <c r="B2413">
        <v>3.8134999999999999</v>
      </c>
      <c r="C2413">
        <v>5.3435000000000003E-2</v>
      </c>
      <c r="D2413">
        <v>258</v>
      </c>
      <c r="E2413" t="s">
        <v>2665</v>
      </c>
      <c r="F2413">
        <v>257</v>
      </c>
      <c r="G2413" s="1">
        <v>45183</v>
      </c>
      <c r="H2413" s="6">
        <f t="shared" si="76"/>
        <v>2.8958333333333295</v>
      </c>
      <c r="I2413" s="7">
        <f t="shared" si="77"/>
        <v>2.8958333333333295</v>
      </c>
    </row>
    <row r="2414" spans="1:9" x14ac:dyDescent="0.2">
      <c r="A2414" t="s">
        <v>2666</v>
      </c>
      <c r="B2414">
        <v>3.8340000000000001</v>
      </c>
      <c r="C2414">
        <v>5.3714999999999999E-2</v>
      </c>
      <c r="D2414">
        <v>258</v>
      </c>
      <c r="E2414" t="s">
        <v>2666</v>
      </c>
      <c r="F2414">
        <v>257</v>
      </c>
      <c r="G2414" s="1">
        <v>45183</v>
      </c>
      <c r="H2414" s="6">
        <f t="shared" si="76"/>
        <v>2.906249999999996</v>
      </c>
      <c r="I2414" s="7">
        <f t="shared" si="77"/>
        <v>2.906249999999996</v>
      </c>
    </row>
    <row r="2415" spans="1:9" x14ac:dyDescent="0.2">
      <c r="A2415" t="s">
        <v>2667</v>
      </c>
      <c r="B2415">
        <v>3.7829999999999999</v>
      </c>
      <c r="C2415">
        <v>5.2975000000000001E-2</v>
      </c>
      <c r="D2415">
        <v>258</v>
      </c>
      <c r="E2415" t="s">
        <v>2667</v>
      </c>
      <c r="F2415">
        <v>257</v>
      </c>
      <c r="G2415" s="1">
        <v>45183</v>
      </c>
      <c r="H2415" s="6">
        <f t="shared" si="76"/>
        <v>2.9166666666666625</v>
      </c>
      <c r="I2415" s="7">
        <f t="shared" si="77"/>
        <v>2.9166666666666625</v>
      </c>
    </row>
    <row r="2416" spans="1:9" x14ac:dyDescent="0.2">
      <c r="A2416" t="s">
        <v>2668</v>
      </c>
      <c r="B2416">
        <v>3.8220000000000001</v>
      </c>
      <c r="C2416">
        <v>5.3525000000000003E-2</v>
      </c>
      <c r="D2416">
        <v>258</v>
      </c>
      <c r="E2416" t="s">
        <v>2668</v>
      </c>
      <c r="F2416">
        <v>257</v>
      </c>
      <c r="G2416" s="1">
        <v>45183</v>
      </c>
      <c r="H2416" s="6">
        <f t="shared" si="76"/>
        <v>2.927083333333329</v>
      </c>
      <c r="I2416" s="7">
        <f t="shared" si="77"/>
        <v>2.927083333333329</v>
      </c>
    </row>
    <row r="2417" spans="1:9" x14ac:dyDescent="0.2">
      <c r="A2417" t="s">
        <v>2669</v>
      </c>
      <c r="B2417">
        <v>3.8995000000000002</v>
      </c>
      <c r="C2417">
        <v>5.4620000000000002E-2</v>
      </c>
      <c r="D2417">
        <v>258</v>
      </c>
      <c r="E2417" t="s">
        <v>2669</v>
      </c>
      <c r="F2417">
        <v>257</v>
      </c>
      <c r="G2417" s="1">
        <v>45183</v>
      </c>
      <c r="H2417" s="6">
        <f t="shared" si="76"/>
        <v>2.9374999999999956</v>
      </c>
      <c r="I2417" s="7">
        <f t="shared" si="77"/>
        <v>2.9374999999999956</v>
      </c>
    </row>
    <row r="2418" spans="1:9" x14ac:dyDescent="0.2">
      <c r="A2418" t="s">
        <v>2670</v>
      </c>
      <c r="B2418">
        <v>3.9685000000000001</v>
      </c>
      <c r="C2418">
        <v>5.5590000000000001E-2</v>
      </c>
      <c r="D2418">
        <v>258</v>
      </c>
      <c r="E2418" t="s">
        <v>2670</v>
      </c>
      <c r="F2418">
        <v>257</v>
      </c>
      <c r="G2418" s="1">
        <v>45183</v>
      </c>
      <c r="H2418" s="6">
        <f t="shared" si="76"/>
        <v>2.9479166666666621</v>
      </c>
      <c r="I2418" s="7">
        <f t="shared" si="77"/>
        <v>2.9479166666666621</v>
      </c>
    </row>
    <row r="2419" spans="1:9" x14ac:dyDescent="0.2">
      <c r="A2419" t="s">
        <v>2671</v>
      </c>
      <c r="B2419">
        <v>3.9394999999999998</v>
      </c>
      <c r="C2419">
        <v>5.5184999999999998E-2</v>
      </c>
      <c r="D2419">
        <v>258</v>
      </c>
      <c r="E2419" t="s">
        <v>2671</v>
      </c>
      <c r="F2419">
        <v>257</v>
      </c>
      <c r="G2419" s="1">
        <v>45183</v>
      </c>
      <c r="H2419" s="6">
        <f t="shared" si="76"/>
        <v>2.9583333333333286</v>
      </c>
      <c r="I2419" s="7">
        <f t="shared" si="77"/>
        <v>2.9583333333333286</v>
      </c>
    </row>
    <row r="2420" spans="1:9" x14ac:dyDescent="0.2">
      <c r="A2420" t="s">
        <v>2672</v>
      </c>
      <c r="B2420">
        <v>3.984</v>
      </c>
      <c r="C2420">
        <v>5.5825E-2</v>
      </c>
      <c r="D2420">
        <v>258</v>
      </c>
      <c r="E2420" t="s">
        <v>2672</v>
      </c>
      <c r="F2420">
        <v>257</v>
      </c>
      <c r="G2420" s="1">
        <v>45183</v>
      </c>
      <c r="H2420" s="6">
        <f t="shared" si="76"/>
        <v>2.9687499999999951</v>
      </c>
      <c r="I2420" s="7">
        <f t="shared" si="77"/>
        <v>2.9687499999999951</v>
      </c>
    </row>
    <row r="2421" spans="1:9" x14ac:dyDescent="0.2">
      <c r="A2421" t="s">
        <v>2673</v>
      </c>
      <c r="B2421" s="2" t="s">
        <v>2674</v>
      </c>
      <c r="C2421">
        <v>5.6724999999999998E-2</v>
      </c>
      <c r="D2421">
        <v>258</v>
      </c>
      <c r="E2421" t="s">
        <v>2673</v>
      </c>
      <c r="F2421">
        <v>257</v>
      </c>
      <c r="G2421" s="1">
        <v>45183</v>
      </c>
      <c r="H2421" s="6">
        <f t="shared" si="76"/>
        <v>2.9791666666666616</v>
      </c>
      <c r="I2421" s="7">
        <f t="shared" si="77"/>
        <v>2.9791666666666616</v>
      </c>
    </row>
    <row r="2422" spans="1:9" x14ac:dyDescent="0.2">
      <c r="A2422" t="s">
        <v>2675</v>
      </c>
      <c r="B2422">
        <v>4.0114999999999998</v>
      </c>
      <c r="C2422">
        <v>5.62E-2</v>
      </c>
      <c r="D2422">
        <v>258</v>
      </c>
      <c r="E2422" t="s">
        <v>2675</v>
      </c>
      <c r="F2422">
        <v>257</v>
      </c>
      <c r="G2422" s="1">
        <v>45183</v>
      </c>
      <c r="H2422" s="6">
        <f t="shared" si="76"/>
        <v>2.9895833333333282</v>
      </c>
      <c r="I2422" s="7">
        <f t="shared" si="77"/>
        <v>2.9895833333333282</v>
      </c>
    </row>
    <row r="2423" spans="1:9" x14ac:dyDescent="0.2">
      <c r="A2423" t="s">
        <v>2676</v>
      </c>
      <c r="B2423">
        <v>4.0594999999999999</v>
      </c>
      <c r="C2423">
        <v>5.688E-2</v>
      </c>
      <c r="D2423">
        <v>258</v>
      </c>
      <c r="E2423" t="s">
        <v>2676</v>
      </c>
      <c r="F2423">
        <v>258</v>
      </c>
      <c r="G2423" s="1">
        <v>45184</v>
      </c>
      <c r="H2423" s="6">
        <f t="shared" si="76"/>
        <v>2.9999999999999947</v>
      </c>
      <c r="I2423" s="7">
        <f t="shared" si="77"/>
        <v>2.9999999999999947</v>
      </c>
    </row>
    <row r="2424" spans="1:9" x14ac:dyDescent="0.2">
      <c r="A2424" t="s">
        <v>2677</v>
      </c>
      <c r="B2424">
        <v>4.0875000000000004</v>
      </c>
      <c r="C2424">
        <v>5.7275E-2</v>
      </c>
      <c r="D2424">
        <v>258</v>
      </c>
      <c r="E2424" t="s">
        <v>2677</v>
      </c>
      <c r="F2424">
        <v>258</v>
      </c>
      <c r="G2424" s="1">
        <v>45184</v>
      </c>
      <c r="H2424" s="6">
        <f t="shared" si="76"/>
        <v>3.0104166666666612</v>
      </c>
      <c r="I2424" s="7">
        <f t="shared" si="77"/>
        <v>3.0104166666666612</v>
      </c>
    </row>
    <row r="2425" spans="1:9" x14ac:dyDescent="0.2">
      <c r="A2425" t="s">
        <v>2678</v>
      </c>
      <c r="B2425">
        <v>3.9510000000000001</v>
      </c>
      <c r="C2425">
        <v>5.5335000000000002E-2</v>
      </c>
      <c r="D2425">
        <v>258</v>
      </c>
      <c r="E2425" t="s">
        <v>2678</v>
      </c>
      <c r="F2425">
        <v>258</v>
      </c>
      <c r="G2425" s="1">
        <v>45184</v>
      </c>
      <c r="H2425" s="6">
        <f t="shared" si="76"/>
        <v>3.0208333333333277</v>
      </c>
      <c r="I2425" s="7">
        <f t="shared" si="77"/>
        <v>3.0208333333333277</v>
      </c>
    </row>
    <row r="2426" spans="1:9" x14ac:dyDescent="0.2">
      <c r="A2426" t="s">
        <v>2679</v>
      </c>
      <c r="B2426">
        <v>4.1165000000000003</v>
      </c>
      <c r="C2426">
        <v>5.7645000000000002E-2</v>
      </c>
      <c r="D2426">
        <v>258</v>
      </c>
      <c r="E2426" t="s">
        <v>2679</v>
      </c>
      <c r="F2426">
        <v>258</v>
      </c>
      <c r="G2426" s="1">
        <v>45184</v>
      </c>
      <c r="H2426" s="6">
        <f t="shared" si="76"/>
        <v>3.0312499999999942</v>
      </c>
      <c r="I2426" s="7">
        <f t="shared" si="77"/>
        <v>3.0312499999999942</v>
      </c>
    </row>
    <row r="2427" spans="1:9" x14ac:dyDescent="0.2">
      <c r="A2427" t="s">
        <v>2680</v>
      </c>
      <c r="B2427">
        <v>4.1535000000000002</v>
      </c>
      <c r="C2427">
        <v>5.8174999999999998E-2</v>
      </c>
      <c r="D2427">
        <v>258</v>
      </c>
      <c r="E2427" t="s">
        <v>2680</v>
      </c>
      <c r="F2427">
        <v>258</v>
      </c>
      <c r="G2427" s="1">
        <v>45184</v>
      </c>
      <c r="H2427" s="6">
        <f t="shared" si="76"/>
        <v>3.0416666666666607</v>
      </c>
      <c r="I2427" s="7">
        <f t="shared" si="77"/>
        <v>3.0416666666666607</v>
      </c>
    </row>
    <row r="2428" spans="1:9" x14ac:dyDescent="0.2">
      <c r="A2428" t="s">
        <v>2681</v>
      </c>
      <c r="B2428">
        <v>4.1520000000000001</v>
      </c>
      <c r="C2428">
        <v>5.8174999999999998E-2</v>
      </c>
      <c r="D2428">
        <v>258</v>
      </c>
      <c r="E2428" t="s">
        <v>2681</v>
      </c>
      <c r="F2428">
        <v>258</v>
      </c>
      <c r="G2428" s="1">
        <v>45184</v>
      </c>
      <c r="H2428" s="6">
        <f t="shared" si="76"/>
        <v>3.0520833333333273</v>
      </c>
      <c r="I2428" s="7">
        <f t="shared" si="77"/>
        <v>3.0520833333333273</v>
      </c>
    </row>
    <row r="2429" spans="1:9" x14ac:dyDescent="0.2">
      <c r="A2429" t="s">
        <v>2682</v>
      </c>
      <c r="B2429">
        <v>3.9375</v>
      </c>
      <c r="C2429">
        <v>5.5160000000000001E-2</v>
      </c>
      <c r="D2429">
        <v>258</v>
      </c>
      <c r="E2429" t="s">
        <v>2682</v>
      </c>
      <c r="F2429">
        <v>258</v>
      </c>
      <c r="G2429" s="1">
        <v>45184</v>
      </c>
      <c r="H2429" s="6">
        <f t="shared" si="76"/>
        <v>3.0624999999999938</v>
      </c>
      <c r="I2429" s="7">
        <f t="shared" si="77"/>
        <v>3.0624999999999938</v>
      </c>
    </row>
    <row r="2430" spans="1:9" x14ac:dyDescent="0.2">
      <c r="A2430" t="s">
        <v>2683</v>
      </c>
      <c r="B2430">
        <v>4.0270000000000001</v>
      </c>
      <c r="C2430">
        <v>5.6399999999999999E-2</v>
      </c>
      <c r="D2430">
        <v>258</v>
      </c>
      <c r="E2430" t="s">
        <v>2683</v>
      </c>
      <c r="F2430">
        <v>258</v>
      </c>
      <c r="G2430" s="1">
        <v>45184</v>
      </c>
      <c r="H2430" s="6">
        <f t="shared" si="76"/>
        <v>3.0729166666666603</v>
      </c>
      <c r="I2430" s="7">
        <f t="shared" si="77"/>
        <v>3.0729166666666603</v>
      </c>
    </row>
    <row r="2431" spans="1:9" x14ac:dyDescent="0.2">
      <c r="A2431" t="s">
        <v>2684</v>
      </c>
      <c r="B2431">
        <v>4.1500000000000004</v>
      </c>
      <c r="C2431" s="2" t="s">
        <v>2685</v>
      </c>
      <c r="D2431">
        <v>258</v>
      </c>
      <c r="E2431" t="s">
        <v>2684</v>
      </c>
      <c r="F2431">
        <v>258</v>
      </c>
      <c r="G2431" s="1">
        <v>45184</v>
      </c>
      <c r="H2431" s="6">
        <f t="shared" si="76"/>
        <v>3.0833333333333268</v>
      </c>
      <c r="I2431" s="7">
        <f t="shared" si="77"/>
        <v>3.0833333333333268</v>
      </c>
    </row>
    <row r="2432" spans="1:9" x14ac:dyDescent="0.2">
      <c r="A2432" t="s">
        <v>2686</v>
      </c>
      <c r="B2432">
        <v>4.0369999999999999</v>
      </c>
      <c r="C2432">
        <v>5.6559999999999999E-2</v>
      </c>
      <c r="D2432">
        <v>258</v>
      </c>
      <c r="E2432" t="s">
        <v>2686</v>
      </c>
      <c r="F2432">
        <v>258</v>
      </c>
      <c r="G2432" s="1">
        <v>45184</v>
      </c>
      <c r="H2432" s="6">
        <f t="shared" si="76"/>
        <v>3.0937499999999933</v>
      </c>
      <c r="I2432" s="7">
        <f t="shared" si="77"/>
        <v>3.0937499999999933</v>
      </c>
    </row>
    <row r="2433" spans="1:9" x14ac:dyDescent="0.2">
      <c r="A2433" t="s">
        <v>2687</v>
      </c>
      <c r="B2433">
        <v>4.1684999999999999</v>
      </c>
      <c r="C2433">
        <v>5.8380000000000001E-2</v>
      </c>
      <c r="D2433">
        <v>258</v>
      </c>
      <c r="E2433" t="s">
        <v>2687</v>
      </c>
      <c r="F2433">
        <v>258</v>
      </c>
      <c r="G2433" s="1">
        <v>45184</v>
      </c>
      <c r="H2433" s="6">
        <f t="shared" si="76"/>
        <v>3.1041666666666599</v>
      </c>
      <c r="I2433" s="7">
        <f t="shared" si="77"/>
        <v>3.1041666666666599</v>
      </c>
    </row>
    <row r="2434" spans="1:9" x14ac:dyDescent="0.2">
      <c r="A2434" t="s">
        <v>2688</v>
      </c>
      <c r="B2434">
        <v>4.1174999999999997</v>
      </c>
      <c r="C2434">
        <v>5.7665000000000001E-2</v>
      </c>
      <c r="D2434">
        <v>258</v>
      </c>
      <c r="E2434" t="s">
        <v>2688</v>
      </c>
      <c r="F2434">
        <v>258</v>
      </c>
      <c r="G2434" s="1">
        <v>45184</v>
      </c>
      <c r="H2434" s="6">
        <f t="shared" si="76"/>
        <v>3.1145833333333264</v>
      </c>
      <c r="I2434" s="7">
        <f t="shared" si="77"/>
        <v>3.1145833333333264</v>
      </c>
    </row>
    <row r="2435" spans="1:9" x14ac:dyDescent="0.2">
      <c r="A2435" t="s">
        <v>2689</v>
      </c>
      <c r="B2435">
        <v>3.9464999999999999</v>
      </c>
      <c r="C2435">
        <v>5.5289999999999999E-2</v>
      </c>
      <c r="D2435">
        <v>258</v>
      </c>
      <c r="E2435" t="s">
        <v>2689</v>
      </c>
      <c r="F2435">
        <v>258</v>
      </c>
      <c r="G2435" s="1">
        <v>45184</v>
      </c>
      <c r="H2435" s="6">
        <f t="shared" si="76"/>
        <v>3.1249999999999929</v>
      </c>
      <c r="I2435" s="7">
        <f t="shared" si="77"/>
        <v>3.1249999999999929</v>
      </c>
    </row>
    <row r="2436" spans="1:9" x14ac:dyDescent="0.2">
      <c r="A2436" t="s">
        <v>2690</v>
      </c>
      <c r="B2436">
        <v>4.1070000000000002</v>
      </c>
      <c r="C2436">
        <v>5.7514999999999997E-2</v>
      </c>
      <c r="D2436">
        <v>258</v>
      </c>
      <c r="E2436" t="s">
        <v>2690</v>
      </c>
      <c r="F2436">
        <v>258</v>
      </c>
      <c r="G2436" s="1">
        <v>45184</v>
      </c>
      <c r="H2436" s="6">
        <f t="shared" si="76"/>
        <v>3.1354166666666594</v>
      </c>
      <c r="I2436" s="7">
        <f t="shared" si="77"/>
        <v>3.1354166666666594</v>
      </c>
    </row>
    <row r="2437" spans="1:9" x14ac:dyDescent="0.2">
      <c r="A2437" t="s">
        <v>2691</v>
      </c>
      <c r="B2437">
        <v>4.0670000000000002</v>
      </c>
      <c r="C2437">
        <v>5.6954999999999999E-2</v>
      </c>
      <c r="D2437">
        <v>258</v>
      </c>
      <c r="E2437" t="s">
        <v>2691</v>
      </c>
      <c r="F2437">
        <v>258</v>
      </c>
      <c r="G2437" s="1">
        <v>45184</v>
      </c>
      <c r="H2437" s="6">
        <f t="shared" si="76"/>
        <v>3.1458333333333259</v>
      </c>
      <c r="I2437" s="7">
        <f t="shared" si="77"/>
        <v>3.1458333333333259</v>
      </c>
    </row>
    <row r="2438" spans="1:9" x14ac:dyDescent="0.2">
      <c r="A2438" t="s">
        <v>2692</v>
      </c>
      <c r="B2438">
        <v>3.7565</v>
      </c>
      <c r="C2438">
        <v>5.2615000000000002E-2</v>
      </c>
      <c r="D2438">
        <v>258</v>
      </c>
      <c r="E2438" t="s">
        <v>2692</v>
      </c>
      <c r="F2438">
        <v>258</v>
      </c>
      <c r="G2438" s="1">
        <v>45184</v>
      </c>
      <c r="H2438" s="6">
        <f t="shared" si="76"/>
        <v>3.1562499999999925</v>
      </c>
      <c r="I2438" s="7">
        <f t="shared" si="77"/>
        <v>3.1562499999999925</v>
      </c>
    </row>
    <row r="2439" spans="1:9" x14ac:dyDescent="0.2">
      <c r="A2439" t="s">
        <v>2693</v>
      </c>
      <c r="B2439">
        <v>3.7284999999999999</v>
      </c>
      <c r="C2439">
        <v>5.2234999999999997E-2</v>
      </c>
      <c r="D2439">
        <v>258</v>
      </c>
      <c r="E2439" t="s">
        <v>2693</v>
      </c>
      <c r="F2439">
        <v>258</v>
      </c>
      <c r="G2439" s="1">
        <v>45184</v>
      </c>
      <c r="H2439" s="6">
        <f t="shared" si="76"/>
        <v>3.166666666666659</v>
      </c>
      <c r="I2439" s="7">
        <f t="shared" si="77"/>
        <v>3.166666666666659</v>
      </c>
    </row>
    <row r="2440" spans="1:9" x14ac:dyDescent="0.2">
      <c r="A2440" t="s">
        <v>2694</v>
      </c>
      <c r="B2440">
        <v>3.7240000000000002</v>
      </c>
      <c r="C2440">
        <v>5.2165000000000003E-2</v>
      </c>
      <c r="D2440">
        <v>258</v>
      </c>
      <c r="E2440" t="s">
        <v>2694</v>
      </c>
      <c r="F2440">
        <v>258</v>
      </c>
      <c r="G2440" s="1">
        <v>45184</v>
      </c>
      <c r="H2440" s="6">
        <f t="shared" si="76"/>
        <v>3.1770833333333255</v>
      </c>
      <c r="I2440" s="7">
        <f t="shared" si="77"/>
        <v>3.1770833333333255</v>
      </c>
    </row>
    <row r="2441" spans="1:9" x14ac:dyDescent="0.2">
      <c r="A2441" t="s">
        <v>2695</v>
      </c>
      <c r="B2441">
        <v>3.5419999999999998</v>
      </c>
      <c r="C2441">
        <v>4.9610000000000001E-2</v>
      </c>
      <c r="D2441">
        <v>258</v>
      </c>
      <c r="E2441" t="s">
        <v>2695</v>
      </c>
      <c r="F2441">
        <v>258</v>
      </c>
      <c r="G2441" s="1">
        <v>45184</v>
      </c>
      <c r="H2441" s="6">
        <f t="shared" si="76"/>
        <v>3.187499999999992</v>
      </c>
      <c r="I2441" s="7">
        <f t="shared" si="77"/>
        <v>3.187499999999992</v>
      </c>
    </row>
    <row r="2442" spans="1:9" x14ac:dyDescent="0.2">
      <c r="A2442" t="s">
        <v>2696</v>
      </c>
      <c r="B2442">
        <v>3.6535000000000002</v>
      </c>
      <c r="C2442">
        <v>5.117E-2</v>
      </c>
      <c r="D2442">
        <v>258</v>
      </c>
      <c r="E2442" t="s">
        <v>2696</v>
      </c>
      <c r="F2442">
        <v>258</v>
      </c>
      <c r="G2442" s="1">
        <v>45184</v>
      </c>
      <c r="H2442" s="6">
        <f t="shared" si="76"/>
        <v>3.1979166666666585</v>
      </c>
      <c r="I2442" s="7">
        <f t="shared" si="77"/>
        <v>3.1979166666666585</v>
      </c>
    </row>
    <row r="2443" spans="1:9" x14ac:dyDescent="0.2">
      <c r="A2443" t="s">
        <v>2697</v>
      </c>
      <c r="B2443">
        <v>3.4895</v>
      </c>
      <c r="C2443">
        <v>4.8869999999999997E-2</v>
      </c>
      <c r="D2443">
        <v>258</v>
      </c>
      <c r="E2443" t="s">
        <v>2697</v>
      </c>
      <c r="F2443">
        <v>258</v>
      </c>
      <c r="G2443" s="1">
        <v>45184</v>
      </c>
      <c r="H2443" s="6">
        <f t="shared" si="76"/>
        <v>3.208333333333325</v>
      </c>
      <c r="I2443" s="7">
        <f t="shared" si="77"/>
        <v>3.208333333333325</v>
      </c>
    </row>
    <row r="2444" spans="1:9" x14ac:dyDescent="0.2">
      <c r="A2444" t="s">
        <v>2698</v>
      </c>
      <c r="B2444">
        <v>3.5154999999999998</v>
      </c>
      <c r="C2444">
        <v>4.9235000000000001E-2</v>
      </c>
      <c r="D2444">
        <v>258</v>
      </c>
      <c r="E2444" t="s">
        <v>2698</v>
      </c>
      <c r="F2444">
        <v>258</v>
      </c>
      <c r="G2444" s="1">
        <v>45184</v>
      </c>
      <c r="H2444" s="6">
        <f t="shared" si="76"/>
        <v>3.2187499999999916</v>
      </c>
      <c r="I2444" s="7">
        <f t="shared" si="77"/>
        <v>3.2187499999999916</v>
      </c>
    </row>
    <row r="2445" spans="1:9" x14ac:dyDescent="0.2">
      <c r="A2445" t="s">
        <v>2699</v>
      </c>
      <c r="B2445">
        <v>3.3330000000000002</v>
      </c>
      <c r="C2445">
        <v>4.6679999999999999E-2</v>
      </c>
      <c r="D2445">
        <v>258</v>
      </c>
      <c r="E2445" t="s">
        <v>2699</v>
      </c>
      <c r="F2445">
        <v>258</v>
      </c>
      <c r="G2445" s="1">
        <v>45184</v>
      </c>
      <c r="H2445" s="6">
        <f t="shared" si="76"/>
        <v>3.2291666666666581</v>
      </c>
      <c r="I2445" s="7">
        <f t="shared" si="77"/>
        <v>3.2291666666666581</v>
      </c>
    </row>
    <row r="2446" spans="1:9" x14ac:dyDescent="0.2">
      <c r="A2446" t="s">
        <v>2700</v>
      </c>
      <c r="B2446">
        <v>3.0910000000000002</v>
      </c>
      <c r="C2446">
        <v>4.3319999999999997E-2</v>
      </c>
      <c r="D2446">
        <v>258</v>
      </c>
      <c r="E2446" t="s">
        <v>2700</v>
      </c>
      <c r="F2446">
        <v>258</v>
      </c>
      <c r="G2446" s="1">
        <v>45184</v>
      </c>
      <c r="H2446" s="6">
        <f t="shared" si="76"/>
        <v>3.2395833333333246</v>
      </c>
      <c r="I2446" s="7">
        <f t="shared" si="77"/>
        <v>3.2395833333333246</v>
      </c>
    </row>
    <row r="2447" spans="1:9" x14ac:dyDescent="0.2">
      <c r="A2447" t="s">
        <v>2701</v>
      </c>
      <c r="B2447">
        <v>3.0339999999999998</v>
      </c>
      <c r="C2447">
        <v>4.2505000000000001E-2</v>
      </c>
      <c r="D2447">
        <v>258</v>
      </c>
      <c r="E2447" t="s">
        <v>2701</v>
      </c>
      <c r="F2447">
        <v>258</v>
      </c>
      <c r="G2447" s="1">
        <v>45184</v>
      </c>
      <c r="H2447" s="6">
        <f t="shared" si="76"/>
        <v>3.2499999999999911</v>
      </c>
      <c r="I2447" s="7">
        <f t="shared" si="77"/>
        <v>3.2499999999999911</v>
      </c>
    </row>
    <row r="2448" spans="1:9" x14ac:dyDescent="0.2">
      <c r="A2448" t="s">
        <v>2702</v>
      </c>
      <c r="B2448">
        <v>2.7715000000000001</v>
      </c>
      <c r="C2448">
        <v>3.882E-2</v>
      </c>
      <c r="D2448">
        <v>258</v>
      </c>
      <c r="E2448" t="s">
        <v>2702</v>
      </c>
      <c r="F2448">
        <v>258</v>
      </c>
      <c r="G2448" s="1">
        <v>45184</v>
      </c>
      <c r="H2448" s="6">
        <f t="shared" si="76"/>
        <v>3.2604166666666576</v>
      </c>
      <c r="I2448" s="7">
        <f t="shared" si="77"/>
        <v>3.2604166666666576</v>
      </c>
    </row>
    <row r="2449" spans="1:9" x14ac:dyDescent="0.2">
      <c r="A2449" t="s">
        <v>2703</v>
      </c>
      <c r="B2449">
        <v>2.1215000000000002</v>
      </c>
      <c r="C2449" s="2" t="s">
        <v>2704</v>
      </c>
      <c r="D2449">
        <v>258</v>
      </c>
      <c r="E2449" t="s">
        <v>2703</v>
      </c>
      <c r="F2449">
        <v>258</v>
      </c>
      <c r="G2449" s="1">
        <v>45184</v>
      </c>
      <c r="H2449" s="6">
        <f t="shared" si="76"/>
        <v>3.2708333333333242</v>
      </c>
      <c r="I2449" s="7">
        <f t="shared" si="77"/>
        <v>3.2708333333333242</v>
      </c>
    </row>
    <row r="2450" spans="1:9" x14ac:dyDescent="0.2">
      <c r="A2450" t="s">
        <v>2705</v>
      </c>
      <c r="B2450">
        <v>2.5514999999999999</v>
      </c>
      <c r="C2450">
        <v>3.5735000000000003E-2</v>
      </c>
      <c r="D2450">
        <v>258</v>
      </c>
      <c r="E2450" t="s">
        <v>2705</v>
      </c>
      <c r="F2450">
        <v>258</v>
      </c>
      <c r="G2450" s="1">
        <v>45184</v>
      </c>
      <c r="H2450" s="6">
        <f t="shared" si="76"/>
        <v>3.2812499999999907</v>
      </c>
      <c r="I2450" s="7">
        <f t="shared" si="77"/>
        <v>3.2812499999999907</v>
      </c>
    </row>
    <row r="2451" spans="1:9" x14ac:dyDescent="0.2">
      <c r="A2451" t="s">
        <v>2706</v>
      </c>
      <c r="B2451">
        <v>2.3820000000000001</v>
      </c>
      <c r="C2451">
        <v>3.3349999999999998E-2</v>
      </c>
      <c r="D2451">
        <v>258</v>
      </c>
      <c r="E2451" t="s">
        <v>2706</v>
      </c>
      <c r="F2451">
        <v>258</v>
      </c>
      <c r="G2451" s="1">
        <v>45184</v>
      </c>
      <c r="H2451" s="6">
        <f t="shared" si="76"/>
        <v>3.2916666666666572</v>
      </c>
      <c r="I2451" s="7">
        <f t="shared" si="77"/>
        <v>3.2916666666666572</v>
      </c>
    </row>
    <row r="2452" spans="1:9" x14ac:dyDescent="0.2">
      <c r="A2452" t="s">
        <v>2707</v>
      </c>
      <c r="B2452">
        <v>2.3540000000000001</v>
      </c>
      <c r="C2452">
        <v>3.2989999999999998E-2</v>
      </c>
      <c r="D2452">
        <v>258</v>
      </c>
      <c r="E2452" t="s">
        <v>2707</v>
      </c>
      <c r="F2452">
        <v>258</v>
      </c>
      <c r="G2452" s="1">
        <v>45184</v>
      </c>
      <c r="H2452" s="6">
        <f t="shared" si="76"/>
        <v>3.3020833333333237</v>
      </c>
      <c r="I2452" s="7">
        <f t="shared" si="77"/>
        <v>3.3020833333333237</v>
      </c>
    </row>
    <row r="2453" spans="1:9" x14ac:dyDescent="0.2">
      <c r="A2453" t="s">
        <v>2708</v>
      </c>
      <c r="B2453">
        <v>1.5209999999999999</v>
      </c>
      <c r="C2453" s="2" t="s">
        <v>2709</v>
      </c>
      <c r="D2453">
        <v>258</v>
      </c>
      <c r="E2453" t="s">
        <v>2708</v>
      </c>
      <c r="F2453">
        <v>258</v>
      </c>
      <c r="G2453" s="1">
        <v>45184</v>
      </c>
      <c r="H2453" s="6">
        <f t="shared" si="76"/>
        <v>3.3124999999999902</v>
      </c>
      <c r="I2453" s="7">
        <f t="shared" si="77"/>
        <v>3.3124999999999902</v>
      </c>
    </row>
    <row r="2454" spans="1:9" x14ac:dyDescent="0.2">
      <c r="A2454" t="s">
        <v>2710</v>
      </c>
      <c r="B2454" s="2" t="s">
        <v>2711</v>
      </c>
      <c r="C2454">
        <v>1.83E-2</v>
      </c>
      <c r="D2454">
        <v>258</v>
      </c>
      <c r="E2454" t="s">
        <v>2710</v>
      </c>
      <c r="F2454">
        <v>258</v>
      </c>
      <c r="G2454" s="1">
        <v>45184</v>
      </c>
      <c r="H2454" s="6">
        <f t="shared" si="76"/>
        <v>3.3229166666666567</v>
      </c>
      <c r="I2454" s="7">
        <f t="shared" si="77"/>
        <v>3.3229166666666567</v>
      </c>
    </row>
    <row r="2455" spans="1:9" x14ac:dyDescent="0.2">
      <c r="A2455" t="s">
        <v>2712</v>
      </c>
      <c r="B2455">
        <v>1.4750000000000001</v>
      </c>
      <c r="C2455">
        <v>2.0655E-2</v>
      </c>
      <c r="D2455">
        <v>258</v>
      </c>
      <c r="E2455" t="s">
        <v>2712</v>
      </c>
      <c r="F2455">
        <v>258</v>
      </c>
      <c r="G2455" s="1">
        <v>45184</v>
      </c>
      <c r="H2455" s="6">
        <f t="shared" si="76"/>
        <v>3.3333333333333233</v>
      </c>
      <c r="I2455" s="7">
        <f t="shared" si="77"/>
        <v>3.3333333333333233</v>
      </c>
    </row>
    <row r="2456" spans="1:9" x14ac:dyDescent="0.2">
      <c r="A2456" t="s">
        <v>2713</v>
      </c>
      <c r="B2456">
        <v>1.7965</v>
      </c>
      <c r="C2456">
        <v>2.5174999999999999E-2</v>
      </c>
      <c r="D2456">
        <v>258</v>
      </c>
      <c r="E2456" t="s">
        <v>2713</v>
      </c>
      <c r="F2456">
        <v>258</v>
      </c>
      <c r="G2456" s="1">
        <v>45184</v>
      </c>
      <c r="H2456" s="6">
        <f t="shared" si="76"/>
        <v>3.3437499999999898</v>
      </c>
      <c r="I2456" s="7">
        <f t="shared" si="77"/>
        <v>3.3437499999999898</v>
      </c>
    </row>
    <row r="2457" spans="1:9" x14ac:dyDescent="0.2">
      <c r="A2457" t="s">
        <v>2714</v>
      </c>
      <c r="B2457">
        <v>1.3959999999999999</v>
      </c>
      <c r="C2457">
        <v>1.9560000000000001E-2</v>
      </c>
      <c r="D2457">
        <v>258</v>
      </c>
      <c r="E2457" t="s">
        <v>2714</v>
      </c>
      <c r="F2457">
        <v>258</v>
      </c>
      <c r="G2457" s="1">
        <v>45184</v>
      </c>
      <c r="H2457" s="6">
        <f t="shared" si="76"/>
        <v>3.3541666666666563</v>
      </c>
      <c r="I2457" s="7">
        <f t="shared" si="77"/>
        <v>3.3541666666666563</v>
      </c>
    </row>
    <row r="2458" spans="1:9" x14ac:dyDescent="0.2">
      <c r="A2458" t="s">
        <v>2715</v>
      </c>
      <c r="B2458">
        <v>1.1695</v>
      </c>
      <c r="C2458">
        <v>1.6385E-2</v>
      </c>
      <c r="D2458">
        <v>258</v>
      </c>
      <c r="E2458" t="s">
        <v>2715</v>
      </c>
      <c r="F2458">
        <v>258</v>
      </c>
      <c r="G2458" s="1">
        <v>45184</v>
      </c>
      <c r="H2458" s="6">
        <f t="shared" si="76"/>
        <v>3.3645833333333228</v>
      </c>
      <c r="I2458" s="7">
        <f t="shared" si="77"/>
        <v>3.3645833333333228</v>
      </c>
    </row>
    <row r="2459" spans="1:9" x14ac:dyDescent="0.2">
      <c r="A2459" t="s">
        <v>2716</v>
      </c>
      <c r="B2459">
        <v>1.2815000000000001</v>
      </c>
      <c r="C2459">
        <v>1.7954999999999999E-2</v>
      </c>
      <c r="D2459">
        <v>258</v>
      </c>
      <c r="E2459" t="s">
        <v>2716</v>
      </c>
      <c r="F2459">
        <v>258</v>
      </c>
      <c r="G2459" s="1">
        <v>45184</v>
      </c>
      <c r="H2459" s="6">
        <f t="shared" si="76"/>
        <v>3.3749999999999893</v>
      </c>
      <c r="I2459" s="7">
        <f t="shared" si="77"/>
        <v>3.3749999999999893</v>
      </c>
    </row>
    <row r="2460" spans="1:9" x14ac:dyDescent="0.2">
      <c r="A2460" t="s">
        <v>2717</v>
      </c>
      <c r="B2460">
        <v>1.3945000000000001</v>
      </c>
      <c r="C2460">
        <v>1.9529999999999999E-2</v>
      </c>
      <c r="D2460">
        <v>258</v>
      </c>
      <c r="E2460" t="s">
        <v>2717</v>
      </c>
      <c r="F2460">
        <v>258</v>
      </c>
      <c r="G2460" s="1">
        <v>45184</v>
      </c>
      <c r="H2460" s="6">
        <f t="shared" ref="H2460:H2523" si="78">H2459+$K$1</f>
        <v>3.3854166666666559</v>
      </c>
      <c r="I2460" s="7">
        <f t="shared" ref="I2460:I2523" si="79">I2459+$K$1</f>
        <v>3.3854166666666559</v>
      </c>
    </row>
    <row r="2461" spans="1:9" x14ac:dyDescent="0.2">
      <c r="A2461" t="s">
        <v>2718</v>
      </c>
      <c r="B2461">
        <v>1.0794999999999999</v>
      </c>
      <c r="C2461" s="2" t="s">
        <v>2719</v>
      </c>
      <c r="D2461">
        <v>258</v>
      </c>
      <c r="E2461" t="s">
        <v>2718</v>
      </c>
      <c r="F2461">
        <v>258</v>
      </c>
      <c r="G2461" s="1">
        <v>45184</v>
      </c>
      <c r="H2461" s="6">
        <f t="shared" si="78"/>
        <v>3.3958333333333224</v>
      </c>
      <c r="I2461" s="7">
        <f t="shared" si="79"/>
        <v>3.3958333333333224</v>
      </c>
    </row>
    <row r="2462" spans="1:9" x14ac:dyDescent="0.2">
      <c r="A2462" t="s">
        <v>2720</v>
      </c>
      <c r="B2462">
        <v>1.0215000000000001</v>
      </c>
      <c r="C2462">
        <v>1.43E-2</v>
      </c>
      <c r="D2462">
        <v>258</v>
      </c>
      <c r="E2462" t="s">
        <v>2720</v>
      </c>
      <c r="F2462">
        <v>258</v>
      </c>
      <c r="G2462" s="1">
        <v>45184</v>
      </c>
      <c r="H2462" s="6">
        <f t="shared" si="78"/>
        <v>3.4062499999999889</v>
      </c>
      <c r="I2462" s="7">
        <f t="shared" si="79"/>
        <v>3.4062499999999889</v>
      </c>
    </row>
    <row r="2463" spans="1:9" x14ac:dyDescent="0.2">
      <c r="A2463" t="s">
        <v>2721</v>
      </c>
      <c r="B2463">
        <v>1.6479999999999999</v>
      </c>
      <c r="C2463">
        <v>2.3050000000000001E-2</v>
      </c>
      <c r="D2463">
        <v>258</v>
      </c>
      <c r="E2463" t="s">
        <v>2721</v>
      </c>
      <c r="F2463">
        <v>258</v>
      </c>
      <c r="G2463" s="1">
        <v>45184</v>
      </c>
      <c r="H2463" s="6">
        <f t="shared" si="78"/>
        <v>3.4166666666666554</v>
      </c>
      <c r="I2463" s="7">
        <f t="shared" si="79"/>
        <v>3.4166666666666554</v>
      </c>
    </row>
    <row r="2464" spans="1:9" x14ac:dyDescent="0.2">
      <c r="A2464" t="s">
        <v>2722</v>
      </c>
      <c r="B2464">
        <v>1.4415</v>
      </c>
      <c r="C2464">
        <v>2.019E-2</v>
      </c>
      <c r="D2464">
        <v>258</v>
      </c>
      <c r="E2464" t="s">
        <v>2722</v>
      </c>
      <c r="F2464">
        <v>258</v>
      </c>
      <c r="G2464" s="1">
        <v>45184</v>
      </c>
      <c r="H2464" s="6">
        <f t="shared" si="78"/>
        <v>3.4270833333333219</v>
      </c>
      <c r="I2464" s="7">
        <f t="shared" si="79"/>
        <v>3.4270833333333219</v>
      </c>
    </row>
    <row r="2465" spans="1:9" x14ac:dyDescent="0.2">
      <c r="A2465" t="s">
        <v>2723</v>
      </c>
      <c r="B2465" s="2" t="s">
        <v>2724</v>
      </c>
      <c r="C2465">
        <v>2.5999999999999999E-2</v>
      </c>
      <c r="D2465">
        <v>258</v>
      </c>
      <c r="E2465" t="s">
        <v>2723</v>
      </c>
      <c r="F2465">
        <v>258</v>
      </c>
      <c r="G2465" s="1">
        <v>45184</v>
      </c>
      <c r="H2465" s="6">
        <f t="shared" si="78"/>
        <v>3.4374999999999885</v>
      </c>
      <c r="I2465" s="7">
        <f t="shared" si="79"/>
        <v>3.4374999999999885</v>
      </c>
    </row>
    <row r="2466" spans="1:9" x14ac:dyDescent="0.2">
      <c r="A2466" t="s">
        <v>2725</v>
      </c>
      <c r="B2466">
        <v>1.2275</v>
      </c>
      <c r="C2466">
        <v>1.7194999999999998E-2</v>
      </c>
      <c r="D2466">
        <v>258</v>
      </c>
      <c r="E2466" t="s">
        <v>2725</v>
      </c>
      <c r="F2466">
        <v>258</v>
      </c>
      <c r="G2466" s="1">
        <v>45184</v>
      </c>
      <c r="H2466" s="6">
        <f t="shared" si="78"/>
        <v>3.447916666666655</v>
      </c>
      <c r="I2466" s="7">
        <f t="shared" si="79"/>
        <v>3.447916666666655</v>
      </c>
    </row>
    <row r="2467" spans="1:9" x14ac:dyDescent="0.2">
      <c r="A2467" t="s">
        <v>2726</v>
      </c>
      <c r="B2467">
        <v>1.4610000000000001</v>
      </c>
      <c r="C2467">
        <v>2.0480000000000002E-2</v>
      </c>
      <c r="D2467">
        <v>258</v>
      </c>
      <c r="E2467" t="s">
        <v>2726</v>
      </c>
      <c r="F2467">
        <v>258</v>
      </c>
      <c r="G2467" s="1">
        <v>45184</v>
      </c>
      <c r="H2467" s="6">
        <f t="shared" si="78"/>
        <v>3.4583333333333215</v>
      </c>
      <c r="I2467" s="7">
        <f t="shared" si="79"/>
        <v>3.4583333333333215</v>
      </c>
    </row>
    <row r="2468" spans="1:9" x14ac:dyDescent="0.2">
      <c r="A2468" t="s">
        <v>2727</v>
      </c>
      <c r="B2468">
        <v>1.6005</v>
      </c>
      <c r="C2468">
        <v>2.2415000000000001E-2</v>
      </c>
      <c r="D2468">
        <v>258</v>
      </c>
      <c r="E2468" t="s">
        <v>2727</v>
      </c>
      <c r="F2468">
        <v>258</v>
      </c>
      <c r="G2468" s="1">
        <v>45184</v>
      </c>
      <c r="H2468" s="6">
        <f t="shared" si="78"/>
        <v>3.468749999999988</v>
      </c>
      <c r="I2468" s="7">
        <f t="shared" si="79"/>
        <v>3.468749999999988</v>
      </c>
    </row>
    <row r="2469" spans="1:9" x14ac:dyDescent="0.2">
      <c r="A2469" t="s">
        <v>2728</v>
      </c>
      <c r="B2469" s="2" t="s">
        <v>2729</v>
      </c>
      <c r="C2469">
        <v>2.3539999999999998E-2</v>
      </c>
      <c r="D2469">
        <v>258</v>
      </c>
      <c r="E2469" t="s">
        <v>2728</v>
      </c>
      <c r="F2469">
        <v>258</v>
      </c>
      <c r="G2469" s="1">
        <v>45184</v>
      </c>
      <c r="H2469" s="6">
        <f t="shared" si="78"/>
        <v>3.4791666666666545</v>
      </c>
      <c r="I2469" s="7">
        <f t="shared" si="79"/>
        <v>3.4791666666666545</v>
      </c>
    </row>
    <row r="2470" spans="1:9" x14ac:dyDescent="0.2">
      <c r="A2470" t="s">
        <v>2730</v>
      </c>
      <c r="B2470">
        <v>1.694</v>
      </c>
      <c r="C2470">
        <v>2.3730000000000001E-2</v>
      </c>
      <c r="D2470">
        <v>258</v>
      </c>
      <c r="E2470" t="s">
        <v>2730</v>
      </c>
      <c r="F2470">
        <v>258</v>
      </c>
      <c r="G2470" s="1">
        <v>45184</v>
      </c>
      <c r="H2470" s="6">
        <f t="shared" si="78"/>
        <v>3.489583333333321</v>
      </c>
      <c r="I2470" s="7">
        <f t="shared" si="79"/>
        <v>3.489583333333321</v>
      </c>
    </row>
    <row r="2471" spans="1:9" x14ac:dyDescent="0.2">
      <c r="A2471" t="s">
        <v>2731</v>
      </c>
      <c r="B2471" s="2" t="s">
        <v>2732</v>
      </c>
      <c r="C2471">
        <v>3.177E-2</v>
      </c>
      <c r="D2471">
        <v>258</v>
      </c>
      <c r="E2471" t="s">
        <v>2731</v>
      </c>
      <c r="F2471">
        <v>258</v>
      </c>
      <c r="G2471" s="1">
        <v>45184</v>
      </c>
      <c r="H2471" s="6">
        <f t="shared" si="78"/>
        <v>3.4999999999999876</v>
      </c>
      <c r="I2471" s="7">
        <f t="shared" si="79"/>
        <v>3.4999999999999876</v>
      </c>
    </row>
    <row r="2472" spans="1:9" x14ac:dyDescent="0.2">
      <c r="A2472" t="s">
        <v>2733</v>
      </c>
      <c r="B2472">
        <v>2.5630000000000002</v>
      </c>
      <c r="C2472">
        <v>3.5889999999999998E-2</v>
      </c>
      <c r="D2472">
        <v>258</v>
      </c>
      <c r="E2472" t="s">
        <v>2733</v>
      </c>
      <c r="F2472">
        <v>258</v>
      </c>
      <c r="G2472" s="1">
        <v>45184</v>
      </c>
      <c r="H2472" s="6">
        <f t="shared" si="78"/>
        <v>3.5104166666666541</v>
      </c>
      <c r="I2472" s="7">
        <f t="shared" si="79"/>
        <v>3.5104166666666541</v>
      </c>
    </row>
    <row r="2473" spans="1:9" x14ac:dyDescent="0.2">
      <c r="A2473" t="s">
        <v>2734</v>
      </c>
      <c r="B2473">
        <v>2.7404999999999999</v>
      </c>
      <c r="C2473">
        <v>3.8385000000000002E-2</v>
      </c>
      <c r="D2473">
        <v>258</v>
      </c>
      <c r="E2473" t="s">
        <v>2734</v>
      </c>
      <c r="F2473">
        <v>258</v>
      </c>
      <c r="G2473" s="1">
        <v>45184</v>
      </c>
      <c r="H2473" s="6">
        <f t="shared" si="78"/>
        <v>3.5208333333333206</v>
      </c>
      <c r="I2473" s="7">
        <f t="shared" si="79"/>
        <v>3.5208333333333206</v>
      </c>
    </row>
    <row r="2474" spans="1:9" x14ac:dyDescent="0.2">
      <c r="A2474" t="s">
        <v>2735</v>
      </c>
      <c r="B2474">
        <v>2.8815</v>
      </c>
      <c r="C2474">
        <v>4.0364999999999998E-2</v>
      </c>
      <c r="D2474">
        <v>258</v>
      </c>
      <c r="E2474" t="s">
        <v>2735</v>
      </c>
      <c r="F2474">
        <v>258</v>
      </c>
      <c r="G2474" s="1">
        <v>45184</v>
      </c>
      <c r="H2474" s="6">
        <f t="shared" si="78"/>
        <v>3.5312499999999871</v>
      </c>
      <c r="I2474" s="7">
        <f t="shared" si="79"/>
        <v>3.5312499999999871</v>
      </c>
    </row>
    <row r="2475" spans="1:9" x14ac:dyDescent="0.2">
      <c r="A2475" t="s">
        <v>2736</v>
      </c>
      <c r="B2475">
        <v>3.0874999999999999</v>
      </c>
      <c r="C2475">
        <v>4.326E-2</v>
      </c>
      <c r="D2475">
        <v>258</v>
      </c>
      <c r="E2475" t="s">
        <v>2736</v>
      </c>
      <c r="F2475">
        <v>258</v>
      </c>
      <c r="G2475" s="1">
        <v>45184</v>
      </c>
      <c r="H2475" s="6">
        <f t="shared" si="78"/>
        <v>3.5416666666666536</v>
      </c>
      <c r="I2475" s="7">
        <f t="shared" si="79"/>
        <v>3.5416666666666536</v>
      </c>
    </row>
    <row r="2476" spans="1:9" x14ac:dyDescent="0.2">
      <c r="A2476" t="s">
        <v>2737</v>
      </c>
      <c r="B2476">
        <v>3.0830000000000002</v>
      </c>
      <c r="C2476">
        <v>4.3189999999999999E-2</v>
      </c>
      <c r="D2476">
        <v>258</v>
      </c>
      <c r="E2476" t="s">
        <v>2737</v>
      </c>
      <c r="F2476">
        <v>258</v>
      </c>
      <c r="G2476" s="1">
        <v>45184</v>
      </c>
      <c r="H2476" s="6">
        <f t="shared" si="78"/>
        <v>3.5520833333333202</v>
      </c>
      <c r="I2476" s="7">
        <f t="shared" si="79"/>
        <v>3.5520833333333202</v>
      </c>
    </row>
    <row r="2477" spans="1:9" x14ac:dyDescent="0.2">
      <c r="A2477" t="s">
        <v>2738</v>
      </c>
      <c r="B2477">
        <v>3.1960000000000002</v>
      </c>
      <c r="C2477">
        <v>4.4769999999999997E-2</v>
      </c>
      <c r="D2477">
        <v>258</v>
      </c>
      <c r="E2477" t="s">
        <v>2738</v>
      </c>
      <c r="F2477">
        <v>258</v>
      </c>
      <c r="G2477" s="1">
        <v>45184</v>
      </c>
      <c r="H2477" s="6">
        <f t="shared" si="78"/>
        <v>3.5624999999999867</v>
      </c>
      <c r="I2477" s="7">
        <f t="shared" si="79"/>
        <v>3.5624999999999867</v>
      </c>
    </row>
    <row r="2478" spans="1:9" x14ac:dyDescent="0.2">
      <c r="A2478" t="s">
        <v>2739</v>
      </c>
      <c r="B2478">
        <v>2.6764999999999999</v>
      </c>
      <c r="C2478">
        <v>3.7490000000000002E-2</v>
      </c>
      <c r="D2478">
        <v>258</v>
      </c>
      <c r="E2478" t="s">
        <v>2739</v>
      </c>
      <c r="F2478">
        <v>258</v>
      </c>
      <c r="G2478" s="1">
        <v>45184</v>
      </c>
      <c r="H2478" s="6">
        <f t="shared" si="78"/>
        <v>3.5729166666666532</v>
      </c>
      <c r="I2478" s="7">
        <f t="shared" si="79"/>
        <v>3.5729166666666532</v>
      </c>
    </row>
    <row r="2479" spans="1:9" x14ac:dyDescent="0.2">
      <c r="A2479" t="s">
        <v>2740</v>
      </c>
      <c r="B2479">
        <v>1.734</v>
      </c>
      <c r="C2479">
        <v>2.4295000000000001E-2</v>
      </c>
      <c r="D2479">
        <v>258</v>
      </c>
      <c r="E2479" t="s">
        <v>2740</v>
      </c>
      <c r="F2479">
        <v>258</v>
      </c>
      <c r="G2479" s="1">
        <v>45184</v>
      </c>
      <c r="H2479" s="6">
        <f t="shared" si="78"/>
        <v>3.5833333333333197</v>
      </c>
      <c r="I2479" s="7">
        <f t="shared" si="79"/>
        <v>3.5833333333333197</v>
      </c>
    </row>
    <row r="2480" spans="1:9" x14ac:dyDescent="0.2">
      <c r="A2480" t="s">
        <v>2741</v>
      </c>
      <c r="B2480">
        <v>1.8089999999999999</v>
      </c>
      <c r="C2480">
        <v>2.5329999999999998E-2</v>
      </c>
      <c r="D2480">
        <v>258</v>
      </c>
      <c r="E2480" t="s">
        <v>2741</v>
      </c>
      <c r="F2480">
        <v>258</v>
      </c>
      <c r="G2480" s="1">
        <v>45184</v>
      </c>
      <c r="H2480" s="6">
        <f t="shared" si="78"/>
        <v>3.5937499999999862</v>
      </c>
      <c r="I2480" s="7">
        <f t="shared" si="79"/>
        <v>3.5937499999999862</v>
      </c>
    </row>
    <row r="2481" spans="1:9" x14ac:dyDescent="0.2">
      <c r="A2481" t="s">
        <v>2742</v>
      </c>
      <c r="B2481">
        <v>1.595</v>
      </c>
      <c r="C2481">
        <v>2.2335000000000001E-2</v>
      </c>
      <c r="D2481">
        <v>258</v>
      </c>
      <c r="E2481" t="s">
        <v>2742</v>
      </c>
      <c r="F2481">
        <v>258</v>
      </c>
      <c r="G2481" s="1">
        <v>45184</v>
      </c>
      <c r="H2481" s="6">
        <f t="shared" si="78"/>
        <v>3.6041666666666528</v>
      </c>
      <c r="I2481" s="7">
        <f t="shared" si="79"/>
        <v>3.6041666666666528</v>
      </c>
    </row>
    <row r="2482" spans="1:9" x14ac:dyDescent="0.2">
      <c r="A2482" t="s">
        <v>2743</v>
      </c>
      <c r="B2482">
        <v>1.72</v>
      </c>
      <c r="C2482">
        <v>2.4094999999999998E-2</v>
      </c>
      <c r="D2482">
        <v>258</v>
      </c>
      <c r="E2482" t="s">
        <v>2743</v>
      </c>
      <c r="F2482">
        <v>258</v>
      </c>
      <c r="G2482" s="1">
        <v>45184</v>
      </c>
      <c r="H2482" s="6">
        <f t="shared" si="78"/>
        <v>3.6145833333333193</v>
      </c>
      <c r="I2482" s="7">
        <f t="shared" si="79"/>
        <v>3.6145833333333193</v>
      </c>
    </row>
    <row r="2483" spans="1:9" x14ac:dyDescent="0.2">
      <c r="A2483" t="s">
        <v>2744</v>
      </c>
      <c r="B2483">
        <v>1.5980000000000001</v>
      </c>
      <c r="C2483">
        <v>2.2374999999999999E-2</v>
      </c>
      <c r="D2483">
        <v>258</v>
      </c>
      <c r="E2483" t="s">
        <v>2744</v>
      </c>
      <c r="F2483">
        <v>258</v>
      </c>
      <c r="G2483" s="1">
        <v>45184</v>
      </c>
      <c r="H2483" s="6">
        <f t="shared" si="78"/>
        <v>3.6249999999999858</v>
      </c>
      <c r="I2483" s="7">
        <f t="shared" si="79"/>
        <v>3.6249999999999858</v>
      </c>
    </row>
    <row r="2484" spans="1:9" x14ac:dyDescent="0.2">
      <c r="A2484" t="s">
        <v>2745</v>
      </c>
      <c r="B2484">
        <v>1.4255</v>
      </c>
      <c r="C2484">
        <v>1.9994999999999999E-2</v>
      </c>
      <c r="D2484">
        <v>258</v>
      </c>
      <c r="E2484" t="s">
        <v>2745</v>
      </c>
      <c r="F2484">
        <v>258</v>
      </c>
      <c r="G2484" s="1">
        <v>45184</v>
      </c>
      <c r="H2484" s="6">
        <f t="shared" si="78"/>
        <v>3.6354166666666523</v>
      </c>
      <c r="I2484" s="7">
        <f t="shared" si="79"/>
        <v>3.6354166666666523</v>
      </c>
    </row>
    <row r="2485" spans="1:9" x14ac:dyDescent="0.2">
      <c r="A2485" t="s">
        <v>2746</v>
      </c>
      <c r="B2485">
        <v>1.3109999999999999</v>
      </c>
      <c r="C2485">
        <v>1.8355E-2</v>
      </c>
      <c r="D2485">
        <v>258</v>
      </c>
      <c r="E2485" t="s">
        <v>2746</v>
      </c>
      <c r="F2485">
        <v>258</v>
      </c>
      <c r="G2485" s="1">
        <v>45184</v>
      </c>
      <c r="H2485" s="6">
        <f t="shared" si="78"/>
        <v>3.6458333333333188</v>
      </c>
      <c r="I2485" s="7">
        <f t="shared" si="79"/>
        <v>3.6458333333333188</v>
      </c>
    </row>
    <row r="2486" spans="1:9" x14ac:dyDescent="0.2">
      <c r="A2486" t="s">
        <v>2747</v>
      </c>
      <c r="B2486">
        <v>0.96250000000000002</v>
      </c>
      <c r="C2486">
        <v>1.346E-2</v>
      </c>
      <c r="D2486">
        <v>258</v>
      </c>
      <c r="E2486" t="s">
        <v>2747</v>
      </c>
      <c r="F2486">
        <v>258</v>
      </c>
      <c r="G2486" s="1">
        <v>45184</v>
      </c>
      <c r="H2486" s="6">
        <f t="shared" si="78"/>
        <v>3.6562499999999853</v>
      </c>
      <c r="I2486" s="7">
        <f t="shared" si="79"/>
        <v>3.6562499999999853</v>
      </c>
    </row>
    <row r="2487" spans="1:9" x14ac:dyDescent="0.2">
      <c r="A2487" t="s">
        <v>2748</v>
      </c>
      <c r="B2487">
        <v>3.0625</v>
      </c>
      <c r="C2487" s="2" t="s">
        <v>2749</v>
      </c>
      <c r="D2487">
        <v>258</v>
      </c>
      <c r="E2487" t="s">
        <v>2748</v>
      </c>
      <c r="F2487">
        <v>258</v>
      </c>
      <c r="G2487" s="1">
        <v>45184</v>
      </c>
      <c r="H2487" s="6">
        <f t="shared" si="78"/>
        <v>3.6666666666666519</v>
      </c>
      <c r="I2487" s="7">
        <f t="shared" si="79"/>
        <v>3.6666666666666519</v>
      </c>
    </row>
    <row r="2488" spans="1:9" x14ac:dyDescent="0.2">
      <c r="A2488" t="s">
        <v>2750</v>
      </c>
      <c r="B2488" s="2" t="s">
        <v>2751</v>
      </c>
      <c r="C2488">
        <v>4.8495000000000003E-2</v>
      </c>
      <c r="D2488">
        <v>258</v>
      </c>
      <c r="E2488" t="s">
        <v>2750</v>
      </c>
      <c r="F2488">
        <v>258</v>
      </c>
      <c r="G2488" s="1">
        <v>45184</v>
      </c>
      <c r="H2488" s="6">
        <f t="shared" si="78"/>
        <v>3.6770833333333184</v>
      </c>
      <c r="I2488" s="7">
        <f t="shared" si="79"/>
        <v>3.6770833333333184</v>
      </c>
    </row>
    <row r="2489" spans="1:9" x14ac:dyDescent="0.2">
      <c r="A2489" t="s">
        <v>2752</v>
      </c>
      <c r="B2489">
        <v>4.1079999999999997</v>
      </c>
      <c r="C2489">
        <v>5.7544999999999999E-2</v>
      </c>
      <c r="D2489">
        <v>258</v>
      </c>
      <c r="E2489" t="s">
        <v>2752</v>
      </c>
      <c r="F2489">
        <v>258</v>
      </c>
      <c r="G2489" s="1">
        <v>45184</v>
      </c>
      <c r="H2489" s="6">
        <f t="shared" si="78"/>
        <v>3.6874999999999849</v>
      </c>
      <c r="I2489" s="7">
        <f t="shared" si="79"/>
        <v>3.6874999999999849</v>
      </c>
    </row>
    <row r="2490" spans="1:9" x14ac:dyDescent="0.2">
      <c r="A2490" t="s">
        <v>2753</v>
      </c>
      <c r="B2490">
        <v>4.1269999999999998</v>
      </c>
      <c r="C2490">
        <v>5.7790000000000001E-2</v>
      </c>
      <c r="D2490">
        <v>258</v>
      </c>
      <c r="E2490" t="s">
        <v>2753</v>
      </c>
      <c r="F2490">
        <v>258</v>
      </c>
      <c r="G2490" s="1">
        <v>45184</v>
      </c>
      <c r="H2490" s="6">
        <f t="shared" si="78"/>
        <v>3.6979166666666514</v>
      </c>
      <c r="I2490" s="7">
        <f t="shared" si="79"/>
        <v>3.6979166666666514</v>
      </c>
    </row>
    <row r="2491" spans="1:9" x14ac:dyDescent="0.2">
      <c r="A2491" t="s">
        <v>2754</v>
      </c>
      <c r="B2491">
        <v>4.2995000000000001</v>
      </c>
      <c r="C2491">
        <v>6.021E-2</v>
      </c>
      <c r="D2491">
        <v>258</v>
      </c>
      <c r="E2491" t="s">
        <v>2754</v>
      </c>
      <c r="F2491">
        <v>258</v>
      </c>
      <c r="G2491" s="1">
        <v>45184</v>
      </c>
      <c r="H2491" s="6">
        <f t="shared" si="78"/>
        <v>3.7083333333333179</v>
      </c>
      <c r="I2491" s="7">
        <f t="shared" si="79"/>
        <v>3.7083333333333179</v>
      </c>
    </row>
    <row r="2492" spans="1:9" x14ac:dyDescent="0.2">
      <c r="A2492" t="s">
        <v>2755</v>
      </c>
      <c r="B2492">
        <v>3.9965000000000002</v>
      </c>
      <c r="C2492">
        <v>5.5995000000000003E-2</v>
      </c>
      <c r="D2492">
        <v>258</v>
      </c>
      <c r="E2492" t="s">
        <v>2755</v>
      </c>
      <c r="F2492">
        <v>258</v>
      </c>
      <c r="G2492" s="1">
        <v>45184</v>
      </c>
      <c r="H2492" s="6">
        <f t="shared" si="78"/>
        <v>3.7187499999999845</v>
      </c>
      <c r="I2492" s="7">
        <f t="shared" si="79"/>
        <v>3.7187499999999845</v>
      </c>
    </row>
    <row r="2493" spans="1:9" x14ac:dyDescent="0.2">
      <c r="A2493" t="s">
        <v>2756</v>
      </c>
      <c r="B2493">
        <v>4.1764999999999999</v>
      </c>
      <c r="C2493">
        <v>5.8479999999999997E-2</v>
      </c>
      <c r="D2493">
        <v>259</v>
      </c>
      <c r="E2493" t="s">
        <v>2756</v>
      </c>
      <c r="F2493">
        <v>258</v>
      </c>
      <c r="G2493" s="1">
        <v>45184</v>
      </c>
      <c r="H2493" s="6">
        <f t="shared" si="78"/>
        <v>3.729166666666651</v>
      </c>
      <c r="I2493" s="7">
        <f t="shared" si="79"/>
        <v>3.729166666666651</v>
      </c>
    </row>
    <row r="2494" spans="1:9" x14ac:dyDescent="0.2">
      <c r="A2494" t="s">
        <v>2757</v>
      </c>
      <c r="B2494">
        <v>4.0385</v>
      </c>
      <c r="C2494">
        <v>5.6559999999999999E-2</v>
      </c>
      <c r="D2494">
        <v>259</v>
      </c>
      <c r="E2494" t="s">
        <v>2757</v>
      </c>
      <c r="F2494">
        <v>258</v>
      </c>
      <c r="G2494" s="1">
        <v>45184</v>
      </c>
      <c r="H2494" s="6">
        <f t="shared" si="78"/>
        <v>3.7395833333333175</v>
      </c>
      <c r="I2494" s="7">
        <f t="shared" si="79"/>
        <v>3.7395833333333175</v>
      </c>
    </row>
    <row r="2495" spans="1:9" x14ac:dyDescent="0.2">
      <c r="A2495" t="s">
        <v>2758</v>
      </c>
      <c r="B2495">
        <v>3.8094999999999999</v>
      </c>
      <c r="C2495">
        <v>5.3365000000000003E-2</v>
      </c>
      <c r="D2495">
        <v>259</v>
      </c>
      <c r="E2495" t="s">
        <v>2758</v>
      </c>
      <c r="F2495">
        <v>258</v>
      </c>
      <c r="G2495" s="1">
        <v>45184</v>
      </c>
      <c r="H2495" s="6">
        <f t="shared" si="78"/>
        <v>3.749999999999984</v>
      </c>
      <c r="I2495" s="7">
        <f t="shared" si="79"/>
        <v>3.749999999999984</v>
      </c>
    </row>
    <row r="2496" spans="1:9" x14ac:dyDescent="0.2">
      <c r="A2496" t="s">
        <v>2759</v>
      </c>
      <c r="B2496">
        <v>3.6185</v>
      </c>
      <c r="C2496">
        <v>5.0685000000000001E-2</v>
      </c>
      <c r="D2496">
        <v>259</v>
      </c>
      <c r="E2496" t="s">
        <v>2759</v>
      </c>
      <c r="F2496">
        <v>258</v>
      </c>
      <c r="G2496" s="1">
        <v>45184</v>
      </c>
      <c r="H2496" s="6">
        <f t="shared" si="78"/>
        <v>3.7604166666666505</v>
      </c>
      <c r="I2496" s="7">
        <f t="shared" si="79"/>
        <v>3.7604166666666505</v>
      </c>
    </row>
    <row r="2497" spans="1:9" x14ac:dyDescent="0.2">
      <c r="A2497" t="s">
        <v>2760</v>
      </c>
      <c r="B2497">
        <v>3.7345000000000002</v>
      </c>
      <c r="C2497">
        <v>5.2295000000000001E-2</v>
      </c>
      <c r="D2497">
        <v>259</v>
      </c>
      <c r="E2497" t="s">
        <v>2760</v>
      </c>
      <c r="F2497">
        <v>258</v>
      </c>
      <c r="G2497" s="1">
        <v>45184</v>
      </c>
      <c r="H2497" s="6">
        <f t="shared" si="78"/>
        <v>3.7708333333333171</v>
      </c>
      <c r="I2497" s="7">
        <f t="shared" si="79"/>
        <v>3.7708333333333171</v>
      </c>
    </row>
    <row r="2498" spans="1:9" x14ac:dyDescent="0.2">
      <c r="A2498" t="s">
        <v>2761</v>
      </c>
      <c r="B2498">
        <v>3.7679999999999998</v>
      </c>
      <c r="C2498">
        <v>5.2804999999999998E-2</v>
      </c>
      <c r="D2498">
        <v>259</v>
      </c>
      <c r="E2498" t="s">
        <v>2761</v>
      </c>
      <c r="F2498">
        <v>258</v>
      </c>
      <c r="G2498" s="1">
        <v>45184</v>
      </c>
      <c r="H2498" s="6">
        <f t="shared" si="78"/>
        <v>3.7812499999999836</v>
      </c>
      <c r="I2498" s="7">
        <f t="shared" si="79"/>
        <v>3.7812499999999836</v>
      </c>
    </row>
    <row r="2499" spans="1:9" x14ac:dyDescent="0.2">
      <c r="A2499" t="s">
        <v>2762</v>
      </c>
      <c r="B2499">
        <v>3.8039999999999998</v>
      </c>
      <c r="C2499">
        <v>5.3289999999999997E-2</v>
      </c>
      <c r="D2499">
        <v>259</v>
      </c>
      <c r="E2499" t="s">
        <v>2762</v>
      </c>
      <c r="F2499">
        <v>258</v>
      </c>
      <c r="G2499" s="1">
        <v>45184</v>
      </c>
      <c r="H2499" s="6">
        <f t="shared" si="78"/>
        <v>3.7916666666666501</v>
      </c>
      <c r="I2499" s="7">
        <f t="shared" si="79"/>
        <v>3.7916666666666501</v>
      </c>
    </row>
    <row r="2500" spans="1:9" x14ac:dyDescent="0.2">
      <c r="A2500" t="s">
        <v>2763</v>
      </c>
      <c r="B2500">
        <v>3.617</v>
      </c>
      <c r="C2500" s="2" t="s">
        <v>2764</v>
      </c>
      <c r="D2500">
        <v>259</v>
      </c>
      <c r="E2500" t="s">
        <v>2763</v>
      </c>
      <c r="F2500">
        <v>258</v>
      </c>
      <c r="G2500" s="1">
        <v>45184</v>
      </c>
      <c r="H2500" s="6">
        <f t="shared" si="78"/>
        <v>3.8020833333333166</v>
      </c>
      <c r="I2500" s="7">
        <f t="shared" si="79"/>
        <v>3.8020833333333166</v>
      </c>
    </row>
    <row r="2501" spans="1:9" x14ac:dyDescent="0.2">
      <c r="A2501" t="s">
        <v>2765</v>
      </c>
      <c r="B2501">
        <v>3.6859999999999999</v>
      </c>
      <c r="C2501" s="2" t="s">
        <v>2545</v>
      </c>
      <c r="D2501">
        <v>259</v>
      </c>
      <c r="E2501" t="s">
        <v>2765</v>
      </c>
      <c r="F2501">
        <v>258</v>
      </c>
      <c r="G2501" s="1">
        <v>45184</v>
      </c>
      <c r="H2501" s="6">
        <f t="shared" si="78"/>
        <v>3.8124999999999831</v>
      </c>
      <c r="I2501" s="7">
        <f t="shared" si="79"/>
        <v>3.8124999999999831</v>
      </c>
    </row>
    <row r="2502" spans="1:9" x14ac:dyDescent="0.2">
      <c r="A2502" t="s">
        <v>2766</v>
      </c>
      <c r="B2502">
        <v>3.7444999999999999</v>
      </c>
      <c r="C2502">
        <v>5.246E-2</v>
      </c>
      <c r="D2502">
        <v>259</v>
      </c>
      <c r="E2502" t="s">
        <v>2766</v>
      </c>
      <c r="F2502">
        <v>258</v>
      </c>
      <c r="G2502" s="1">
        <v>45184</v>
      </c>
      <c r="H2502" s="6">
        <f t="shared" si="78"/>
        <v>3.8229166666666496</v>
      </c>
      <c r="I2502" s="7">
        <f t="shared" si="79"/>
        <v>3.8229166666666496</v>
      </c>
    </row>
    <row r="2503" spans="1:9" x14ac:dyDescent="0.2">
      <c r="A2503" t="s">
        <v>2767</v>
      </c>
      <c r="B2503">
        <v>3.8955000000000002</v>
      </c>
      <c r="C2503">
        <v>5.4554999999999999E-2</v>
      </c>
      <c r="D2503">
        <v>259</v>
      </c>
      <c r="E2503" t="s">
        <v>2767</v>
      </c>
      <c r="F2503">
        <v>258</v>
      </c>
      <c r="G2503" s="1">
        <v>45184</v>
      </c>
      <c r="H2503" s="6">
        <f t="shared" si="78"/>
        <v>3.8333333333333162</v>
      </c>
      <c r="I2503" s="7">
        <f t="shared" si="79"/>
        <v>3.8333333333333162</v>
      </c>
    </row>
    <row r="2504" spans="1:9" x14ac:dyDescent="0.2">
      <c r="A2504" t="s">
        <v>2768</v>
      </c>
      <c r="B2504">
        <v>3.7894999999999999</v>
      </c>
      <c r="C2504">
        <v>5.3089999999999998E-2</v>
      </c>
      <c r="D2504">
        <v>259</v>
      </c>
      <c r="E2504" t="s">
        <v>2768</v>
      </c>
      <c r="F2504">
        <v>258</v>
      </c>
      <c r="G2504" s="1">
        <v>45184</v>
      </c>
      <c r="H2504" s="6">
        <f t="shared" si="78"/>
        <v>3.8437499999999827</v>
      </c>
      <c r="I2504" s="7">
        <f t="shared" si="79"/>
        <v>3.8437499999999827</v>
      </c>
    </row>
    <row r="2505" spans="1:9" x14ac:dyDescent="0.2">
      <c r="A2505" t="s">
        <v>2769</v>
      </c>
      <c r="B2505" s="2" t="s">
        <v>2770</v>
      </c>
      <c r="C2505">
        <v>5.3835000000000001E-2</v>
      </c>
      <c r="D2505">
        <v>259</v>
      </c>
      <c r="E2505" t="s">
        <v>2769</v>
      </c>
      <c r="F2505">
        <v>258</v>
      </c>
      <c r="G2505" s="1">
        <v>45184</v>
      </c>
      <c r="H2505" s="6">
        <f t="shared" si="78"/>
        <v>3.8541666666666492</v>
      </c>
      <c r="I2505" s="7">
        <f t="shared" si="79"/>
        <v>3.8541666666666492</v>
      </c>
    </row>
    <row r="2506" spans="1:9" x14ac:dyDescent="0.2">
      <c r="A2506" t="s">
        <v>2771</v>
      </c>
      <c r="B2506">
        <v>3.9405000000000001</v>
      </c>
      <c r="C2506">
        <v>5.518E-2</v>
      </c>
      <c r="D2506">
        <v>259</v>
      </c>
      <c r="E2506" t="s">
        <v>2771</v>
      </c>
      <c r="F2506">
        <v>258</v>
      </c>
      <c r="G2506" s="1">
        <v>45184</v>
      </c>
      <c r="H2506" s="6">
        <f t="shared" si="78"/>
        <v>3.8645833333333157</v>
      </c>
      <c r="I2506" s="7">
        <f t="shared" si="79"/>
        <v>3.8645833333333157</v>
      </c>
    </row>
    <row r="2507" spans="1:9" x14ac:dyDescent="0.2">
      <c r="A2507" t="s">
        <v>2772</v>
      </c>
      <c r="B2507">
        <v>3.952</v>
      </c>
      <c r="C2507">
        <v>5.5359999999999999E-2</v>
      </c>
      <c r="D2507">
        <v>259</v>
      </c>
      <c r="E2507" t="s">
        <v>2772</v>
      </c>
      <c r="F2507">
        <v>258</v>
      </c>
      <c r="G2507" s="1">
        <v>45184</v>
      </c>
      <c r="H2507" s="6">
        <f t="shared" si="78"/>
        <v>3.8749999999999822</v>
      </c>
      <c r="I2507" s="7">
        <f t="shared" si="79"/>
        <v>3.8749999999999822</v>
      </c>
    </row>
    <row r="2508" spans="1:9" x14ac:dyDescent="0.2">
      <c r="A2508" t="s">
        <v>2773</v>
      </c>
      <c r="B2508">
        <v>3.8820000000000001</v>
      </c>
      <c r="C2508">
        <v>5.4359999999999999E-2</v>
      </c>
      <c r="D2508">
        <v>259</v>
      </c>
      <c r="E2508" t="s">
        <v>2773</v>
      </c>
      <c r="F2508">
        <v>258</v>
      </c>
      <c r="G2508" s="1">
        <v>45184</v>
      </c>
      <c r="H2508" s="6">
        <f t="shared" si="78"/>
        <v>3.8854166666666488</v>
      </c>
      <c r="I2508" s="7">
        <f t="shared" si="79"/>
        <v>3.8854166666666488</v>
      </c>
    </row>
    <row r="2509" spans="1:9" x14ac:dyDescent="0.2">
      <c r="A2509" t="s">
        <v>2774</v>
      </c>
      <c r="B2509">
        <v>3.9359999999999999</v>
      </c>
      <c r="C2509">
        <v>5.5129999999999998E-2</v>
      </c>
      <c r="D2509">
        <v>259</v>
      </c>
      <c r="E2509" t="s">
        <v>2774</v>
      </c>
      <c r="F2509">
        <v>258</v>
      </c>
      <c r="G2509" s="1">
        <v>45184</v>
      </c>
      <c r="H2509" s="6">
        <f t="shared" si="78"/>
        <v>3.8958333333333153</v>
      </c>
      <c r="I2509" s="7">
        <f t="shared" si="79"/>
        <v>3.8958333333333153</v>
      </c>
    </row>
    <row r="2510" spans="1:9" x14ac:dyDescent="0.2">
      <c r="A2510" t="s">
        <v>2775</v>
      </c>
      <c r="B2510">
        <v>3.9769999999999999</v>
      </c>
      <c r="C2510" s="2" t="s">
        <v>392</v>
      </c>
      <c r="D2510">
        <v>259</v>
      </c>
      <c r="E2510" t="s">
        <v>2775</v>
      </c>
      <c r="F2510">
        <v>258</v>
      </c>
      <c r="G2510" s="1">
        <v>45184</v>
      </c>
      <c r="H2510" s="6">
        <f t="shared" si="78"/>
        <v>3.9062499999999818</v>
      </c>
      <c r="I2510" s="7">
        <f t="shared" si="79"/>
        <v>3.9062499999999818</v>
      </c>
    </row>
    <row r="2511" spans="1:9" x14ac:dyDescent="0.2">
      <c r="A2511" t="s">
        <v>2776</v>
      </c>
      <c r="B2511">
        <v>3.9315000000000002</v>
      </c>
      <c r="C2511">
        <v>5.5055E-2</v>
      </c>
      <c r="D2511">
        <v>259</v>
      </c>
      <c r="E2511" t="s">
        <v>2776</v>
      </c>
      <c r="F2511">
        <v>258</v>
      </c>
      <c r="G2511" s="1">
        <v>45184</v>
      </c>
      <c r="H2511" s="6">
        <f t="shared" si="78"/>
        <v>3.9166666666666483</v>
      </c>
      <c r="I2511" s="7">
        <f t="shared" si="79"/>
        <v>3.9166666666666483</v>
      </c>
    </row>
    <row r="2512" spans="1:9" x14ac:dyDescent="0.2">
      <c r="A2512" t="s">
        <v>2777</v>
      </c>
      <c r="B2512" s="2" t="s">
        <v>2778</v>
      </c>
      <c r="C2512">
        <v>5.6505E-2</v>
      </c>
      <c r="D2512">
        <v>259</v>
      </c>
      <c r="E2512" t="s">
        <v>2777</v>
      </c>
      <c r="F2512">
        <v>258</v>
      </c>
      <c r="G2512" s="1">
        <v>45184</v>
      </c>
      <c r="H2512" s="6">
        <f t="shared" si="78"/>
        <v>3.9270833333333148</v>
      </c>
      <c r="I2512" s="7">
        <f t="shared" si="79"/>
        <v>3.9270833333333148</v>
      </c>
    </row>
    <row r="2513" spans="1:9" x14ac:dyDescent="0.2">
      <c r="A2513" t="s">
        <v>2779</v>
      </c>
      <c r="B2513">
        <v>4.0694999999999997</v>
      </c>
      <c r="C2513">
        <v>5.7009999999999998E-2</v>
      </c>
      <c r="D2513">
        <v>259</v>
      </c>
      <c r="E2513" t="s">
        <v>2779</v>
      </c>
      <c r="F2513">
        <v>258</v>
      </c>
      <c r="G2513" s="1">
        <v>45184</v>
      </c>
      <c r="H2513" s="6">
        <f t="shared" si="78"/>
        <v>3.9374999999999813</v>
      </c>
      <c r="I2513" s="7">
        <f t="shared" si="79"/>
        <v>3.9374999999999813</v>
      </c>
    </row>
    <row r="2514" spans="1:9" x14ac:dyDescent="0.2">
      <c r="A2514" t="s">
        <v>2780</v>
      </c>
      <c r="B2514">
        <v>4.1124999999999998</v>
      </c>
      <c r="C2514">
        <v>5.7590000000000002E-2</v>
      </c>
      <c r="D2514">
        <v>259</v>
      </c>
      <c r="E2514" t="s">
        <v>2780</v>
      </c>
      <c r="F2514">
        <v>258</v>
      </c>
      <c r="G2514" s="1">
        <v>45184</v>
      </c>
      <c r="H2514" s="6">
        <f t="shared" si="78"/>
        <v>3.9479166666666479</v>
      </c>
      <c r="I2514" s="7">
        <f t="shared" si="79"/>
        <v>3.9479166666666479</v>
      </c>
    </row>
    <row r="2515" spans="1:9" x14ac:dyDescent="0.2">
      <c r="A2515" t="s">
        <v>2781</v>
      </c>
      <c r="B2515">
        <v>4.1215000000000002</v>
      </c>
      <c r="C2515">
        <v>5.7735000000000002E-2</v>
      </c>
      <c r="D2515">
        <v>259</v>
      </c>
      <c r="E2515" t="s">
        <v>2781</v>
      </c>
      <c r="F2515">
        <v>258</v>
      </c>
      <c r="G2515" s="1">
        <v>45184</v>
      </c>
      <c r="H2515" s="6">
        <f t="shared" si="78"/>
        <v>3.9583333333333144</v>
      </c>
      <c r="I2515" s="7">
        <f t="shared" si="79"/>
        <v>3.9583333333333144</v>
      </c>
    </row>
    <row r="2516" spans="1:9" x14ac:dyDescent="0.2">
      <c r="A2516" t="s">
        <v>2782</v>
      </c>
      <c r="B2516">
        <v>4.1174999999999997</v>
      </c>
      <c r="C2516">
        <v>5.7674999999999997E-2</v>
      </c>
      <c r="D2516">
        <v>259</v>
      </c>
      <c r="E2516" t="s">
        <v>2782</v>
      </c>
      <c r="F2516">
        <v>258</v>
      </c>
      <c r="G2516" s="1">
        <v>45184</v>
      </c>
      <c r="H2516" s="6">
        <f t="shared" si="78"/>
        <v>3.9687499999999809</v>
      </c>
      <c r="I2516" s="7">
        <f t="shared" si="79"/>
        <v>3.9687499999999809</v>
      </c>
    </row>
    <row r="2517" spans="1:9" x14ac:dyDescent="0.2">
      <c r="A2517" t="s">
        <v>2783</v>
      </c>
      <c r="B2517">
        <v>3.98</v>
      </c>
      <c r="C2517">
        <v>5.5754999999999999E-2</v>
      </c>
      <c r="D2517">
        <v>259</v>
      </c>
      <c r="E2517" t="s">
        <v>2783</v>
      </c>
      <c r="F2517">
        <v>259</v>
      </c>
      <c r="G2517" s="1">
        <v>45185</v>
      </c>
      <c r="H2517" s="6">
        <f t="shared" si="78"/>
        <v>3.9791666666666474</v>
      </c>
      <c r="I2517" s="7">
        <f t="shared" si="79"/>
        <v>3.9791666666666474</v>
      </c>
    </row>
    <row r="2518" spans="1:9" x14ac:dyDescent="0.2">
      <c r="A2518" t="s">
        <v>2784</v>
      </c>
      <c r="B2518">
        <v>4.1790000000000003</v>
      </c>
      <c r="C2518">
        <v>5.8540000000000002E-2</v>
      </c>
      <c r="D2518">
        <v>259</v>
      </c>
      <c r="E2518" t="s">
        <v>2784</v>
      </c>
      <c r="F2518">
        <v>259</v>
      </c>
      <c r="G2518" s="1">
        <v>45185</v>
      </c>
      <c r="H2518" s="6">
        <f t="shared" si="78"/>
        <v>3.9895833333333139</v>
      </c>
      <c r="I2518" s="7">
        <f t="shared" si="79"/>
        <v>3.9895833333333139</v>
      </c>
    </row>
    <row r="2519" spans="1:9" x14ac:dyDescent="0.2">
      <c r="A2519" t="s">
        <v>2785</v>
      </c>
      <c r="B2519">
        <v>4.2495000000000003</v>
      </c>
      <c r="C2519">
        <v>5.9499999999999997E-2</v>
      </c>
      <c r="D2519">
        <v>259</v>
      </c>
      <c r="E2519" t="s">
        <v>2785</v>
      </c>
      <c r="F2519">
        <v>259</v>
      </c>
      <c r="G2519" s="1">
        <v>45185</v>
      </c>
      <c r="H2519" s="6">
        <f t="shared" si="78"/>
        <v>3.9999999999999805</v>
      </c>
      <c r="I2519" s="7">
        <f t="shared" si="79"/>
        <v>3.9999999999999805</v>
      </c>
    </row>
    <row r="2520" spans="1:9" x14ac:dyDescent="0.2">
      <c r="A2520" t="s">
        <v>2786</v>
      </c>
      <c r="B2520">
        <v>4.2530000000000001</v>
      </c>
      <c r="C2520">
        <v>5.9554999999999997E-2</v>
      </c>
      <c r="D2520">
        <v>259</v>
      </c>
      <c r="E2520" t="s">
        <v>2786</v>
      </c>
      <c r="F2520">
        <v>259</v>
      </c>
      <c r="G2520" s="1">
        <v>45185</v>
      </c>
      <c r="H2520" s="6">
        <f t="shared" si="78"/>
        <v>4.0104166666666474</v>
      </c>
      <c r="I2520" s="7">
        <f t="shared" si="79"/>
        <v>4.0104166666666474</v>
      </c>
    </row>
    <row r="2521" spans="1:9" x14ac:dyDescent="0.2">
      <c r="A2521" t="s">
        <v>2787</v>
      </c>
      <c r="B2521">
        <v>4.1680000000000001</v>
      </c>
      <c r="C2521">
        <v>5.8384999999999999E-2</v>
      </c>
      <c r="D2521">
        <v>259</v>
      </c>
      <c r="E2521" t="s">
        <v>2787</v>
      </c>
      <c r="F2521">
        <v>259</v>
      </c>
      <c r="G2521" s="1">
        <v>45185</v>
      </c>
      <c r="H2521" s="6">
        <f t="shared" si="78"/>
        <v>4.0208333333333144</v>
      </c>
      <c r="I2521" s="7">
        <f t="shared" si="79"/>
        <v>4.0208333333333144</v>
      </c>
    </row>
    <row r="2522" spans="1:9" x14ac:dyDescent="0.2">
      <c r="A2522" t="s">
        <v>2788</v>
      </c>
      <c r="B2522">
        <v>4.2404999999999999</v>
      </c>
      <c r="C2522">
        <v>5.9380000000000002E-2</v>
      </c>
      <c r="D2522">
        <v>259</v>
      </c>
      <c r="E2522" t="s">
        <v>2788</v>
      </c>
      <c r="F2522">
        <v>259</v>
      </c>
      <c r="G2522" s="1">
        <v>45185</v>
      </c>
      <c r="H2522" s="6">
        <f t="shared" si="78"/>
        <v>4.0312499999999813</v>
      </c>
      <c r="I2522" s="7">
        <f t="shared" si="79"/>
        <v>4.0312499999999813</v>
      </c>
    </row>
    <row r="2523" spans="1:9" x14ac:dyDescent="0.2">
      <c r="A2523" t="s">
        <v>2789</v>
      </c>
      <c r="B2523">
        <v>4.13</v>
      </c>
      <c r="C2523">
        <v>5.7865E-2</v>
      </c>
      <c r="D2523">
        <v>259</v>
      </c>
      <c r="E2523" t="s">
        <v>2789</v>
      </c>
      <c r="F2523">
        <v>259</v>
      </c>
      <c r="G2523" s="1">
        <v>45185</v>
      </c>
      <c r="H2523" s="6">
        <f t="shared" si="78"/>
        <v>4.0416666666666483</v>
      </c>
      <c r="I2523" s="7">
        <f t="shared" si="79"/>
        <v>4.0416666666666483</v>
      </c>
    </row>
    <row r="2524" spans="1:9" x14ac:dyDescent="0.2">
      <c r="A2524" t="s">
        <v>2790</v>
      </c>
      <c r="B2524">
        <v>4.2725</v>
      </c>
      <c r="C2524">
        <v>5.9834999999999999E-2</v>
      </c>
      <c r="D2524">
        <v>259</v>
      </c>
      <c r="E2524" t="s">
        <v>2790</v>
      </c>
      <c r="F2524">
        <v>259</v>
      </c>
      <c r="G2524" s="1">
        <v>45185</v>
      </c>
      <c r="H2524" s="6">
        <f t="shared" ref="H2524:H2587" si="80">H2523+$K$1</f>
        <v>4.0520833333333153</v>
      </c>
      <c r="I2524" s="7">
        <f t="shared" ref="I2524:I2587" si="81">I2523+$K$1</f>
        <v>4.0520833333333153</v>
      </c>
    </row>
    <row r="2525" spans="1:9" x14ac:dyDescent="0.2">
      <c r="A2525" t="s">
        <v>2791</v>
      </c>
      <c r="B2525">
        <v>4.1624999999999996</v>
      </c>
      <c r="C2525">
        <v>5.8314999999999999E-2</v>
      </c>
      <c r="D2525">
        <v>259</v>
      </c>
      <c r="E2525" t="s">
        <v>2791</v>
      </c>
      <c r="F2525">
        <v>259</v>
      </c>
      <c r="G2525" s="1">
        <v>45185</v>
      </c>
      <c r="H2525" s="6">
        <f t="shared" si="80"/>
        <v>4.0624999999999822</v>
      </c>
      <c r="I2525" s="7">
        <f t="shared" si="81"/>
        <v>4.0624999999999822</v>
      </c>
    </row>
    <row r="2526" spans="1:9" x14ac:dyDescent="0.2">
      <c r="A2526" t="s">
        <v>2792</v>
      </c>
      <c r="B2526">
        <v>4.2895000000000003</v>
      </c>
      <c r="C2526">
        <v>6.0089999999999998E-2</v>
      </c>
      <c r="D2526">
        <v>259</v>
      </c>
      <c r="E2526" t="s">
        <v>2792</v>
      </c>
      <c r="F2526">
        <v>259</v>
      </c>
      <c r="G2526" s="1">
        <v>45185</v>
      </c>
      <c r="H2526" s="6">
        <f t="shared" si="80"/>
        <v>4.0729166666666492</v>
      </c>
      <c r="I2526" s="7">
        <f t="shared" si="81"/>
        <v>4.0729166666666492</v>
      </c>
    </row>
    <row r="2527" spans="1:9" x14ac:dyDescent="0.2">
      <c r="A2527" t="s">
        <v>2793</v>
      </c>
      <c r="B2527">
        <v>4.26</v>
      </c>
      <c r="C2527">
        <v>5.9665000000000003E-2</v>
      </c>
      <c r="D2527">
        <v>259</v>
      </c>
      <c r="E2527" t="s">
        <v>2793</v>
      </c>
      <c r="F2527">
        <v>259</v>
      </c>
      <c r="G2527" s="1">
        <v>45185</v>
      </c>
      <c r="H2527" s="6">
        <f t="shared" si="80"/>
        <v>4.0833333333333162</v>
      </c>
      <c r="I2527" s="7">
        <f t="shared" si="81"/>
        <v>4.0833333333333162</v>
      </c>
    </row>
    <row r="2528" spans="1:9" x14ac:dyDescent="0.2">
      <c r="A2528" t="s">
        <v>2794</v>
      </c>
      <c r="B2528">
        <v>4.3055000000000003</v>
      </c>
      <c r="C2528">
        <v>6.0310000000000002E-2</v>
      </c>
      <c r="D2528">
        <v>259</v>
      </c>
      <c r="E2528" t="s">
        <v>2794</v>
      </c>
      <c r="F2528">
        <v>259</v>
      </c>
      <c r="G2528" s="1">
        <v>45185</v>
      </c>
      <c r="H2528" s="6">
        <f t="shared" si="80"/>
        <v>4.0937499999999831</v>
      </c>
      <c r="I2528" s="7">
        <f t="shared" si="81"/>
        <v>4.0937499999999831</v>
      </c>
    </row>
    <row r="2529" spans="1:9" x14ac:dyDescent="0.2">
      <c r="A2529" t="s">
        <v>2795</v>
      </c>
      <c r="B2529">
        <v>4.2350000000000003</v>
      </c>
      <c r="C2529">
        <v>5.9315E-2</v>
      </c>
      <c r="D2529">
        <v>259</v>
      </c>
      <c r="E2529" t="s">
        <v>2795</v>
      </c>
      <c r="F2529">
        <v>259</v>
      </c>
      <c r="G2529" s="1">
        <v>45185</v>
      </c>
      <c r="H2529" s="6">
        <f t="shared" si="80"/>
        <v>4.1041666666666501</v>
      </c>
      <c r="I2529" s="7">
        <f t="shared" si="81"/>
        <v>4.1041666666666501</v>
      </c>
    </row>
    <row r="2530" spans="1:9" x14ac:dyDescent="0.2">
      <c r="A2530" t="s">
        <v>2796</v>
      </c>
      <c r="B2530">
        <v>4.2234999999999996</v>
      </c>
      <c r="C2530">
        <v>5.917E-2</v>
      </c>
      <c r="D2530">
        <v>259</v>
      </c>
      <c r="E2530" t="s">
        <v>2796</v>
      </c>
      <c r="F2530">
        <v>259</v>
      </c>
      <c r="G2530" s="1">
        <v>45185</v>
      </c>
      <c r="H2530" s="6">
        <f t="shared" si="80"/>
        <v>4.1145833333333171</v>
      </c>
      <c r="I2530" s="7">
        <f t="shared" si="81"/>
        <v>4.1145833333333171</v>
      </c>
    </row>
    <row r="2531" spans="1:9" x14ac:dyDescent="0.2">
      <c r="A2531" t="s">
        <v>2797</v>
      </c>
      <c r="B2531">
        <v>4.1005000000000003</v>
      </c>
      <c r="C2531" s="2" t="s">
        <v>2798</v>
      </c>
      <c r="D2531">
        <v>259</v>
      </c>
      <c r="E2531" t="s">
        <v>2797</v>
      </c>
      <c r="F2531">
        <v>259</v>
      </c>
      <c r="G2531" s="1">
        <v>45185</v>
      </c>
      <c r="H2531" s="6">
        <f t="shared" si="80"/>
        <v>4.124999999999984</v>
      </c>
      <c r="I2531" s="7">
        <f t="shared" si="81"/>
        <v>4.124999999999984</v>
      </c>
    </row>
    <row r="2532" spans="1:9" x14ac:dyDescent="0.2">
      <c r="A2532" t="s">
        <v>2799</v>
      </c>
      <c r="B2532">
        <v>3.8995000000000002</v>
      </c>
      <c r="C2532">
        <v>5.4620000000000002E-2</v>
      </c>
      <c r="D2532">
        <v>259</v>
      </c>
      <c r="E2532" t="s">
        <v>2799</v>
      </c>
      <c r="F2532">
        <v>259</v>
      </c>
      <c r="G2532" s="1">
        <v>45185</v>
      </c>
      <c r="H2532" s="6">
        <f t="shared" si="80"/>
        <v>4.135416666666651</v>
      </c>
      <c r="I2532" s="7">
        <f t="shared" si="81"/>
        <v>4.135416666666651</v>
      </c>
    </row>
    <row r="2533" spans="1:9" x14ac:dyDescent="0.2">
      <c r="A2533" t="s">
        <v>2800</v>
      </c>
      <c r="B2533">
        <v>3.8805000000000001</v>
      </c>
      <c r="C2533">
        <v>5.4350000000000002E-2</v>
      </c>
      <c r="D2533">
        <v>259</v>
      </c>
      <c r="E2533" t="s">
        <v>2800</v>
      </c>
      <c r="F2533">
        <v>259</v>
      </c>
      <c r="G2533" s="1">
        <v>45185</v>
      </c>
      <c r="H2533" s="6">
        <f t="shared" si="80"/>
        <v>4.1458333333333179</v>
      </c>
      <c r="I2533" s="7">
        <f t="shared" si="81"/>
        <v>4.1458333333333179</v>
      </c>
    </row>
    <row r="2534" spans="1:9" x14ac:dyDescent="0.2">
      <c r="A2534" t="s">
        <v>2801</v>
      </c>
      <c r="B2534">
        <v>3.6015000000000001</v>
      </c>
      <c r="C2534">
        <v>5.0444999999999997E-2</v>
      </c>
      <c r="D2534">
        <v>259</v>
      </c>
      <c r="E2534" t="s">
        <v>2801</v>
      </c>
      <c r="F2534">
        <v>259</v>
      </c>
      <c r="G2534" s="1">
        <v>45185</v>
      </c>
      <c r="H2534" s="6">
        <f t="shared" si="80"/>
        <v>4.1562499999999849</v>
      </c>
      <c r="I2534" s="7">
        <f t="shared" si="81"/>
        <v>4.1562499999999849</v>
      </c>
    </row>
    <row r="2535" spans="1:9" x14ac:dyDescent="0.2">
      <c r="A2535" t="s">
        <v>2802</v>
      </c>
      <c r="B2535">
        <v>3.4015</v>
      </c>
      <c r="C2535">
        <v>4.7660000000000001E-2</v>
      </c>
      <c r="D2535">
        <v>259</v>
      </c>
      <c r="E2535" t="s">
        <v>2802</v>
      </c>
      <c r="F2535">
        <v>259</v>
      </c>
      <c r="G2535" s="1">
        <v>45185</v>
      </c>
      <c r="H2535" s="6">
        <f t="shared" si="80"/>
        <v>4.1666666666666519</v>
      </c>
      <c r="I2535" s="7">
        <f t="shared" si="81"/>
        <v>4.1666666666666519</v>
      </c>
    </row>
    <row r="2536" spans="1:9" x14ac:dyDescent="0.2">
      <c r="A2536" t="s">
        <v>2803</v>
      </c>
      <c r="B2536">
        <v>3.3170000000000002</v>
      </c>
      <c r="C2536" s="2" t="s">
        <v>2804</v>
      </c>
      <c r="D2536">
        <v>259</v>
      </c>
      <c r="E2536" t="s">
        <v>2803</v>
      </c>
      <c r="F2536">
        <v>259</v>
      </c>
      <c r="G2536" s="1">
        <v>45185</v>
      </c>
      <c r="H2536" s="6">
        <f t="shared" si="80"/>
        <v>4.1770833333333188</v>
      </c>
      <c r="I2536" s="7">
        <f t="shared" si="81"/>
        <v>4.1770833333333188</v>
      </c>
    </row>
    <row r="2537" spans="1:9" x14ac:dyDescent="0.2">
      <c r="A2537" t="s">
        <v>2805</v>
      </c>
      <c r="B2537">
        <v>3.1815000000000002</v>
      </c>
      <c r="C2537">
        <v>4.4574999999999997E-2</v>
      </c>
      <c r="D2537">
        <v>259</v>
      </c>
      <c r="E2537" t="s">
        <v>2805</v>
      </c>
      <c r="F2537">
        <v>259</v>
      </c>
      <c r="G2537" s="1">
        <v>45185</v>
      </c>
      <c r="H2537" s="6">
        <f t="shared" si="80"/>
        <v>4.1874999999999858</v>
      </c>
      <c r="I2537" s="7">
        <f t="shared" si="81"/>
        <v>4.1874999999999858</v>
      </c>
    </row>
    <row r="2538" spans="1:9" x14ac:dyDescent="0.2">
      <c r="A2538" t="s">
        <v>2806</v>
      </c>
      <c r="B2538">
        <v>2.996</v>
      </c>
      <c r="C2538">
        <v>4.1965000000000002E-2</v>
      </c>
      <c r="D2538">
        <v>259</v>
      </c>
      <c r="E2538" t="s">
        <v>2806</v>
      </c>
      <c r="F2538">
        <v>259</v>
      </c>
      <c r="G2538" s="1">
        <v>45185</v>
      </c>
      <c r="H2538" s="6">
        <f t="shared" si="80"/>
        <v>4.1979166666666528</v>
      </c>
      <c r="I2538" s="7">
        <f t="shared" si="81"/>
        <v>4.1979166666666528</v>
      </c>
    </row>
    <row r="2539" spans="1:9" x14ac:dyDescent="0.2">
      <c r="A2539" t="s">
        <v>2807</v>
      </c>
      <c r="B2539">
        <v>2.7490000000000001</v>
      </c>
      <c r="C2539">
        <v>3.8510000000000003E-2</v>
      </c>
      <c r="D2539">
        <v>259</v>
      </c>
      <c r="E2539" t="s">
        <v>2807</v>
      </c>
      <c r="F2539">
        <v>259</v>
      </c>
      <c r="G2539" s="1">
        <v>45185</v>
      </c>
      <c r="H2539" s="6">
        <f t="shared" si="80"/>
        <v>4.2083333333333197</v>
      </c>
      <c r="I2539" s="7">
        <f t="shared" si="81"/>
        <v>4.2083333333333197</v>
      </c>
    </row>
    <row r="2540" spans="1:9" x14ac:dyDescent="0.2">
      <c r="A2540" t="s">
        <v>2808</v>
      </c>
      <c r="B2540">
        <v>2.5994999999999999</v>
      </c>
      <c r="C2540">
        <v>3.6415000000000003E-2</v>
      </c>
      <c r="D2540">
        <v>259</v>
      </c>
      <c r="E2540" t="s">
        <v>2808</v>
      </c>
      <c r="F2540">
        <v>259</v>
      </c>
      <c r="G2540" s="1">
        <v>45185</v>
      </c>
      <c r="H2540" s="6">
        <f t="shared" si="80"/>
        <v>4.2187499999999867</v>
      </c>
      <c r="I2540" s="7">
        <f t="shared" si="81"/>
        <v>4.2187499999999867</v>
      </c>
    </row>
    <row r="2541" spans="1:9" x14ac:dyDescent="0.2">
      <c r="A2541" t="s">
        <v>2809</v>
      </c>
      <c r="B2541">
        <v>2.3119999999999998</v>
      </c>
      <c r="C2541">
        <v>3.2384999999999997E-2</v>
      </c>
      <c r="D2541">
        <v>259</v>
      </c>
      <c r="E2541" t="s">
        <v>2809</v>
      </c>
      <c r="F2541">
        <v>259</v>
      </c>
      <c r="G2541" s="1">
        <v>45185</v>
      </c>
      <c r="H2541" s="6">
        <f t="shared" si="80"/>
        <v>4.2291666666666536</v>
      </c>
      <c r="I2541" s="7">
        <f t="shared" si="81"/>
        <v>4.2291666666666536</v>
      </c>
    </row>
    <row r="2542" spans="1:9" x14ac:dyDescent="0.2">
      <c r="A2542" t="s">
        <v>2810</v>
      </c>
      <c r="B2542">
        <v>1.8514999999999999</v>
      </c>
      <c r="C2542">
        <v>2.5944999999999999E-2</v>
      </c>
      <c r="D2542">
        <v>259</v>
      </c>
      <c r="E2542" t="s">
        <v>2810</v>
      </c>
      <c r="F2542">
        <v>259</v>
      </c>
      <c r="G2542" s="1">
        <v>45185</v>
      </c>
      <c r="H2542" s="6">
        <f t="shared" si="80"/>
        <v>4.2395833333333206</v>
      </c>
      <c r="I2542" s="7">
        <f t="shared" si="81"/>
        <v>4.2395833333333206</v>
      </c>
    </row>
    <row r="2543" spans="1:9" x14ac:dyDescent="0.2">
      <c r="A2543" t="s">
        <v>2811</v>
      </c>
      <c r="B2543">
        <v>1.54</v>
      </c>
      <c r="C2543">
        <v>2.1569999999999999E-2</v>
      </c>
      <c r="D2543">
        <v>259</v>
      </c>
      <c r="E2543" t="s">
        <v>2811</v>
      </c>
      <c r="F2543">
        <v>259</v>
      </c>
      <c r="G2543" s="1">
        <v>45185</v>
      </c>
      <c r="H2543" s="6">
        <f t="shared" si="80"/>
        <v>4.2499999999999876</v>
      </c>
      <c r="I2543" s="7">
        <f t="shared" si="81"/>
        <v>4.2499999999999876</v>
      </c>
    </row>
    <row r="2544" spans="1:9" x14ac:dyDescent="0.2">
      <c r="A2544" t="s">
        <v>2812</v>
      </c>
      <c r="B2544">
        <v>1.6815</v>
      </c>
      <c r="C2544">
        <v>2.3560000000000001E-2</v>
      </c>
      <c r="D2544">
        <v>259</v>
      </c>
      <c r="E2544" t="s">
        <v>2812</v>
      </c>
      <c r="F2544">
        <v>259</v>
      </c>
      <c r="G2544" s="1">
        <v>45185</v>
      </c>
      <c r="H2544" s="6">
        <f t="shared" si="80"/>
        <v>4.2604166666666545</v>
      </c>
      <c r="I2544" s="7">
        <f t="shared" si="81"/>
        <v>4.2604166666666545</v>
      </c>
    </row>
    <row r="2545" spans="1:9" x14ac:dyDescent="0.2">
      <c r="A2545" t="s">
        <v>2813</v>
      </c>
      <c r="B2545" s="2" t="s">
        <v>2814</v>
      </c>
      <c r="C2545" s="2" t="s">
        <v>2815</v>
      </c>
      <c r="D2545">
        <v>259</v>
      </c>
      <c r="E2545" t="s">
        <v>2813</v>
      </c>
      <c r="F2545">
        <v>259</v>
      </c>
      <c r="G2545" s="1">
        <v>45185</v>
      </c>
      <c r="H2545" s="6">
        <f t="shared" si="80"/>
        <v>4.2708333333333215</v>
      </c>
      <c r="I2545" s="7">
        <f t="shared" si="81"/>
        <v>4.2708333333333215</v>
      </c>
    </row>
    <row r="2546" spans="1:9" x14ac:dyDescent="0.2">
      <c r="A2546" t="s">
        <v>2816</v>
      </c>
      <c r="B2546">
        <v>1.357</v>
      </c>
      <c r="C2546">
        <v>1.9009999999999999E-2</v>
      </c>
      <c r="D2546">
        <v>259</v>
      </c>
      <c r="E2546" t="s">
        <v>2816</v>
      </c>
      <c r="F2546">
        <v>259</v>
      </c>
      <c r="G2546" s="1">
        <v>45185</v>
      </c>
      <c r="H2546" s="6">
        <f t="shared" si="80"/>
        <v>4.2812499999999885</v>
      </c>
      <c r="I2546" s="7">
        <f t="shared" si="81"/>
        <v>4.2812499999999885</v>
      </c>
    </row>
    <row r="2547" spans="1:9" x14ac:dyDescent="0.2">
      <c r="A2547" t="s">
        <v>2817</v>
      </c>
      <c r="B2547" s="2" t="s">
        <v>2818</v>
      </c>
      <c r="C2547">
        <v>1.6619999999999999E-2</v>
      </c>
      <c r="D2547">
        <v>259</v>
      </c>
      <c r="E2547" t="s">
        <v>2817</v>
      </c>
      <c r="F2547">
        <v>259</v>
      </c>
      <c r="G2547" s="1">
        <v>45185</v>
      </c>
      <c r="H2547" s="6">
        <f t="shared" si="80"/>
        <v>4.2916666666666554</v>
      </c>
      <c r="I2547" s="7">
        <f t="shared" si="81"/>
        <v>4.2916666666666554</v>
      </c>
    </row>
    <row r="2548" spans="1:9" x14ac:dyDescent="0.2">
      <c r="A2548" t="s">
        <v>2819</v>
      </c>
      <c r="B2548">
        <v>0.92200000000000004</v>
      </c>
      <c r="C2548">
        <v>1.2885000000000001E-2</v>
      </c>
      <c r="D2548">
        <v>259</v>
      </c>
      <c r="E2548" t="s">
        <v>2819</v>
      </c>
      <c r="F2548">
        <v>259</v>
      </c>
      <c r="G2548" s="1">
        <v>45185</v>
      </c>
      <c r="H2548" s="6">
        <f t="shared" si="80"/>
        <v>4.3020833333333224</v>
      </c>
      <c r="I2548" s="7">
        <f t="shared" si="81"/>
        <v>4.3020833333333224</v>
      </c>
    </row>
    <row r="2549" spans="1:9" x14ac:dyDescent="0.2">
      <c r="A2549" t="s">
        <v>2820</v>
      </c>
      <c r="B2549">
        <v>0.872</v>
      </c>
      <c r="C2549">
        <v>1.221E-2</v>
      </c>
      <c r="D2549">
        <v>259</v>
      </c>
      <c r="E2549" t="s">
        <v>2820</v>
      </c>
      <c r="F2549">
        <v>259</v>
      </c>
      <c r="G2549" s="1">
        <v>45185</v>
      </c>
      <c r="H2549" s="6">
        <f t="shared" si="80"/>
        <v>4.3124999999999893</v>
      </c>
      <c r="I2549" s="7">
        <f t="shared" si="81"/>
        <v>4.3124999999999893</v>
      </c>
    </row>
    <row r="2550" spans="1:9" x14ac:dyDescent="0.2">
      <c r="A2550" t="s">
        <v>2821</v>
      </c>
      <c r="B2550">
        <v>0.88849999999999996</v>
      </c>
      <c r="C2550">
        <v>1.2435E-2</v>
      </c>
      <c r="D2550">
        <v>259</v>
      </c>
      <c r="E2550" t="s">
        <v>2821</v>
      </c>
      <c r="F2550">
        <v>259</v>
      </c>
      <c r="G2550" s="1">
        <v>45185</v>
      </c>
      <c r="H2550" s="6">
        <f t="shared" si="80"/>
        <v>4.3229166666666563</v>
      </c>
      <c r="I2550" s="7">
        <f t="shared" si="81"/>
        <v>4.3229166666666563</v>
      </c>
    </row>
    <row r="2551" spans="1:9" x14ac:dyDescent="0.2">
      <c r="A2551" t="s">
        <v>2822</v>
      </c>
      <c r="B2551">
        <v>1.5965</v>
      </c>
      <c r="C2551" s="2" t="s">
        <v>2823</v>
      </c>
      <c r="D2551">
        <v>259</v>
      </c>
      <c r="E2551" t="s">
        <v>2822</v>
      </c>
      <c r="F2551">
        <v>259</v>
      </c>
      <c r="G2551" s="1">
        <v>45185</v>
      </c>
      <c r="H2551" s="6">
        <f t="shared" si="80"/>
        <v>4.3333333333333233</v>
      </c>
      <c r="I2551" s="7">
        <f t="shared" si="81"/>
        <v>4.3333333333333233</v>
      </c>
    </row>
    <row r="2552" spans="1:9" x14ac:dyDescent="0.2">
      <c r="A2552" t="s">
        <v>2824</v>
      </c>
      <c r="B2552">
        <v>1.3380000000000001</v>
      </c>
      <c r="C2552">
        <v>1.874E-2</v>
      </c>
      <c r="D2552">
        <v>259</v>
      </c>
      <c r="E2552" t="s">
        <v>2824</v>
      </c>
      <c r="F2552">
        <v>259</v>
      </c>
      <c r="G2552" s="1">
        <v>45185</v>
      </c>
      <c r="H2552" s="6">
        <f t="shared" si="80"/>
        <v>4.3437499999999902</v>
      </c>
      <c r="I2552" s="7">
        <f t="shared" si="81"/>
        <v>4.3437499999999902</v>
      </c>
    </row>
    <row r="2553" spans="1:9" x14ac:dyDescent="0.2">
      <c r="A2553" t="s">
        <v>2825</v>
      </c>
      <c r="B2553">
        <v>0.89700000000000002</v>
      </c>
      <c r="C2553">
        <v>1.257E-2</v>
      </c>
      <c r="D2553">
        <v>259</v>
      </c>
      <c r="E2553" t="s">
        <v>2825</v>
      </c>
      <c r="F2553">
        <v>259</v>
      </c>
      <c r="G2553" s="1">
        <v>45185</v>
      </c>
      <c r="H2553" s="6">
        <f t="shared" si="80"/>
        <v>4.3541666666666572</v>
      </c>
      <c r="I2553" s="7">
        <f t="shared" si="81"/>
        <v>4.3541666666666572</v>
      </c>
    </row>
    <row r="2554" spans="1:9" x14ac:dyDescent="0.2">
      <c r="A2554" t="s">
        <v>2826</v>
      </c>
      <c r="B2554">
        <v>1.0535000000000001</v>
      </c>
      <c r="C2554">
        <v>1.4735E-2</v>
      </c>
      <c r="D2554">
        <v>259</v>
      </c>
      <c r="E2554" t="s">
        <v>2826</v>
      </c>
      <c r="F2554">
        <v>259</v>
      </c>
      <c r="G2554" s="1">
        <v>45185</v>
      </c>
      <c r="H2554" s="6">
        <f t="shared" si="80"/>
        <v>4.3645833333333242</v>
      </c>
      <c r="I2554" s="7">
        <f t="shared" si="81"/>
        <v>4.3645833333333242</v>
      </c>
    </row>
    <row r="2555" spans="1:9" x14ac:dyDescent="0.2">
      <c r="A2555" t="s">
        <v>2827</v>
      </c>
      <c r="B2555">
        <v>2.2909999999999999</v>
      </c>
      <c r="C2555">
        <v>3.2105000000000002E-2</v>
      </c>
      <c r="D2555">
        <v>259</v>
      </c>
      <c r="E2555" t="s">
        <v>2827</v>
      </c>
      <c r="F2555">
        <v>259</v>
      </c>
      <c r="G2555" s="1">
        <v>45185</v>
      </c>
      <c r="H2555" s="6">
        <f t="shared" si="80"/>
        <v>4.3749999999999911</v>
      </c>
      <c r="I2555" s="7">
        <f t="shared" si="81"/>
        <v>4.3749999999999911</v>
      </c>
    </row>
    <row r="2556" spans="1:9" x14ac:dyDescent="0.2">
      <c r="A2556" t="s">
        <v>2828</v>
      </c>
      <c r="B2556">
        <v>3.03</v>
      </c>
      <c r="C2556">
        <v>4.2430000000000002E-2</v>
      </c>
      <c r="D2556">
        <v>259</v>
      </c>
      <c r="E2556" t="s">
        <v>2828</v>
      </c>
      <c r="F2556">
        <v>259</v>
      </c>
      <c r="G2556" s="1">
        <v>45185</v>
      </c>
      <c r="H2556" s="6">
        <f t="shared" si="80"/>
        <v>4.3854166666666581</v>
      </c>
      <c r="I2556" s="7">
        <f t="shared" si="81"/>
        <v>4.3854166666666581</v>
      </c>
    </row>
    <row r="2557" spans="1:9" x14ac:dyDescent="0.2">
      <c r="A2557" t="s">
        <v>2829</v>
      </c>
      <c r="B2557">
        <v>2.5609999999999999</v>
      </c>
      <c r="C2557">
        <v>3.5869999999999999E-2</v>
      </c>
      <c r="D2557">
        <v>259</v>
      </c>
      <c r="E2557" t="s">
        <v>2829</v>
      </c>
      <c r="F2557">
        <v>259</v>
      </c>
      <c r="G2557" s="1">
        <v>45185</v>
      </c>
      <c r="H2557" s="6">
        <f t="shared" si="80"/>
        <v>4.395833333333325</v>
      </c>
      <c r="I2557" s="7">
        <f t="shared" si="81"/>
        <v>4.395833333333325</v>
      </c>
    </row>
    <row r="2558" spans="1:9" x14ac:dyDescent="0.2">
      <c r="A2558" t="s">
        <v>2830</v>
      </c>
      <c r="B2558">
        <v>2.524</v>
      </c>
      <c r="C2558">
        <v>3.5349999999999999E-2</v>
      </c>
      <c r="D2558">
        <v>259</v>
      </c>
      <c r="E2558" t="s">
        <v>2830</v>
      </c>
      <c r="F2558">
        <v>259</v>
      </c>
      <c r="G2558" s="1">
        <v>45185</v>
      </c>
      <c r="H2558" s="6">
        <f t="shared" si="80"/>
        <v>4.406249999999992</v>
      </c>
      <c r="I2558" s="7">
        <f t="shared" si="81"/>
        <v>4.406249999999992</v>
      </c>
    </row>
    <row r="2559" spans="1:9" x14ac:dyDescent="0.2">
      <c r="A2559" t="s">
        <v>2831</v>
      </c>
      <c r="B2559">
        <v>2.6720000000000002</v>
      </c>
      <c r="C2559">
        <v>3.7414999999999997E-2</v>
      </c>
      <c r="D2559">
        <v>259</v>
      </c>
      <c r="E2559" t="s">
        <v>2831</v>
      </c>
      <c r="F2559">
        <v>259</v>
      </c>
      <c r="G2559" s="1">
        <v>45185</v>
      </c>
      <c r="H2559" s="6">
        <f t="shared" si="80"/>
        <v>4.416666666666659</v>
      </c>
      <c r="I2559" s="7">
        <f t="shared" si="81"/>
        <v>4.416666666666659</v>
      </c>
    </row>
    <row r="2560" spans="1:9" x14ac:dyDescent="0.2">
      <c r="A2560" t="s">
        <v>2832</v>
      </c>
      <c r="B2560">
        <v>2.3304999999999998</v>
      </c>
      <c r="C2560">
        <v>3.2660000000000002E-2</v>
      </c>
      <c r="D2560">
        <v>259</v>
      </c>
      <c r="E2560" t="s">
        <v>2832</v>
      </c>
      <c r="F2560">
        <v>259</v>
      </c>
      <c r="G2560" s="1">
        <v>45185</v>
      </c>
      <c r="H2560" s="6">
        <f t="shared" si="80"/>
        <v>4.4270833333333259</v>
      </c>
      <c r="I2560" s="7">
        <f t="shared" si="81"/>
        <v>4.4270833333333259</v>
      </c>
    </row>
    <row r="2561" spans="1:9" x14ac:dyDescent="0.2">
      <c r="A2561" t="s">
        <v>2833</v>
      </c>
      <c r="B2561">
        <v>1.6984999999999999</v>
      </c>
      <c r="C2561">
        <v>2.3785000000000001E-2</v>
      </c>
      <c r="D2561">
        <v>259</v>
      </c>
      <c r="E2561" t="s">
        <v>2833</v>
      </c>
      <c r="F2561">
        <v>259</v>
      </c>
      <c r="G2561" s="1">
        <v>45185</v>
      </c>
      <c r="H2561" s="6">
        <f t="shared" si="80"/>
        <v>4.4374999999999929</v>
      </c>
      <c r="I2561" s="7">
        <f t="shared" si="81"/>
        <v>4.4374999999999929</v>
      </c>
    </row>
    <row r="2562" spans="1:9" x14ac:dyDescent="0.2">
      <c r="A2562" t="s">
        <v>2834</v>
      </c>
      <c r="B2562">
        <v>1.7410000000000001</v>
      </c>
      <c r="C2562">
        <v>2.4369999999999999E-2</v>
      </c>
      <c r="D2562">
        <v>259</v>
      </c>
      <c r="E2562" t="s">
        <v>2834</v>
      </c>
      <c r="F2562">
        <v>259</v>
      </c>
      <c r="G2562" s="1">
        <v>45185</v>
      </c>
      <c r="H2562" s="6">
        <f t="shared" si="80"/>
        <v>4.4479166666666599</v>
      </c>
      <c r="I2562" s="7">
        <f t="shared" si="81"/>
        <v>4.4479166666666599</v>
      </c>
    </row>
    <row r="2563" spans="1:9" x14ac:dyDescent="0.2">
      <c r="A2563" t="s">
        <v>2835</v>
      </c>
      <c r="B2563">
        <v>2.4504999999999999</v>
      </c>
      <c r="C2563">
        <v>3.4320000000000003E-2</v>
      </c>
      <c r="D2563">
        <v>259</v>
      </c>
      <c r="E2563" t="s">
        <v>2835</v>
      </c>
      <c r="F2563">
        <v>259</v>
      </c>
      <c r="G2563" s="1">
        <v>45185</v>
      </c>
      <c r="H2563" s="6">
        <f t="shared" si="80"/>
        <v>4.4583333333333268</v>
      </c>
      <c r="I2563" s="7">
        <f t="shared" si="81"/>
        <v>4.4583333333333268</v>
      </c>
    </row>
    <row r="2564" spans="1:9" x14ac:dyDescent="0.2">
      <c r="A2564" t="s">
        <v>2836</v>
      </c>
      <c r="B2564">
        <v>2.5169999999999999</v>
      </c>
      <c r="C2564">
        <v>3.526E-2</v>
      </c>
      <c r="D2564">
        <v>259</v>
      </c>
      <c r="E2564" t="s">
        <v>2836</v>
      </c>
      <c r="F2564">
        <v>259</v>
      </c>
      <c r="G2564" s="1">
        <v>45185</v>
      </c>
      <c r="H2564" s="6">
        <f t="shared" si="80"/>
        <v>4.4687499999999938</v>
      </c>
      <c r="I2564" s="7">
        <f t="shared" si="81"/>
        <v>4.4687499999999938</v>
      </c>
    </row>
    <row r="2565" spans="1:9" x14ac:dyDescent="0.2">
      <c r="A2565" t="s">
        <v>2837</v>
      </c>
      <c r="B2565">
        <v>2.3624999999999998</v>
      </c>
      <c r="C2565">
        <v>3.3090000000000001E-2</v>
      </c>
      <c r="D2565">
        <v>259</v>
      </c>
      <c r="E2565" t="s">
        <v>2837</v>
      </c>
      <c r="F2565">
        <v>259</v>
      </c>
      <c r="G2565" s="1">
        <v>45185</v>
      </c>
      <c r="H2565" s="6">
        <f t="shared" si="80"/>
        <v>4.4791666666666607</v>
      </c>
      <c r="I2565" s="7">
        <f t="shared" si="81"/>
        <v>4.4791666666666607</v>
      </c>
    </row>
    <row r="2566" spans="1:9" x14ac:dyDescent="0.2">
      <c r="A2566" t="s">
        <v>2838</v>
      </c>
      <c r="B2566">
        <v>2.399</v>
      </c>
      <c r="C2566">
        <v>3.3614999999999999E-2</v>
      </c>
      <c r="D2566">
        <v>259</v>
      </c>
      <c r="E2566" t="s">
        <v>2838</v>
      </c>
      <c r="F2566">
        <v>259</v>
      </c>
      <c r="G2566" s="1">
        <v>45185</v>
      </c>
      <c r="H2566" s="6">
        <f t="shared" si="80"/>
        <v>4.4895833333333277</v>
      </c>
      <c r="I2566" s="7">
        <f t="shared" si="81"/>
        <v>4.4895833333333277</v>
      </c>
    </row>
    <row r="2567" spans="1:9" x14ac:dyDescent="0.2">
      <c r="A2567" t="s">
        <v>2839</v>
      </c>
      <c r="B2567">
        <v>2.661</v>
      </c>
      <c r="C2567">
        <v>3.7249999999999998E-2</v>
      </c>
      <c r="D2567">
        <v>259</v>
      </c>
      <c r="E2567" t="s">
        <v>2839</v>
      </c>
      <c r="F2567">
        <v>259</v>
      </c>
      <c r="G2567" s="1">
        <v>45185</v>
      </c>
      <c r="H2567" s="6">
        <f t="shared" si="80"/>
        <v>4.4999999999999947</v>
      </c>
      <c r="I2567" s="7">
        <f t="shared" si="81"/>
        <v>4.4999999999999947</v>
      </c>
    </row>
    <row r="2568" spans="1:9" x14ac:dyDescent="0.2">
      <c r="A2568" t="s">
        <v>2840</v>
      </c>
      <c r="B2568">
        <v>3.0735000000000001</v>
      </c>
      <c r="C2568">
        <v>4.3049999999999998E-2</v>
      </c>
      <c r="D2568">
        <v>259</v>
      </c>
      <c r="E2568" t="s">
        <v>2840</v>
      </c>
      <c r="F2568">
        <v>259</v>
      </c>
      <c r="G2568" s="1">
        <v>45185</v>
      </c>
      <c r="H2568" s="6">
        <f t="shared" si="80"/>
        <v>4.5104166666666616</v>
      </c>
      <c r="I2568" s="7">
        <f t="shared" si="81"/>
        <v>4.5104166666666616</v>
      </c>
    </row>
    <row r="2569" spans="1:9" x14ac:dyDescent="0.2">
      <c r="A2569" t="s">
        <v>2841</v>
      </c>
      <c r="B2569">
        <v>3.3325</v>
      </c>
      <c r="C2569">
        <v>4.6670000000000003E-2</v>
      </c>
      <c r="D2569">
        <v>259</v>
      </c>
      <c r="E2569" t="s">
        <v>2841</v>
      </c>
      <c r="F2569">
        <v>259</v>
      </c>
      <c r="G2569" s="1">
        <v>45185</v>
      </c>
      <c r="H2569" s="6">
        <f t="shared" si="80"/>
        <v>4.5208333333333286</v>
      </c>
      <c r="I2569" s="7">
        <f t="shared" si="81"/>
        <v>4.5208333333333286</v>
      </c>
    </row>
    <row r="2570" spans="1:9" x14ac:dyDescent="0.2">
      <c r="A2570" t="s">
        <v>2842</v>
      </c>
      <c r="B2570" s="2" t="s">
        <v>2843</v>
      </c>
      <c r="C2570">
        <v>4.7465E-2</v>
      </c>
      <c r="D2570">
        <v>259</v>
      </c>
      <c r="E2570" t="s">
        <v>2842</v>
      </c>
      <c r="F2570">
        <v>259</v>
      </c>
      <c r="G2570" s="1">
        <v>45185</v>
      </c>
      <c r="H2570" s="6">
        <f t="shared" si="80"/>
        <v>4.5312499999999956</v>
      </c>
      <c r="I2570" s="7">
        <f t="shared" si="81"/>
        <v>4.5312499999999956</v>
      </c>
    </row>
    <row r="2571" spans="1:9" x14ac:dyDescent="0.2">
      <c r="A2571" t="s">
        <v>2844</v>
      </c>
      <c r="B2571">
        <v>3.3795000000000002</v>
      </c>
      <c r="C2571">
        <v>4.7324999999999999E-2</v>
      </c>
      <c r="D2571">
        <v>259</v>
      </c>
      <c r="E2571" t="s">
        <v>2844</v>
      </c>
      <c r="F2571">
        <v>259</v>
      </c>
      <c r="G2571" s="1">
        <v>45185</v>
      </c>
      <c r="H2571" s="6">
        <f t="shared" si="80"/>
        <v>4.5416666666666625</v>
      </c>
      <c r="I2571" s="7">
        <f t="shared" si="81"/>
        <v>4.5416666666666625</v>
      </c>
    </row>
    <row r="2572" spans="1:9" x14ac:dyDescent="0.2">
      <c r="A2572" t="s">
        <v>2845</v>
      </c>
      <c r="B2572">
        <v>2.7785000000000002</v>
      </c>
      <c r="C2572">
        <v>3.8914999999999998E-2</v>
      </c>
      <c r="D2572">
        <v>259</v>
      </c>
      <c r="E2572" t="s">
        <v>2845</v>
      </c>
      <c r="F2572">
        <v>259</v>
      </c>
      <c r="G2572" s="1">
        <v>45185</v>
      </c>
      <c r="H2572" s="6">
        <f t="shared" si="80"/>
        <v>4.5520833333333295</v>
      </c>
      <c r="I2572" s="7">
        <f t="shared" si="81"/>
        <v>4.5520833333333295</v>
      </c>
    </row>
    <row r="2573" spans="1:9" x14ac:dyDescent="0.2">
      <c r="A2573" t="s">
        <v>2846</v>
      </c>
      <c r="B2573">
        <v>1.919</v>
      </c>
      <c r="C2573">
        <v>2.6859999999999998E-2</v>
      </c>
      <c r="D2573">
        <v>259</v>
      </c>
      <c r="E2573" t="s">
        <v>2846</v>
      </c>
      <c r="F2573">
        <v>259</v>
      </c>
      <c r="G2573" s="1">
        <v>45185</v>
      </c>
      <c r="H2573" s="6">
        <f t="shared" si="80"/>
        <v>4.5624999999999964</v>
      </c>
      <c r="I2573" s="7">
        <f t="shared" si="81"/>
        <v>4.5624999999999964</v>
      </c>
    </row>
    <row r="2574" spans="1:9" x14ac:dyDescent="0.2">
      <c r="A2574" t="s">
        <v>2847</v>
      </c>
      <c r="B2574">
        <v>3.0465</v>
      </c>
      <c r="C2574">
        <v>4.265E-2</v>
      </c>
      <c r="D2574">
        <v>259</v>
      </c>
      <c r="E2574" t="s">
        <v>2847</v>
      </c>
      <c r="F2574">
        <v>259</v>
      </c>
      <c r="G2574" s="1">
        <v>45185</v>
      </c>
      <c r="H2574" s="6">
        <f t="shared" si="80"/>
        <v>4.5729166666666634</v>
      </c>
      <c r="I2574" s="7">
        <f t="shared" si="81"/>
        <v>4.5729166666666634</v>
      </c>
    </row>
    <row r="2575" spans="1:9" x14ac:dyDescent="0.2">
      <c r="A2575" t="s">
        <v>2848</v>
      </c>
      <c r="B2575">
        <v>2.1604999999999999</v>
      </c>
      <c r="C2575">
        <v>3.0259999999999999E-2</v>
      </c>
      <c r="D2575">
        <v>259</v>
      </c>
      <c r="E2575" t="s">
        <v>2848</v>
      </c>
      <c r="F2575">
        <v>259</v>
      </c>
      <c r="G2575" s="1">
        <v>45185</v>
      </c>
      <c r="H2575" s="6">
        <f t="shared" si="80"/>
        <v>4.5833333333333304</v>
      </c>
      <c r="I2575" s="7">
        <f t="shared" si="81"/>
        <v>4.5833333333333304</v>
      </c>
    </row>
    <row r="2576" spans="1:9" x14ac:dyDescent="0.2">
      <c r="A2576" t="s">
        <v>2849</v>
      </c>
      <c r="B2576">
        <v>1.569</v>
      </c>
      <c r="C2576">
        <v>2.1985000000000001E-2</v>
      </c>
      <c r="D2576">
        <v>259</v>
      </c>
      <c r="E2576" t="s">
        <v>2849</v>
      </c>
      <c r="F2576">
        <v>259</v>
      </c>
      <c r="G2576" s="1">
        <v>45185</v>
      </c>
      <c r="H2576" s="6">
        <f t="shared" si="80"/>
        <v>4.5937499999999973</v>
      </c>
      <c r="I2576" s="7">
        <f t="shared" si="81"/>
        <v>4.5937499999999973</v>
      </c>
    </row>
    <row r="2577" spans="1:9" x14ac:dyDescent="0.2">
      <c r="A2577" t="s">
        <v>2850</v>
      </c>
      <c r="B2577" s="2" t="s">
        <v>2851</v>
      </c>
      <c r="C2577">
        <v>2.7185000000000001E-2</v>
      </c>
      <c r="D2577">
        <v>259</v>
      </c>
      <c r="E2577" t="s">
        <v>2850</v>
      </c>
      <c r="F2577">
        <v>259</v>
      </c>
      <c r="G2577" s="1">
        <v>45185</v>
      </c>
      <c r="H2577" s="6">
        <f t="shared" si="80"/>
        <v>4.6041666666666643</v>
      </c>
      <c r="I2577" s="7">
        <f t="shared" si="81"/>
        <v>4.6041666666666643</v>
      </c>
    </row>
    <row r="2578" spans="1:9" x14ac:dyDescent="0.2">
      <c r="A2578" t="s">
        <v>2852</v>
      </c>
      <c r="B2578">
        <v>1.7955000000000001</v>
      </c>
      <c r="C2578">
        <v>2.5155E-2</v>
      </c>
      <c r="D2578">
        <v>259</v>
      </c>
      <c r="E2578" t="s">
        <v>2852</v>
      </c>
      <c r="F2578">
        <v>259</v>
      </c>
      <c r="G2578" s="1">
        <v>45185</v>
      </c>
      <c r="H2578" s="6">
        <f t="shared" si="80"/>
        <v>4.6145833333333313</v>
      </c>
      <c r="I2578" s="7">
        <f t="shared" si="81"/>
        <v>4.6145833333333313</v>
      </c>
    </row>
    <row r="2579" spans="1:9" x14ac:dyDescent="0.2">
      <c r="A2579" t="s">
        <v>2853</v>
      </c>
      <c r="B2579">
        <v>1.3440000000000001</v>
      </c>
      <c r="C2579" s="2" t="s">
        <v>2854</v>
      </c>
      <c r="D2579">
        <v>259</v>
      </c>
      <c r="E2579" t="s">
        <v>2853</v>
      </c>
      <c r="F2579">
        <v>259</v>
      </c>
      <c r="G2579" s="1">
        <v>45185</v>
      </c>
      <c r="H2579" s="6">
        <f t="shared" si="80"/>
        <v>4.6249999999999982</v>
      </c>
      <c r="I2579" s="7">
        <f t="shared" si="81"/>
        <v>4.6249999999999982</v>
      </c>
    </row>
    <row r="2580" spans="1:9" x14ac:dyDescent="0.2">
      <c r="A2580" t="s">
        <v>2855</v>
      </c>
      <c r="B2580">
        <v>0.79900000000000004</v>
      </c>
      <c r="C2580">
        <v>1.1195E-2</v>
      </c>
      <c r="D2580">
        <v>259</v>
      </c>
      <c r="E2580" t="s">
        <v>2855</v>
      </c>
      <c r="F2580">
        <v>259</v>
      </c>
      <c r="G2580" s="1">
        <v>45185</v>
      </c>
      <c r="H2580" s="6">
        <f t="shared" si="80"/>
        <v>4.6354166666666652</v>
      </c>
      <c r="I2580" s="7">
        <f t="shared" si="81"/>
        <v>4.6354166666666652</v>
      </c>
    </row>
    <row r="2581" spans="1:9" x14ac:dyDescent="0.2">
      <c r="A2581" t="s">
        <v>2856</v>
      </c>
      <c r="B2581">
        <v>1.4784999999999999</v>
      </c>
      <c r="C2581">
        <v>2.0725E-2</v>
      </c>
      <c r="D2581">
        <v>259</v>
      </c>
      <c r="E2581" t="s">
        <v>2856</v>
      </c>
      <c r="F2581">
        <v>259</v>
      </c>
      <c r="G2581" s="1">
        <v>45185</v>
      </c>
      <c r="H2581" s="6">
        <f t="shared" si="80"/>
        <v>4.6458333333333321</v>
      </c>
      <c r="I2581" s="7">
        <f t="shared" si="81"/>
        <v>4.6458333333333321</v>
      </c>
    </row>
    <row r="2582" spans="1:9" x14ac:dyDescent="0.2">
      <c r="A2582" t="s">
        <v>2857</v>
      </c>
      <c r="B2582">
        <v>2.74</v>
      </c>
      <c r="C2582">
        <v>3.8374999999999999E-2</v>
      </c>
      <c r="D2582">
        <v>259</v>
      </c>
      <c r="E2582" t="s">
        <v>2857</v>
      </c>
      <c r="F2582">
        <v>259</v>
      </c>
      <c r="G2582" s="1">
        <v>45185</v>
      </c>
      <c r="H2582" s="6">
        <f t="shared" si="80"/>
        <v>4.6562499999999991</v>
      </c>
      <c r="I2582" s="7">
        <f t="shared" si="81"/>
        <v>4.6562499999999991</v>
      </c>
    </row>
    <row r="2583" spans="1:9" x14ac:dyDescent="0.2">
      <c r="A2583" t="s">
        <v>2858</v>
      </c>
      <c r="B2583">
        <v>3.3675000000000002</v>
      </c>
      <c r="C2583">
        <v>4.7175000000000002E-2</v>
      </c>
      <c r="D2583">
        <v>259</v>
      </c>
      <c r="E2583" t="s">
        <v>2858</v>
      </c>
      <c r="F2583">
        <v>259</v>
      </c>
      <c r="G2583" s="1">
        <v>45185</v>
      </c>
      <c r="H2583" s="6">
        <f t="shared" si="80"/>
        <v>4.6666666666666661</v>
      </c>
      <c r="I2583" s="7">
        <f t="shared" si="81"/>
        <v>4.6666666666666661</v>
      </c>
    </row>
    <row r="2584" spans="1:9" x14ac:dyDescent="0.2">
      <c r="A2584" t="s">
        <v>2859</v>
      </c>
      <c r="B2584">
        <v>4.4340000000000002</v>
      </c>
      <c r="C2584" s="2" t="s">
        <v>1543</v>
      </c>
      <c r="D2584">
        <v>259</v>
      </c>
      <c r="E2584" t="s">
        <v>2859</v>
      </c>
      <c r="F2584">
        <v>259</v>
      </c>
      <c r="G2584" s="1">
        <v>45185</v>
      </c>
      <c r="H2584" s="6">
        <f t="shared" si="80"/>
        <v>4.677083333333333</v>
      </c>
      <c r="I2584" s="7">
        <f t="shared" si="81"/>
        <v>4.677083333333333</v>
      </c>
    </row>
    <row r="2585" spans="1:9" x14ac:dyDescent="0.2">
      <c r="A2585" t="s">
        <v>2860</v>
      </c>
      <c r="B2585">
        <v>4.3659999999999997</v>
      </c>
      <c r="C2585">
        <v>6.1164999999999997E-2</v>
      </c>
      <c r="D2585">
        <v>259</v>
      </c>
      <c r="E2585" t="s">
        <v>2860</v>
      </c>
      <c r="F2585">
        <v>259</v>
      </c>
      <c r="G2585" s="1">
        <v>45185</v>
      </c>
      <c r="H2585" s="6">
        <f t="shared" si="80"/>
        <v>4.6875</v>
      </c>
      <c r="I2585" s="7">
        <f t="shared" si="81"/>
        <v>4.6875</v>
      </c>
    </row>
    <row r="2586" spans="1:9" x14ac:dyDescent="0.2">
      <c r="A2586" t="s">
        <v>2861</v>
      </c>
      <c r="B2586">
        <v>4.3029999999999999</v>
      </c>
      <c r="C2586">
        <v>6.0260000000000001E-2</v>
      </c>
      <c r="D2586">
        <v>259</v>
      </c>
      <c r="E2586" t="s">
        <v>2861</v>
      </c>
      <c r="F2586">
        <v>259</v>
      </c>
      <c r="G2586" s="1">
        <v>45185</v>
      </c>
      <c r="H2586" s="6">
        <f t="shared" si="80"/>
        <v>4.697916666666667</v>
      </c>
      <c r="I2586" s="7">
        <f t="shared" si="81"/>
        <v>4.697916666666667</v>
      </c>
    </row>
    <row r="2587" spans="1:9" x14ac:dyDescent="0.2">
      <c r="A2587" t="s">
        <v>2862</v>
      </c>
      <c r="B2587">
        <v>4.4260000000000002</v>
      </c>
      <c r="C2587">
        <v>6.1969999999999997E-2</v>
      </c>
      <c r="D2587">
        <v>259</v>
      </c>
      <c r="E2587" t="s">
        <v>2862</v>
      </c>
      <c r="F2587">
        <v>259</v>
      </c>
      <c r="G2587" s="1">
        <v>45185</v>
      </c>
      <c r="H2587" s="6">
        <f t="shared" si="80"/>
        <v>4.7083333333333339</v>
      </c>
      <c r="I2587" s="7">
        <f t="shared" si="81"/>
        <v>4.7083333333333339</v>
      </c>
    </row>
    <row r="2588" spans="1:9" x14ac:dyDescent="0.2">
      <c r="A2588" t="s">
        <v>2863</v>
      </c>
      <c r="B2588">
        <v>4.3659999999999997</v>
      </c>
      <c r="C2588">
        <v>6.1155000000000001E-2</v>
      </c>
      <c r="D2588">
        <v>260</v>
      </c>
      <c r="E2588" t="s">
        <v>2863</v>
      </c>
      <c r="F2588">
        <v>259</v>
      </c>
      <c r="G2588" s="1">
        <v>45185</v>
      </c>
      <c r="H2588" s="6">
        <f t="shared" ref="H2588:H2651" si="82">H2587+$K$1</f>
        <v>4.7187500000000009</v>
      </c>
      <c r="I2588" s="7">
        <f t="shared" ref="I2588:I2651" si="83">I2587+$K$1</f>
        <v>4.7187500000000009</v>
      </c>
    </row>
    <row r="2589" spans="1:9" x14ac:dyDescent="0.2">
      <c r="A2589" t="s">
        <v>2864</v>
      </c>
      <c r="B2589">
        <v>3.9754999999999998</v>
      </c>
      <c r="C2589">
        <v>5.5695000000000001E-2</v>
      </c>
      <c r="D2589">
        <v>260</v>
      </c>
      <c r="E2589" t="s">
        <v>2864</v>
      </c>
      <c r="F2589">
        <v>259</v>
      </c>
      <c r="G2589" s="1">
        <v>45185</v>
      </c>
      <c r="H2589" s="6">
        <f t="shared" si="82"/>
        <v>4.7291666666666679</v>
      </c>
      <c r="I2589" s="7">
        <f t="shared" si="83"/>
        <v>4.7291666666666679</v>
      </c>
    </row>
    <row r="2590" spans="1:9" x14ac:dyDescent="0.2">
      <c r="A2590" t="s">
        <v>2865</v>
      </c>
      <c r="B2590">
        <v>3.7829999999999999</v>
      </c>
      <c r="C2590">
        <v>5.2990000000000002E-2</v>
      </c>
      <c r="D2590">
        <v>260</v>
      </c>
      <c r="E2590" t="s">
        <v>2865</v>
      </c>
      <c r="F2590">
        <v>259</v>
      </c>
      <c r="G2590" s="1">
        <v>45185</v>
      </c>
      <c r="H2590" s="6">
        <f t="shared" si="82"/>
        <v>4.7395833333333348</v>
      </c>
      <c r="I2590" s="7">
        <f t="shared" si="83"/>
        <v>4.7395833333333348</v>
      </c>
    </row>
    <row r="2591" spans="1:9" x14ac:dyDescent="0.2">
      <c r="A2591" t="s">
        <v>2866</v>
      </c>
      <c r="B2591">
        <v>3.6480000000000001</v>
      </c>
      <c r="C2591">
        <v>5.1104999999999998E-2</v>
      </c>
      <c r="D2591">
        <v>260</v>
      </c>
      <c r="E2591" t="s">
        <v>2866</v>
      </c>
      <c r="F2591">
        <v>259</v>
      </c>
      <c r="G2591" s="1">
        <v>45185</v>
      </c>
      <c r="H2591" s="6">
        <f t="shared" si="82"/>
        <v>4.7500000000000018</v>
      </c>
      <c r="I2591" s="7">
        <f t="shared" si="83"/>
        <v>4.7500000000000018</v>
      </c>
    </row>
    <row r="2592" spans="1:9" x14ac:dyDescent="0.2">
      <c r="A2592" t="s">
        <v>2867</v>
      </c>
      <c r="B2592">
        <v>3.5674999999999999</v>
      </c>
      <c r="C2592">
        <v>4.9965000000000002E-2</v>
      </c>
      <c r="D2592">
        <v>260</v>
      </c>
      <c r="E2592" t="s">
        <v>2867</v>
      </c>
      <c r="F2592">
        <v>259</v>
      </c>
      <c r="G2592" s="1">
        <v>45185</v>
      </c>
      <c r="H2592" s="6">
        <f t="shared" si="82"/>
        <v>4.7604166666666687</v>
      </c>
      <c r="I2592" s="7">
        <f t="shared" si="83"/>
        <v>4.7604166666666687</v>
      </c>
    </row>
    <row r="2593" spans="1:9" x14ac:dyDescent="0.2">
      <c r="A2593" t="s">
        <v>2868</v>
      </c>
      <c r="B2593">
        <v>3.6585000000000001</v>
      </c>
      <c r="C2593">
        <v>5.1240000000000001E-2</v>
      </c>
      <c r="D2593">
        <v>260</v>
      </c>
      <c r="E2593" t="s">
        <v>2868</v>
      </c>
      <c r="F2593">
        <v>259</v>
      </c>
      <c r="G2593" s="1">
        <v>45185</v>
      </c>
      <c r="H2593" s="6">
        <f t="shared" si="82"/>
        <v>4.7708333333333357</v>
      </c>
      <c r="I2593" s="7">
        <f t="shared" si="83"/>
        <v>4.7708333333333357</v>
      </c>
    </row>
    <row r="2594" spans="1:9" x14ac:dyDescent="0.2">
      <c r="A2594" t="s">
        <v>2869</v>
      </c>
      <c r="B2594" s="2" t="s">
        <v>1047</v>
      </c>
      <c r="C2594">
        <v>4.9820000000000003E-2</v>
      </c>
      <c r="D2594">
        <v>260</v>
      </c>
      <c r="E2594" t="s">
        <v>2869</v>
      </c>
      <c r="F2594">
        <v>259</v>
      </c>
      <c r="G2594" s="1">
        <v>45185</v>
      </c>
      <c r="H2594" s="6">
        <f t="shared" si="82"/>
        <v>4.7812500000000027</v>
      </c>
      <c r="I2594" s="7">
        <f t="shared" si="83"/>
        <v>4.7812500000000027</v>
      </c>
    </row>
    <row r="2595" spans="1:9" x14ac:dyDescent="0.2">
      <c r="A2595" t="s">
        <v>2870</v>
      </c>
      <c r="B2595">
        <v>3.5074999999999998</v>
      </c>
      <c r="C2595">
        <v>4.913E-2</v>
      </c>
      <c r="D2595">
        <v>260</v>
      </c>
      <c r="E2595" t="s">
        <v>2870</v>
      </c>
      <c r="F2595">
        <v>259</v>
      </c>
      <c r="G2595" s="1">
        <v>45185</v>
      </c>
      <c r="H2595" s="6">
        <f t="shared" si="82"/>
        <v>4.7916666666666696</v>
      </c>
      <c r="I2595" s="7">
        <f t="shared" si="83"/>
        <v>4.7916666666666696</v>
      </c>
    </row>
    <row r="2596" spans="1:9" x14ac:dyDescent="0.2">
      <c r="A2596" t="s">
        <v>2871</v>
      </c>
      <c r="B2596">
        <v>3.6819999999999999</v>
      </c>
      <c r="C2596">
        <v>5.1565E-2</v>
      </c>
      <c r="D2596">
        <v>260</v>
      </c>
      <c r="E2596" t="s">
        <v>2871</v>
      </c>
      <c r="F2596">
        <v>259</v>
      </c>
      <c r="G2596" s="1">
        <v>45185</v>
      </c>
      <c r="H2596" s="6">
        <f t="shared" si="82"/>
        <v>4.8020833333333366</v>
      </c>
      <c r="I2596" s="7">
        <f t="shared" si="83"/>
        <v>4.8020833333333366</v>
      </c>
    </row>
    <row r="2597" spans="1:9" x14ac:dyDescent="0.2">
      <c r="A2597" t="s">
        <v>2872</v>
      </c>
      <c r="B2597">
        <v>3.7134999999999998</v>
      </c>
      <c r="C2597">
        <v>5.2010000000000001E-2</v>
      </c>
      <c r="D2597">
        <v>260</v>
      </c>
      <c r="E2597" t="s">
        <v>2872</v>
      </c>
      <c r="F2597">
        <v>259</v>
      </c>
      <c r="G2597" s="1">
        <v>45185</v>
      </c>
      <c r="H2597" s="6">
        <f t="shared" si="82"/>
        <v>4.8125000000000036</v>
      </c>
      <c r="I2597" s="7">
        <f t="shared" si="83"/>
        <v>4.8125000000000036</v>
      </c>
    </row>
    <row r="2598" spans="1:9" x14ac:dyDescent="0.2">
      <c r="A2598" t="s">
        <v>2873</v>
      </c>
      <c r="B2598">
        <v>3.7639999999999998</v>
      </c>
      <c r="C2598">
        <v>5.271E-2</v>
      </c>
      <c r="D2598">
        <v>260</v>
      </c>
      <c r="E2598" t="s">
        <v>2873</v>
      </c>
      <c r="F2598">
        <v>259</v>
      </c>
      <c r="G2598" s="1">
        <v>45185</v>
      </c>
      <c r="H2598" s="6">
        <f t="shared" si="82"/>
        <v>4.8229166666666705</v>
      </c>
      <c r="I2598" s="7">
        <f t="shared" si="83"/>
        <v>4.8229166666666705</v>
      </c>
    </row>
    <row r="2599" spans="1:9" x14ac:dyDescent="0.2">
      <c r="A2599" t="s">
        <v>2874</v>
      </c>
      <c r="B2599">
        <v>3.8704999999999998</v>
      </c>
      <c r="C2599">
        <v>5.4214999999999999E-2</v>
      </c>
      <c r="D2599">
        <v>260</v>
      </c>
      <c r="E2599" t="s">
        <v>2874</v>
      </c>
      <c r="F2599">
        <v>259</v>
      </c>
      <c r="G2599" s="1">
        <v>45185</v>
      </c>
      <c r="H2599" s="6">
        <f t="shared" si="82"/>
        <v>4.8333333333333375</v>
      </c>
      <c r="I2599" s="7">
        <f t="shared" si="83"/>
        <v>4.8333333333333375</v>
      </c>
    </row>
    <row r="2600" spans="1:9" x14ac:dyDescent="0.2">
      <c r="A2600" t="s">
        <v>2875</v>
      </c>
      <c r="B2600">
        <v>3.85</v>
      </c>
      <c r="C2600">
        <v>5.3945E-2</v>
      </c>
      <c r="D2600">
        <v>260</v>
      </c>
      <c r="E2600" t="s">
        <v>2875</v>
      </c>
      <c r="F2600">
        <v>259</v>
      </c>
      <c r="G2600" s="1">
        <v>45185</v>
      </c>
      <c r="H2600" s="6">
        <f t="shared" si="82"/>
        <v>4.8437500000000044</v>
      </c>
      <c r="I2600" s="7">
        <f t="shared" si="83"/>
        <v>4.8437500000000044</v>
      </c>
    </row>
    <row r="2601" spans="1:9" x14ac:dyDescent="0.2">
      <c r="A2601" t="s">
        <v>2876</v>
      </c>
      <c r="B2601">
        <v>3.9685000000000001</v>
      </c>
      <c r="C2601">
        <v>5.5594999999999999E-2</v>
      </c>
      <c r="D2601">
        <v>260</v>
      </c>
      <c r="E2601" t="s">
        <v>2876</v>
      </c>
      <c r="F2601">
        <v>259</v>
      </c>
      <c r="G2601" s="1">
        <v>45185</v>
      </c>
      <c r="H2601" s="6">
        <f t="shared" si="82"/>
        <v>4.8541666666666714</v>
      </c>
      <c r="I2601" s="7">
        <f t="shared" si="83"/>
        <v>4.8541666666666714</v>
      </c>
    </row>
    <row r="2602" spans="1:9" x14ac:dyDescent="0.2">
      <c r="A2602" t="s">
        <v>2877</v>
      </c>
      <c r="B2602" s="2" t="s">
        <v>2878</v>
      </c>
      <c r="C2602">
        <v>5.5695000000000001E-2</v>
      </c>
      <c r="D2602">
        <v>260</v>
      </c>
      <c r="E2602" t="s">
        <v>2877</v>
      </c>
      <c r="F2602">
        <v>259</v>
      </c>
      <c r="G2602" s="1">
        <v>45185</v>
      </c>
      <c r="H2602" s="6">
        <f t="shared" si="82"/>
        <v>4.8645833333333384</v>
      </c>
      <c r="I2602" s="7">
        <f t="shared" si="83"/>
        <v>4.8645833333333384</v>
      </c>
    </row>
    <row r="2603" spans="1:9" x14ac:dyDescent="0.2">
      <c r="A2603" t="s">
        <v>2879</v>
      </c>
      <c r="B2603">
        <v>3.7645</v>
      </c>
      <c r="C2603">
        <v>5.2720000000000003E-2</v>
      </c>
      <c r="D2603">
        <v>260</v>
      </c>
      <c r="E2603" t="s">
        <v>2879</v>
      </c>
      <c r="F2603">
        <v>259</v>
      </c>
      <c r="G2603" s="1">
        <v>45185</v>
      </c>
      <c r="H2603" s="6">
        <f t="shared" si="82"/>
        <v>4.8750000000000053</v>
      </c>
      <c r="I2603" s="7">
        <f t="shared" si="83"/>
        <v>4.8750000000000053</v>
      </c>
    </row>
    <row r="2604" spans="1:9" x14ac:dyDescent="0.2">
      <c r="A2604" t="s">
        <v>2880</v>
      </c>
      <c r="B2604">
        <v>3.9864999999999999</v>
      </c>
      <c r="C2604">
        <v>5.5829999999999998E-2</v>
      </c>
      <c r="D2604">
        <v>260</v>
      </c>
      <c r="E2604" t="s">
        <v>2880</v>
      </c>
      <c r="F2604">
        <v>259</v>
      </c>
      <c r="G2604" s="1">
        <v>45185</v>
      </c>
      <c r="H2604" s="6">
        <f t="shared" si="82"/>
        <v>4.8854166666666723</v>
      </c>
      <c r="I2604" s="7">
        <f t="shared" si="83"/>
        <v>4.8854166666666723</v>
      </c>
    </row>
    <row r="2605" spans="1:9" x14ac:dyDescent="0.2">
      <c r="A2605" t="s">
        <v>2881</v>
      </c>
      <c r="B2605">
        <v>4.0434999999999999</v>
      </c>
      <c r="C2605">
        <v>5.6654999999999997E-2</v>
      </c>
      <c r="D2605">
        <v>260</v>
      </c>
      <c r="E2605" t="s">
        <v>2881</v>
      </c>
      <c r="F2605">
        <v>259</v>
      </c>
      <c r="G2605" s="1">
        <v>45185</v>
      </c>
      <c r="H2605" s="6">
        <f t="shared" si="82"/>
        <v>4.8958333333333393</v>
      </c>
      <c r="I2605" s="7">
        <f t="shared" si="83"/>
        <v>4.8958333333333393</v>
      </c>
    </row>
    <row r="2606" spans="1:9" x14ac:dyDescent="0.2">
      <c r="A2606" t="s">
        <v>2882</v>
      </c>
      <c r="B2606">
        <v>4.0640000000000001</v>
      </c>
      <c r="C2606">
        <v>5.6925000000000003E-2</v>
      </c>
      <c r="D2606">
        <v>260</v>
      </c>
      <c r="E2606" t="s">
        <v>2882</v>
      </c>
      <c r="F2606">
        <v>259</v>
      </c>
      <c r="G2606" s="1">
        <v>45185</v>
      </c>
      <c r="H2606" s="6">
        <f t="shared" si="82"/>
        <v>4.9062500000000062</v>
      </c>
      <c r="I2606" s="7">
        <f t="shared" si="83"/>
        <v>4.9062500000000062</v>
      </c>
    </row>
    <row r="2607" spans="1:9" x14ac:dyDescent="0.2">
      <c r="A2607" t="s">
        <v>2883</v>
      </c>
      <c r="B2607">
        <v>4.0795000000000003</v>
      </c>
      <c r="C2607">
        <v>5.7125000000000002E-2</v>
      </c>
      <c r="D2607">
        <v>260</v>
      </c>
      <c r="E2607" t="s">
        <v>2883</v>
      </c>
      <c r="F2607">
        <v>259</v>
      </c>
      <c r="G2607" s="1">
        <v>45185</v>
      </c>
      <c r="H2607" s="6">
        <f t="shared" si="82"/>
        <v>4.9166666666666732</v>
      </c>
      <c r="I2607" s="7">
        <f t="shared" si="83"/>
        <v>4.9166666666666732</v>
      </c>
    </row>
    <row r="2608" spans="1:9" x14ac:dyDescent="0.2">
      <c r="A2608" t="s">
        <v>2884</v>
      </c>
      <c r="B2608">
        <v>4.1619999999999999</v>
      </c>
      <c r="C2608">
        <v>5.8295E-2</v>
      </c>
      <c r="D2608">
        <v>260</v>
      </c>
      <c r="E2608" t="s">
        <v>2884</v>
      </c>
      <c r="F2608">
        <v>259</v>
      </c>
      <c r="G2608" s="1">
        <v>45185</v>
      </c>
      <c r="H2608" s="6">
        <f t="shared" si="82"/>
        <v>4.9270833333333401</v>
      </c>
      <c r="I2608" s="7">
        <f t="shared" si="83"/>
        <v>4.9270833333333401</v>
      </c>
    </row>
    <row r="2609" spans="1:9" x14ac:dyDescent="0.2">
      <c r="A2609" t="s">
        <v>2885</v>
      </c>
      <c r="B2609">
        <v>4.1920000000000002</v>
      </c>
      <c r="C2609">
        <v>5.8715000000000003E-2</v>
      </c>
      <c r="D2609">
        <v>260</v>
      </c>
      <c r="E2609" t="s">
        <v>2885</v>
      </c>
      <c r="F2609">
        <v>259</v>
      </c>
      <c r="G2609" s="1">
        <v>45185</v>
      </c>
      <c r="H2609" s="6">
        <f t="shared" si="82"/>
        <v>4.9375000000000071</v>
      </c>
      <c r="I2609" s="7">
        <f t="shared" si="83"/>
        <v>4.9375000000000071</v>
      </c>
    </row>
    <row r="2610" spans="1:9" x14ac:dyDescent="0.2">
      <c r="A2610" t="s">
        <v>2886</v>
      </c>
      <c r="B2610">
        <v>4.2149999999999999</v>
      </c>
      <c r="C2610">
        <v>5.9049999999999998E-2</v>
      </c>
      <c r="D2610">
        <v>260</v>
      </c>
      <c r="E2610" t="s">
        <v>2886</v>
      </c>
      <c r="F2610">
        <v>259</v>
      </c>
      <c r="G2610" s="1">
        <v>45185</v>
      </c>
      <c r="H2610" s="6">
        <f t="shared" si="82"/>
        <v>4.9479166666666741</v>
      </c>
      <c r="I2610" s="7">
        <f t="shared" si="83"/>
        <v>4.9479166666666741</v>
      </c>
    </row>
    <row r="2611" spans="1:9" x14ac:dyDescent="0.2">
      <c r="A2611" t="s">
        <v>2887</v>
      </c>
      <c r="B2611">
        <v>4.2004999999999999</v>
      </c>
      <c r="C2611">
        <v>5.885E-2</v>
      </c>
      <c r="D2611">
        <v>260</v>
      </c>
      <c r="E2611" t="s">
        <v>2887</v>
      </c>
      <c r="F2611">
        <v>259</v>
      </c>
      <c r="G2611" s="1">
        <v>45185</v>
      </c>
      <c r="H2611" s="6">
        <f t="shared" si="82"/>
        <v>4.958333333333341</v>
      </c>
      <c r="I2611" s="7">
        <f t="shared" si="83"/>
        <v>4.958333333333341</v>
      </c>
    </row>
    <row r="2612" spans="1:9" x14ac:dyDescent="0.2">
      <c r="A2612" t="s">
        <v>2888</v>
      </c>
      <c r="B2612">
        <v>4.25</v>
      </c>
      <c r="C2612">
        <v>5.9534999999999998E-2</v>
      </c>
      <c r="D2612">
        <v>260</v>
      </c>
      <c r="E2612" t="s">
        <v>2888</v>
      </c>
      <c r="F2612">
        <v>260</v>
      </c>
      <c r="G2612" s="1">
        <v>45186</v>
      </c>
      <c r="H2612" s="6">
        <f t="shared" si="82"/>
        <v>4.968750000000008</v>
      </c>
      <c r="I2612" s="7">
        <f t="shared" si="83"/>
        <v>4.968750000000008</v>
      </c>
    </row>
    <row r="2613" spans="1:9" x14ac:dyDescent="0.2">
      <c r="A2613" t="s">
        <v>2889</v>
      </c>
      <c r="B2613">
        <v>4.2755000000000001</v>
      </c>
      <c r="C2613">
        <v>5.9889999999999999E-2</v>
      </c>
      <c r="D2613">
        <v>260</v>
      </c>
      <c r="E2613" t="s">
        <v>2889</v>
      </c>
      <c r="F2613">
        <v>260</v>
      </c>
      <c r="G2613" s="1">
        <v>45186</v>
      </c>
      <c r="H2613" s="6">
        <f t="shared" si="82"/>
        <v>4.979166666666675</v>
      </c>
      <c r="I2613" s="7">
        <f t="shared" si="83"/>
        <v>4.979166666666675</v>
      </c>
    </row>
    <row r="2614" spans="1:9" x14ac:dyDescent="0.2">
      <c r="A2614" t="s">
        <v>2890</v>
      </c>
      <c r="B2614">
        <v>4.1784999999999997</v>
      </c>
      <c r="C2614">
        <v>5.8520000000000003E-2</v>
      </c>
      <c r="D2614">
        <v>260</v>
      </c>
      <c r="E2614" t="s">
        <v>2890</v>
      </c>
      <c r="F2614">
        <v>260</v>
      </c>
      <c r="G2614" s="1">
        <v>45186</v>
      </c>
      <c r="H2614" s="6">
        <f t="shared" si="82"/>
        <v>4.9895833333333419</v>
      </c>
      <c r="I2614" s="7">
        <f t="shared" si="83"/>
        <v>4.9895833333333419</v>
      </c>
    </row>
    <row r="2615" spans="1:9" x14ac:dyDescent="0.2">
      <c r="A2615" t="s">
        <v>2891</v>
      </c>
      <c r="B2615">
        <v>4.25</v>
      </c>
      <c r="C2615">
        <v>5.9540000000000003E-2</v>
      </c>
      <c r="D2615">
        <v>260</v>
      </c>
      <c r="E2615" t="s">
        <v>2891</v>
      </c>
      <c r="F2615">
        <v>260</v>
      </c>
      <c r="G2615" s="1">
        <v>45186</v>
      </c>
      <c r="H2615" s="6">
        <f t="shared" si="82"/>
        <v>5.0000000000000089</v>
      </c>
      <c r="I2615" s="7">
        <f t="shared" si="83"/>
        <v>5.0000000000000089</v>
      </c>
    </row>
    <row r="2616" spans="1:9" x14ac:dyDescent="0.2">
      <c r="A2616" t="s">
        <v>2892</v>
      </c>
      <c r="B2616">
        <v>4.32</v>
      </c>
      <c r="C2616">
        <v>6.0499999999999998E-2</v>
      </c>
      <c r="D2616">
        <v>260</v>
      </c>
      <c r="E2616" t="s">
        <v>2892</v>
      </c>
      <c r="F2616">
        <v>260</v>
      </c>
      <c r="G2616" s="1">
        <v>45186</v>
      </c>
      <c r="H2616" s="6">
        <f t="shared" si="82"/>
        <v>5.0104166666666758</v>
      </c>
      <c r="I2616" s="7">
        <f t="shared" si="83"/>
        <v>5.0104166666666758</v>
      </c>
    </row>
    <row r="2617" spans="1:9" x14ac:dyDescent="0.2">
      <c r="A2617" t="s">
        <v>2893</v>
      </c>
      <c r="B2617">
        <v>4.0575000000000001</v>
      </c>
      <c r="C2617">
        <v>5.6814999999999997E-2</v>
      </c>
      <c r="D2617">
        <v>260</v>
      </c>
      <c r="E2617" t="s">
        <v>2893</v>
      </c>
      <c r="F2617">
        <v>260</v>
      </c>
      <c r="G2617" s="1">
        <v>45186</v>
      </c>
      <c r="H2617" s="6">
        <f t="shared" si="82"/>
        <v>5.0208333333333428</v>
      </c>
      <c r="I2617" s="7">
        <f t="shared" si="83"/>
        <v>5.0208333333333428</v>
      </c>
    </row>
    <row r="2618" spans="1:9" x14ac:dyDescent="0.2">
      <c r="A2618" t="s">
        <v>2894</v>
      </c>
      <c r="B2618">
        <v>4.0495000000000001</v>
      </c>
      <c r="C2618">
        <v>5.6730000000000003E-2</v>
      </c>
      <c r="D2618">
        <v>260</v>
      </c>
      <c r="E2618" t="s">
        <v>2894</v>
      </c>
      <c r="F2618">
        <v>260</v>
      </c>
      <c r="G2618" s="1">
        <v>45186</v>
      </c>
      <c r="H2618" s="6">
        <f t="shared" si="82"/>
        <v>5.0312500000000098</v>
      </c>
      <c r="I2618" s="7">
        <f t="shared" si="83"/>
        <v>5.0312500000000098</v>
      </c>
    </row>
    <row r="2619" spans="1:9" x14ac:dyDescent="0.2">
      <c r="A2619" t="s">
        <v>2895</v>
      </c>
      <c r="B2619">
        <v>4.1435000000000004</v>
      </c>
      <c r="C2619" s="2" t="s">
        <v>2896</v>
      </c>
      <c r="D2619">
        <v>260</v>
      </c>
      <c r="E2619" t="s">
        <v>2895</v>
      </c>
      <c r="F2619">
        <v>260</v>
      </c>
      <c r="G2619" s="1">
        <v>45186</v>
      </c>
      <c r="H2619" s="6">
        <f t="shared" si="82"/>
        <v>5.0416666666666767</v>
      </c>
      <c r="I2619" s="7">
        <f t="shared" si="83"/>
        <v>5.0416666666666767</v>
      </c>
    </row>
    <row r="2620" spans="1:9" x14ac:dyDescent="0.2">
      <c r="A2620" t="s">
        <v>2897</v>
      </c>
      <c r="B2620" s="2" t="s">
        <v>1341</v>
      </c>
      <c r="C2620">
        <v>5.849E-2</v>
      </c>
      <c r="D2620">
        <v>260</v>
      </c>
      <c r="E2620" t="s">
        <v>2897</v>
      </c>
      <c r="F2620">
        <v>260</v>
      </c>
      <c r="G2620" s="1">
        <v>45186</v>
      </c>
      <c r="H2620" s="6">
        <f t="shared" si="82"/>
        <v>5.0520833333333437</v>
      </c>
      <c r="I2620" s="7">
        <f t="shared" si="83"/>
        <v>5.0520833333333437</v>
      </c>
    </row>
    <row r="2621" spans="1:9" x14ac:dyDescent="0.2">
      <c r="A2621" t="s">
        <v>2898</v>
      </c>
      <c r="B2621">
        <v>4.2350000000000003</v>
      </c>
      <c r="C2621">
        <v>5.9319999999999998E-2</v>
      </c>
      <c r="D2621">
        <v>260</v>
      </c>
      <c r="E2621" t="s">
        <v>2898</v>
      </c>
      <c r="F2621">
        <v>260</v>
      </c>
      <c r="G2621" s="1">
        <v>45186</v>
      </c>
      <c r="H2621" s="6">
        <f t="shared" si="82"/>
        <v>5.0625000000000107</v>
      </c>
      <c r="I2621" s="7">
        <f t="shared" si="83"/>
        <v>5.0625000000000107</v>
      </c>
    </row>
    <row r="2622" spans="1:9" x14ac:dyDescent="0.2">
      <c r="A2622" t="s">
        <v>2899</v>
      </c>
      <c r="B2622">
        <v>4.1375000000000002</v>
      </c>
      <c r="C2622">
        <v>5.7950000000000002E-2</v>
      </c>
      <c r="D2622">
        <v>260</v>
      </c>
      <c r="E2622" t="s">
        <v>2899</v>
      </c>
      <c r="F2622">
        <v>260</v>
      </c>
      <c r="G2622" s="1">
        <v>45186</v>
      </c>
      <c r="H2622" s="6">
        <f t="shared" si="82"/>
        <v>5.0729166666666776</v>
      </c>
      <c r="I2622" s="7">
        <f t="shared" si="83"/>
        <v>5.0729166666666776</v>
      </c>
    </row>
    <row r="2623" spans="1:9" x14ac:dyDescent="0.2">
      <c r="A2623" t="s">
        <v>2900</v>
      </c>
      <c r="B2623">
        <v>4.2729999999999997</v>
      </c>
      <c r="C2623">
        <v>5.985E-2</v>
      </c>
      <c r="D2623">
        <v>260</v>
      </c>
      <c r="E2623" t="s">
        <v>2900</v>
      </c>
      <c r="F2623">
        <v>260</v>
      </c>
      <c r="G2623" s="1">
        <v>45186</v>
      </c>
      <c r="H2623" s="6">
        <f t="shared" si="82"/>
        <v>5.0833333333333446</v>
      </c>
      <c r="I2623" s="7">
        <f t="shared" si="83"/>
        <v>5.0833333333333446</v>
      </c>
    </row>
    <row r="2624" spans="1:9" x14ac:dyDescent="0.2">
      <c r="A2624" t="s">
        <v>2901</v>
      </c>
      <c r="B2624">
        <v>4.08</v>
      </c>
      <c r="C2624">
        <v>5.713E-2</v>
      </c>
      <c r="D2624">
        <v>260</v>
      </c>
      <c r="E2624" t="s">
        <v>2901</v>
      </c>
      <c r="F2624">
        <v>260</v>
      </c>
      <c r="G2624" s="1">
        <v>45186</v>
      </c>
      <c r="H2624" s="6">
        <f t="shared" si="82"/>
        <v>5.0937500000000115</v>
      </c>
      <c r="I2624" s="7">
        <f t="shared" si="83"/>
        <v>5.0937500000000115</v>
      </c>
    </row>
    <row r="2625" spans="1:9" x14ac:dyDescent="0.2">
      <c r="A2625" t="s">
        <v>2902</v>
      </c>
      <c r="B2625">
        <v>3.6255000000000002</v>
      </c>
      <c r="C2625">
        <v>5.0779999999999999E-2</v>
      </c>
      <c r="D2625">
        <v>260</v>
      </c>
      <c r="E2625" t="s">
        <v>2902</v>
      </c>
      <c r="F2625">
        <v>260</v>
      </c>
      <c r="G2625" s="1">
        <v>45186</v>
      </c>
      <c r="H2625" s="6">
        <f t="shared" si="82"/>
        <v>5.1041666666666785</v>
      </c>
      <c r="I2625" s="7">
        <f t="shared" si="83"/>
        <v>5.1041666666666785</v>
      </c>
    </row>
    <row r="2626" spans="1:9" x14ac:dyDescent="0.2">
      <c r="A2626" t="s">
        <v>2903</v>
      </c>
      <c r="B2626">
        <v>3.7690000000000001</v>
      </c>
      <c r="C2626">
        <v>5.2810000000000003E-2</v>
      </c>
      <c r="D2626">
        <v>260</v>
      </c>
      <c r="E2626" t="s">
        <v>2903</v>
      </c>
      <c r="F2626">
        <v>260</v>
      </c>
      <c r="G2626" s="1">
        <v>45186</v>
      </c>
      <c r="H2626" s="6">
        <f t="shared" si="82"/>
        <v>5.1145833333333455</v>
      </c>
      <c r="I2626" s="7">
        <f t="shared" si="83"/>
        <v>5.1145833333333455</v>
      </c>
    </row>
    <row r="2627" spans="1:9" x14ac:dyDescent="0.2">
      <c r="A2627" t="s">
        <v>2904</v>
      </c>
      <c r="B2627" s="2" t="s">
        <v>2905</v>
      </c>
      <c r="C2627">
        <v>5.1255000000000002E-2</v>
      </c>
      <c r="D2627">
        <v>260</v>
      </c>
      <c r="E2627" t="s">
        <v>2904</v>
      </c>
      <c r="F2627">
        <v>260</v>
      </c>
      <c r="G2627" s="1">
        <v>45186</v>
      </c>
      <c r="H2627" s="6">
        <f t="shared" si="82"/>
        <v>5.1250000000000124</v>
      </c>
      <c r="I2627" s="7">
        <f t="shared" si="83"/>
        <v>5.1250000000000124</v>
      </c>
    </row>
    <row r="2628" spans="1:9" x14ac:dyDescent="0.2">
      <c r="A2628" t="s">
        <v>2906</v>
      </c>
      <c r="B2628">
        <v>3.5085000000000002</v>
      </c>
      <c r="C2628">
        <v>4.9149999999999999E-2</v>
      </c>
      <c r="D2628">
        <v>260</v>
      </c>
      <c r="E2628" t="s">
        <v>2906</v>
      </c>
      <c r="F2628">
        <v>260</v>
      </c>
      <c r="G2628" s="1">
        <v>45186</v>
      </c>
      <c r="H2628" s="6">
        <f t="shared" si="82"/>
        <v>5.1354166666666794</v>
      </c>
      <c r="I2628" s="7">
        <f t="shared" si="83"/>
        <v>5.1354166666666794</v>
      </c>
    </row>
    <row r="2629" spans="1:9" x14ac:dyDescent="0.2">
      <c r="A2629" t="s">
        <v>2907</v>
      </c>
      <c r="B2629" s="2" t="s">
        <v>2908</v>
      </c>
      <c r="C2629" s="2" t="s">
        <v>2909</v>
      </c>
      <c r="D2629">
        <v>260</v>
      </c>
      <c r="E2629" t="s">
        <v>2907</v>
      </c>
      <c r="F2629">
        <v>260</v>
      </c>
      <c r="G2629" s="1">
        <v>45186</v>
      </c>
      <c r="H2629" s="6">
        <f t="shared" si="82"/>
        <v>5.1458333333333464</v>
      </c>
      <c r="I2629" s="7">
        <f t="shared" si="83"/>
        <v>5.1458333333333464</v>
      </c>
    </row>
    <row r="2630" spans="1:9" x14ac:dyDescent="0.2">
      <c r="A2630" t="s">
        <v>2910</v>
      </c>
      <c r="B2630" s="2" t="s">
        <v>2911</v>
      </c>
      <c r="C2630">
        <v>4.2865E-2</v>
      </c>
      <c r="D2630">
        <v>260</v>
      </c>
      <c r="E2630" t="s">
        <v>2910</v>
      </c>
      <c r="F2630">
        <v>260</v>
      </c>
      <c r="G2630" s="1">
        <v>45186</v>
      </c>
      <c r="H2630" s="6">
        <f t="shared" si="82"/>
        <v>5.1562500000000133</v>
      </c>
      <c r="I2630" s="7">
        <f t="shared" si="83"/>
        <v>5.1562500000000133</v>
      </c>
    </row>
    <row r="2631" spans="1:9" x14ac:dyDescent="0.2">
      <c r="A2631" t="s">
        <v>2912</v>
      </c>
      <c r="B2631">
        <v>2.8250000000000002</v>
      </c>
      <c r="C2631">
        <v>3.9550000000000002E-2</v>
      </c>
      <c r="D2631">
        <v>260</v>
      </c>
      <c r="E2631" t="s">
        <v>2912</v>
      </c>
      <c r="F2631">
        <v>260</v>
      </c>
      <c r="G2631" s="1">
        <v>45186</v>
      </c>
      <c r="H2631" s="6">
        <f t="shared" si="82"/>
        <v>5.1666666666666803</v>
      </c>
      <c r="I2631" s="7">
        <f t="shared" si="83"/>
        <v>5.1666666666666803</v>
      </c>
    </row>
    <row r="2632" spans="1:9" x14ac:dyDescent="0.2">
      <c r="A2632" t="s">
        <v>2913</v>
      </c>
      <c r="B2632">
        <v>2.72</v>
      </c>
      <c r="C2632">
        <v>3.8109999999999998E-2</v>
      </c>
      <c r="D2632">
        <v>260</v>
      </c>
      <c r="E2632" t="s">
        <v>2913</v>
      </c>
      <c r="F2632">
        <v>260</v>
      </c>
      <c r="G2632" s="1">
        <v>45186</v>
      </c>
      <c r="H2632" s="6">
        <f t="shared" si="82"/>
        <v>5.1770833333333472</v>
      </c>
      <c r="I2632" s="7">
        <f t="shared" si="83"/>
        <v>5.1770833333333472</v>
      </c>
    </row>
    <row r="2633" spans="1:9" x14ac:dyDescent="0.2">
      <c r="A2633" t="s">
        <v>2914</v>
      </c>
      <c r="B2633">
        <v>2.4380000000000002</v>
      </c>
      <c r="C2633">
        <v>3.4154999999999998E-2</v>
      </c>
      <c r="D2633">
        <v>260</v>
      </c>
      <c r="E2633" t="s">
        <v>2914</v>
      </c>
      <c r="F2633">
        <v>260</v>
      </c>
      <c r="G2633" s="1">
        <v>45186</v>
      </c>
      <c r="H2633" s="6">
        <f t="shared" si="82"/>
        <v>5.1875000000000142</v>
      </c>
      <c r="I2633" s="7">
        <f t="shared" si="83"/>
        <v>5.1875000000000142</v>
      </c>
    </row>
    <row r="2634" spans="1:9" x14ac:dyDescent="0.2">
      <c r="A2634" t="s">
        <v>2915</v>
      </c>
      <c r="B2634">
        <v>2.0844999999999998</v>
      </c>
      <c r="C2634">
        <v>2.9194999999999999E-2</v>
      </c>
      <c r="D2634">
        <v>260</v>
      </c>
      <c r="E2634" t="s">
        <v>2915</v>
      </c>
      <c r="F2634">
        <v>260</v>
      </c>
      <c r="G2634" s="1">
        <v>45186</v>
      </c>
      <c r="H2634" s="6">
        <f t="shared" si="82"/>
        <v>5.1979166666666812</v>
      </c>
      <c r="I2634" s="7">
        <f t="shared" si="83"/>
        <v>5.1979166666666812</v>
      </c>
    </row>
    <row r="2635" spans="1:9" x14ac:dyDescent="0.2">
      <c r="A2635" t="s">
        <v>2916</v>
      </c>
      <c r="B2635" s="2" t="s">
        <v>2917</v>
      </c>
      <c r="C2635">
        <v>2.8055E-2</v>
      </c>
      <c r="D2635">
        <v>260</v>
      </c>
      <c r="E2635" t="s">
        <v>2916</v>
      </c>
      <c r="F2635">
        <v>260</v>
      </c>
      <c r="G2635" s="1">
        <v>45186</v>
      </c>
      <c r="H2635" s="6">
        <f t="shared" si="82"/>
        <v>5.2083333333333481</v>
      </c>
      <c r="I2635" s="7">
        <f t="shared" si="83"/>
        <v>5.2083333333333481</v>
      </c>
    </row>
    <row r="2636" spans="1:9" x14ac:dyDescent="0.2">
      <c r="A2636" t="s">
        <v>2918</v>
      </c>
      <c r="B2636">
        <v>2.1055000000000001</v>
      </c>
      <c r="C2636">
        <v>2.9495E-2</v>
      </c>
      <c r="D2636">
        <v>260</v>
      </c>
      <c r="E2636" t="s">
        <v>2918</v>
      </c>
      <c r="F2636">
        <v>260</v>
      </c>
      <c r="G2636" s="1">
        <v>45186</v>
      </c>
      <c r="H2636" s="6">
        <f t="shared" si="82"/>
        <v>5.2187500000000151</v>
      </c>
      <c r="I2636" s="7">
        <f t="shared" si="83"/>
        <v>5.2187500000000151</v>
      </c>
    </row>
    <row r="2637" spans="1:9" x14ac:dyDescent="0.2">
      <c r="A2637" t="s">
        <v>2919</v>
      </c>
      <c r="B2637" s="2" t="s">
        <v>2920</v>
      </c>
      <c r="C2637" s="2" t="s">
        <v>2921</v>
      </c>
      <c r="D2637">
        <v>260</v>
      </c>
      <c r="E2637" t="s">
        <v>2919</v>
      </c>
      <c r="F2637">
        <v>260</v>
      </c>
      <c r="G2637" s="1">
        <v>45186</v>
      </c>
      <c r="H2637" s="6">
        <f t="shared" si="82"/>
        <v>5.2291666666666821</v>
      </c>
      <c r="I2637" s="7">
        <f t="shared" si="83"/>
        <v>5.2291666666666821</v>
      </c>
    </row>
    <row r="2638" spans="1:9" x14ac:dyDescent="0.2">
      <c r="A2638" t="s">
        <v>2922</v>
      </c>
      <c r="B2638">
        <v>1.2290000000000001</v>
      </c>
      <c r="C2638">
        <v>1.7225000000000001E-2</v>
      </c>
      <c r="D2638">
        <v>260</v>
      </c>
      <c r="E2638" t="s">
        <v>2922</v>
      </c>
      <c r="F2638">
        <v>260</v>
      </c>
      <c r="G2638" s="1">
        <v>45186</v>
      </c>
      <c r="H2638" s="6">
        <f t="shared" si="82"/>
        <v>5.239583333333349</v>
      </c>
      <c r="I2638" s="7">
        <f t="shared" si="83"/>
        <v>5.239583333333349</v>
      </c>
    </row>
    <row r="2639" spans="1:9" x14ac:dyDescent="0.2">
      <c r="A2639" t="s">
        <v>2923</v>
      </c>
      <c r="B2639">
        <v>0.90149999999999997</v>
      </c>
      <c r="C2639">
        <v>1.2630000000000001E-2</v>
      </c>
      <c r="D2639">
        <v>260</v>
      </c>
      <c r="E2639" t="s">
        <v>2923</v>
      </c>
      <c r="F2639">
        <v>260</v>
      </c>
      <c r="G2639" s="1">
        <v>45186</v>
      </c>
      <c r="H2639" s="6">
        <f t="shared" si="82"/>
        <v>5.250000000000016</v>
      </c>
      <c r="I2639" s="7">
        <f t="shared" si="83"/>
        <v>5.250000000000016</v>
      </c>
    </row>
    <row r="2640" spans="1:9" x14ac:dyDescent="0.2">
      <c r="A2640" t="s">
        <v>2924</v>
      </c>
      <c r="B2640">
        <v>0.84750000000000003</v>
      </c>
      <c r="C2640">
        <v>1.187E-2</v>
      </c>
      <c r="D2640">
        <v>260</v>
      </c>
      <c r="E2640" t="s">
        <v>2924</v>
      </c>
      <c r="F2640">
        <v>260</v>
      </c>
      <c r="G2640" s="1">
        <v>45186</v>
      </c>
      <c r="H2640" s="6">
        <f t="shared" si="82"/>
        <v>5.2604166666666829</v>
      </c>
      <c r="I2640" s="7">
        <f t="shared" si="83"/>
        <v>5.2604166666666829</v>
      </c>
    </row>
    <row r="2641" spans="1:9" x14ac:dyDescent="0.2">
      <c r="A2641" t="s">
        <v>2925</v>
      </c>
      <c r="B2641">
        <v>0.874</v>
      </c>
      <c r="C2641">
        <v>1.2255E-2</v>
      </c>
      <c r="D2641">
        <v>260</v>
      </c>
      <c r="E2641" t="s">
        <v>2925</v>
      </c>
      <c r="F2641">
        <v>260</v>
      </c>
      <c r="G2641" s="1">
        <v>45186</v>
      </c>
      <c r="H2641" s="6">
        <f t="shared" si="82"/>
        <v>5.2708333333333499</v>
      </c>
      <c r="I2641" s="7">
        <f t="shared" si="83"/>
        <v>5.2708333333333499</v>
      </c>
    </row>
    <row r="2642" spans="1:9" x14ac:dyDescent="0.2">
      <c r="A2642" t="s">
        <v>2926</v>
      </c>
      <c r="B2642">
        <v>0.87849999999999995</v>
      </c>
      <c r="C2642">
        <v>1.231E-2</v>
      </c>
      <c r="D2642">
        <v>260</v>
      </c>
      <c r="E2642" t="s">
        <v>2926</v>
      </c>
      <c r="F2642">
        <v>260</v>
      </c>
      <c r="G2642" s="1">
        <v>45186</v>
      </c>
      <c r="H2642" s="6">
        <f t="shared" si="82"/>
        <v>5.2812500000000169</v>
      </c>
      <c r="I2642" s="7">
        <f t="shared" si="83"/>
        <v>5.2812500000000169</v>
      </c>
    </row>
    <row r="2643" spans="1:9" x14ac:dyDescent="0.2">
      <c r="A2643" t="s">
        <v>2927</v>
      </c>
      <c r="B2643">
        <v>0.73899999999999999</v>
      </c>
      <c r="C2643">
        <v>1.0335E-2</v>
      </c>
      <c r="D2643">
        <v>260</v>
      </c>
      <c r="E2643" t="s">
        <v>2927</v>
      </c>
      <c r="F2643">
        <v>260</v>
      </c>
      <c r="G2643" s="1">
        <v>45186</v>
      </c>
      <c r="H2643" s="6">
        <f t="shared" si="82"/>
        <v>5.2916666666666838</v>
      </c>
      <c r="I2643" s="7">
        <f t="shared" si="83"/>
        <v>5.2916666666666838</v>
      </c>
    </row>
    <row r="2644" spans="1:9" x14ac:dyDescent="0.2">
      <c r="A2644" t="s">
        <v>2928</v>
      </c>
      <c r="B2644">
        <v>0.84899999999999998</v>
      </c>
      <c r="C2644">
        <v>1.1894999999999999E-2</v>
      </c>
      <c r="D2644">
        <v>260</v>
      </c>
      <c r="E2644" t="s">
        <v>2928</v>
      </c>
      <c r="F2644">
        <v>260</v>
      </c>
      <c r="G2644" s="1">
        <v>45186</v>
      </c>
      <c r="H2644" s="6">
        <f t="shared" si="82"/>
        <v>5.3020833333333508</v>
      </c>
      <c r="I2644" s="7">
        <f t="shared" si="83"/>
        <v>5.3020833333333508</v>
      </c>
    </row>
    <row r="2645" spans="1:9" x14ac:dyDescent="0.2">
      <c r="A2645" t="s">
        <v>2929</v>
      </c>
      <c r="B2645">
        <v>0.73</v>
      </c>
      <c r="C2645">
        <v>1.0225E-2</v>
      </c>
      <c r="D2645">
        <v>260</v>
      </c>
      <c r="E2645" t="s">
        <v>2929</v>
      </c>
      <c r="F2645">
        <v>260</v>
      </c>
      <c r="G2645" s="1">
        <v>45186</v>
      </c>
      <c r="H2645" s="6">
        <f t="shared" si="82"/>
        <v>5.3125000000000178</v>
      </c>
      <c r="I2645" s="7">
        <f t="shared" si="83"/>
        <v>5.3125000000000178</v>
      </c>
    </row>
    <row r="2646" spans="1:9" x14ac:dyDescent="0.2">
      <c r="A2646" t="s">
        <v>2930</v>
      </c>
      <c r="B2646">
        <v>1.9279999999999999</v>
      </c>
      <c r="C2646">
        <v>2.6980000000000001E-2</v>
      </c>
      <c r="D2646">
        <v>260</v>
      </c>
      <c r="E2646" t="s">
        <v>2930</v>
      </c>
      <c r="F2646">
        <v>260</v>
      </c>
      <c r="G2646" s="1">
        <v>45186</v>
      </c>
      <c r="H2646" s="6">
        <f t="shared" si="82"/>
        <v>5.3229166666666847</v>
      </c>
      <c r="I2646" s="7">
        <f t="shared" si="83"/>
        <v>5.3229166666666847</v>
      </c>
    </row>
    <row r="2647" spans="1:9" x14ac:dyDescent="0.2">
      <c r="A2647" t="s">
        <v>2931</v>
      </c>
      <c r="B2647">
        <v>1.8494999999999999</v>
      </c>
      <c r="C2647" s="2" t="s">
        <v>2932</v>
      </c>
      <c r="D2647">
        <v>260</v>
      </c>
      <c r="E2647" t="s">
        <v>2931</v>
      </c>
      <c r="F2647">
        <v>260</v>
      </c>
      <c r="G2647" s="1">
        <v>45186</v>
      </c>
      <c r="H2647" s="6">
        <f t="shared" si="82"/>
        <v>5.3333333333333517</v>
      </c>
      <c r="I2647" s="7">
        <f t="shared" si="83"/>
        <v>5.3333333333333517</v>
      </c>
    </row>
    <row r="2648" spans="1:9" x14ac:dyDescent="0.2">
      <c r="A2648" t="s">
        <v>2933</v>
      </c>
      <c r="B2648">
        <v>2.2530000000000001</v>
      </c>
      <c r="C2648">
        <v>3.1570000000000001E-2</v>
      </c>
      <c r="D2648">
        <v>260</v>
      </c>
      <c r="E2648" t="s">
        <v>2933</v>
      </c>
      <c r="F2648">
        <v>260</v>
      </c>
      <c r="G2648" s="1">
        <v>45186</v>
      </c>
      <c r="H2648" s="6">
        <f t="shared" si="82"/>
        <v>5.3437500000000187</v>
      </c>
      <c r="I2648" s="7">
        <f t="shared" si="83"/>
        <v>5.3437500000000187</v>
      </c>
    </row>
    <row r="2649" spans="1:9" x14ac:dyDescent="0.2">
      <c r="A2649" t="s">
        <v>2934</v>
      </c>
      <c r="B2649">
        <v>2.343</v>
      </c>
      <c r="C2649">
        <v>3.2825E-2</v>
      </c>
      <c r="D2649">
        <v>260</v>
      </c>
      <c r="E2649" t="s">
        <v>2934</v>
      </c>
      <c r="F2649">
        <v>260</v>
      </c>
      <c r="G2649" s="1">
        <v>45186</v>
      </c>
      <c r="H2649" s="6">
        <f t="shared" si="82"/>
        <v>5.3541666666666856</v>
      </c>
      <c r="I2649" s="7">
        <f t="shared" si="83"/>
        <v>5.3541666666666856</v>
      </c>
    </row>
    <row r="2650" spans="1:9" x14ac:dyDescent="0.2">
      <c r="A2650" t="s">
        <v>2935</v>
      </c>
      <c r="B2650">
        <v>2.2785000000000002</v>
      </c>
      <c r="C2650">
        <v>3.1905000000000003E-2</v>
      </c>
      <c r="D2650">
        <v>260</v>
      </c>
      <c r="E2650" t="s">
        <v>2935</v>
      </c>
      <c r="F2650">
        <v>260</v>
      </c>
      <c r="G2650" s="1">
        <v>45186</v>
      </c>
      <c r="H2650" s="6">
        <f t="shared" si="82"/>
        <v>5.3645833333333526</v>
      </c>
      <c r="I2650" s="7">
        <f t="shared" si="83"/>
        <v>5.3645833333333526</v>
      </c>
    </row>
    <row r="2651" spans="1:9" x14ac:dyDescent="0.2">
      <c r="A2651" t="s">
        <v>2936</v>
      </c>
      <c r="B2651">
        <v>2.4805000000000001</v>
      </c>
      <c r="C2651">
        <v>3.474E-2</v>
      </c>
      <c r="D2651">
        <v>260</v>
      </c>
      <c r="E2651" t="s">
        <v>2936</v>
      </c>
      <c r="F2651">
        <v>260</v>
      </c>
      <c r="G2651" s="1">
        <v>45186</v>
      </c>
      <c r="H2651" s="6">
        <f t="shared" si="82"/>
        <v>5.3750000000000195</v>
      </c>
      <c r="I2651" s="7">
        <f t="shared" si="83"/>
        <v>5.3750000000000195</v>
      </c>
    </row>
    <row r="2652" spans="1:9" x14ac:dyDescent="0.2">
      <c r="A2652" t="s">
        <v>2937</v>
      </c>
      <c r="B2652">
        <v>2.7294999999999998</v>
      </c>
      <c r="C2652">
        <v>3.8240000000000003E-2</v>
      </c>
      <c r="D2652">
        <v>260</v>
      </c>
      <c r="E2652" t="s">
        <v>2937</v>
      </c>
      <c r="F2652">
        <v>260</v>
      </c>
      <c r="G2652" s="1">
        <v>45186</v>
      </c>
      <c r="H2652" s="6">
        <f t="shared" ref="H2652:H2715" si="84">H2651+$K$1</f>
        <v>5.3854166666666865</v>
      </c>
      <c r="I2652" s="7">
        <f t="shared" ref="I2652:I2715" si="85">I2651+$K$1</f>
        <v>5.3854166666666865</v>
      </c>
    </row>
    <row r="2653" spans="1:9" x14ac:dyDescent="0.2">
      <c r="A2653" t="s">
        <v>2938</v>
      </c>
      <c r="B2653">
        <v>2.843</v>
      </c>
      <c r="C2653">
        <v>3.9829999999999997E-2</v>
      </c>
      <c r="D2653">
        <v>260</v>
      </c>
      <c r="E2653" t="s">
        <v>2938</v>
      </c>
      <c r="F2653">
        <v>260</v>
      </c>
      <c r="G2653" s="1">
        <v>45186</v>
      </c>
      <c r="H2653" s="6">
        <f t="shared" si="84"/>
        <v>5.3958333333333535</v>
      </c>
      <c r="I2653" s="7">
        <f t="shared" si="85"/>
        <v>5.3958333333333535</v>
      </c>
    </row>
    <row r="2654" spans="1:9" x14ac:dyDescent="0.2">
      <c r="A2654" t="s">
        <v>2939</v>
      </c>
      <c r="B2654">
        <v>2.3879999999999999</v>
      </c>
      <c r="C2654">
        <v>3.3434999999999999E-2</v>
      </c>
      <c r="D2654">
        <v>260</v>
      </c>
      <c r="E2654" t="s">
        <v>2939</v>
      </c>
      <c r="F2654">
        <v>260</v>
      </c>
      <c r="G2654" s="1">
        <v>45186</v>
      </c>
      <c r="H2654" s="6">
        <f t="shared" si="84"/>
        <v>5.4062500000000204</v>
      </c>
      <c r="I2654" s="7">
        <f t="shared" si="85"/>
        <v>5.4062500000000204</v>
      </c>
    </row>
    <row r="2655" spans="1:9" x14ac:dyDescent="0.2">
      <c r="A2655" t="s">
        <v>2940</v>
      </c>
      <c r="B2655">
        <v>2.6240000000000001</v>
      </c>
      <c r="C2655">
        <v>3.6740000000000002E-2</v>
      </c>
      <c r="D2655">
        <v>260</v>
      </c>
      <c r="E2655" t="s">
        <v>2940</v>
      </c>
      <c r="F2655">
        <v>260</v>
      </c>
      <c r="G2655" s="1">
        <v>45186</v>
      </c>
      <c r="H2655" s="6">
        <f t="shared" si="84"/>
        <v>5.4166666666666874</v>
      </c>
      <c r="I2655" s="7">
        <f t="shared" si="85"/>
        <v>5.4166666666666874</v>
      </c>
    </row>
    <row r="2656" spans="1:9" x14ac:dyDescent="0.2">
      <c r="A2656" t="s">
        <v>2941</v>
      </c>
      <c r="B2656" s="2" t="s">
        <v>2942</v>
      </c>
      <c r="C2656">
        <v>3.3689999999999998E-2</v>
      </c>
      <c r="D2656">
        <v>260</v>
      </c>
      <c r="E2656" t="s">
        <v>2941</v>
      </c>
      <c r="F2656">
        <v>260</v>
      </c>
      <c r="G2656" s="1">
        <v>45186</v>
      </c>
      <c r="H2656" s="6">
        <f t="shared" si="84"/>
        <v>5.4270833333333544</v>
      </c>
      <c r="I2656" s="7">
        <f t="shared" si="85"/>
        <v>5.4270833333333544</v>
      </c>
    </row>
    <row r="2657" spans="1:9" x14ac:dyDescent="0.2">
      <c r="A2657" t="s">
        <v>2943</v>
      </c>
      <c r="B2657">
        <v>2.633</v>
      </c>
      <c r="C2657">
        <v>3.6885000000000001E-2</v>
      </c>
      <c r="D2657">
        <v>260</v>
      </c>
      <c r="E2657" t="s">
        <v>2943</v>
      </c>
      <c r="F2657">
        <v>260</v>
      </c>
      <c r="G2657" s="1">
        <v>45186</v>
      </c>
      <c r="H2657" s="6">
        <f t="shared" si="84"/>
        <v>5.4375000000000213</v>
      </c>
      <c r="I2657" s="7">
        <f t="shared" si="85"/>
        <v>5.4375000000000213</v>
      </c>
    </row>
    <row r="2658" spans="1:9" x14ac:dyDescent="0.2">
      <c r="A2658" t="s">
        <v>2944</v>
      </c>
      <c r="B2658">
        <v>2.4895</v>
      </c>
      <c r="C2658">
        <v>3.4880000000000001E-2</v>
      </c>
      <c r="D2658">
        <v>260</v>
      </c>
      <c r="E2658" t="s">
        <v>2944</v>
      </c>
      <c r="F2658">
        <v>260</v>
      </c>
      <c r="G2658" s="1">
        <v>45186</v>
      </c>
      <c r="H2658" s="6">
        <f t="shared" si="84"/>
        <v>5.4479166666666883</v>
      </c>
      <c r="I2658" s="7">
        <f t="shared" si="85"/>
        <v>5.4479166666666883</v>
      </c>
    </row>
    <row r="2659" spans="1:9" x14ac:dyDescent="0.2">
      <c r="A2659" t="s">
        <v>2945</v>
      </c>
      <c r="B2659">
        <v>2.1364999999999998</v>
      </c>
      <c r="C2659">
        <v>2.9940000000000001E-2</v>
      </c>
      <c r="D2659">
        <v>260</v>
      </c>
      <c r="E2659" t="s">
        <v>2945</v>
      </c>
      <c r="F2659">
        <v>260</v>
      </c>
      <c r="G2659" s="1">
        <v>45186</v>
      </c>
      <c r="H2659" s="6">
        <f t="shared" si="84"/>
        <v>5.4583333333333552</v>
      </c>
      <c r="I2659" s="7">
        <f t="shared" si="85"/>
        <v>5.4583333333333552</v>
      </c>
    </row>
    <row r="2660" spans="1:9" x14ac:dyDescent="0.2">
      <c r="A2660" t="s">
        <v>2946</v>
      </c>
      <c r="B2660">
        <v>1.8995</v>
      </c>
      <c r="C2660">
        <v>2.6615E-2</v>
      </c>
      <c r="D2660">
        <v>260</v>
      </c>
      <c r="E2660" t="s">
        <v>2946</v>
      </c>
      <c r="F2660">
        <v>260</v>
      </c>
      <c r="G2660" s="1">
        <v>45186</v>
      </c>
      <c r="H2660" s="6">
        <f t="shared" si="84"/>
        <v>5.4687500000000222</v>
      </c>
      <c r="I2660" s="7">
        <f t="shared" si="85"/>
        <v>5.4687500000000222</v>
      </c>
    </row>
    <row r="2661" spans="1:9" x14ac:dyDescent="0.2">
      <c r="A2661" t="s">
        <v>2947</v>
      </c>
      <c r="B2661">
        <v>2.3574999999999999</v>
      </c>
      <c r="C2661">
        <v>3.3029999999999997E-2</v>
      </c>
      <c r="D2661">
        <v>260</v>
      </c>
      <c r="E2661" t="s">
        <v>2947</v>
      </c>
      <c r="F2661">
        <v>260</v>
      </c>
      <c r="G2661" s="1">
        <v>45186</v>
      </c>
      <c r="H2661" s="6">
        <f t="shared" si="84"/>
        <v>5.4791666666666892</v>
      </c>
      <c r="I2661" s="7">
        <f t="shared" si="85"/>
        <v>5.4791666666666892</v>
      </c>
    </row>
    <row r="2662" spans="1:9" x14ac:dyDescent="0.2">
      <c r="A2662" t="s">
        <v>2948</v>
      </c>
      <c r="B2662">
        <v>2.6635</v>
      </c>
      <c r="C2662">
        <v>3.73E-2</v>
      </c>
      <c r="D2662">
        <v>260</v>
      </c>
      <c r="E2662" t="s">
        <v>2948</v>
      </c>
      <c r="F2662">
        <v>260</v>
      </c>
      <c r="G2662" s="1">
        <v>45186</v>
      </c>
      <c r="H2662" s="6">
        <f t="shared" si="84"/>
        <v>5.4895833333333561</v>
      </c>
      <c r="I2662" s="7">
        <f t="shared" si="85"/>
        <v>5.4895833333333561</v>
      </c>
    </row>
    <row r="2663" spans="1:9" x14ac:dyDescent="0.2">
      <c r="A2663" t="s">
        <v>2949</v>
      </c>
      <c r="B2663">
        <v>2.8220000000000001</v>
      </c>
      <c r="C2663">
        <v>3.95E-2</v>
      </c>
      <c r="D2663">
        <v>260</v>
      </c>
      <c r="E2663" t="s">
        <v>2949</v>
      </c>
      <c r="F2663">
        <v>260</v>
      </c>
      <c r="G2663" s="1">
        <v>45186</v>
      </c>
      <c r="H2663" s="6">
        <f t="shared" si="84"/>
        <v>5.5000000000000231</v>
      </c>
      <c r="I2663" s="7">
        <f t="shared" si="85"/>
        <v>5.5000000000000231</v>
      </c>
    </row>
    <row r="2664" spans="1:9" x14ac:dyDescent="0.2">
      <c r="A2664" t="s">
        <v>2950</v>
      </c>
      <c r="B2664">
        <v>2.956</v>
      </c>
      <c r="C2664">
        <v>4.1399999999999999E-2</v>
      </c>
      <c r="D2664">
        <v>260</v>
      </c>
      <c r="E2664" t="s">
        <v>2950</v>
      </c>
      <c r="F2664">
        <v>260</v>
      </c>
      <c r="G2664" s="1">
        <v>45186</v>
      </c>
      <c r="H2664" s="6">
        <f t="shared" si="84"/>
        <v>5.5104166666666901</v>
      </c>
      <c r="I2664" s="7">
        <f t="shared" si="85"/>
        <v>5.5104166666666901</v>
      </c>
    </row>
    <row r="2665" spans="1:9" x14ac:dyDescent="0.2">
      <c r="A2665" t="s">
        <v>2951</v>
      </c>
      <c r="B2665">
        <v>3.097</v>
      </c>
      <c r="C2665">
        <v>4.3380000000000002E-2</v>
      </c>
      <c r="D2665">
        <v>260</v>
      </c>
      <c r="E2665" t="s">
        <v>2951</v>
      </c>
      <c r="F2665">
        <v>260</v>
      </c>
      <c r="G2665" s="1">
        <v>45186</v>
      </c>
      <c r="H2665" s="6">
        <f t="shared" si="84"/>
        <v>5.520833333333357</v>
      </c>
      <c r="I2665" s="7">
        <f t="shared" si="85"/>
        <v>5.520833333333357</v>
      </c>
    </row>
    <row r="2666" spans="1:9" x14ac:dyDescent="0.2">
      <c r="A2666" t="s">
        <v>2952</v>
      </c>
      <c r="B2666">
        <v>3.2955000000000001</v>
      </c>
      <c r="C2666">
        <v>4.6155000000000002E-2</v>
      </c>
      <c r="D2666">
        <v>260</v>
      </c>
      <c r="E2666" t="s">
        <v>2952</v>
      </c>
      <c r="F2666">
        <v>260</v>
      </c>
      <c r="G2666" s="1">
        <v>45186</v>
      </c>
      <c r="H2666" s="6">
        <f t="shared" si="84"/>
        <v>5.531250000000024</v>
      </c>
      <c r="I2666" s="7">
        <f t="shared" si="85"/>
        <v>5.531250000000024</v>
      </c>
    </row>
    <row r="2667" spans="1:9" x14ac:dyDescent="0.2">
      <c r="A2667" t="s">
        <v>2953</v>
      </c>
      <c r="B2667">
        <v>3.3045</v>
      </c>
      <c r="C2667">
        <v>4.6289999999999998E-2</v>
      </c>
      <c r="D2667">
        <v>260</v>
      </c>
      <c r="E2667" t="s">
        <v>2953</v>
      </c>
      <c r="F2667">
        <v>260</v>
      </c>
      <c r="G2667" s="1">
        <v>45186</v>
      </c>
      <c r="H2667" s="6">
        <f t="shared" si="84"/>
        <v>5.5416666666666909</v>
      </c>
      <c r="I2667" s="7">
        <f t="shared" si="85"/>
        <v>5.5416666666666909</v>
      </c>
    </row>
    <row r="2668" spans="1:9" x14ac:dyDescent="0.2">
      <c r="A2668" t="s">
        <v>2954</v>
      </c>
      <c r="B2668">
        <v>3.1675</v>
      </c>
      <c r="C2668" s="2" t="s">
        <v>2955</v>
      </c>
      <c r="D2668">
        <v>260</v>
      </c>
      <c r="E2668" t="s">
        <v>2954</v>
      </c>
      <c r="F2668">
        <v>260</v>
      </c>
      <c r="G2668" s="1">
        <v>45186</v>
      </c>
      <c r="H2668" s="6">
        <f t="shared" si="84"/>
        <v>5.5520833333333579</v>
      </c>
      <c r="I2668" s="7">
        <f t="shared" si="85"/>
        <v>5.5520833333333579</v>
      </c>
    </row>
    <row r="2669" spans="1:9" x14ac:dyDescent="0.2">
      <c r="A2669" t="s">
        <v>2956</v>
      </c>
      <c r="B2669">
        <v>3.0950000000000002</v>
      </c>
      <c r="C2669">
        <v>4.3354999999999998E-2</v>
      </c>
      <c r="D2669">
        <v>260</v>
      </c>
      <c r="E2669" t="s">
        <v>2956</v>
      </c>
      <c r="F2669">
        <v>260</v>
      </c>
      <c r="G2669" s="1">
        <v>45186</v>
      </c>
      <c r="H2669" s="6">
        <f t="shared" si="84"/>
        <v>5.5625000000000249</v>
      </c>
      <c r="I2669" s="7">
        <f t="shared" si="85"/>
        <v>5.5625000000000249</v>
      </c>
    </row>
    <row r="2670" spans="1:9" x14ac:dyDescent="0.2">
      <c r="A2670" t="s">
        <v>2957</v>
      </c>
      <c r="B2670">
        <v>3.089</v>
      </c>
      <c r="C2670">
        <v>4.3255000000000002E-2</v>
      </c>
      <c r="D2670">
        <v>260</v>
      </c>
      <c r="E2670" t="s">
        <v>2957</v>
      </c>
      <c r="F2670">
        <v>260</v>
      </c>
      <c r="G2670" s="1">
        <v>45186</v>
      </c>
      <c r="H2670" s="6">
        <f t="shared" si="84"/>
        <v>5.5729166666666918</v>
      </c>
      <c r="I2670" s="7">
        <f t="shared" si="85"/>
        <v>5.5729166666666918</v>
      </c>
    </row>
    <row r="2671" spans="1:9" x14ac:dyDescent="0.2">
      <c r="A2671" t="s">
        <v>2958</v>
      </c>
      <c r="B2671">
        <v>3.7854999999999999</v>
      </c>
      <c r="C2671">
        <v>5.3039999999999997E-2</v>
      </c>
      <c r="D2671">
        <v>260</v>
      </c>
      <c r="E2671" t="s">
        <v>2958</v>
      </c>
      <c r="F2671">
        <v>260</v>
      </c>
      <c r="G2671" s="1">
        <v>45186</v>
      </c>
      <c r="H2671" s="6">
        <f t="shared" si="84"/>
        <v>5.5833333333333588</v>
      </c>
      <c r="I2671" s="7">
        <f t="shared" si="85"/>
        <v>5.5833333333333588</v>
      </c>
    </row>
    <row r="2672" spans="1:9" x14ac:dyDescent="0.2">
      <c r="A2672" t="s">
        <v>2959</v>
      </c>
      <c r="B2672">
        <v>3.5030000000000001</v>
      </c>
      <c r="C2672">
        <v>4.9070000000000003E-2</v>
      </c>
      <c r="D2672">
        <v>260</v>
      </c>
      <c r="E2672" t="s">
        <v>2959</v>
      </c>
      <c r="F2672">
        <v>260</v>
      </c>
      <c r="G2672" s="1">
        <v>45186</v>
      </c>
      <c r="H2672" s="6">
        <f t="shared" si="84"/>
        <v>5.5937500000000258</v>
      </c>
      <c r="I2672" s="7">
        <f t="shared" si="85"/>
        <v>5.5937500000000258</v>
      </c>
    </row>
    <row r="2673" spans="1:9" x14ac:dyDescent="0.2">
      <c r="A2673" t="s">
        <v>2960</v>
      </c>
      <c r="B2673">
        <v>3.4464999999999999</v>
      </c>
      <c r="C2673">
        <v>4.8265000000000002E-2</v>
      </c>
      <c r="D2673">
        <v>260</v>
      </c>
      <c r="E2673" t="s">
        <v>2960</v>
      </c>
      <c r="F2673">
        <v>260</v>
      </c>
      <c r="G2673" s="1">
        <v>45186</v>
      </c>
      <c r="H2673" s="6">
        <f t="shared" si="84"/>
        <v>5.6041666666666927</v>
      </c>
      <c r="I2673" s="7">
        <f t="shared" si="85"/>
        <v>5.6041666666666927</v>
      </c>
    </row>
    <row r="2674" spans="1:9" x14ac:dyDescent="0.2">
      <c r="A2674" t="s">
        <v>2961</v>
      </c>
      <c r="B2674">
        <v>3.4870000000000001</v>
      </c>
      <c r="C2674">
        <v>4.8849999999999998E-2</v>
      </c>
      <c r="D2674">
        <v>260</v>
      </c>
      <c r="E2674" t="s">
        <v>2961</v>
      </c>
      <c r="F2674">
        <v>260</v>
      </c>
      <c r="G2674" s="1">
        <v>45186</v>
      </c>
      <c r="H2674" s="6">
        <f t="shared" si="84"/>
        <v>5.6145833333333597</v>
      </c>
      <c r="I2674" s="7">
        <f t="shared" si="85"/>
        <v>5.6145833333333597</v>
      </c>
    </row>
    <row r="2675" spans="1:9" x14ac:dyDescent="0.2">
      <c r="A2675" t="s">
        <v>2962</v>
      </c>
      <c r="B2675" s="2" t="s">
        <v>127</v>
      </c>
      <c r="C2675">
        <v>4.8474999999999997E-2</v>
      </c>
      <c r="D2675">
        <v>260</v>
      </c>
      <c r="E2675" t="s">
        <v>2962</v>
      </c>
      <c r="F2675">
        <v>260</v>
      </c>
      <c r="G2675" s="1">
        <v>45186</v>
      </c>
      <c r="H2675" s="6">
        <f t="shared" si="84"/>
        <v>5.6250000000000266</v>
      </c>
      <c r="I2675" s="7">
        <f t="shared" si="85"/>
        <v>5.6250000000000266</v>
      </c>
    </row>
    <row r="2676" spans="1:9" x14ac:dyDescent="0.2">
      <c r="A2676" t="s">
        <v>2963</v>
      </c>
      <c r="B2676">
        <v>3.4430000000000001</v>
      </c>
      <c r="C2676" s="2" t="s">
        <v>2964</v>
      </c>
      <c r="D2676">
        <v>260</v>
      </c>
      <c r="E2676" t="s">
        <v>2963</v>
      </c>
      <c r="F2676">
        <v>260</v>
      </c>
      <c r="G2676" s="1">
        <v>45186</v>
      </c>
      <c r="H2676" s="6">
        <f t="shared" si="84"/>
        <v>5.6354166666666936</v>
      </c>
      <c r="I2676" s="7">
        <f t="shared" si="85"/>
        <v>5.6354166666666936</v>
      </c>
    </row>
    <row r="2677" spans="1:9" x14ac:dyDescent="0.2">
      <c r="A2677" t="s">
        <v>2965</v>
      </c>
      <c r="B2677">
        <v>3.3915000000000002</v>
      </c>
      <c r="C2677">
        <v>4.7535000000000001E-2</v>
      </c>
      <c r="D2677">
        <v>260</v>
      </c>
      <c r="E2677" t="s">
        <v>2965</v>
      </c>
      <c r="F2677">
        <v>260</v>
      </c>
      <c r="G2677" s="1">
        <v>45186</v>
      </c>
      <c r="H2677" s="6">
        <f t="shared" si="84"/>
        <v>5.6458333333333606</v>
      </c>
      <c r="I2677" s="7">
        <f t="shared" si="85"/>
        <v>5.6458333333333606</v>
      </c>
    </row>
    <row r="2678" spans="1:9" x14ac:dyDescent="0.2">
      <c r="A2678" t="s">
        <v>2966</v>
      </c>
      <c r="B2678">
        <v>3.7435</v>
      </c>
      <c r="C2678">
        <v>5.2440000000000001E-2</v>
      </c>
      <c r="D2678">
        <v>260</v>
      </c>
      <c r="E2678" t="s">
        <v>2966</v>
      </c>
      <c r="F2678">
        <v>260</v>
      </c>
      <c r="G2678" s="1">
        <v>45186</v>
      </c>
      <c r="H2678" s="6">
        <f t="shared" si="84"/>
        <v>5.6562500000000275</v>
      </c>
      <c r="I2678" s="7">
        <f t="shared" si="85"/>
        <v>5.6562500000000275</v>
      </c>
    </row>
    <row r="2679" spans="1:9" x14ac:dyDescent="0.2">
      <c r="A2679" t="s">
        <v>2967</v>
      </c>
      <c r="B2679" s="2" t="s">
        <v>2968</v>
      </c>
      <c r="C2679">
        <v>5.2900000000000003E-2</v>
      </c>
      <c r="D2679">
        <v>260</v>
      </c>
      <c r="E2679" t="s">
        <v>2967</v>
      </c>
      <c r="F2679">
        <v>260</v>
      </c>
      <c r="G2679" s="1">
        <v>45186</v>
      </c>
      <c r="H2679" s="6">
        <f t="shared" si="84"/>
        <v>5.6666666666666945</v>
      </c>
      <c r="I2679" s="7">
        <f t="shared" si="85"/>
        <v>5.6666666666666945</v>
      </c>
    </row>
    <row r="2680" spans="1:9" x14ac:dyDescent="0.2">
      <c r="A2680" t="s">
        <v>2969</v>
      </c>
      <c r="B2680">
        <v>4.1615000000000002</v>
      </c>
      <c r="C2680" s="2" t="s">
        <v>161</v>
      </c>
      <c r="D2680">
        <v>260</v>
      </c>
      <c r="E2680" t="s">
        <v>2969</v>
      </c>
      <c r="F2680">
        <v>260</v>
      </c>
      <c r="G2680" s="1">
        <v>45186</v>
      </c>
      <c r="H2680" s="6">
        <f t="shared" si="84"/>
        <v>5.6770833333333615</v>
      </c>
      <c r="I2680" s="7">
        <f t="shared" si="85"/>
        <v>5.6770833333333615</v>
      </c>
    </row>
    <row r="2681" spans="1:9" x14ac:dyDescent="0.2">
      <c r="A2681" t="s">
        <v>2970</v>
      </c>
      <c r="B2681">
        <v>4.1684999999999999</v>
      </c>
      <c r="C2681">
        <v>5.8389999999999997E-2</v>
      </c>
      <c r="D2681">
        <v>260</v>
      </c>
      <c r="E2681" t="s">
        <v>2970</v>
      </c>
      <c r="F2681">
        <v>260</v>
      </c>
      <c r="G2681" s="1">
        <v>45186</v>
      </c>
      <c r="H2681" s="6">
        <f t="shared" si="84"/>
        <v>5.6875000000000284</v>
      </c>
      <c r="I2681" s="7">
        <f t="shared" si="85"/>
        <v>5.6875000000000284</v>
      </c>
    </row>
    <row r="2682" spans="1:9" x14ac:dyDescent="0.2">
      <c r="A2682" t="s">
        <v>2971</v>
      </c>
      <c r="B2682">
        <v>4.1825000000000001</v>
      </c>
      <c r="C2682">
        <v>5.8564999999999999E-2</v>
      </c>
      <c r="D2682">
        <v>260</v>
      </c>
      <c r="E2682" t="s">
        <v>2971</v>
      </c>
      <c r="F2682">
        <v>260</v>
      </c>
      <c r="G2682" s="1">
        <v>45186</v>
      </c>
      <c r="H2682" s="6">
        <f t="shared" si="84"/>
        <v>5.6979166666666954</v>
      </c>
      <c r="I2682" s="7">
        <f t="shared" si="85"/>
        <v>5.6979166666666954</v>
      </c>
    </row>
    <row r="2683" spans="1:9" x14ac:dyDescent="0.2">
      <c r="A2683" t="s">
        <v>2972</v>
      </c>
      <c r="B2683">
        <v>4.1479999999999997</v>
      </c>
      <c r="C2683">
        <v>5.808E-2</v>
      </c>
      <c r="D2683">
        <v>260</v>
      </c>
      <c r="E2683" t="s">
        <v>2972</v>
      </c>
      <c r="F2683">
        <v>260</v>
      </c>
      <c r="G2683" s="1">
        <v>45186</v>
      </c>
      <c r="H2683" s="6">
        <f t="shared" si="84"/>
        <v>5.7083333333333623</v>
      </c>
      <c r="I2683" s="7">
        <f t="shared" si="85"/>
        <v>5.7083333333333623</v>
      </c>
    </row>
    <row r="2684" spans="1:9" x14ac:dyDescent="0.2">
      <c r="A2684" t="s">
        <v>2973</v>
      </c>
      <c r="B2684">
        <v>3.7825000000000002</v>
      </c>
      <c r="C2684">
        <v>5.296E-2</v>
      </c>
      <c r="D2684">
        <v>261</v>
      </c>
      <c r="E2684" t="s">
        <v>2973</v>
      </c>
      <c r="F2684">
        <v>260</v>
      </c>
      <c r="G2684" s="1">
        <v>45186</v>
      </c>
      <c r="H2684" s="6">
        <f t="shared" si="84"/>
        <v>5.7187500000000293</v>
      </c>
      <c r="I2684" s="7">
        <f t="shared" si="85"/>
        <v>5.7187500000000293</v>
      </c>
    </row>
    <row r="2685" spans="1:9" x14ac:dyDescent="0.2">
      <c r="A2685" t="s">
        <v>2974</v>
      </c>
      <c r="B2685">
        <v>4.0644999999999998</v>
      </c>
      <c r="C2685">
        <v>5.6930000000000001E-2</v>
      </c>
      <c r="D2685">
        <v>261</v>
      </c>
      <c r="E2685" t="s">
        <v>2974</v>
      </c>
      <c r="F2685">
        <v>260</v>
      </c>
      <c r="G2685" s="1">
        <v>45186</v>
      </c>
      <c r="H2685" s="6">
        <f t="shared" si="84"/>
        <v>5.7291666666666963</v>
      </c>
      <c r="I2685" s="7">
        <f t="shared" si="85"/>
        <v>5.7291666666666963</v>
      </c>
    </row>
    <row r="2686" spans="1:9" x14ac:dyDescent="0.2">
      <c r="A2686" t="s">
        <v>2975</v>
      </c>
      <c r="B2686">
        <v>4.21</v>
      </c>
      <c r="C2686">
        <v>5.8979999999999998E-2</v>
      </c>
      <c r="D2686">
        <v>261</v>
      </c>
      <c r="E2686" t="s">
        <v>2975</v>
      </c>
      <c r="F2686">
        <v>260</v>
      </c>
      <c r="G2686" s="1">
        <v>45186</v>
      </c>
      <c r="H2686" s="6">
        <f t="shared" si="84"/>
        <v>5.7395833333333632</v>
      </c>
      <c r="I2686" s="7">
        <f t="shared" si="85"/>
        <v>5.7395833333333632</v>
      </c>
    </row>
    <row r="2687" spans="1:9" x14ac:dyDescent="0.2">
      <c r="A2687" t="s">
        <v>2976</v>
      </c>
      <c r="B2687" s="2" t="s">
        <v>2977</v>
      </c>
      <c r="C2687">
        <v>5.6390000000000003E-2</v>
      </c>
      <c r="D2687">
        <v>261</v>
      </c>
      <c r="E2687" t="s">
        <v>2976</v>
      </c>
      <c r="F2687">
        <v>260</v>
      </c>
      <c r="G2687" s="1">
        <v>45186</v>
      </c>
      <c r="H2687" s="6">
        <f t="shared" si="84"/>
        <v>5.7500000000000302</v>
      </c>
      <c r="I2687" s="7">
        <f t="shared" si="85"/>
        <v>5.7500000000000302</v>
      </c>
    </row>
    <row r="2688" spans="1:9" x14ac:dyDescent="0.2">
      <c r="A2688" t="s">
        <v>2978</v>
      </c>
      <c r="B2688">
        <v>3.8414999999999999</v>
      </c>
      <c r="C2688" s="2" t="s">
        <v>2979</v>
      </c>
      <c r="D2688">
        <v>261</v>
      </c>
      <c r="E2688" t="s">
        <v>2978</v>
      </c>
      <c r="F2688">
        <v>260</v>
      </c>
      <c r="G2688" s="1">
        <v>45186</v>
      </c>
      <c r="H2688" s="6">
        <f t="shared" si="84"/>
        <v>5.7604166666666972</v>
      </c>
      <c r="I2688" s="7">
        <f t="shared" si="85"/>
        <v>5.7604166666666972</v>
      </c>
    </row>
    <row r="2689" spans="1:9" x14ac:dyDescent="0.2">
      <c r="A2689" t="s">
        <v>2980</v>
      </c>
      <c r="B2689">
        <v>3.8879999999999999</v>
      </c>
      <c r="C2689">
        <v>5.4465E-2</v>
      </c>
      <c r="D2689">
        <v>261</v>
      </c>
      <c r="E2689" t="s">
        <v>2980</v>
      </c>
      <c r="F2689">
        <v>260</v>
      </c>
      <c r="G2689" s="1">
        <v>45186</v>
      </c>
      <c r="H2689" s="6">
        <f t="shared" si="84"/>
        <v>5.7708333333333641</v>
      </c>
      <c r="I2689" s="7">
        <f t="shared" si="85"/>
        <v>5.7708333333333641</v>
      </c>
    </row>
    <row r="2690" spans="1:9" x14ac:dyDescent="0.2">
      <c r="A2690" t="s">
        <v>2981</v>
      </c>
      <c r="B2690">
        <v>4.4695</v>
      </c>
      <c r="C2690">
        <v>6.2600000000000003E-2</v>
      </c>
      <c r="D2690">
        <v>261</v>
      </c>
      <c r="E2690" t="s">
        <v>2981</v>
      </c>
      <c r="F2690">
        <v>260</v>
      </c>
      <c r="G2690" s="1">
        <v>45186</v>
      </c>
      <c r="H2690" s="6">
        <f t="shared" si="84"/>
        <v>5.7812500000000311</v>
      </c>
      <c r="I2690" s="7">
        <f t="shared" si="85"/>
        <v>5.7812500000000311</v>
      </c>
    </row>
    <row r="2691" spans="1:9" x14ac:dyDescent="0.2">
      <c r="A2691" t="s">
        <v>2982</v>
      </c>
      <c r="B2691">
        <v>3.7805</v>
      </c>
      <c r="C2691">
        <v>5.2975000000000001E-2</v>
      </c>
      <c r="D2691">
        <v>261</v>
      </c>
      <c r="E2691" t="s">
        <v>2982</v>
      </c>
      <c r="F2691">
        <v>260</v>
      </c>
      <c r="G2691" s="1">
        <v>45186</v>
      </c>
      <c r="H2691" s="6">
        <f t="shared" si="84"/>
        <v>5.791666666666698</v>
      </c>
      <c r="I2691" s="7">
        <f t="shared" si="85"/>
        <v>5.791666666666698</v>
      </c>
    </row>
    <row r="2692" spans="1:9" x14ac:dyDescent="0.2">
      <c r="A2692" t="s">
        <v>2983</v>
      </c>
      <c r="B2692">
        <v>3.9725000000000001</v>
      </c>
      <c r="C2692">
        <v>5.5640000000000002E-2</v>
      </c>
      <c r="D2692">
        <v>261</v>
      </c>
      <c r="E2692" t="s">
        <v>2983</v>
      </c>
      <c r="F2692">
        <v>260</v>
      </c>
      <c r="G2692" s="1">
        <v>45186</v>
      </c>
      <c r="H2692" s="6">
        <f t="shared" si="84"/>
        <v>5.802083333333365</v>
      </c>
      <c r="I2692" s="7">
        <f t="shared" si="85"/>
        <v>5.802083333333365</v>
      </c>
    </row>
    <row r="2693" spans="1:9" x14ac:dyDescent="0.2">
      <c r="A2693" t="s">
        <v>2984</v>
      </c>
      <c r="B2693">
        <v>3.794</v>
      </c>
      <c r="C2693">
        <v>5.314E-2</v>
      </c>
      <c r="D2693">
        <v>261</v>
      </c>
      <c r="E2693" t="s">
        <v>2984</v>
      </c>
      <c r="F2693">
        <v>260</v>
      </c>
      <c r="G2693" s="1">
        <v>45186</v>
      </c>
      <c r="H2693" s="6">
        <f t="shared" si="84"/>
        <v>5.812500000000032</v>
      </c>
      <c r="I2693" s="7">
        <f t="shared" si="85"/>
        <v>5.812500000000032</v>
      </c>
    </row>
    <row r="2694" spans="1:9" x14ac:dyDescent="0.2">
      <c r="A2694" t="s">
        <v>2985</v>
      </c>
      <c r="B2694">
        <v>3.7490000000000001</v>
      </c>
      <c r="C2694">
        <v>5.2505000000000003E-2</v>
      </c>
      <c r="D2694">
        <v>261</v>
      </c>
      <c r="E2694" t="s">
        <v>2985</v>
      </c>
      <c r="F2694">
        <v>260</v>
      </c>
      <c r="G2694" s="1">
        <v>45186</v>
      </c>
      <c r="H2694" s="6">
        <f t="shared" si="84"/>
        <v>5.8229166666666989</v>
      </c>
      <c r="I2694" s="7">
        <f t="shared" si="85"/>
        <v>5.8229166666666989</v>
      </c>
    </row>
    <row r="2695" spans="1:9" x14ac:dyDescent="0.2">
      <c r="A2695" t="s">
        <v>2986</v>
      </c>
      <c r="B2695">
        <v>3.7930000000000001</v>
      </c>
      <c r="C2695">
        <v>5.314E-2</v>
      </c>
      <c r="D2695">
        <v>261</v>
      </c>
      <c r="E2695" t="s">
        <v>2986</v>
      </c>
      <c r="F2695">
        <v>260</v>
      </c>
      <c r="G2695" s="1">
        <v>45186</v>
      </c>
      <c r="H2695" s="6">
        <f t="shared" si="84"/>
        <v>5.8333333333333659</v>
      </c>
      <c r="I2695" s="7">
        <f t="shared" si="85"/>
        <v>5.8333333333333659</v>
      </c>
    </row>
    <row r="2696" spans="1:9" x14ac:dyDescent="0.2">
      <c r="A2696" t="s">
        <v>2987</v>
      </c>
      <c r="B2696">
        <v>3.88</v>
      </c>
      <c r="C2696">
        <v>5.4330000000000003E-2</v>
      </c>
      <c r="D2696">
        <v>261</v>
      </c>
      <c r="E2696" t="s">
        <v>2987</v>
      </c>
      <c r="F2696">
        <v>260</v>
      </c>
      <c r="G2696" s="1">
        <v>45186</v>
      </c>
      <c r="H2696" s="6">
        <f t="shared" si="84"/>
        <v>5.8437500000000329</v>
      </c>
      <c r="I2696" s="7">
        <f t="shared" si="85"/>
        <v>5.8437500000000329</v>
      </c>
    </row>
    <row r="2697" spans="1:9" x14ac:dyDescent="0.2">
      <c r="A2697" t="s">
        <v>2988</v>
      </c>
      <c r="B2697">
        <v>3.9175</v>
      </c>
      <c r="C2697">
        <v>5.4864999999999997E-2</v>
      </c>
      <c r="D2697">
        <v>261</v>
      </c>
      <c r="E2697" t="s">
        <v>2988</v>
      </c>
      <c r="F2697">
        <v>260</v>
      </c>
      <c r="G2697" s="1">
        <v>45186</v>
      </c>
      <c r="H2697" s="6">
        <f t="shared" si="84"/>
        <v>5.8541666666666998</v>
      </c>
      <c r="I2697" s="7">
        <f t="shared" si="85"/>
        <v>5.8541666666666998</v>
      </c>
    </row>
    <row r="2698" spans="1:9" x14ac:dyDescent="0.2">
      <c r="A2698" t="s">
        <v>2989</v>
      </c>
      <c r="B2698" s="2" t="s">
        <v>2990</v>
      </c>
      <c r="C2698">
        <v>5.4809999999999998E-2</v>
      </c>
      <c r="D2698">
        <v>261</v>
      </c>
      <c r="E2698" t="s">
        <v>2989</v>
      </c>
      <c r="F2698">
        <v>260</v>
      </c>
      <c r="G2698" s="1">
        <v>45186</v>
      </c>
      <c r="H2698" s="6">
        <f t="shared" si="84"/>
        <v>5.8645833333333668</v>
      </c>
      <c r="I2698" s="7">
        <f t="shared" si="85"/>
        <v>5.8645833333333668</v>
      </c>
    </row>
    <row r="2699" spans="1:9" x14ac:dyDescent="0.2">
      <c r="A2699" t="s">
        <v>2991</v>
      </c>
      <c r="B2699">
        <v>3.8915000000000002</v>
      </c>
      <c r="C2699">
        <v>5.4530000000000002E-2</v>
      </c>
      <c r="D2699">
        <v>261</v>
      </c>
      <c r="E2699" t="s">
        <v>2991</v>
      </c>
      <c r="F2699">
        <v>260</v>
      </c>
      <c r="G2699" s="1">
        <v>45186</v>
      </c>
      <c r="H2699" s="6">
        <f t="shared" si="84"/>
        <v>5.8750000000000338</v>
      </c>
      <c r="I2699" s="7">
        <f t="shared" si="85"/>
        <v>5.8750000000000338</v>
      </c>
    </row>
    <row r="2700" spans="1:9" x14ac:dyDescent="0.2">
      <c r="A2700" t="s">
        <v>2992</v>
      </c>
      <c r="B2700">
        <v>3.8704999999999998</v>
      </c>
      <c r="C2700">
        <v>5.4210000000000001E-2</v>
      </c>
      <c r="D2700">
        <v>261</v>
      </c>
      <c r="E2700" t="s">
        <v>2992</v>
      </c>
      <c r="F2700">
        <v>260</v>
      </c>
      <c r="G2700" s="1">
        <v>45186</v>
      </c>
      <c r="H2700" s="6">
        <f t="shared" si="84"/>
        <v>5.8854166666667007</v>
      </c>
      <c r="I2700" s="7">
        <f t="shared" si="85"/>
        <v>5.8854166666667007</v>
      </c>
    </row>
    <row r="2701" spans="1:9" x14ac:dyDescent="0.2">
      <c r="A2701" t="s">
        <v>2993</v>
      </c>
      <c r="B2701">
        <v>3.79</v>
      </c>
      <c r="C2701">
        <v>5.3069999999999999E-2</v>
      </c>
      <c r="D2701">
        <v>261</v>
      </c>
      <c r="E2701" t="s">
        <v>2993</v>
      </c>
      <c r="F2701">
        <v>260</v>
      </c>
      <c r="G2701" s="1">
        <v>45186</v>
      </c>
      <c r="H2701" s="6">
        <f t="shared" si="84"/>
        <v>5.8958333333333677</v>
      </c>
      <c r="I2701" s="7">
        <f t="shared" si="85"/>
        <v>5.8958333333333677</v>
      </c>
    </row>
    <row r="2702" spans="1:9" x14ac:dyDescent="0.2">
      <c r="A2702" t="s">
        <v>2994</v>
      </c>
      <c r="B2702">
        <v>3.9590000000000001</v>
      </c>
      <c r="C2702">
        <v>5.5449999999999999E-2</v>
      </c>
      <c r="D2702">
        <v>261</v>
      </c>
      <c r="E2702" t="s">
        <v>2994</v>
      </c>
      <c r="F2702">
        <v>260</v>
      </c>
      <c r="G2702" s="1">
        <v>45186</v>
      </c>
      <c r="H2702" s="6">
        <f t="shared" si="84"/>
        <v>5.9062500000000346</v>
      </c>
      <c r="I2702" s="7">
        <f t="shared" si="85"/>
        <v>5.9062500000000346</v>
      </c>
    </row>
    <row r="2703" spans="1:9" x14ac:dyDescent="0.2">
      <c r="A2703" t="s">
        <v>2995</v>
      </c>
      <c r="B2703">
        <v>3.8895</v>
      </c>
      <c r="C2703">
        <v>5.4475000000000003E-2</v>
      </c>
      <c r="D2703">
        <v>261</v>
      </c>
      <c r="E2703" t="s">
        <v>2995</v>
      </c>
      <c r="F2703">
        <v>260</v>
      </c>
      <c r="G2703" s="1">
        <v>45186</v>
      </c>
      <c r="H2703" s="6">
        <f t="shared" si="84"/>
        <v>5.9166666666667016</v>
      </c>
      <c r="I2703" s="7">
        <f t="shared" si="85"/>
        <v>5.9166666666667016</v>
      </c>
    </row>
    <row r="2704" spans="1:9" x14ac:dyDescent="0.2">
      <c r="A2704" t="s">
        <v>2996</v>
      </c>
      <c r="B2704">
        <v>3.9935</v>
      </c>
      <c r="C2704">
        <v>5.5934999999999999E-2</v>
      </c>
      <c r="D2704">
        <v>261</v>
      </c>
      <c r="E2704" t="s">
        <v>2996</v>
      </c>
      <c r="F2704">
        <v>260</v>
      </c>
      <c r="G2704" s="1">
        <v>45186</v>
      </c>
      <c r="H2704" s="6">
        <f t="shared" si="84"/>
        <v>5.9270833333333686</v>
      </c>
      <c r="I2704" s="7">
        <f t="shared" si="85"/>
        <v>5.9270833333333686</v>
      </c>
    </row>
    <row r="2705" spans="1:9" x14ac:dyDescent="0.2">
      <c r="A2705" t="s">
        <v>2997</v>
      </c>
      <c r="B2705">
        <v>3.9504999999999999</v>
      </c>
      <c r="C2705">
        <v>5.5335000000000002E-2</v>
      </c>
      <c r="D2705">
        <v>261</v>
      </c>
      <c r="E2705" t="s">
        <v>2997</v>
      </c>
      <c r="F2705">
        <v>260</v>
      </c>
      <c r="G2705" s="1">
        <v>45186</v>
      </c>
      <c r="H2705" s="6">
        <f t="shared" si="84"/>
        <v>5.9375000000000355</v>
      </c>
      <c r="I2705" s="7">
        <f t="shared" si="85"/>
        <v>5.9375000000000355</v>
      </c>
    </row>
    <row r="2706" spans="1:9" x14ac:dyDescent="0.2">
      <c r="A2706" t="s">
        <v>2998</v>
      </c>
      <c r="B2706">
        <v>4.0359999999999996</v>
      </c>
      <c r="C2706">
        <v>5.6520000000000001E-2</v>
      </c>
      <c r="D2706">
        <v>261</v>
      </c>
      <c r="E2706" t="s">
        <v>2998</v>
      </c>
      <c r="F2706">
        <v>260</v>
      </c>
      <c r="G2706" s="1">
        <v>45186</v>
      </c>
      <c r="H2706" s="6">
        <f t="shared" si="84"/>
        <v>5.9479166666667025</v>
      </c>
      <c r="I2706" s="7">
        <f t="shared" si="85"/>
        <v>5.9479166666667025</v>
      </c>
    </row>
    <row r="2707" spans="1:9" x14ac:dyDescent="0.2">
      <c r="A2707" t="s">
        <v>2999</v>
      </c>
      <c r="B2707" s="2" t="s">
        <v>3000</v>
      </c>
      <c r="C2707">
        <v>5.7169999999999999E-2</v>
      </c>
      <c r="D2707">
        <v>261</v>
      </c>
      <c r="E2707" t="s">
        <v>2999</v>
      </c>
      <c r="F2707">
        <v>260</v>
      </c>
      <c r="G2707" s="1">
        <v>45186</v>
      </c>
      <c r="H2707" s="6">
        <f t="shared" si="84"/>
        <v>5.9583333333333695</v>
      </c>
      <c r="I2707" s="7">
        <f t="shared" si="85"/>
        <v>5.9583333333333695</v>
      </c>
    </row>
    <row r="2708" spans="1:9" x14ac:dyDescent="0.2">
      <c r="A2708" t="s">
        <v>3001</v>
      </c>
      <c r="B2708">
        <v>4.1764999999999999</v>
      </c>
      <c r="C2708">
        <v>5.8505000000000001E-2</v>
      </c>
      <c r="D2708">
        <v>261</v>
      </c>
      <c r="E2708" t="s">
        <v>3001</v>
      </c>
      <c r="F2708">
        <v>261</v>
      </c>
      <c r="G2708" s="1">
        <v>45187</v>
      </c>
      <c r="H2708" s="6">
        <f t="shared" si="84"/>
        <v>5.9687500000000364</v>
      </c>
      <c r="I2708" s="7">
        <f t="shared" si="85"/>
        <v>5.9687500000000364</v>
      </c>
    </row>
    <row r="2709" spans="1:9" x14ac:dyDescent="0.2">
      <c r="A2709" t="s">
        <v>3002</v>
      </c>
      <c r="B2709">
        <v>4.1779999999999999</v>
      </c>
      <c r="C2709">
        <v>5.8505000000000001E-2</v>
      </c>
      <c r="D2709">
        <v>261</v>
      </c>
      <c r="E2709" t="s">
        <v>3002</v>
      </c>
      <c r="F2709">
        <v>261</v>
      </c>
      <c r="G2709" s="1">
        <v>45187</v>
      </c>
      <c r="H2709" s="6">
        <f t="shared" si="84"/>
        <v>5.9791666666667034</v>
      </c>
      <c r="I2709" s="7">
        <f t="shared" si="85"/>
        <v>5.9791666666667034</v>
      </c>
    </row>
    <row r="2710" spans="1:9" x14ac:dyDescent="0.2">
      <c r="A2710" t="s">
        <v>3003</v>
      </c>
      <c r="B2710">
        <v>4.0990000000000002</v>
      </c>
      <c r="C2710">
        <v>5.7430000000000002E-2</v>
      </c>
      <c r="D2710">
        <v>261</v>
      </c>
      <c r="E2710" t="s">
        <v>3003</v>
      </c>
      <c r="F2710">
        <v>261</v>
      </c>
      <c r="G2710" s="1">
        <v>45187</v>
      </c>
      <c r="H2710" s="6">
        <f t="shared" si="84"/>
        <v>5.9895833333333703</v>
      </c>
      <c r="I2710" s="7">
        <f t="shared" si="85"/>
        <v>5.9895833333333703</v>
      </c>
    </row>
    <row r="2711" spans="1:9" x14ac:dyDescent="0.2">
      <c r="A2711" t="s">
        <v>3004</v>
      </c>
      <c r="B2711">
        <v>4.0940000000000003</v>
      </c>
      <c r="C2711">
        <v>5.7334999999999997E-2</v>
      </c>
      <c r="D2711">
        <v>261</v>
      </c>
      <c r="E2711" t="s">
        <v>3004</v>
      </c>
      <c r="F2711">
        <v>261</v>
      </c>
      <c r="G2711" s="1">
        <v>45187</v>
      </c>
      <c r="H2711" s="6">
        <f t="shared" si="84"/>
        <v>6.0000000000000373</v>
      </c>
      <c r="I2711" s="7">
        <f t="shared" si="85"/>
        <v>6.0000000000000373</v>
      </c>
    </row>
    <row r="2712" spans="1:9" x14ac:dyDescent="0.2">
      <c r="A2712" t="s">
        <v>3005</v>
      </c>
      <c r="B2712">
        <v>4.0720000000000001</v>
      </c>
      <c r="C2712">
        <v>5.7009999999999998E-2</v>
      </c>
      <c r="D2712">
        <v>261</v>
      </c>
      <c r="E2712" t="s">
        <v>3005</v>
      </c>
      <c r="F2712">
        <v>261</v>
      </c>
      <c r="G2712" s="1">
        <v>45187</v>
      </c>
      <c r="H2712" s="6">
        <f t="shared" si="84"/>
        <v>6.0104166666667043</v>
      </c>
      <c r="I2712" s="7">
        <f t="shared" si="85"/>
        <v>6.0104166666667043</v>
      </c>
    </row>
    <row r="2713" spans="1:9" x14ac:dyDescent="0.2">
      <c r="A2713" t="s">
        <v>3006</v>
      </c>
      <c r="B2713">
        <v>4.165</v>
      </c>
      <c r="C2713">
        <v>5.8334999999999998E-2</v>
      </c>
      <c r="D2713">
        <v>261</v>
      </c>
      <c r="E2713" t="s">
        <v>3006</v>
      </c>
      <c r="F2713">
        <v>261</v>
      </c>
      <c r="G2713" s="1">
        <v>45187</v>
      </c>
      <c r="H2713" s="6">
        <f t="shared" si="84"/>
        <v>6.0208333333333712</v>
      </c>
      <c r="I2713" s="7">
        <f t="shared" si="85"/>
        <v>6.0208333333333712</v>
      </c>
    </row>
    <row r="2714" spans="1:9" x14ac:dyDescent="0.2">
      <c r="A2714" t="s">
        <v>3007</v>
      </c>
      <c r="B2714">
        <v>4.1870000000000003</v>
      </c>
      <c r="C2714">
        <v>5.8650000000000001E-2</v>
      </c>
      <c r="D2714">
        <v>261</v>
      </c>
      <c r="E2714" t="s">
        <v>3007</v>
      </c>
      <c r="F2714">
        <v>261</v>
      </c>
      <c r="G2714" s="1">
        <v>45187</v>
      </c>
      <c r="H2714" s="6">
        <f t="shared" si="84"/>
        <v>6.0312500000000382</v>
      </c>
      <c r="I2714" s="7">
        <f t="shared" si="85"/>
        <v>6.0312500000000382</v>
      </c>
    </row>
    <row r="2715" spans="1:9" x14ac:dyDescent="0.2">
      <c r="A2715" t="s">
        <v>3008</v>
      </c>
      <c r="B2715">
        <v>4.234</v>
      </c>
      <c r="C2715">
        <v>5.9319999999999998E-2</v>
      </c>
      <c r="D2715">
        <v>261</v>
      </c>
      <c r="E2715" t="s">
        <v>3008</v>
      </c>
      <c r="F2715">
        <v>261</v>
      </c>
      <c r="G2715" s="1">
        <v>45187</v>
      </c>
      <c r="H2715" s="6">
        <f t="shared" si="84"/>
        <v>6.0416666666667052</v>
      </c>
      <c r="I2715" s="7">
        <f t="shared" si="85"/>
        <v>6.0416666666667052</v>
      </c>
    </row>
    <row r="2716" spans="1:9" x14ac:dyDescent="0.2">
      <c r="A2716" t="s">
        <v>3009</v>
      </c>
      <c r="B2716">
        <v>4.2590000000000003</v>
      </c>
      <c r="C2716">
        <v>5.9635000000000001E-2</v>
      </c>
      <c r="D2716">
        <v>261</v>
      </c>
      <c r="E2716" t="s">
        <v>3009</v>
      </c>
      <c r="F2716">
        <v>261</v>
      </c>
      <c r="G2716" s="1">
        <v>45187</v>
      </c>
      <c r="H2716" s="6">
        <f t="shared" ref="H2716:H2779" si="86">H2715+$K$1</f>
        <v>6.0520833333333721</v>
      </c>
      <c r="I2716" s="7">
        <f t="shared" ref="I2716:I2779" si="87">I2715+$K$1</f>
        <v>6.0520833333333721</v>
      </c>
    </row>
    <row r="2717" spans="1:9" x14ac:dyDescent="0.2">
      <c r="A2717" t="s">
        <v>3010</v>
      </c>
      <c r="B2717">
        <v>4.2675000000000001</v>
      </c>
      <c r="C2717">
        <v>5.9755000000000003E-2</v>
      </c>
      <c r="D2717">
        <v>261</v>
      </c>
      <c r="E2717" t="s">
        <v>3010</v>
      </c>
      <c r="F2717">
        <v>261</v>
      </c>
      <c r="G2717" s="1">
        <v>45187</v>
      </c>
      <c r="H2717" s="6">
        <f t="shared" si="86"/>
        <v>6.0625000000000391</v>
      </c>
      <c r="I2717" s="7">
        <f t="shared" si="87"/>
        <v>6.0625000000000391</v>
      </c>
    </row>
    <row r="2718" spans="1:9" x14ac:dyDescent="0.2">
      <c r="A2718" t="s">
        <v>3011</v>
      </c>
      <c r="B2718">
        <v>4.2255000000000003</v>
      </c>
      <c r="C2718">
        <v>5.919E-2</v>
      </c>
      <c r="D2718">
        <v>261</v>
      </c>
      <c r="E2718" t="s">
        <v>3011</v>
      </c>
      <c r="F2718">
        <v>261</v>
      </c>
      <c r="G2718" s="1">
        <v>45187</v>
      </c>
      <c r="H2718" s="6">
        <f t="shared" si="86"/>
        <v>6.072916666666706</v>
      </c>
      <c r="I2718" s="7">
        <f t="shared" si="87"/>
        <v>6.072916666666706</v>
      </c>
    </row>
    <row r="2719" spans="1:9" x14ac:dyDescent="0.2">
      <c r="A2719" t="s">
        <v>3012</v>
      </c>
      <c r="B2719" s="2" t="s">
        <v>3013</v>
      </c>
      <c r="C2719">
        <v>5.9709999999999999E-2</v>
      </c>
      <c r="D2719">
        <v>261</v>
      </c>
      <c r="E2719" t="s">
        <v>3012</v>
      </c>
      <c r="F2719">
        <v>261</v>
      </c>
      <c r="G2719" s="1">
        <v>45187</v>
      </c>
      <c r="H2719" s="6">
        <f t="shared" si="86"/>
        <v>6.083333333333373</v>
      </c>
      <c r="I2719" s="7">
        <f t="shared" si="87"/>
        <v>6.083333333333373</v>
      </c>
    </row>
    <row r="2720" spans="1:9" x14ac:dyDescent="0.2">
      <c r="A2720" t="s">
        <v>3014</v>
      </c>
      <c r="B2720">
        <v>4.2465000000000002</v>
      </c>
      <c r="C2720">
        <v>5.9479999999999998E-2</v>
      </c>
      <c r="D2720">
        <v>261</v>
      </c>
      <c r="E2720" t="s">
        <v>3014</v>
      </c>
      <c r="F2720">
        <v>261</v>
      </c>
      <c r="G2720" s="1">
        <v>45187</v>
      </c>
      <c r="H2720" s="6">
        <f t="shared" si="86"/>
        <v>6.09375000000004</v>
      </c>
      <c r="I2720" s="7">
        <f t="shared" si="87"/>
        <v>6.09375000000004</v>
      </c>
    </row>
    <row r="2721" spans="1:9" x14ac:dyDescent="0.2">
      <c r="A2721" t="s">
        <v>3015</v>
      </c>
      <c r="B2721">
        <v>4.1669999999999998</v>
      </c>
      <c r="C2721">
        <v>5.8380000000000001E-2</v>
      </c>
      <c r="D2721">
        <v>261</v>
      </c>
      <c r="E2721" t="s">
        <v>3015</v>
      </c>
      <c r="F2721">
        <v>261</v>
      </c>
      <c r="G2721" s="1">
        <v>45187</v>
      </c>
      <c r="H2721" s="6">
        <f t="shared" si="86"/>
        <v>6.1041666666667069</v>
      </c>
      <c r="I2721" s="7">
        <f t="shared" si="87"/>
        <v>6.1041666666667069</v>
      </c>
    </row>
    <row r="2722" spans="1:9" x14ac:dyDescent="0.2">
      <c r="A2722" t="s">
        <v>3016</v>
      </c>
      <c r="B2722">
        <v>4.3159999999999998</v>
      </c>
      <c r="C2722">
        <v>6.0449999999999997E-2</v>
      </c>
      <c r="D2722">
        <v>261</v>
      </c>
      <c r="E2722" t="s">
        <v>3016</v>
      </c>
      <c r="F2722">
        <v>261</v>
      </c>
      <c r="G2722" s="1">
        <v>45187</v>
      </c>
      <c r="H2722" s="6">
        <f t="shared" si="86"/>
        <v>6.1145833333333739</v>
      </c>
      <c r="I2722" s="7">
        <f t="shared" si="87"/>
        <v>6.1145833333333739</v>
      </c>
    </row>
    <row r="2723" spans="1:9" x14ac:dyDescent="0.2">
      <c r="A2723" t="s">
        <v>3017</v>
      </c>
      <c r="B2723">
        <v>4.274</v>
      </c>
      <c r="C2723">
        <v>5.9885000000000001E-2</v>
      </c>
      <c r="D2723">
        <v>261</v>
      </c>
      <c r="E2723" t="s">
        <v>3017</v>
      </c>
      <c r="F2723">
        <v>261</v>
      </c>
      <c r="G2723" s="1">
        <v>45187</v>
      </c>
      <c r="H2723" s="6">
        <f t="shared" si="86"/>
        <v>6.1250000000000409</v>
      </c>
      <c r="I2723" s="7">
        <f t="shared" si="87"/>
        <v>6.1250000000000409</v>
      </c>
    </row>
    <row r="2724" spans="1:9" x14ac:dyDescent="0.2">
      <c r="A2724" t="s">
        <v>3018</v>
      </c>
      <c r="B2724">
        <v>4.29</v>
      </c>
      <c r="C2724">
        <v>6.0089999999999998E-2</v>
      </c>
      <c r="D2724">
        <v>261</v>
      </c>
      <c r="E2724" t="s">
        <v>3018</v>
      </c>
      <c r="F2724">
        <v>261</v>
      </c>
      <c r="G2724" s="1">
        <v>45187</v>
      </c>
      <c r="H2724" s="6">
        <f t="shared" si="86"/>
        <v>6.1354166666667078</v>
      </c>
      <c r="I2724" s="7">
        <f t="shared" si="87"/>
        <v>6.1354166666667078</v>
      </c>
    </row>
    <row r="2725" spans="1:9" x14ac:dyDescent="0.2">
      <c r="A2725" t="s">
        <v>3019</v>
      </c>
      <c r="B2725">
        <v>4.2</v>
      </c>
      <c r="C2725">
        <v>5.8819999999999997E-2</v>
      </c>
      <c r="D2725">
        <v>261</v>
      </c>
      <c r="E2725" t="s">
        <v>3019</v>
      </c>
      <c r="F2725">
        <v>261</v>
      </c>
      <c r="G2725" s="1">
        <v>45187</v>
      </c>
      <c r="H2725" s="6">
        <f t="shared" si="86"/>
        <v>6.1458333333333748</v>
      </c>
      <c r="I2725" s="7">
        <f t="shared" si="87"/>
        <v>6.1458333333333748</v>
      </c>
    </row>
    <row r="2726" spans="1:9" x14ac:dyDescent="0.2">
      <c r="A2726" t="s">
        <v>3020</v>
      </c>
      <c r="B2726">
        <v>4.3010000000000002</v>
      </c>
      <c r="C2726">
        <v>6.0249999999999998E-2</v>
      </c>
      <c r="D2726">
        <v>261</v>
      </c>
      <c r="E2726" t="s">
        <v>3020</v>
      </c>
      <c r="F2726">
        <v>261</v>
      </c>
      <c r="G2726" s="1">
        <v>45187</v>
      </c>
      <c r="H2726" s="6">
        <f t="shared" si="86"/>
        <v>6.1562500000000417</v>
      </c>
      <c r="I2726" s="7">
        <f t="shared" si="87"/>
        <v>6.1562500000000417</v>
      </c>
    </row>
    <row r="2727" spans="1:9" x14ac:dyDescent="0.2">
      <c r="A2727" t="s">
        <v>3021</v>
      </c>
      <c r="B2727">
        <v>4.2435</v>
      </c>
      <c r="C2727">
        <v>5.9444999999999998E-2</v>
      </c>
      <c r="D2727">
        <v>261</v>
      </c>
      <c r="E2727" t="s">
        <v>3021</v>
      </c>
      <c r="F2727">
        <v>261</v>
      </c>
      <c r="G2727" s="1">
        <v>45187</v>
      </c>
      <c r="H2727" s="6">
        <f t="shared" si="86"/>
        <v>6.1666666666667087</v>
      </c>
      <c r="I2727" s="7">
        <f t="shared" si="87"/>
        <v>6.1666666666667087</v>
      </c>
    </row>
    <row r="2728" spans="1:9" x14ac:dyDescent="0.2">
      <c r="A2728" t="s">
        <v>3022</v>
      </c>
      <c r="B2728">
        <v>4.2229999999999999</v>
      </c>
      <c r="C2728">
        <v>5.917E-2</v>
      </c>
      <c r="D2728">
        <v>261</v>
      </c>
      <c r="E2728" t="s">
        <v>3022</v>
      </c>
      <c r="F2728">
        <v>261</v>
      </c>
      <c r="G2728" s="1">
        <v>45187</v>
      </c>
      <c r="H2728" s="6">
        <f t="shared" si="86"/>
        <v>6.1770833333333757</v>
      </c>
      <c r="I2728" s="7">
        <f t="shared" si="87"/>
        <v>6.1770833333333757</v>
      </c>
    </row>
    <row r="2729" spans="1:9" x14ac:dyDescent="0.2">
      <c r="A2729" t="s">
        <v>3023</v>
      </c>
      <c r="B2729">
        <v>4.0890000000000004</v>
      </c>
      <c r="C2729">
        <v>5.7270000000000001E-2</v>
      </c>
      <c r="D2729">
        <v>261</v>
      </c>
      <c r="E2729" t="s">
        <v>3023</v>
      </c>
      <c r="F2729">
        <v>261</v>
      </c>
      <c r="G2729" s="1">
        <v>45187</v>
      </c>
      <c r="H2729" s="6">
        <f t="shared" si="86"/>
        <v>6.1875000000000426</v>
      </c>
      <c r="I2729" s="7">
        <f t="shared" si="87"/>
        <v>6.1875000000000426</v>
      </c>
    </row>
    <row r="2730" spans="1:9" x14ac:dyDescent="0.2">
      <c r="A2730" t="s">
        <v>3024</v>
      </c>
      <c r="B2730">
        <v>4.2329999999999997</v>
      </c>
      <c r="C2730">
        <v>5.9275000000000001E-2</v>
      </c>
      <c r="D2730">
        <v>261</v>
      </c>
      <c r="E2730" t="s">
        <v>3024</v>
      </c>
      <c r="F2730">
        <v>261</v>
      </c>
      <c r="G2730" s="1">
        <v>45187</v>
      </c>
      <c r="H2730" s="6">
        <f t="shared" si="86"/>
        <v>6.1979166666667096</v>
      </c>
      <c r="I2730" s="7">
        <f t="shared" si="87"/>
        <v>6.1979166666667096</v>
      </c>
    </row>
    <row r="2731" spans="1:9" x14ac:dyDescent="0.2">
      <c r="A2731" t="s">
        <v>3025</v>
      </c>
      <c r="B2731">
        <v>4.2095000000000002</v>
      </c>
      <c r="C2731" s="2" t="s">
        <v>3026</v>
      </c>
      <c r="D2731">
        <v>261</v>
      </c>
      <c r="E2731" t="s">
        <v>3025</v>
      </c>
      <c r="F2731">
        <v>261</v>
      </c>
      <c r="G2731" s="1">
        <v>45187</v>
      </c>
      <c r="H2731" s="6">
        <f t="shared" si="86"/>
        <v>6.2083333333333766</v>
      </c>
      <c r="I2731" s="7">
        <f t="shared" si="87"/>
        <v>6.2083333333333766</v>
      </c>
    </row>
    <row r="2732" spans="1:9" x14ac:dyDescent="0.2">
      <c r="A2732" t="s">
        <v>3027</v>
      </c>
      <c r="B2732">
        <v>4.2465000000000002</v>
      </c>
      <c r="C2732">
        <v>5.9475E-2</v>
      </c>
      <c r="D2732">
        <v>261</v>
      </c>
      <c r="E2732" t="s">
        <v>3027</v>
      </c>
      <c r="F2732">
        <v>261</v>
      </c>
      <c r="G2732" s="1">
        <v>45187</v>
      </c>
      <c r="H2732" s="6">
        <f t="shared" si="86"/>
        <v>6.2187500000000435</v>
      </c>
      <c r="I2732" s="7">
        <f t="shared" si="87"/>
        <v>6.2187500000000435</v>
      </c>
    </row>
    <row r="2733" spans="1:9" x14ac:dyDescent="0.2">
      <c r="A2733" t="s">
        <v>3028</v>
      </c>
      <c r="B2733">
        <v>4.1130000000000004</v>
      </c>
      <c r="C2733">
        <v>5.7610000000000001E-2</v>
      </c>
      <c r="D2733">
        <v>261</v>
      </c>
      <c r="E2733" t="s">
        <v>3028</v>
      </c>
      <c r="F2733">
        <v>261</v>
      </c>
      <c r="G2733" s="1">
        <v>45187</v>
      </c>
      <c r="H2733" s="6">
        <f t="shared" si="86"/>
        <v>6.2291666666667105</v>
      </c>
      <c r="I2733" s="7">
        <f t="shared" si="87"/>
        <v>6.2291666666667105</v>
      </c>
    </row>
    <row r="2734" spans="1:9" x14ac:dyDescent="0.2">
      <c r="A2734" t="s">
        <v>3029</v>
      </c>
      <c r="B2734">
        <v>4.1304999999999996</v>
      </c>
      <c r="C2734">
        <v>5.7875000000000003E-2</v>
      </c>
      <c r="D2734">
        <v>261</v>
      </c>
      <c r="E2734" t="s">
        <v>3029</v>
      </c>
      <c r="F2734">
        <v>261</v>
      </c>
      <c r="G2734" s="1">
        <v>45187</v>
      </c>
      <c r="H2734" s="6">
        <f t="shared" si="86"/>
        <v>6.2395833333333774</v>
      </c>
      <c r="I2734" s="7">
        <f t="shared" si="87"/>
        <v>6.2395833333333774</v>
      </c>
    </row>
    <row r="2735" spans="1:9" x14ac:dyDescent="0.2">
      <c r="A2735" t="s">
        <v>3030</v>
      </c>
      <c r="B2735">
        <v>4.1390000000000002</v>
      </c>
      <c r="C2735">
        <v>5.7970000000000001E-2</v>
      </c>
      <c r="D2735">
        <v>261</v>
      </c>
      <c r="E2735" t="s">
        <v>3030</v>
      </c>
      <c r="F2735">
        <v>261</v>
      </c>
      <c r="G2735" s="1">
        <v>45187</v>
      </c>
      <c r="H2735" s="6">
        <f t="shared" si="86"/>
        <v>6.2500000000000444</v>
      </c>
      <c r="I2735" s="7">
        <f t="shared" si="87"/>
        <v>6.2500000000000444</v>
      </c>
    </row>
    <row r="2736" spans="1:9" x14ac:dyDescent="0.2">
      <c r="A2736" t="s">
        <v>3031</v>
      </c>
      <c r="B2736">
        <v>4.0884999999999998</v>
      </c>
      <c r="C2736" s="2" t="s">
        <v>3032</v>
      </c>
      <c r="D2736">
        <v>261</v>
      </c>
      <c r="E2736" t="s">
        <v>3031</v>
      </c>
      <c r="F2736">
        <v>261</v>
      </c>
      <c r="G2736" s="1">
        <v>45187</v>
      </c>
      <c r="H2736" s="6">
        <f t="shared" si="86"/>
        <v>6.2604166666667114</v>
      </c>
      <c r="I2736" s="7">
        <f t="shared" si="87"/>
        <v>6.2604166666667114</v>
      </c>
    </row>
    <row r="2737" spans="1:9" x14ac:dyDescent="0.2">
      <c r="A2737" t="s">
        <v>3033</v>
      </c>
      <c r="B2737">
        <v>4.0449999999999999</v>
      </c>
      <c r="C2737">
        <v>5.6665E-2</v>
      </c>
      <c r="D2737">
        <v>261</v>
      </c>
      <c r="E2737" t="s">
        <v>3033</v>
      </c>
      <c r="F2737">
        <v>261</v>
      </c>
      <c r="G2737" s="1">
        <v>45187</v>
      </c>
      <c r="H2737" s="6">
        <f t="shared" si="86"/>
        <v>6.2708333333333783</v>
      </c>
      <c r="I2737" s="7">
        <f t="shared" si="87"/>
        <v>6.2708333333333783</v>
      </c>
    </row>
    <row r="2738" spans="1:9" x14ac:dyDescent="0.2">
      <c r="A2738" t="s">
        <v>3034</v>
      </c>
      <c r="B2738">
        <v>4.0454999999999997</v>
      </c>
      <c r="C2738">
        <v>5.6665E-2</v>
      </c>
      <c r="D2738">
        <v>261</v>
      </c>
      <c r="E2738" t="s">
        <v>3034</v>
      </c>
      <c r="F2738">
        <v>261</v>
      </c>
      <c r="G2738" s="1">
        <v>45187</v>
      </c>
      <c r="H2738" s="6">
        <f t="shared" si="86"/>
        <v>6.2812500000000453</v>
      </c>
      <c r="I2738" s="7">
        <f t="shared" si="87"/>
        <v>6.2812500000000453</v>
      </c>
    </row>
    <row r="2739" spans="1:9" x14ac:dyDescent="0.2">
      <c r="A2739" t="s">
        <v>3035</v>
      </c>
      <c r="B2739">
        <v>4.0285000000000002</v>
      </c>
      <c r="C2739">
        <v>5.6410000000000002E-2</v>
      </c>
      <c r="D2739">
        <v>261</v>
      </c>
      <c r="E2739" t="s">
        <v>3035</v>
      </c>
      <c r="F2739">
        <v>261</v>
      </c>
      <c r="G2739" s="1">
        <v>45187</v>
      </c>
      <c r="H2739" s="6">
        <f t="shared" si="86"/>
        <v>6.2916666666667123</v>
      </c>
      <c r="I2739" s="7">
        <f t="shared" si="87"/>
        <v>6.2916666666667123</v>
      </c>
    </row>
    <row r="2740" spans="1:9" x14ac:dyDescent="0.2">
      <c r="A2740" t="s">
        <v>3036</v>
      </c>
      <c r="B2740">
        <v>3.9249999999999998</v>
      </c>
      <c r="C2740">
        <v>5.4965E-2</v>
      </c>
      <c r="D2740">
        <v>261</v>
      </c>
      <c r="E2740" t="s">
        <v>3036</v>
      </c>
      <c r="F2740">
        <v>261</v>
      </c>
      <c r="G2740" s="1">
        <v>45187</v>
      </c>
      <c r="H2740" s="6">
        <f t="shared" si="86"/>
        <v>6.3020833333333792</v>
      </c>
      <c r="I2740" s="7">
        <f t="shared" si="87"/>
        <v>6.3020833333333792</v>
      </c>
    </row>
    <row r="2741" spans="1:9" x14ac:dyDescent="0.2">
      <c r="A2741" t="s">
        <v>3037</v>
      </c>
      <c r="B2741">
        <v>3.8490000000000002</v>
      </c>
      <c r="C2741">
        <v>5.3929999999999999E-2</v>
      </c>
      <c r="D2741">
        <v>261</v>
      </c>
      <c r="E2741" t="s">
        <v>3037</v>
      </c>
      <c r="F2741">
        <v>261</v>
      </c>
      <c r="G2741" s="1">
        <v>45187</v>
      </c>
      <c r="H2741" s="6">
        <f t="shared" si="86"/>
        <v>6.3125000000000462</v>
      </c>
      <c r="I2741" s="7">
        <f t="shared" si="87"/>
        <v>6.3125000000000462</v>
      </c>
    </row>
    <row r="2742" spans="1:9" x14ac:dyDescent="0.2">
      <c r="A2742" t="s">
        <v>3038</v>
      </c>
      <c r="B2742">
        <v>3.7494999999999998</v>
      </c>
      <c r="C2742">
        <v>5.2525000000000002E-2</v>
      </c>
      <c r="D2742">
        <v>261</v>
      </c>
      <c r="E2742" t="s">
        <v>3038</v>
      </c>
      <c r="F2742">
        <v>261</v>
      </c>
      <c r="G2742" s="1">
        <v>45187</v>
      </c>
      <c r="H2742" s="6">
        <f t="shared" si="86"/>
        <v>6.3229166666667131</v>
      </c>
      <c r="I2742" s="7">
        <f t="shared" si="87"/>
        <v>6.3229166666667131</v>
      </c>
    </row>
    <row r="2743" spans="1:9" x14ac:dyDescent="0.2">
      <c r="A2743" t="s">
        <v>3039</v>
      </c>
      <c r="B2743">
        <v>3.58</v>
      </c>
      <c r="C2743">
        <v>5.0160000000000003E-2</v>
      </c>
      <c r="D2743">
        <v>261</v>
      </c>
      <c r="E2743" t="s">
        <v>3039</v>
      </c>
      <c r="F2743">
        <v>261</v>
      </c>
      <c r="G2743" s="1">
        <v>45187</v>
      </c>
      <c r="H2743" s="6">
        <f t="shared" si="86"/>
        <v>6.3333333333333801</v>
      </c>
      <c r="I2743" s="7">
        <f t="shared" si="87"/>
        <v>6.3333333333333801</v>
      </c>
    </row>
    <row r="2744" spans="1:9" x14ac:dyDescent="0.2">
      <c r="A2744" t="s">
        <v>3040</v>
      </c>
      <c r="B2744">
        <v>3.6415000000000002</v>
      </c>
      <c r="C2744">
        <v>5.101E-2</v>
      </c>
      <c r="D2744">
        <v>261</v>
      </c>
      <c r="E2744" t="s">
        <v>3040</v>
      </c>
      <c r="F2744">
        <v>261</v>
      </c>
      <c r="G2744" s="1">
        <v>45187</v>
      </c>
      <c r="H2744" s="6">
        <f t="shared" si="86"/>
        <v>6.3437500000000471</v>
      </c>
      <c r="I2744" s="7">
        <f t="shared" si="87"/>
        <v>6.3437500000000471</v>
      </c>
    </row>
    <row r="2745" spans="1:9" x14ac:dyDescent="0.2">
      <c r="A2745" t="s">
        <v>3041</v>
      </c>
      <c r="B2745">
        <v>3.5615000000000001</v>
      </c>
      <c r="C2745" s="2" t="s">
        <v>1702</v>
      </c>
      <c r="D2745">
        <v>261</v>
      </c>
      <c r="E2745" t="s">
        <v>3041</v>
      </c>
      <c r="F2745">
        <v>261</v>
      </c>
      <c r="G2745" s="1">
        <v>45187</v>
      </c>
      <c r="H2745" s="6">
        <f t="shared" si="86"/>
        <v>6.354166666666714</v>
      </c>
      <c r="I2745" s="7">
        <f t="shared" si="87"/>
        <v>6.354166666666714</v>
      </c>
    </row>
    <row r="2746" spans="1:9" x14ac:dyDescent="0.2">
      <c r="A2746" t="s">
        <v>3042</v>
      </c>
      <c r="B2746">
        <v>3.5750000000000002</v>
      </c>
      <c r="C2746">
        <v>5.006E-2</v>
      </c>
      <c r="D2746">
        <v>261</v>
      </c>
      <c r="E2746" t="s">
        <v>3042</v>
      </c>
      <c r="F2746">
        <v>261</v>
      </c>
      <c r="G2746" s="1">
        <v>45187</v>
      </c>
      <c r="H2746" s="6">
        <f t="shared" si="86"/>
        <v>6.364583333333381</v>
      </c>
      <c r="I2746" s="7">
        <f t="shared" si="87"/>
        <v>6.364583333333381</v>
      </c>
    </row>
    <row r="2747" spans="1:9" x14ac:dyDescent="0.2">
      <c r="A2747" t="s">
        <v>3043</v>
      </c>
      <c r="B2747">
        <v>3.5695000000000001</v>
      </c>
      <c r="C2747">
        <v>5.0009999999999999E-2</v>
      </c>
      <c r="D2747">
        <v>261</v>
      </c>
      <c r="E2747" t="s">
        <v>3043</v>
      </c>
      <c r="F2747">
        <v>261</v>
      </c>
      <c r="G2747" s="1">
        <v>45187</v>
      </c>
      <c r="H2747" s="6">
        <f t="shared" si="86"/>
        <v>6.375000000000048</v>
      </c>
      <c r="I2747" s="7">
        <f t="shared" si="87"/>
        <v>6.375000000000048</v>
      </c>
    </row>
    <row r="2748" spans="1:9" x14ac:dyDescent="0.2">
      <c r="A2748" t="s">
        <v>3044</v>
      </c>
      <c r="B2748">
        <v>3.3170000000000002</v>
      </c>
      <c r="C2748">
        <v>4.6475000000000002E-2</v>
      </c>
      <c r="D2748">
        <v>261</v>
      </c>
      <c r="E2748" t="s">
        <v>3044</v>
      </c>
      <c r="F2748">
        <v>261</v>
      </c>
      <c r="G2748" s="1">
        <v>45187</v>
      </c>
      <c r="H2748" s="6">
        <f t="shared" si="86"/>
        <v>6.3854166666667149</v>
      </c>
      <c r="I2748" s="7">
        <f t="shared" si="87"/>
        <v>6.3854166666667149</v>
      </c>
    </row>
    <row r="2749" spans="1:9" x14ac:dyDescent="0.2">
      <c r="A2749" t="s">
        <v>3045</v>
      </c>
      <c r="B2749">
        <v>3.5705</v>
      </c>
      <c r="C2749">
        <v>5.0009999999999999E-2</v>
      </c>
      <c r="D2749">
        <v>261</v>
      </c>
      <c r="E2749" t="s">
        <v>3045</v>
      </c>
      <c r="F2749">
        <v>261</v>
      </c>
      <c r="G2749" s="1">
        <v>45187</v>
      </c>
      <c r="H2749" s="6">
        <f t="shared" si="86"/>
        <v>6.3958333333333819</v>
      </c>
      <c r="I2749" s="7">
        <f t="shared" si="87"/>
        <v>6.3958333333333819</v>
      </c>
    </row>
    <row r="2750" spans="1:9" x14ac:dyDescent="0.2">
      <c r="A2750" t="s">
        <v>3046</v>
      </c>
      <c r="B2750">
        <v>3.82</v>
      </c>
      <c r="C2750">
        <v>5.3499999999999999E-2</v>
      </c>
      <c r="D2750">
        <v>261</v>
      </c>
      <c r="E2750" t="s">
        <v>3046</v>
      </c>
      <c r="F2750">
        <v>261</v>
      </c>
      <c r="G2750" s="1">
        <v>45187</v>
      </c>
      <c r="H2750" s="6">
        <f t="shared" si="86"/>
        <v>6.4062500000000488</v>
      </c>
      <c r="I2750" s="7">
        <f t="shared" si="87"/>
        <v>6.4062500000000488</v>
      </c>
    </row>
    <row r="2751" spans="1:9" x14ac:dyDescent="0.2">
      <c r="A2751" t="s">
        <v>3047</v>
      </c>
      <c r="B2751">
        <v>3.8065000000000002</v>
      </c>
      <c r="C2751">
        <v>5.3319999999999999E-2</v>
      </c>
      <c r="D2751">
        <v>261</v>
      </c>
      <c r="E2751" t="s">
        <v>3047</v>
      </c>
      <c r="F2751">
        <v>261</v>
      </c>
      <c r="G2751" s="1">
        <v>45187</v>
      </c>
      <c r="H2751" s="6">
        <f t="shared" si="86"/>
        <v>6.4166666666667158</v>
      </c>
      <c r="I2751" s="7">
        <f t="shared" si="87"/>
        <v>6.4166666666667158</v>
      </c>
    </row>
    <row r="2752" spans="1:9" x14ac:dyDescent="0.2">
      <c r="A2752" t="s">
        <v>3048</v>
      </c>
      <c r="B2752">
        <v>3.7665000000000002</v>
      </c>
      <c r="C2752">
        <v>5.2749999999999998E-2</v>
      </c>
      <c r="D2752">
        <v>261</v>
      </c>
      <c r="E2752" t="s">
        <v>3048</v>
      </c>
      <c r="F2752">
        <v>261</v>
      </c>
      <c r="G2752" s="1">
        <v>45187</v>
      </c>
      <c r="H2752" s="6">
        <f t="shared" si="86"/>
        <v>6.4270833333333828</v>
      </c>
      <c r="I2752" s="7">
        <f t="shared" si="87"/>
        <v>6.4270833333333828</v>
      </c>
    </row>
    <row r="2753" spans="1:9" x14ac:dyDescent="0.2">
      <c r="A2753" t="s">
        <v>3049</v>
      </c>
      <c r="B2753">
        <v>3.7765</v>
      </c>
      <c r="C2753">
        <v>5.2894999999999998E-2</v>
      </c>
      <c r="D2753">
        <v>261</v>
      </c>
      <c r="E2753" t="s">
        <v>3049</v>
      </c>
      <c r="F2753">
        <v>261</v>
      </c>
      <c r="G2753" s="1">
        <v>45187</v>
      </c>
      <c r="H2753" s="6">
        <f t="shared" si="86"/>
        <v>6.4375000000000497</v>
      </c>
      <c r="I2753" s="7">
        <f t="shared" si="87"/>
        <v>6.4375000000000497</v>
      </c>
    </row>
    <row r="2754" spans="1:9" x14ac:dyDescent="0.2">
      <c r="A2754" t="s">
        <v>3050</v>
      </c>
      <c r="B2754">
        <v>3.7650000000000001</v>
      </c>
      <c r="C2754">
        <v>5.2745E-2</v>
      </c>
      <c r="D2754">
        <v>261</v>
      </c>
      <c r="E2754" t="s">
        <v>3050</v>
      </c>
      <c r="F2754">
        <v>261</v>
      </c>
      <c r="G2754" s="1">
        <v>45187</v>
      </c>
      <c r="H2754" s="6">
        <f t="shared" si="86"/>
        <v>6.4479166666667167</v>
      </c>
      <c r="I2754" s="7">
        <f t="shared" si="87"/>
        <v>6.4479166666667167</v>
      </c>
    </row>
    <row r="2755" spans="1:9" x14ac:dyDescent="0.2">
      <c r="A2755" t="s">
        <v>3051</v>
      </c>
      <c r="B2755">
        <v>3.7094999999999998</v>
      </c>
      <c r="C2755">
        <v>5.194E-2</v>
      </c>
      <c r="D2755">
        <v>261</v>
      </c>
      <c r="E2755" t="s">
        <v>3051</v>
      </c>
      <c r="F2755">
        <v>261</v>
      </c>
      <c r="G2755" s="1">
        <v>45187</v>
      </c>
      <c r="H2755" s="6">
        <f t="shared" si="86"/>
        <v>6.4583333333333837</v>
      </c>
      <c r="I2755" s="7">
        <f t="shared" si="87"/>
        <v>6.4583333333333837</v>
      </c>
    </row>
    <row r="2756" spans="1:9" x14ac:dyDescent="0.2">
      <c r="A2756" t="s">
        <v>3052</v>
      </c>
      <c r="B2756">
        <v>3.6684999999999999</v>
      </c>
      <c r="C2756" s="2" t="s">
        <v>3053</v>
      </c>
      <c r="D2756">
        <v>261</v>
      </c>
      <c r="E2756" t="s">
        <v>3052</v>
      </c>
      <c r="F2756">
        <v>261</v>
      </c>
      <c r="G2756" s="1">
        <v>45187</v>
      </c>
      <c r="H2756" s="6">
        <f t="shared" si="86"/>
        <v>6.4687500000000506</v>
      </c>
      <c r="I2756" s="7">
        <f t="shared" si="87"/>
        <v>6.4687500000000506</v>
      </c>
    </row>
    <row r="2757" spans="1:9" x14ac:dyDescent="0.2">
      <c r="A2757" t="s">
        <v>3054</v>
      </c>
      <c r="B2757">
        <v>3.64</v>
      </c>
      <c r="C2757">
        <v>5.0985000000000003E-2</v>
      </c>
      <c r="D2757">
        <v>261</v>
      </c>
      <c r="E2757" t="s">
        <v>3054</v>
      </c>
      <c r="F2757">
        <v>261</v>
      </c>
      <c r="G2757" s="1">
        <v>45187</v>
      </c>
      <c r="H2757" s="6">
        <f t="shared" si="86"/>
        <v>6.4791666666667176</v>
      </c>
      <c r="I2757" s="7">
        <f t="shared" si="87"/>
        <v>6.4791666666667176</v>
      </c>
    </row>
    <row r="2758" spans="1:9" x14ac:dyDescent="0.2">
      <c r="A2758" t="s">
        <v>3055</v>
      </c>
      <c r="B2758">
        <v>3.5665</v>
      </c>
      <c r="C2758">
        <v>4.9939999999999998E-2</v>
      </c>
      <c r="D2758">
        <v>261</v>
      </c>
      <c r="E2758" t="s">
        <v>3055</v>
      </c>
      <c r="F2758">
        <v>261</v>
      </c>
      <c r="G2758" s="1">
        <v>45187</v>
      </c>
      <c r="H2758" s="6">
        <f t="shared" si="86"/>
        <v>6.4895833333333846</v>
      </c>
      <c r="I2758" s="7">
        <f t="shared" si="87"/>
        <v>6.4895833333333846</v>
      </c>
    </row>
    <row r="2759" spans="1:9" x14ac:dyDescent="0.2">
      <c r="A2759" t="s">
        <v>3056</v>
      </c>
      <c r="B2759">
        <v>3.4965000000000002</v>
      </c>
      <c r="C2759">
        <v>4.8974999999999998E-2</v>
      </c>
      <c r="D2759">
        <v>261</v>
      </c>
      <c r="E2759" t="s">
        <v>3056</v>
      </c>
      <c r="F2759">
        <v>261</v>
      </c>
      <c r="G2759" s="1">
        <v>45187</v>
      </c>
      <c r="H2759" s="6">
        <f t="shared" si="86"/>
        <v>6.5000000000000515</v>
      </c>
      <c r="I2759" s="7">
        <f t="shared" si="87"/>
        <v>6.5000000000000515</v>
      </c>
    </row>
    <row r="2760" spans="1:9" x14ac:dyDescent="0.2">
      <c r="A2760" t="s">
        <v>3057</v>
      </c>
      <c r="B2760">
        <v>3.4035000000000002</v>
      </c>
      <c r="C2760">
        <v>4.768E-2</v>
      </c>
      <c r="D2760">
        <v>261</v>
      </c>
      <c r="E2760" t="s">
        <v>3057</v>
      </c>
      <c r="F2760">
        <v>261</v>
      </c>
      <c r="G2760" s="1">
        <v>45187</v>
      </c>
      <c r="H2760" s="6">
        <f t="shared" si="86"/>
        <v>6.5104166666667185</v>
      </c>
      <c r="I2760" s="7">
        <f t="shared" si="87"/>
        <v>6.5104166666667185</v>
      </c>
    </row>
    <row r="2761" spans="1:9" x14ac:dyDescent="0.2">
      <c r="A2761" t="s">
        <v>3058</v>
      </c>
      <c r="B2761">
        <v>3.4285000000000001</v>
      </c>
      <c r="C2761">
        <v>4.802E-2</v>
      </c>
      <c r="D2761">
        <v>261</v>
      </c>
      <c r="E2761" t="s">
        <v>3058</v>
      </c>
      <c r="F2761">
        <v>261</v>
      </c>
      <c r="G2761" s="1">
        <v>45187</v>
      </c>
      <c r="H2761" s="6">
        <f t="shared" si="86"/>
        <v>6.5208333333333854</v>
      </c>
      <c r="I2761" s="7">
        <f t="shared" si="87"/>
        <v>6.5208333333333854</v>
      </c>
    </row>
    <row r="2762" spans="1:9" x14ac:dyDescent="0.2">
      <c r="A2762" t="s">
        <v>3059</v>
      </c>
      <c r="B2762">
        <v>3.4495</v>
      </c>
      <c r="C2762">
        <v>4.8325E-2</v>
      </c>
      <c r="D2762">
        <v>261</v>
      </c>
      <c r="E2762" t="s">
        <v>3059</v>
      </c>
      <c r="F2762">
        <v>261</v>
      </c>
      <c r="G2762" s="1">
        <v>45187</v>
      </c>
      <c r="H2762" s="6">
        <f t="shared" si="86"/>
        <v>6.5312500000000524</v>
      </c>
      <c r="I2762" s="7">
        <f t="shared" si="87"/>
        <v>6.5312500000000524</v>
      </c>
    </row>
    <row r="2763" spans="1:9" x14ac:dyDescent="0.2">
      <c r="A2763" t="s">
        <v>3060</v>
      </c>
      <c r="B2763">
        <v>3.4365000000000001</v>
      </c>
      <c r="C2763">
        <v>4.8134999999999997E-2</v>
      </c>
      <c r="D2763">
        <v>261</v>
      </c>
      <c r="E2763" t="s">
        <v>3060</v>
      </c>
      <c r="F2763">
        <v>261</v>
      </c>
      <c r="G2763" s="1">
        <v>45187</v>
      </c>
      <c r="H2763" s="6">
        <f t="shared" si="86"/>
        <v>6.5416666666667194</v>
      </c>
      <c r="I2763" s="7">
        <f t="shared" si="87"/>
        <v>6.5416666666667194</v>
      </c>
    </row>
    <row r="2764" spans="1:9" x14ac:dyDescent="0.2">
      <c r="A2764" t="s">
        <v>3061</v>
      </c>
      <c r="B2764">
        <v>3.37</v>
      </c>
      <c r="C2764">
        <v>4.7199999999999999E-2</v>
      </c>
      <c r="D2764">
        <v>261</v>
      </c>
      <c r="E2764" t="s">
        <v>3061</v>
      </c>
      <c r="F2764">
        <v>261</v>
      </c>
      <c r="G2764" s="1">
        <v>45187</v>
      </c>
      <c r="H2764" s="6">
        <f t="shared" si="86"/>
        <v>6.5520833333333863</v>
      </c>
      <c r="I2764" s="7">
        <f t="shared" si="87"/>
        <v>6.5520833333333863</v>
      </c>
    </row>
    <row r="2765" spans="1:9" x14ac:dyDescent="0.2">
      <c r="A2765" t="s">
        <v>3062</v>
      </c>
      <c r="B2765">
        <v>3.4605000000000001</v>
      </c>
      <c r="C2765">
        <v>4.8469999999999999E-2</v>
      </c>
      <c r="D2765">
        <v>261</v>
      </c>
      <c r="E2765" t="s">
        <v>3062</v>
      </c>
      <c r="F2765">
        <v>261</v>
      </c>
      <c r="G2765" s="1">
        <v>45187</v>
      </c>
      <c r="H2765" s="6">
        <f t="shared" si="86"/>
        <v>6.5625000000000533</v>
      </c>
      <c r="I2765" s="7">
        <f t="shared" si="87"/>
        <v>6.5625000000000533</v>
      </c>
    </row>
    <row r="2766" spans="1:9" x14ac:dyDescent="0.2">
      <c r="A2766" t="s">
        <v>3063</v>
      </c>
      <c r="B2766">
        <v>3.4954999999999998</v>
      </c>
      <c r="C2766">
        <v>4.8965000000000002E-2</v>
      </c>
      <c r="D2766">
        <v>261</v>
      </c>
      <c r="E2766" t="s">
        <v>3063</v>
      </c>
      <c r="F2766">
        <v>261</v>
      </c>
      <c r="G2766" s="1">
        <v>45187</v>
      </c>
      <c r="H2766" s="6">
        <f t="shared" si="86"/>
        <v>6.5729166666667203</v>
      </c>
      <c r="I2766" s="7">
        <f t="shared" si="87"/>
        <v>6.5729166666667203</v>
      </c>
    </row>
    <row r="2767" spans="1:9" x14ac:dyDescent="0.2">
      <c r="A2767" t="s">
        <v>3064</v>
      </c>
      <c r="B2767">
        <v>3.3279999999999998</v>
      </c>
      <c r="C2767">
        <v>4.6600000000000003E-2</v>
      </c>
      <c r="D2767">
        <v>261</v>
      </c>
      <c r="E2767" t="s">
        <v>3064</v>
      </c>
      <c r="F2767">
        <v>261</v>
      </c>
      <c r="G2767" s="1">
        <v>45187</v>
      </c>
      <c r="H2767" s="6">
        <f t="shared" si="86"/>
        <v>6.5833333333333872</v>
      </c>
      <c r="I2767" s="7">
        <f t="shared" si="87"/>
        <v>6.5833333333333872</v>
      </c>
    </row>
    <row r="2768" spans="1:9" x14ac:dyDescent="0.2">
      <c r="A2768" t="s">
        <v>3065</v>
      </c>
      <c r="B2768">
        <v>3.2654999999999998</v>
      </c>
      <c r="C2768">
        <v>4.5734999999999998E-2</v>
      </c>
      <c r="D2768">
        <v>261</v>
      </c>
      <c r="E2768" t="s">
        <v>3065</v>
      </c>
      <c r="F2768">
        <v>261</v>
      </c>
      <c r="G2768" s="1">
        <v>45187</v>
      </c>
      <c r="H2768" s="6">
        <f t="shared" si="86"/>
        <v>6.5937500000000542</v>
      </c>
      <c r="I2768" s="7">
        <f t="shared" si="87"/>
        <v>6.5937500000000542</v>
      </c>
    </row>
    <row r="2769" spans="1:9" x14ac:dyDescent="0.2">
      <c r="A2769" t="s">
        <v>3066</v>
      </c>
      <c r="B2769">
        <v>3.0009999999999999</v>
      </c>
      <c r="C2769">
        <v>4.2035000000000003E-2</v>
      </c>
      <c r="D2769">
        <v>261</v>
      </c>
      <c r="E2769" t="s">
        <v>3066</v>
      </c>
      <c r="F2769">
        <v>261</v>
      </c>
      <c r="G2769" s="1">
        <v>45187</v>
      </c>
      <c r="H2769" s="6">
        <f t="shared" si="86"/>
        <v>6.6041666666667211</v>
      </c>
      <c r="I2769" s="7">
        <f t="shared" si="87"/>
        <v>6.6041666666667211</v>
      </c>
    </row>
    <row r="2770" spans="1:9" x14ac:dyDescent="0.2">
      <c r="A2770" t="s">
        <v>3067</v>
      </c>
      <c r="B2770">
        <v>2.641</v>
      </c>
      <c r="C2770">
        <v>3.6979999999999999E-2</v>
      </c>
      <c r="D2770">
        <v>261</v>
      </c>
      <c r="E2770" t="s">
        <v>3067</v>
      </c>
      <c r="F2770">
        <v>261</v>
      </c>
      <c r="G2770" s="1">
        <v>45187</v>
      </c>
      <c r="H2770" s="6">
        <f t="shared" si="86"/>
        <v>6.6145833333333881</v>
      </c>
      <c r="I2770" s="7">
        <f t="shared" si="87"/>
        <v>6.6145833333333881</v>
      </c>
    </row>
    <row r="2771" spans="1:9" x14ac:dyDescent="0.2">
      <c r="A2771" t="s">
        <v>3068</v>
      </c>
      <c r="B2771">
        <v>2.0714999999999999</v>
      </c>
      <c r="C2771">
        <v>2.9014999999999999E-2</v>
      </c>
      <c r="D2771">
        <v>261</v>
      </c>
      <c r="E2771" t="s">
        <v>3068</v>
      </c>
      <c r="F2771">
        <v>261</v>
      </c>
      <c r="G2771" s="1">
        <v>45187</v>
      </c>
      <c r="H2771" s="6">
        <f t="shared" si="86"/>
        <v>6.6250000000000551</v>
      </c>
      <c r="I2771" s="7">
        <f t="shared" si="87"/>
        <v>6.6250000000000551</v>
      </c>
    </row>
    <row r="2772" spans="1:9" x14ac:dyDescent="0.2">
      <c r="A2772" t="s">
        <v>3069</v>
      </c>
      <c r="B2772">
        <v>2.9790000000000001</v>
      </c>
      <c r="C2772" s="2" t="s">
        <v>3070</v>
      </c>
      <c r="D2772">
        <v>261</v>
      </c>
      <c r="E2772" t="s">
        <v>3069</v>
      </c>
      <c r="F2772">
        <v>261</v>
      </c>
      <c r="G2772" s="1">
        <v>45187</v>
      </c>
      <c r="H2772" s="6">
        <f t="shared" si="86"/>
        <v>6.635416666666722</v>
      </c>
      <c r="I2772" s="7">
        <f t="shared" si="87"/>
        <v>6.635416666666722</v>
      </c>
    </row>
    <row r="2773" spans="1:9" x14ac:dyDescent="0.2">
      <c r="A2773" t="s">
        <v>3071</v>
      </c>
      <c r="B2773">
        <v>3.4209999999999998</v>
      </c>
      <c r="C2773">
        <v>4.7925000000000002E-2</v>
      </c>
      <c r="D2773">
        <v>261</v>
      </c>
      <c r="E2773" t="s">
        <v>3071</v>
      </c>
      <c r="F2773">
        <v>261</v>
      </c>
      <c r="G2773" s="1">
        <v>45187</v>
      </c>
      <c r="H2773" s="6">
        <f t="shared" si="86"/>
        <v>6.645833333333389</v>
      </c>
      <c r="I2773" s="7">
        <f t="shared" si="87"/>
        <v>6.645833333333389</v>
      </c>
    </row>
    <row r="2774" spans="1:9" x14ac:dyDescent="0.2">
      <c r="A2774" t="s">
        <v>3072</v>
      </c>
      <c r="B2774">
        <v>1.3445</v>
      </c>
      <c r="C2774">
        <v>1.883E-2</v>
      </c>
      <c r="D2774">
        <v>261</v>
      </c>
      <c r="E2774" t="s">
        <v>3072</v>
      </c>
      <c r="F2774">
        <v>261</v>
      </c>
      <c r="G2774" s="1">
        <v>45187</v>
      </c>
      <c r="H2774" s="6">
        <f t="shared" si="86"/>
        <v>6.656250000000056</v>
      </c>
      <c r="I2774" s="7">
        <f t="shared" si="87"/>
        <v>6.656250000000056</v>
      </c>
    </row>
    <row r="2775" spans="1:9" x14ac:dyDescent="0.2">
      <c r="A2775" t="s">
        <v>3073</v>
      </c>
      <c r="B2775">
        <v>3.9914999999999998</v>
      </c>
      <c r="C2775">
        <v>5.5895E-2</v>
      </c>
      <c r="D2775">
        <v>261</v>
      </c>
      <c r="E2775" t="s">
        <v>3073</v>
      </c>
      <c r="F2775">
        <v>261</v>
      </c>
      <c r="G2775" s="1">
        <v>45187</v>
      </c>
      <c r="H2775" s="6">
        <f t="shared" si="86"/>
        <v>6.6666666666667229</v>
      </c>
      <c r="I2775" s="7">
        <f t="shared" si="87"/>
        <v>6.6666666666667229</v>
      </c>
    </row>
    <row r="2776" spans="1:9" x14ac:dyDescent="0.2">
      <c r="A2776" t="s">
        <v>3074</v>
      </c>
      <c r="B2776">
        <v>4.2534999999999998</v>
      </c>
      <c r="C2776">
        <v>5.9595000000000002E-2</v>
      </c>
      <c r="D2776">
        <v>261</v>
      </c>
      <c r="E2776" t="s">
        <v>3074</v>
      </c>
      <c r="F2776">
        <v>261</v>
      </c>
      <c r="G2776" s="1">
        <v>45187</v>
      </c>
      <c r="H2776" s="6">
        <f t="shared" si="86"/>
        <v>6.6770833333333899</v>
      </c>
      <c r="I2776" s="7">
        <f t="shared" si="87"/>
        <v>6.6770833333333899</v>
      </c>
    </row>
    <row r="2777" spans="1:9" x14ac:dyDescent="0.2">
      <c r="A2777" t="s">
        <v>3075</v>
      </c>
      <c r="B2777">
        <v>4.1829999999999998</v>
      </c>
      <c r="C2777">
        <v>5.8604999999999997E-2</v>
      </c>
      <c r="D2777">
        <v>261</v>
      </c>
      <c r="E2777" t="s">
        <v>3075</v>
      </c>
      <c r="F2777">
        <v>261</v>
      </c>
      <c r="G2777" s="1">
        <v>45187</v>
      </c>
      <c r="H2777" s="6">
        <f t="shared" si="86"/>
        <v>6.6875000000000568</v>
      </c>
      <c r="I2777" s="7">
        <f t="shared" si="87"/>
        <v>6.6875000000000568</v>
      </c>
    </row>
    <row r="2778" spans="1:9" x14ac:dyDescent="0.2">
      <c r="A2778" t="s">
        <v>3076</v>
      </c>
      <c r="B2778">
        <v>4.2610000000000001</v>
      </c>
      <c r="C2778">
        <v>5.969E-2</v>
      </c>
      <c r="D2778">
        <v>261</v>
      </c>
      <c r="E2778" t="s">
        <v>3076</v>
      </c>
      <c r="F2778">
        <v>261</v>
      </c>
      <c r="G2778" s="1">
        <v>45187</v>
      </c>
      <c r="H2778" s="6">
        <f t="shared" si="86"/>
        <v>6.6979166666667238</v>
      </c>
      <c r="I2778" s="7">
        <f t="shared" si="87"/>
        <v>6.6979166666667238</v>
      </c>
    </row>
    <row r="2779" spans="1:9" x14ac:dyDescent="0.2">
      <c r="A2779" t="s">
        <v>3077</v>
      </c>
      <c r="B2779">
        <v>4.2850000000000001</v>
      </c>
      <c r="C2779">
        <v>6.003E-2</v>
      </c>
      <c r="D2779">
        <v>261</v>
      </c>
      <c r="E2779" t="s">
        <v>3077</v>
      </c>
      <c r="F2779">
        <v>261</v>
      </c>
      <c r="G2779" s="1">
        <v>45187</v>
      </c>
      <c r="H2779" s="6">
        <f t="shared" si="86"/>
        <v>6.7083333333333908</v>
      </c>
      <c r="I2779" s="7">
        <f t="shared" si="87"/>
        <v>6.7083333333333908</v>
      </c>
    </row>
    <row r="2780" spans="1:9" x14ac:dyDescent="0.2">
      <c r="A2780" t="s">
        <v>3078</v>
      </c>
      <c r="B2780">
        <v>4.4065000000000003</v>
      </c>
      <c r="C2780" s="2" t="s">
        <v>3079</v>
      </c>
      <c r="D2780">
        <v>262</v>
      </c>
      <c r="E2780" t="s">
        <v>3078</v>
      </c>
      <c r="F2780">
        <v>261</v>
      </c>
      <c r="G2780" s="1">
        <v>45187</v>
      </c>
      <c r="H2780" s="6">
        <f t="shared" ref="H2780:H2843" si="88">H2779+$K$1</f>
        <v>6.7187500000000577</v>
      </c>
      <c r="I2780" s="7">
        <f t="shared" ref="I2780:I2843" si="89">I2779+$K$1</f>
        <v>6.7187500000000577</v>
      </c>
    </row>
    <row r="2781" spans="1:9" x14ac:dyDescent="0.2">
      <c r="A2781" t="s">
        <v>3080</v>
      </c>
      <c r="B2781">
        <v>4.2960000000000003</v>
      </c>
      <c r="C2781">
        <v>6.0174999999999999E-2</v>
      </c>
      <c r="D2781">
        <v>262</v>
      </c>
      <c r="E2781" t="s">
        <v>3080</v>
      </c>
      <c r="F2781">
        <v>261</v>
      </c>
      <c r="G2781" s="1">
        <v>45187</v>
      </c>
      <c r="H2781" s="6">
        <f t="shared" si="88"/>
        <v>6.7291666666667247</v>
      </c>
      <c r="I2781" s="7">
        <f t="shared" si="89"/>
        <v>6.7291666666667247</v>
      </c>
    </row>
    <row r="2782" spans="1:9" x14ac:dyDescent="0.2">
      <c r="A2782" t="s">
        <v>3081</v>
      </c>
      <c r="B2782">
        <v>3.5990000000000002</v>
      </c>
      <c r="C2782">
        <v>5.0404999999999998E-2</v>
      </c>
      <c r="D2782">
        <v>262</v>
      </c>
      <c r="E2782" t="s">
        <v>3081</v>
      </c>
      <c r="F2782">
        <v>261</v>
      </c>
      <c r="G2782" s="1">
        <v>45187</v>
      </c>
      <c r="H2782" s="6">
        <f t="shared" si="88"/>
        <v>6.7395833333333917</v>
      </c>
      <c r="I2782" s="7">
        <f t="shared" si="89"/>
        <v>6.7395833333333917</v>
      </c>
    </row>
    <row r="2783" spans="1:9" x14ac:dyDescent="0.2">
      <c r="A2783" t="s">
        <v>3082</v>
      </c>
      <c r="B2783">
        <v>4.3715000000000002</v>
      </c>
      <c r="C2783">
        <v>6.1240000000000003E-2</v>
      </c>
      <c r="D2783">
        <v>262</v>
      </c>
      <c r="E2783" t="s">
        <v>3082</v>
      </c>
      <c r="F2783">
        <v>261</v>
      </c>
      <c r="G2783" s="1">
        <v>45187</v>
      </c>
      <c r="H2783" s="6">
        <f t="shared" si="88"/>
        <v>6.7500000000000586</v>
      </c>
      <c r="I2783" s="7">
        <f t="shared" si="89"/>
        <v>6.7500000000000586</v>
      </c>
    </row>
    <row r="2784" spans="1:9" x14ac:dyDescent="0.2">
      <c r="A2784" t="s">
        <v>3083</v>
      </c>
      <c r="B2784">
        <v>4.4204999999999997</v>
      </c>
      <c r="C2784">
        <v>6.191E-2</v>
      </c>
      <c r="D2784">
        <v>262</v>
      </c>
      <c r="E2784" t="s">
        <v>3083</v>
      </c>
      <c r="F2784">
        <v>261</v>
      </c>
      <c r="G2784" s="1">
        <v>45187</v>
      </c>
      <c r="H2784" s="6">
        <f t="shared" si="88"/>
        <v>6.7604166666667256</v>
      </c>
      <c r="I2784" s="7">
        <f t="shared" si="89"/>
        <v>6.7604166666667256</v>
      </c>
    </row>
    <row r="2785" spans="1:9" x14ac:dyDescent="0.2">
      <c r="A2785" t="s">
        <v>3084</v>
      </c>
      <c r="B2785">
        <v>4.3159999999999998</v>
      </c>
      <c r="C2785">
        <v>6.0440000000000001E-2</v>
      </c>
      <c r="D2785">
        <v>262</v>
      </c>
      <c r="E2785" t="s">
        <v>3084</v>
      </c>
      <c r="F2785">
        <v>261</v>
      </c>
      <c r="G2785" s="1">
        <v>45187</v>
      </c>
      <c r="H2785" s="6">
        <f t="shared" si="88"/>
        <v>6.7708333333333925</v>
      </c>
      <c r="I2785" s="7">
        <f t="shared" si="89"/>
        <v>6.7708333333333925</v>
      </c>
    </row>
    <row r="2786" spans="1:9" x14ac:dyDescent="0.2">
      <c r="A2786" t="s">
        <v>3085</v>
      </c>
      <c r="B2786">
        <v>4.3449999999999998</v>
      </c>
      <c r="C2786">
        <v>6.0859999999999997E-2</v>
      </c>
      <c r="D2786">
        <v>262</v>
      </c>
      <c r="E2786" t="s">
        <v>3085</v>
      </c>
      <c r="F2786">
        <v>261</v>
      </c>
      <c r="G2786" s="1">
        <v>45187</v>
      </c>
      <c r="H2786" s="6">
        <f t="shared" si="88"/>
        <v>6.7812500000000595</v>
      </c>
      <c r="I2786" s="7">
        <f t="shared" si="89"/>
        <v>6.7812500000000595</v>
      </c>
    </row>
    <row r="2787" spans="1:9" x14ac:dyDescent="0.2">
      <c r="A2787" t="s">
        <v>3086</v>
      </c>
      <c r="B2787">
        <v>4.5495000000000001</v>
      </c>
      <c r="C2787">
        <v>6.3725000000000004E-2</v>
      </c>
      <c r="D2787">
        <v>262</v>
      </c>
      <c r="E2787" t="s">
        <v>3086</v>
      </c>
      <c r="F2787">
        <v>261</v>
      </c>
      <c r="G2787" s="1">
        <v>45187</v>
      </c>
      <c r="H2787" s="6">
        <f t="shared" si="88"/>
        <v>6.7916666666667265</v>
      </c>
      <c r="I2787" s="7">
        <f t="shared" si="89"/>
        <v>6.7916666666667265</v>
      </c>
    </row>
    <row r="2788" spans="1:9" x14ac:dyDescent="0.2">
      <c r="A2788" t="s">
        <v>3087</v>
      </c>
      <c r="B2788">
        <v>4.0594999999999999</v>
      </c>
      <c r="C2788">
        <v>5.6884999999999998E-2</v>
      </c>
      <c r="D2788">
        <v>262</v>
      </c>
      <c r="E2788" t="s">
        <v>3087</v>
      </c>
      <c r="F2788">
        <v>261</v>
      </c>
      <c r="G2788" s="1">
        <v>45187</v>
      </c>
      <c r="H2788" s="6">
        <f t="shared" si="88"/>
        <v>6.8020833333333934</v>
      </c>
      <c r="I2788" s="7">
        <f t="shared" si="89"/>
        <v>6.8020833333333934</v>
      </c>
    </row>
    <row r="2789" spans="1:9" x14ac:dyDescent="0.2">
      <c r="A2789" t="s">
        <v>3088</v>
      </c>
      <c r="B2789">
        <v>3.835</v>
      </c>
      <c r="C2789">
        <v>5.3740000000000003E-2</v>
      </c>
      <c r="D2789">
        <v>262</v>
      </c>
      <c r="E2789" t="s">
        <v>3088</v>
      </c>
      <c r="F2789">
        <v>261</v>
      </c>
      <c r="G2789" s="1">
        <v>45187</v>
      </c>
      <c r="H2789" s="6">
        <f t="shared" si="88"/>
        <v>6.8125000000000604</v>
      </c>
      <c r="I2789" s="7">
        <f t="shared" si="89"/>
        <v>6.8125000000000604</v>
      </c>
    </row>
    <row r="2790" spans="1:9" x14ac:dyDescent="0.2">
      <c r="A2790" t="s">
        <v>3089</v>
      </c>
      <c r="B2790">
        <v>3.7875000000000001</v>
      </c>
      <c r="C2790">
        <v>5.3060000000000003E-2</v>
      </c>
      <c r="D2790">
        <v>262</v>
      </c>
      <c r="E2790" t="s">
        <v>3089</v>
      </c>
      <c r="F2790">
        <v>261</v>
      </c>
      <c r="G2790" s="1">
        <v>45187</v>
      </c>
      <c r="H2790" s="6">
        <f t="shared" si="88"/>
        <v>6.8229166666667274</v>
      </c>
      <c r="I2790" s="7">
        <f t="shared" si="89"/>
        <v>6.8229166666667274</v>
      </c>
    </row>
    <row r="2791" spans="1:9" x14ac:dyDescent="0.2">
      <c r="A2791" t="s">
        <v>3090</v>
      </c>
      <c r="B2791">
        <v>3.927</v>
      </c>
      <c r="C2791">
        <v>5.5004999999999998E-2</v>
      </c>
      <c r="D2791">
        <v>262</v>
      </c>
      <c r="E2791" t="s">
        <v>3090</v>
      </c>
      <c r="F2791">
        <v>261</v>
      </c>
      <c r="G2791" s="1">
        <v>45187</v>
      </c>
      <c r="H2791" s="6">
        <f t="shared" si="88"/>
        <v>6.8333333333333943</v>
      </c>
      <c r="I2791" s="7">
        <f t="shared" si="89"/>
        <v>6.8333333333333943</v>
      </c>
    </row>
    <row r="2792" spans="1:9" x14ac:dyDescent="0.2">
      <c r="A2792" t="s">
        <v>3091</v>
      </c>
      <c r="B2792">
        <v>3.9874999999999998</v>
      </c>
      <c r="C2792">
        <v>5.5849999999999997E-2</v>
      </c>
      <c r="D2792">
        <v>262</v>
      </c>
      <c r="E2792" t="s">
        <v>3091</v>
      </c>
      <c r="F2792">
        <v>261</v>
      </c>
      <c r="G2792" s="1">
        <v>45187</v>
      </c>
      <c r="H2792" s="6">
        <f t="shared" si="88"/>
        <v>6.8437500000000613</v>
      </c>
      <c r="I2792" s="7">
        <f t="shared" si="89"/>
        <v>6.8437500000000613</v>
      </c>
    </row>
    <row r="2793" spans="1:9" x14ac:dyDescent="0.2">
      <c r="A2793" t="s">
        <v>3092</v>
      </c>
      <c r="B2793" s="2" t="s">
        <v>3093</v>
      </c>
      <c r="C2793">
        <v>5.5485E-2</v>
      </c>
      <c r="D2793">
        <v>262</v>
      </c>
      <c r="E2793" t="s">
        <v>3092</v>
      </c>
      <c r="F2793">
        <v>261</v>
      </c>
      <c r="G2793" s="1">
        <v>45187</v>
      </c>
      <c r="H2793" s="6">
        <f t="shared" si="88"/>
        <v>6.8541666666667282</v>
      </c>
      <c r="I2793" s="7">
        <f t="shared" si="89"/>
        <v>6.8541666666667282</v>
      </c>
    </row>
    <row r="2794" spans="1:9" x14ac:dyDescent="0.2">
      <c r="A2794" t="s">
        <v>3094</v>
      </c>
      <c r="B2794">
        <v>4.0265000000000004</v>
      </c>
      <c r="C2794">
        <v>5.6395000000000001E-2</v>
      </c>
      <c r="D2794">
        <v>262</v>
      </c>
      <c r="E2794" t="s">
        <v>3094</v>
      </c>
      <c r="F2794">
        <v>261</v>
      </c>
      <c r="G2794" s="1">
        <v>45187</v>
      </c>
      <c r="H2794" s="6">
        <f t="shared" si="88"/>
        <v>6.8645833333333952</v>
      </c>
      <c r="I2794" s="7">
        <f t="shared" si="89"/>
        <v>6.8645833333333952</v>
      </c>
    </row>
    <row r="2795" spans="1:9" x14ac:dyDescent="0.2">
      <c r="A2795" t="s">
        <v>3095</v>
      </c>
      <c r="B2795">
        <v>3.9914999999999998</v>
      </c>
      <c r="C2795">
        <v>5.5919999999999997E-2</v>
      </c>
      <c r="D2795">
        <v>262</v>
      </c>
      <c r="E2795" t="s">
        <v>3095</v>
      </c>
      <c r="F2795">
        <v>261</v>
      </c>
      <c r="G2795" s="1">
        <v>45187</v>
      </c>
      <c r="H2795" s="6">
        <f t="shared" si="88"/>
        <v>6.8750000000000622</v>
      </c>
      <c r="I2795" s="7">
        <f t="shared" si="89"/>
        <v>6.8750000000000622</v>
      </c>
    </row>
    <row r="2796" spans="1:9" x14ac:dyDescent="0.2">
      <c r="A2796" t="s">
        <v>3096</v>
      </c>
      <c r="B2796">
        <v>3.964</v>
      </c>
      <c r="C2796" s="2" t="s">
        <v>3097</v>
      </c>
      <c r="D2796">
        <v>262</v>
      </c>
      <c r="E2796" t="s">
        <v>3096</v>
      </c>
      <c r="F2796">
        <v>261</v>
      </c>
      <c r="G2796" s="1">
        <v>45187</v>
      </c>
      <c r="H2796" s="6">
        <f t="shared" si="88"/>
        <v>6.8854166666667291</v>
      </c>
      <c r="I2796" s="7">
        <f t="shared" si="89"/>
        <v>6.8854166666667291</v>
      </c>
    </row>
    <row r="2797" spans="1:9" x14ac:dyDescent="0.2">
      <c r="A2797" t="s">
        <v>3098</v>
      </c>
      <c r="B2797">
        <v>3.9815</v>
      </c>
      <c r="C2797">
        <v>5.5759999999999997E-2</v>
      </c>
      <c r="D2797">
        <v>262</v>
      </c>
      <c r="E2797" t="s">
        <v>3098</v>
      </c>
      <c r="F2797">
        <v>261</v>
      </c>
      <c r="G2797" s="1">
        <v>45187</v>
      </c>
      <c r="H2797" s="6">
        <f t="shared" si="88"/>
        <v>6.8958333333333961</v>
      </c>
      <c r="I2797" s="7">
        <f t="shared" si="89"/>
        <v>6.8958333333333961</v>
      </c>
    </row>
    <row r="2798" spans="1:9" x14ac:dyDescent="0.2">
      <c r="A2798" t="s">
        <v>3099</v>
      </c>
      <c r="B2798">
        <v>4.0004999999999997</v>
      </c>
      <c r="C2798">
        <v>5.6024999999999998E-2</v>
      </c>
      <c r="D2798">
        <v>262</v>
      </c>
      <c r="E2798" t="s">
        <v>3099</v>
      </c>
      <c r="F2798">
        <v>261</v>
      </c>
      <c r="G2798" s="1">
        <v>45187</v>
      </c>
      <c r="H2798" s="6">
        <f t="shared" si="88"/>
        <v>6.9062500000000631</v>
      </c>
      <c r="I2798" s="7">
        <f t="shared" si="89"/>
        <v>6.9062500000000631</v>
      </c>
    </row>
    <row r="2799" spans="1:9" x14ac:dyDescent="0.2">
      <c r="A2799" t="s">
        <v>3100</v>
      </c>
      <c r="B2799">
        <v>3.556</v>
      </c>
      <c r="C2799">
        <v>4.981E-2</v>
      </c>
      <c r="D2799">
        <v>262</v>
      </c>
      <c r="E2799" t="s">
        <v>3100</v>
      </c>
      <c r="F2799">
        <v>261</v>
      </c>
      <c r="G2799" s="1">
        <v>45187</v>
      </c>
      <c r="H2799" s="6">
        <f t="shared" si="88"/>
        <v>6.91666666666673</v>
      </c>
      <c r="I2799" s="7">
        <f t="shared" si="89"/>
        <v>6.91666666666673</v>
      </c>
    </row>
    <row r="2800" spans="1:9" x14ac:dyDescent="0.2">
      <c r="A2800" t="s">
        <v>3101</v>
      </c>
      <c r="B2800">
        <v>3.2149999999999999</v>
      </c>
      <c r="C2800">
        <v>4.5025000000000003E-2</v>
      </c>
      <c r="D2800">
        <v>262</v>
      </c>
      <c r="E2800" t="s">
        <v>3101</v>
      </c>
      <c r="F2800">
        <v>261</v>
      </c>
      <c r="G2800" s="1">
        <v>45187</v>
      </c>
      <c r="H2800" s="6">
        <f t="shared" si="88"/>
        <v>6.927083333333397</v>
      </c>
      <c r="I2800" s="7">
        <f t="shared" si="89"/>
        <v>6.927083333333397</v>
      </c>
    </row>
    <row r="2801" spans="1:9" x14ac:dyDescent="0.2">
      <c r="A2801" t="s">
        <v>3102</v>
      </c>
      <c r="B2801">
        <v>2.6465000000000001</v>
      </c>
      <c r="C2801">
        <v>3.7069999999999999E-2</v>
      </c>
      <c r="D2801">
        <v>262</v>
      </c>
      <c r="E2801" t="s">
        <v>3102</v>
      </c>
      <c r="F2801">
        <v>261</v>
      </c>
      <c r="G2801" s="1">
        <v>45187</v>
      </c>
      <c r="H2801" s="6">
        <f t="shared" si="88"/>
        <v>6.9375000000000639</v>
      </c>
      <c r="I2801" s="7">
        <f t="shared" si="89"/>
        <v>6.9375000000000639</v>
      </c>
    </row>
    <row r="2802" spans="1:9" x14ac:dyDescent="0.2">
      <c r="A2802" t="s">
        <v>3103</v>
      </c>
      <c r="B2802">
        <v>3.5205000000000002</v>
      </c>
      <c r="C2802">
        <v>4.9334999999999997E-2</v>
      </c>
      <c r="D2802">
        <v>262</v>
      </c>
      <c r="E2802" t="s">
        <v>3103</v>
      </c>
      <c r="F2802">
        <v>261</v>
      </c>
      <c r="G2802" s="1">
        <v>45187</v>
      </c>
      <c r="H2802" s="6">
        <f t="shared" si="88"/>
        <v>6.9479166666667309</v>
      </c>
      <c r="I2802" s="7">
        <f t="shared" si="89"/>
        <v>6.9479166666667309</v>
      </c>
    </row>
    <row r="2803" spans="1:9" x14ac:dyDescent="0.2">
      <c r="A2803" t="s">
        <v>3104</v>
      </c>
      <c r="B2803">
        <v>4.0735000000000001</v>
      </c>
      <c r="C2803">
        <v>5.7029999999999997E-2</v>
      </c>
      <c r="D2803">
        <v>262</v>
      </c>
      <c r="E2803" t="s">
        <v>3104</v>
      </c>
      <c r="F2803">
        <v>261</v>
      </c>
      <c r="G2803" s="1">
        <v>45187</v>
      </c>
      <c r="H2803" s="6">
        <f t="shared" si="88"/>
        <v>6.9583333333333979</v>
      </c>
      <c r="I2803" s="7">
        <f t="shared" si="89"/>
        <v>6.9583333333333979</v>
      </c>
    </row>
    <row r="2804" spans="1:9" x14ac:dyDescent="0.2">
      <c r="A2804" t="s">
        <v>3105</v>
      </c>
      <c r="B2804">
        <v>4.1364999999999998</v>
      </c>
      <c r="C2804">
        <v>5.7939999999999998E-2</v>
      </c>
      <c r="D2804">
        <v>262</v>
      </c>
      <c r="E2804" t="s">
        <v>3105</v>
      </c>
      <c r="F2804">
        <v>262</v>
      </c>
      <c r="G2804" s="1">
        <v>45188</v>
      </c>
      <c r="H2804" s="6">
        <f t="shared" si="88"/>
        <v>6.9687500000000648</v>
      </c>
      <c r="I2804" s="7">
        <f t="shared" si="89"/>
        <v>6.9687500000000648</v>
      </c>
    </row>
    <row r="2805" spans="1:9" x14ac:dyDescent="0.2">
      <c r="A2805" t="s">
        <v>3106</v>
      </c>
      <c r="B2805">
        <v>4.2089999999999996</v>
      </c>
      <c r="C2805" s="2" t="s">
        <v>3026</v>
      </c>
      <c r="D2805">
        <v>262</v>
      </c>
      <c r="E2805" t="s">
        <v>3106</v>
      </c>
      <c r="F2805">
        <v>262</v>
      </c>
      <c r="G2805" s="1">
        <v>45188</v>
      </c>
      <c r="H2805" s="6">
        <f t="shared" si="88"/>
        <v>6.9791666666667318</v>
      </c>
      <c r="I2805" s="7">
        <f t="shared" si="89"/>
        <v>6.9791666666667318</v>
      </c>
    </row>
    <row r="2806" spans="1:9" x14ac:dyDescent="0.2">
      <c r="A2806" t="s">
        <v>3107</v>
      </c>
      <c r="B2806">
        <v>4.0804999999999998</v>
      </c>
      <c r="C2806">
        <v>5.7165000000000001E-2</v>
      </c>
      <c r="D2806">
        <v>262</v>
      </c>
      <c r="E2806" t="s">
        <v>3107</v>
      </c>
      <c r="F2806">
        <v>262</v>
      </c>
      <c r="G2806" s="1">
        <v>45188</v>
      </c>
      <c r="H2806" s="6">
        <f t="shared" si="88"/>
        <v>6.9895833333333988</v>
      </c>
      <c r="I2806" s="7">
        <f t="shared" si="89"/>
        <v>6.9895833333333988</v>
      </c>
    </row>
    <row r="2807" spans="1:9" x14ac:dyDescent="0.2">
      <c r="A2807" t="s">
        <v>3108</v>
      </c>
      <c r="B2807">
        <v>4.1784999999999997</v>
      </c>
      <c r="C2807">
        <v>5.8529999999999999E-2</v>
      </c>
      <c r="D2807">
        <v>262</v>
      </c>
      <c r="E2807" t="s">
        <v>3108</v>
      </c>
      <c r="F2807">
        <v>262</v>
      </c>
      <c r="G2807" s="1">
        <v>45188</v>
      </c>
      <c r="H2807" s="6">
        <f t="shared" si="88"/>
        <v>7.0000000000000657</v>
      </c>
      <c r="I2807" s="7">
        <f t="shared" si="89"/>
        <v>7.0000000000000657</v>
      </c>
    </row>
    <row r="2808" spans="1:9" x14ac:dyDescent="0.2">
      <c r="A2808" t="s">
        <v>3109</v>
      </c>
      <c r="B2808">
        <v>4.1654999999999998</v>
      </c>
      <c r="C2808">
        <v>5.8340000000000003E-2</v>
      </c>
      <c r="D2808">
        <v>262</v>
      </c>
      <c r="E2808" t="s">
        <v>3109</v>
      </c>
      <c r="F2808">
        <v>262</v>
      </c>
      <c r="G2808" s="1">
        <v>45188</v>
      </c>
      <c r="H2808" s="6">
        <f t="shared" si="88"/>
        <v>7.0104166666667327</v>
      </c>
      <c r="I2808" s="7">
        <f t="shared" si="89"/>
        <v>7.0104166666667327</v>
      </c>
    </row>
    <row r="2809" spans="1:9" x14ac:dyDescent="0.2">
      <c r="A2809" t="s">
        <v>3110</v>
      </c>
      <c r="B2809">
        <v>4.0975000000000001</v>
      </c>
      <c r="C2809">
        <v>5.7384999999999999E-2</v>
      </c>
      <c r="D2809">
        <v>262</v>
      </c>
      <c r="E2809" t="s">
        <v>3110</v>
      </c>
      <c r="F2809">
        <v>262</v>
      </c>
      <c r="G2809" s="1">
        <v>45188</v>
      </c>
      <c r="H2809" s="6">
        <f t="shared" si="88"/>
        <v>7.0208333333333997</v>
      </c>
      <c r="I2809" s="7">
        <f t="shared" si="89"/>
        <v>7.0208333333333997</v>
      </c>
    </row>
    <row r="2810" spans="1:9" x14ac:dyDescent="0.2">
      <c r="A2810" t="s">
        <v>3111</v>
      </c>
      <c r="B2810">
        <v>4.1204999999999998</v>
      </c>
      <c r="C2810" s="2" t="s">
        <v>3112</v>
      </c>
      <c r="D2810">
        <v>262</v>
      </c>
      <c r="E2810" t="s">
        <v>3111</v>
      </c>
      <c r="F2810">
        <v>262</v>
      </c>
      <c r="G2810" s="1">
        <v>45188</v>
      </c>
      <c r="H2810" s="6">
        <f t="shared" si="88"/>
        <v>7.0312500000000666</v>
      </c>
      <c r="I2810" s="7">
        <f t="shared" si="89"/>
        <v>7.0312500000000666</v>
      </c>
    </row>
    <row r="2811" spans="1:9" x14ac:dyDescent="0.2">
      <c r="A2811" t="s">
        <v>3113</v>
      </c>
      <c r="B2811">
        <v>4.2335000000000003</v>
      </c>
      <c r="C2811">
        <v>5.9295E-2</v>
      </c>
      <c r="D2811">
        <v>262</v>
      </c>
      <c r="E2811" t="s">
        <v>3113</v>
      </c>
      <c r="F2811">
        <v>262</v>
      </c>
      <c r="G2811" s="1">
        <v>45188</v>
      </c>
      <c r="H2811" s="6">
        <f t="shared" si="88"/>
        <v>7.0416666666667336</v>
      </c>
      <c r="I2811" s="7">
        <f t="shared" si="89"/>
        <v>7.0416666666667336</v>
      </c>
    </row>
    <row r="2812" spans="1:9" x14ac:dyDescent="0.2">
      <c r="A2812" t="s">
        <v>3114</v>
      </c>
      <c r="B2812">
        <v>4.2725</v>
      </c>
      <c r="C2812">
        <v>5.9839999999999997E-2</v>
      </c>
      <c r="D2812">
        <v>262</v>
      </c>
      <c r="E2812" t="s">
        <v>3114</v>
      </c>
      <c r="F2812">
        <v>262</v>
      </c>
      <c r="G2812" s="1">
        <v>45188</v>
      </c>
      <c r="H2812" s="6">
        <f t="shared" si="88"/>
        <v>7.0520833333334005</v>
      </c>
      <c r="I2812" s="7">
        <f t="shared" si="89"/>
        <v>7.0520833333334005</v>
      </c>
    </row>
    <row r="2813" spans="1:9" x14ac:dyDescent="0.2">
      <c r="A2813" t="s">
        <v>3115</v>
      </c>
      <c r="B2813">
        <v>4.2504999999999997</v>
      </c>
      <c r="C2813">
        <v>5.951E-2</v>
      </c>
      <c r="D2813">
        <v>262</v>
      </c>
      <c r="E2813" t="s">
        <v>3115</v>
      </c>
      <c r="F2813">
        <v>262</v>
      </c>
      <c r="G2813" s="1">
        <v>45188</v>
      </c>
      <c r="H2813" s="6">
        <f t="shared" si="88"/>
        <v>7.0625000000000675</v>
      </c>
      <c r="I2813" s="7">
        <f t="shared" si="89"/>
        <v>7.0625000000000675</v>
      </c>
    </row>
    <row r="2814" spans="1:9" x14ac:dyDescent="0.2">
      <c r="A2814" t="s">
        <v>3116</v>
      </c>
      <c r="B2814">
        <v>4.2685000000000004</v>
      </c>
      <c r="C2814">
        <v>5.9784999999999998E-2</v>
      </c>
      <c r="D2814">
        <v>262</v>
      </c>
      <c r="E2814" t="s">
        <v>3116</v>
      </c>
      <c r="F2814">
        <v>262</v>
      </c>
      <c r="G2814" s="1">
        <v>45188</v>
      </c>
      <c r="H2814" s="6">
        <f t="shared" si="88"/>
        <v>7.0729166666667345</v>
      </c>
      <c r="I2814" s="7">
        <f t="shared" si="89"/>
        <v>7.0729166666667345</v>
      </c>
    </row>
    <row r="2815" spans="1:9" x14ac:dyDescent="0.2">
      <c r="A2815" t="s">
        <v>3117</v>
      </c>
      <c r="B2815">
        <v>4.2454999999999998</v>
      </c>
      <c r="C2815">
        <v>5.9444999999999998E-2</v>
      </c>
      <c r="D2815">
        <v>262</v>
      </c>
      <c r="E2815" t="s">
        <v>3117</v>
      </c>
      <c r="F2815">
        <v>262</v>
      </c>
      <c r="G2815" s="1">
        <v>45188</v>
      </c>
      <c r="H2815" s="6">
        <f t="shared" si="88"/>
        <v>7.0833333333334014</v>
      </c>
      <c r="I2815" s="7">
        <f t="shared" si="89"/>
        <v>7.0833333333334014</v>
      </c>
    </row>
    <row r="2816" spans="1:9" x14ac:dyDescent="0.2">
      <c r="A2816" t="s">
        <v>3118</v>
      </c>
      <c r="B2816">
        <v>3.9550000000000001</v>
      </c>
      <c r="C2816">
        <v>5.5395E-2</v>
      </c>
      <c r="D2816">
        <v>262</v>
      </c>
      <c r="E2816" t="s">
        <v>3118</v>
      </c>
      <c r="F2816">
        <v>262</v>
      </c>
      <c r="G2816" s="1">
        <v>45188</v>
      </c>
      <c r="H2816" s="6">
        <f t="shared" si="88"/>
        <v>7.0937500000000684</v>
      </c>
      <c r="I2816" s="7">
        <f t="shared" si="89"/>
        <v>7.0937500000000684</v>
      </c>
    </row>
    <row r="2817" spans="1:9" x14ac:dyDescent="0.2">
      <c r="A2817" t="s">
        <v>3119</v>
      </c>
      <c r="B2817">
        <v>4.2115</v>
      </c>
      <c r="C2817">
        <v>5.8985000000000003E-2</v>
      </c>
      <c r="D2817">
        <v>262</v>
      </c>
      <c r="E2817" t="s">
        <v>3119</v>
      </c>
      <c r="F2817">
        <v>262</v>
      </c>
      <c r="G2817" s="1">
        <v>45188</v>
      </c>
      <c r="H2817" s="6">
        <f t="shared" si="88"/>
        <v>7.1041666666667354</v>
      </c>
      <c r="I2817" s="7">
        <f t="shared" si="89"/>
        <v>7.1041666666667354</v>
      </c>
    </row>
    <row r="2818" spans="1:9" x14ac:dyDescent="0.2">
      <c r="A2818" t="s">
        <v>3120</v>
      </c>
      <c r="B2818">
        <v>4.2720000000000002</v>
      </c>
      <c r="C2818">
        <v>5.9810000000000002E-2</v>
      </c>
      <c r="D2818">
        <v>262</v>
      </c>
      <c r="E2818" t="s">
        <v>3120</v>
      </c>
      <c r="F2818">
        <v>262</v>
      </c>
      <c r="G2818" s="1">
        <v>45188</v>
      </c>
      <c r="H2818" s="6">
        <f t="shared" si="88"/>
        <v>7.1145833333334023</v>
      </c>
      <c r="I2818" s="7">
        <f t="shared" si="89"/>
        <v>7.1145833333334023</v>
      </c>
    </row>
    <row r="2819" spans="1:9" x14ac:dyDescent="0.2">
      <c r="A2819" t="s">
        <v>3121</v>
      </c>
      <c r="B2819">
        <v>4.1094999999999997</v>
      </c>
      <c r="C2819">
        <v>5.7564999999999998E-2</v>
      </c>
      <c r="D2819">
        <v>262</v>
      </c>
      <c r="E2819" t="s">
        <v>3121</v>
      </c>
      <c r="F2819">
        <v>262</v>
      </c>
      <c r="G2819" s="1">
        <v>45188</v>
      </c>
      <c r="H2819" s="6">
        <f t="shared" si="88"/>
        <v>7.1250000000000693</v>
      </c>
      <c r="I2819" s="7">
        <f t="shared" si="89"/>
        <v>7.1250000000000693</v>
      </c>
    </row>
    <row r="2820" spans="1:9" x14ac:dyDescent="0.2">
      <c r="A2820" t="s">
        <v>3122</v>
      </c>
      <c r="B2820">
        <v>3.9695</v>
      </c>
      <c r="C2820">
        <v>5.5585000000000002E-2</v>
      </c>
      <c r="D2820">
        <v>262</v>
      </c>
      <c r="E2820" t="s">
        <v>3122</v>
      </c>
      <c r="F2820">
        <v>262</v>
      </c>
      <c r="G2820" s="1">
        <v>45188</v>
      </c>
      <c r="H2820" s="6">
        <f t="shared" si="88"/>
        <v>7.1354166666667362</v>
      </c>
      <c r="I2820" s="7">
        <f t="shared" si="89"/>
        <v>7.1354166666667362</v>
      </c>
    </row>
    <row r="2821" spans="1:9" x14ac:dyDescent="0.2">
      <c r="A2821" t="s">
        <v>3123</v>
      </c>
      <c r="B2821">
        <v>3.9685000000000001</v>
      </c>
      <c r="C2821" s="2" t="s">
        <v>1515</v>
      </c>
      <c r="D2821">
        <v>262</v>
      </c>
      <c r="E2821" t="s">
        <v>3123</v>
      </c>
      <c r="F2821">
        <v>262</v>
      </c>
      <c r="G2821" s="1">
        <v>45188</v>
      </c>
      <c r="H2821" s="6">
        <f t="shared" si="88"/>
        <v>7.1458333333334032</v>
      </c>
      <c r="I2821" s="7">
        <f t="shared" si="89"/>
        <v>7.1458333333334032</v>
      </c>
    </row>
    <row r="2822" spans="1:9" x14ac:dyDescent="0.2">
      <c r="A2822" t="s">
        <v>3124</v>
      </c>
      <c r="B2822">
        <v>3.802</v>
      </c>
      <c r="C2822">
        <v>5.3260000000000002E-2</v>
      </c>
      <c r="D2822">
        <v>262</v>
      </c>
      <c r="E2822" t="s">
        <v>3124</v>
      </c>
      <c r="F2822">
        <v>262</v>
      </c>
      <c r="G2822" s="1">
        <v>45188</v>
      </c>
      <c r="H2822" s="6">
        <f t="shared" si="88"/>
        <v>7.1562500000000702</v>
      </c>
      <c r="I2822" s="7">
        <f t="shared" si="89"/>
        <v>7.1562500000000702</v>
      </c>
    </row>
    <row r="2823" spans="1:9" x14ac:dyDescent="0.2">
      <c r="A2823" t="s">
        <v>3125</v>
      </c>
      <c r="B2823">
        <v>3.3965000000000001</v>
      </c>
      <c r="C2823">
        <v>4.7585000000000002E-2</v>
      </c>
      <c r="D2823">
        <v>262</v>
      </c>
      <c r="E2823" t="s">
        <v>3125</v>
      </c>
      <c r="F2823">
        <v>262</v>
      </c>
      <c r="G2823" s="1">
        <v>45188</v>
      </c>
      <c r="H2823" s="6">
        <f t="shared" si="88"/>
        <v>7.1666666666667371</v>
      </c>
      <c r="I2823" s="7">
        <f t="shared" si="89"/>
        <v>7.1666666666667371</v>
      </c>
    </row>
    <row r="2824" spans="1:9" x14ac:dyDescent="0.2">
      <c r="A2824" t="s">
        <v>3126</v>
      </c>
      <c r="B2824">
        <v>3.1395</v>
      </c>
      <c r="C2824">
        <v>4.3979999999999998E-2</v>
      </c>
      <c r="D2824">
        <v>262</v>
      </c>
      <c r="E2824" t="s">
        <v>3126</v>
      </c>
      <c r="F2824">
        <v>262</v>
      </c>
      <c r="G2824" s="1">
        <v>45188</v>
      </c>
      <c r="H2824" s="6">
        <f t="shared" si="88"/>
        <v>7.1770833333334041</v>
      </c>
      <c r="I2824" s="7">
        <f t="shared" si="89"/>
        <v>7.1770833333334041</v>
      </c>
    </row>
    <row r="2825" spans="1:9" x14ac:dyDescent="0.2">
      <c r="A2825" t="s">
        <v>3127</v>
      </c>
      <c r="B2825">
        <v>3.1225000000000001</v>
      </c>
      <c r="C2825">
        <v>4.3749999999999997E-2</v>
      </c>
      <c r="D2825">
        <v>262</v>
      </c>
      <c r="E2825" t="s">
        <v>3127</v>
      </c>
      <c r="F2825">
        <v>262</v>
      </c>
      <c r="G2825" s="1">
        <v>45188</v>
      </c>
      <c r="H2825" s="6">
        <f t="shared" si="88"/>
        <v>7.1875000000000711</v>
      </c>
      <c r="I2825" s="7">
        <f t="shared" si="89"/>
        <v>7.1875000000000711</v>
      </c>
    </row>
    <row r="2826" spans="1:9" x14ac:dyDescent="0.2">
      <c r="A2826" t="s">
        <v>3128</v>
      </c>
      <c r="B2826">
        <v>3.0505</v>
      </c>
      <c r="C2826">
        <v>4.2724999999999999E-2</v>
      </c>
      <c r="D2826">
        <v>262</v>
      </c>
      <c r="E2826" t="s">
        <v>3128</v>
      </c>
      <c r="F2826">
        <v>262</v>
      </c>
      <c r="G2826" s="1">
        <v>45188</v>
      </c>
      <c r="H2826" s="6">
        <f t="shared" si="88"/>
        <v>7.197916666666738</v>
      </c>
      <c r="I2826" s="7">
        <f t="shared" si="89"/>
        <v>7.197916666666738</v>
      </c>
    </row>
    <row r="2827" spans="1:9" x14ac:dyDescent="0.2">
      <c r="A2827" t="s">
        <v>3129</v>
      </c>
      <c r="B2827">
        <v>2.6905000000000001</v>
      </c>
      <c r="C2827">
        <v>3.7670000000000002E-2</v>
      </c>
      <c r="D2827">
        <v>262</v>
      </c>
      <c r="E2827" t="s">
        <v>3129</v>
      </c>
      <c r="F2827">
        <v>262</v>
      </c>
      <c r="G2827" s="1">
        <v>45188</v>
      </c>
      <c r="H2827" s="6">
        <f t="shared" si="88"/>
        <v>7.208333333333405</v>
      </c>
      <c r="I2827" s="7">
        <f t="shared" si="89"/>
        <v>7.208333333333405</v>
      </c>
    </row>
    <row r="2828" spans="1:9" x14ac:dyDescent="0.2">
      <c r="A2828" t="s">
        <v>3130</v>
      </c>
      <c r="B2828">
        <v>2.8544999999999998</v>
      </c>
      <c r="C2828">
        <v>3.9995000000000003E-2</v>
      </c>
      <c r="D2828">
        <v>262</v>
      </c>
      <c r="E2828" t="s">
        <v>3130</v>
      </c>
      <c r="F2828">
        <v>262</v>
      </c>
      <c r="G2828" s="1">
        <v>45188</v>
      </c>
      <c r="H2828" s="6">
        <f t="shared" si="88"/>
        <v>7.2187500000000719</v>
      </c>
      <c r="I2828" s="7">
        <f t="shared" si="89"/>
        <v>7.2187500000000719</v>
      </c>
    </row>
    <row r="2829" spans="1:9" x14ac:dyDescent="0.2">
      <c r="A2829" t="s">
        <v>3131</v>
      </c>
      <c r="B2829">
        <v>2.9239999999999999</v>
      </c>
      <c r="C2829">
        <v>4.0965000000000001E-2</v>
      </c>
      <c r="D2829">
        <v>262</v>
      </c>
      <c r="E2829" t="s">
        <v>3131</v>
      </c>
      <c r="F2829">
        <v>262</v>
      </c>
      <c r="G2829" s="1">
        <v>45188</v>
      </c>
      <c r="H2829" s="6">
        <f t="shared" si="88"/>
        <v>7.2291666666667389</v>
      </c>
      <c r="I2829" s="7">
        <f t="shared" si="89"/>
        <v>7.2291666666667389</v>
      </c>
    </row>
    <row r="2830" spans="1:9" x14ac:dyDescent="0.2">
      <c r="A2830" t="s">
        <v>3132</v>
      </c>
      <c r="B2830">
        <v>2.2625000000000002</v>
      </c>
      <c r="C2830">
        <v>3.1699999999999999E-2</v>
      </c>
      <c r="D2830">
        <v>262</v>
      </c>
      <c r="E2830" t="s">
        <v>3132</v>
      </c>
      <c r="F2830">
        <v>262</v>
      </c>
      <c r="G2830" s="1">
        <v>45188</v>
      </c>
      <c r="H2830" s="6">
        <f t="shared" si="88"/>
        <v>7.2395833333334059</v>
      </c>
      <c r="I2830" s="7">
        <f t="shared" si="89"/>
        <v>7.2395833333334059</v>
      </c>
    </row>
    <row r="2831" spans="1:9" x14ac:dyDescent="0.2">
      <c r="A2831" t="s">
        <v>3133</v>
      </c>
      <c r="B2831">
        <v>1.8585</v>
      </c>
      <c r="C2831">
        <v>2.6025E-2</v>
      </c>
      <c r="D2831">
        <v>262</v>
      </c>
      <c r="E2831" t="s">
        <v>3133</v>
      </c>
      <c r="F2831">
        <v>262</v>
      </c>
      <c r="G2831" s="1">
        <v>45188</v>
      </c>
      <c r="H2831" s="6">
        <f t="shared" si="88"/>
        <v>7.2500000000000728</v>
      </c>
      <c r="I2831" s="7">
        <f t="shared" si="89"/>
        <v>7.2500000000000728</v>
      </c>
    </row>
    <row r="2832" spans="1:9" x14ac:dyDescent="0.2">
      <c r="A2832" t="s">
        <v>3134</v>
      </c>
      <c r="B2832">
        <v>1.611</v>
      </c>
      <c r="C2832">
        <v>2.2544999999999999E-2</v>
      </c>
      <c r="D2832">
        <v>262</v>
      </c>
      <c r="E2832" t="s">
        <v>3134</v>
      </c>
      <c r="F2832">
        <v>262</v>
      </c>
      <c r="G2832" s="1">
        <v>45188</v>
      </c>
      <c r="H2832" s="6">
        <f t="shared" si="88"/>
        <v>7.2604166666667398</v>
      </c>
      <c r="I2832" s="7">
        <f t="shared" si="89"/>
        <v>7.2604166666667398</v>
      </c>
    </row>
    <row r="2833" spans="1:9" x14ac:dyDescent="0.2">
      <c r="A2833" t="s">
        <v>3135</v>
      </c>
      <c r="B2833" s="2" t="s">
        <v>3136</v>
      </c>
      <c r="C2833">
        <v>2.2710000000000001E-2</v>
      </c>
      <c r="D2833">
        <v>262</v>
      </c>
      <c r="E2833" t="s">
        <v>3135</v>
      </c>
      <c r="F2833">
        <v>262</v>
      </c>
      <c r="G2833" s="1">
        <v>45188</v>
      </c>
      <c r="H2833" s="6">
        <f t="shared" si="88"/>
        <v>7.2708333333334068</v>
      </c>
      <c r="I2833" s="7">
        <f t="shared" si="89"/>
        <v>7.2708333333334068</v>
      </c>
    </row>
    <row r="2834" spans="1:9" x14ac:dyDescent="0.2">
      <c r="A2834" t="s">
        <v>3137</v>
      </c>
      <c r="B2834">
        <v>0.91549999999999998</v>
      </c>
      <c r="C2834">
        <v>1.2834999999999999E-2</v>
      </c>
      <c r="D2834">
        <v>262</v>
      </c>
      <c r="E2834" t="s">
        <v>3137</v>
      </c>
      <c r="F2834">
        <v>262</v>
      </c>
      <c r="G2834" s="1">
        <v>45188</v>
      </c>
      <c r="H2834" s="6">
        <f t="shared" si="88"/>
        <v>7.2812500000000737</v>
      </c>
      <c r="I2834" s="7">
        <f t="shared" si="89"/>
        <v>7.2812500000000737</v>
      </c>
    </row>
    <row r="2835" spans="1:9" x14ac:dyDescent="0.2">
      <c r="A2835" t="s">
        <v>3138</v>
      </c>
      <c r="B2835">
        <v>0.505</v>
      </c>
      <c r="C2835">
        <v>7.0749999999999997E-3</v>
      </c>
      <c r="D2835">
        <v>262</v>
      </c>
      <c r="E2835" t="s">
        <v>3138</v>
      </c>
      <c r="F2835">
        <v>262</v>
      </c>
      <c r="G2835" s="1">
        <v>45188</v>
      </c>
      <c r="H2835" s="6">
        <f t="shared" si="88"/>
        <v>7.2916666666667407</v>
      </c>
      <c r="I2835" s="7">
        <f t="shared" si="89"/>
        <v>7.2916666666667407</v>
      </c>
    </row>
    <row r="2836" spans="1:9" x14ac:dyDescent="0.2">
      <c r="A2836" t="s">
        <v>3139</v>
      </c>
      <c r="B2836">
        <v>0.754</v>
      </c>
      <c r="C2836">
        <v>1.0565E-2</v>
      </c>
      <c r="D2836">
        <v>262</v>
      </c>
      <c r="E2836" t="s">
        <v>3139</v>
      </c>
      <c r="F2836">
        <v>262</v>
      </c>
      <c r="G2836" s="1">
        <v>45188</v>
      </c>
      <c r="H2836" s="6">
        <f t="shared" si="88"/>
        <v>7.3020833333334076</v>
      </c>
      <c r="I2836" s="7">
        <f t="shared" si="89"/>
        <v>7.3020833333334076</v>
      </c>
    </row>
    <row r="2837" spans="1:9" x14ac:dyDescent="0.2">
      <c r="A2837" t="s">
        <v>3140</v>
      </c>
      <c r="B2837">
        <v>1.29</v>
      </c>
      <c r="C2837">
        <v>1.8069999999999999E-2</v>
      </c>
      <c r="D2837">
        <v>262</v>
      </c>
      <c r="E2837" t="s">
        <v>3140</v>
      </c>
      <c r="F2837">
        <v>262</v>
      </c>
      <c r="G2837" s="1">
        <v>45188</v>
      </c>
      <c r="H2837" s="6">
        <f t="shared" si="88"/>
        <v>7.3125000000000746</v>
      </c>
      <c r="I2837" s="7">
        <f t="shared" si="89"/>
        <v>7.3125000000000746</v>
      </c>
    </row>
    <row r="2838" spans="1:9" x14ac:dyDescent="0.2">
      <c r="A2838" t="s">
        <v>3141</v>
      </c>
      <c r="B2838">
        <v>1.2284999999999999</v>
      </c>
      <c r="C2838">
        <v>1.7205000000000002E-2</v>
      </c>
      <c r="D2838">
        <v>262</v>
      </c>
      <c r="E2838" t="s">
        <v>3141</v>
      </c>
      <c r="F2838">
        <v>262</v>
      </c>
      <c r="G2838" s="1">
        <v>45188</v>
      </c>
      <c r="H2838" s="6">
        <f t="shared" si="88"/>
        <v>7.3229166666667416</v>
      </c>
      <c r="I2838" s="7">
        <f t="shared" si="89"/>
        <v>7.3229166666667416</v>
      </c>
    </row>
    <row r="2839" spans="1:9" x14ac:dyDescent="0.2">
      <c r="A2839" t="s">
        <v>3142</v>
      </c>
      <c r="B2839">
        <v>1.5774999999999999</v>
      </c>
      <c r="C2839">
        <v>2.2114999999999999E-2</v>
      </c>
      <c r="D2839">
        <v>262</v>
      </c>
      <c r="E2839" t="s">
        <v>3142</v>
      </c>
      <c r="F2839">
        <v>262</v>
      </c>
      <c r="G2839" s="1">
        <v>45188</v>
      </c>
      <c r="H2839" s="6">
        <f t="shared" si="88"/>
        <v>7.3333333333334085</v>
      </c>
      <c r="I2839" s="7">
        <f t="shared" si="89"/>
        <v>7.3333333333334085</v>
      </c>
    </row>
    <row r="2840" spans="1:9" x14ac:dyDescent="0.2">
      <c r="A2840" t="s">
        <v>3143</v>
      </c>
      <c r="B2840">
        <v>1.7250000000000001</v>
      </c>
      <c r="C2840">
        <v>2.4170000000000001E-2</v>
      </c>
      <c r="D2840">
        <v>262</v>
      </c>
      <c r="E2840" t="s">
        <v>3143</v>
      </c>
      <c r="F2840">
        <v>262</v>
      </c>
      <c r="G2840" s="1">
        <v>45188</v>
      </c>
      <c r="H2840" s="6">
        <f t="shared" si="88"/>
        <v>7.3437500000000755</v>
      </c>
      <c r="I2840" s="7">
        <f t="shared" si="89"/>
        <v>7.3437500000000755</v>
      </c>
    </row>
    <row r="2841" spans="1:9" x14ac:dyDescent="0.2">
      <c r="A2841" t="s">
        <v>3144</v>
      </c>
      <c r="B2841">
        <v>1.369</v>
      </c>
      <c r="C2841">
        <v>1.9185000000000001E-2</v>
      </c>
      <c r="D2841">
        <v>262</v>
      </c>
      <c r="E2841" t="s">
        <v>3144</v>
      </c>
      <c r="F2841">
        <v>262</v>
      </c>
      <c r="G2841" s="1">
        <v>45188</v>
      </c>
      <c r="H2841" s="6">
        <f t="shared" si="88"/>
        <v>7.3541666666667425</v>
      </c>
      <c r="I2841" s="7">
        <f t="shared" si="89"/>
        <v>7.3541666666667425</v>
      </c>
    </row>
    <row r="2842" spans="1:9" x14ac:dyDescent="0.2">
      <c r="A2842" t="s">
        <v>3145</v>
      </c>
      <c r="B2842">
        <v>1.5994999999999999</v>
      </c>
      <c r="C2842">
        <v>2.2409999999999999E-2</v>
      </c>
      <c r="D2842">
        <v>262</v>
      </c>
      <c r="E2842" t="s">
        <v>3145</v>
      </c>
      <c r="F2842">
        <v>262</v>
      </c>
      <c r="G2842" s="1">
        <v>45188</v>
      </c>
      <c r="H2842" s="6">
        <f t="shared" si="88"/>
        <v>7.3645833333334094</v>
      </c>
      <c r="I2842" s="7">
        <f t="shared" si="89"/>
        <v>7.3645833333334094</v>
      </c>
    </row>
    <row r="2843" spans="1:9" x14ac:dyDescent="0.2">
      <c r="A2843" t="s">
        <v>3146</v>
      </c>
      <c r="B2843">
        <v>1.9295</v>
      </c>
      <c r="C2843">
        <v>2.7005000000000001E-2</v>
      </c>
      <c r="D2843">
        <v>262</v>
      </c>
      <c r="E2843" t="s">
        <v>3146</v>
      </c>
      <c r="F2843">
        <v>262</v>
      </c>
      <c r="G2843" s="1">
        <v>45188</v>
      </c>
      <c r="H2843" s="6">
        <f t="shared" si="88"/>
        <v>7.3750000000000764</v>
      </c>
      <c r="I2843" s="7">
        <f t="shared" si="89"/>
        <v>7.3750000000000764</v>
      </c>
    </row>
    <row r="2844" spans="1:9" x14ac:dyDescent="0.2">
      <c r="A2844" t="s">
        <v>3147</v>
      </c>
      <c r="B2844">
        <v>1.6515</v>
      </c>
      <c r="C2844">
        <v>2.3130000000000001E-2</v>
      </c>
      <c r="D2844">
        <v>262</v>
      </c>
      <c r="E2844" t="s">
        <v>3147</v>
      </c>
      <c r="F2844">
        <v>262</v>
      </c>
      <c r="G2844" s="1">
        <v>45188</v>
      </c>
      <c r="H2844" s="6">
        <f t="shared" ref="H2844:H2907" si="90">H2843+$K$1</f>
        <v>7.3854166666667433</v>
      </c>
      <c r="I2844" s="7">
        <f t="shared" ref="I2844:I2907" si="91">I2843+$K$1</f>
        <v>7.3854166666667433</v>
      </c>
    </row>
    <row r="2845" spans="1:9" x14ac:dyDescent="0.2">
      <c r="A2845" t="s">
        <v>3148</v>
      </c>
      <c r="B2845">
        <v>1.8594999999999999</v>
      </c>
      <c r="C2845">
        <v>2.6034999999999999E-2</v>
      </c>
      <c r="D2845">
        <v>262</v>
      </c>
      <c r="E2845" t="s">
        <v>3148</v>
      </c>
      <c r="F2845">
        <v>262</v>
      </c>
      <c r="G2845" s="1">
        <v>45188</v>
      </c>
      <c r="H2845" s="6">
        <f t="shared" si="90"/>
        <v>7.3958333333334103</v>
      </c>
      <c r="I2845" s="7">
        <f t="shared" si="91"/>
        <v>7.3958333333334103</v>
      </c>
    </row>
    <row r="2846" spans="1:9" x14ac:dyDescent="0.2">
      <c r="A2846" t="s">
        <v>3149</v>
      </c>
      <c r="B2846">
        <v>2.1004999999999998</v>
      </c>
      <c r="C2846">
        <v>2.9434999999999999E-2</v>
      </c>
      <c r="D2846">
        <v>262</v>
      </c>
      <c r="E2846" t="s">
        <v>3149</v>
      </c>
      <c r="F2846">
        <v>262</v>
      </c>
      <c r="G2846" s="1">
        <v>45188</v>
      </c>
      <c r="H2846" s="6">
        <f t="shared" si="90"/>
        <v>7.4062500000000773</v>
      </c>
      <c r="I2846" s="7">
        <f t="shared" si="91"/>
        <v>7.4062500000000773</v>
      </c>
    </row>
    <row r="2847" spans="1:9" x14ac:dyDescent="0.2">
      <c r="A2847" t="s">
        <v>3150</v>
      </c>
      <c r="B2847">
        <v>1.921</v>
      </c>
      <c r="C2847">
        <v>2.6915000000000001E-2</v>
      </c>
      <c r="D2847">
        <v>262</v>
      </c>
      <c r="E2847" t="s">
        <v>3150</v>
      </c>
      <c r="F2847">
        <v>262</v>
      </c>
      <c r="G2847" s="1">
        <v>45188</v>
      </c>
      <c r="H2847" s="6">
        <f t="shared" si="90"/>
        <v>7.4166666666667442</v>
      </c>
      <c r="I2847" s="7">
        <f t="shared" si="91"/>
        <v>7.4166666666667442</v>
      </c>
    </row>
    <row r="2848" spans="1:9" x14ac:dyDescent="0.2">
      <c r="A2848" t="s">
        <v>3151</v>
      </c>
      <c r="B2848">
        <v>1.7709999999999999</v>
      </c>
      <c r="C2848">
        <v>2.4795000000000001E-2</v>
      </c>
      <c r="D2848">
        <v>262</v>
      </c>
      <c r="E2848" t="s">
        <v>3151</v>
      </c>
      <c r="F2848">
        <v>262</v>
      </c>
      <c r="G2848" s="1">
        <v>45188</v>
      </c>
      <c r="H2848" s="6">
        <f t="shared" si="90"/>
        <v>7.4270833333334112</v>
      </c>
      <c r="I2848" s="7">
        <f t="shared" si="91"/>
        <v>7.4270833333334112</v>
      </c>
    </row>
    <row r="2849" spans="1:9" x14ac:dyDescent="0.2">
      <c r="A2849" t="s">
        <v>3152</v>
      </c>
      <c r="B2849">
        <v>1.7565</v>
      </c>
      <c r="C2849">
        <v>2.4575E-2</v>
      </c>
      <c r="D2849">
        <v>262</v>
      </c>
      <c r="E2849" t="s">
        <v>3152</v>
      </c>
      <c r="F2849">
        <v>262</v>
      </c>
      <c r="G2849" s="1">
        <v>45188</v>
      </c>
      <c r="H2849" s="6">
        <f t="shared" si="90"/>
        <v>7.4375000000000782</v>
      </c>
      <c r="I2849" s="7">
        <f t="shared" si="91"/>
        <v>7.4375000000000782</v>
      </c>
    </row>
    <row r="2850" spans="1:9" x14ac:dyDescent="0.2">
      <c r="A2850" t="s">
        <v>3153</v>
      </c>
      <c r="B2850">
        <v>1.9350000000000001</v>
      </c>
      <c r="C2850">
        <v>2.7089999999999999E-2</v>
      </c>
      <c r="D2850">
        <v>262</v>
      </c>
      <c r="E2850" t="s">
        <v>3153</v>
      </c>
      <c r="F2850">
        <v>262</v>
      </c>
      <c r="G2850" s="1">
        <v>45188</v>
      </c>
      <c r="H2850" s="6">
        <f t="shared" si="90"/>
        <v>7.4479166666667451</v>
      </c>
      <c r="I2850" s="7">
        <f t="shared" si="91"/>
        <v>7.4479166666667451</v>
      </c>
    </row>
    <row r="2851" spans="1:9" x14ac:dyDescent="0.2">
      <c r="A2851" t="s">
        <v>3154</v>
      </c>
      <c r="B2851">
        <v>1.9655</v>
      </c>
      <c r="C2851">
        <v>2.7529999999999999E-2</v>
      </c>
      <c r="D2851">
        <v>262</v>
      </c>
      <c r="E2851" t="s">
        <v>3154</v>
      </c>
      <c r="F2851">
        <v>262</v>
      </c>
      <c r="G2851" s="1">
        <v>45188</v>
      </c>
      <c r="H2851" s="6">
        <f t="shared" si="90"/>
        <v>7.4583333333334121</v>
      </c>
      <c r="I2851" s="7">
        <f t="shared" si="91"/>
        <v>7.4583333333334121</v>
      </c>
    </row>
    <row r="2852" spans="1:9" x14ac:dyDescent="0.2">
      <c r="A2852" t="s">
        <v>3155</v>
      </c>
      <c r="B2852">
        <v>1.7475000000000001</v>
      </c>
      <c r="C2852">
        <v>2.4485E-2</v>
      </c>
      <c r="D2852">
        <v>262</v>
      </c>
      <c r="E2852" t="s">
        <v>3155</v>
      </c>
      <c r="F2852">
        <v>262</v>
      </c>
      <c r="G2852" s="1">
        <v>45188</v>
      </c>
      <c r="H2852" s="6">
        <f t="shared" si="90"/>
        <v>7.468750000000079</v>
      </c>
      <c r="I2852" s="7">
        <f t="shared" si="91"/>
        <v>7.468750000000079</v>
      </c>
    </row>
    <row r="2853" spans="1:9" x14ac:dyDescent="0.2">
      <c r="A2853" t="s">
        <v>3156</v>
      </c>
      <c r="B2853">
        <v>1.8534999999999999</v>
      </c>
      <c r="C2853">
        <v>2.5950000000000001E-2</v>
      </c>
      <c r="D2853">
        <v>262</v>
      </c>
      <c r="E2853" t="s">
        <v>3156</v>
      </c>
      <c r="F2853">
        <v>262</v>
      </c>
      <c r="G2853" s="1">
        <v>45188</v>
      </c>
      <c r="H2853" s="6">
        <f t="shared" si="90"/>
        <v>7.479166666666746</v>
      </c>
      <c r="I2853" s="7">
        <f t="shared" si="91"/>
        <v>7.479166666666746</v>
      </c>
    </row>
    <row r="2854" spans="1:9" x14ac:dyDescent="0.2">
      <c r="A2854" t="s">
        <v>3157</v>
      </c>
      <c r="B2854">
        <v>1.7</v>
      </c>
      <c r="C2854">
        <v>2.3795E-2</v>
      </c>
      <c r="D2854">
        <v>262</v>
      </c>
      <c r="E2854" t="s">
        <v>3157</v>
      </c>
      <c r="F2854">
        <v>262</v>
      </c>
      <c r="G2854" s="1">
        <v>45188</v>
      </c>
      <c r="H2854" s="6">
        <f t="shared" si="90"/>
        <v>7.489583333333413</v>
      </c>
      <c r="I2854" s="7">
        <f t="shared" si="91"/>
        <v>7.489583333333413</v>
      </c>
    </row>
    <row r="2855" spans="1:9" x14ac:dyDescent="0.2">
      <c r="A2855" t="s">
        <v>3158</v>
      </c>
      <c r="B2855">
        <v>2.2645</v>
      </c>
      <c r="C2855">
        <v>3.1719999999999998E-2</v>
      </c>
      <c r="D2855">
        <v>262</v>
      </c>
      <c r="E2855" t="s">
        <v>3158</v>
      </c>
      <c r="F2855">
        <v>262</v>
      </c>
      <c r="G2855" s="1">
        <v>45188</v>
      </c>
      <c r="H2855" s="6">
        <f t="shared" si="90"/>
        <v>7.5000000000000799</v>
      </c>
      <c r="I2855" s="7">
        <f t="shared" si="91"/>
        <v>7.5000000000000799</v>
      </c>
    </row>
    <row r="2856" spans="1:9" x14ac:dyDescent="0.2">
      <c r="A2856" t="s">
        <v>3159</v>
      </c>
      <c r="B2856">
        <v>2.79</v>
      </c>
      <c r="C2856">
        <v>3.9094999999999998E-2</v>
      </c>
      <c r="D2856">
        <v>262</v>
      </c>
      <c r="E2856" t="s">
        <v>3159</v>
      </c>
      <c r="F2856">
        <v>262</v>
      </c>
      <c r="G2856" s="1">
        <v>45188</v>
      </c>
      <c r="H2856" s="6">
        <f t="shared" si="90"/>
        <v>7.5104166666667469</v>
      </c>
      <c r="I2856" s="7">
        <f t="shared" si="91"/>
        <v>7.5104166666667469</v>
      </c>
    </row>
    <row r="2857" spans="1:9" x14ac:dyDescent="0.2">
      <c r="A2857" t="s">
        <v>3160</v>
      </c>
      <c r="B2857">
        <v>2.6840000000000002</v>
      </c>
      <c r="C2857">
        <v>3.7580000000000002E-2</v>
      </c>
      <c r="D2857">
        <v>262</v>
      </c>
      <c r="E2857" t="s">
        <v>3160</v>
      </c>
      <c r="F2857">
        <v>262</v>
      </c>
      <c r="G2857" s="1">
        <v>45188</v>
      </c>
      <c r="H2857" s="6">
        <f t="shared" si="90"/>
        <v>7.5208333333334139</v>
      </c>
      <c r="I2857" s="7">
        <f t="shared" si="91"/>
        <v>7.5208333333334139</v>
      </c>
    </row>
    <row r="2858" spans="1:9" x14ac:dyDescent="0.2">
      <c r="A2858" t="s">
        <v>3161</v>
      </c>
      <c r="B2858">
        <v>2.7414999999999998</v>
      </c>
      <c r="C2858">
        <v>3.8390000000000001E-2</v>
      </c>
      <c r="D2858">
        <v>262</v>
      </c>
      <c r="E2858" t="s">
        <v>3161</v>
      </c>
      <c r="F2858">
        <v>262</v>
      </c>
      <c r="G2858" s="1">
        <v>45188</v>
      </c>
      <c r="H2858" s="6">
        <f t="shared" si="90"/>
        <v>7.5312500000000808</v>
      </c>
      <c r="I2858" s="7">
        <f t="shared" si="91"/>
        <v>7.5312500000000808</v>
      </c>
    </row>
    <row r="2859" spans="1:9" x14ac:dyDescent="0.2">
      <c r="A2859" t="s">
        <v>3162</v>
      </c>
      <c r="B2859">
        <v>2.7364999999999999</v>
      </c>
      <c r="C2859">
        <v>3.832E-2</v>
      </c>
      <c r="D2859">
        <v>262</v>
      </c>
      <c r="E2859" t="s">
        <v>3162</v>
      </c>
      <c r="F2859">
        <v>262</v>
      </c>
      <c r="G2859" s="1">
        <v>45188</v>
      </c>
      <c r="H2859" s="6">
        <f t="shared" si="90"/>
        <v>7.5416666666667478</v>
      </c>
      <c r="I2859" s="7">
        <f t="shared" si="91"/>
        <v>7.5416666666667478</v>
      </c>
    </row>
    <row r="2860" spans="1:9" x14ac:dyDescent="0.2">
      <c r="A2860" t="s">
        <v>3163</v>
      </c>
      <c r="B2860">
        <v>0.73050000000000004</v>
      </c>
      <c r="C2860" s="2" t="s">
        <v>3164</v>
      </c>
      <c r="D2860">
        <v>262</v>
      </c>
      <c r="E2860" t="s">
        <v>3163</v>
      </c>
      <c r="F2860">
        <v>262</v>
      </c>
      <c r="G2860" s="1">
        <v>45188</v>
      </c>
      <c r="H2860" s="6">
        <f t="shared" si="90"/>
        <v>7.5520833333334147</v>
      </c>
      <c r="I2860" s="7">
        <f t="shared" si="91"/>
        <v>7.5520833333334147</v>
      </c>
    </row>
    <row r="2861" spans="1:9" x14ac:dyDescent="0.2">
      <c r="A2861" t="s">
        <v>3165</v>
      </c>
      <c r="B2861">
        <v>3.028</v>
      </c>
      <c r="C2861">
        <v>4.2410000000000003E-2</v>
      </c>
      <c r="D2861">
        <v>262</v>
      </c>
      <c r="E2861" t="s">
        <v>3165</v>
      </c>
      <c r="F2861">
        <v>262</v>
      </c>
      <c r="G2861" s="1">
        <v>45188</v>
      </c>
      <c r="H2861" s="6">
        <f t="shared" si="90"/>
        <v>7.5625000000000817</v>
      </c>
      <c r="I2861" s="7">
        <f t="shared" si="91"/>
        <v>7.5625000000000817</v>
      </c>
    </row>
    <row r="2862" spans="1:9" x14ac:dyDescent="0.2">
      <c r="A2862" t="s">
        <v>3166</v>
      </c>
      <c r="B2862">
        <v>3.1949999999999998</v>
      </c>
      <c r="C2862">
        <v>4.4760000000000001E-2</v>
      </c>
      <c r="D2862">
        <v>262</v>
      </c>
      <c r="E2862" t="s">
        <v>3166</v>
      </c>
      <c r="F2862">
        <v>262</v>
      </c>
      <c r="G2862" s="1">
        <v>45188</v>
      </c>
      <c r="H2862" s="6">
        <f t="shared" si="90"/>
        <v>7.5729166666667487</v>
      </c>
      <c r="I2862" s="7">
        <f t="shared" si="91"/>
        <v>7.5729166666667487</v>
      </c>
    </row>
    <row r="2863" spans="1:9" x14ac:dyDescent="0.2">
      <c r="A2863" t="s">
        <v>3167</v>
      </c>
      <c r="B2863">
        <v>3.2890000000000001</v>
      </c>
      <c r="C2863">
        <v>4.607E-2</v>
      </c>
      <c r="D2863">
        <v>262</v>
      </c>
      <c r="E2863" t="s">
        <v>3167</v>
      </c>
      <c r="F2863">
        <v>262</v>
      </c>
      <c r="G2863" s="1">
        <v>45188</v>
      </c>
      <c r="H2863" s="6">
        <f t="shared" si="90"/>
        <v>7.5833333333334156</v>
      </c>
      <c r="I2863" s="7">
        <f t="shared" si="91"/>
        <v>7.5833333333334156</v>
      </c>
    </row>
    <row r="2864" spans="1:9" x14ac:dyDescent="0.2">
      <c r="A2864" t="s">
        <v>3168</v>
      </c>
      <c r="B2864">
        <v>3.2789999999999999</v>
      </c>
      <c r="C2864">
        <v>4.5940000000000002E-2</v>
      </c>
      <c r="D2864">
        <v>262</v>
      </c>
      <c r="E2864" t="s">
        <v>3168</v>
      </c>
      <c r="F2864">
        <v>262</v>
      </c>
      <c r="G2864" s="1">
        <v>45188</v>
      </c>
      <c r="H2864" s="6">
        <f t="shared" si="90"/>
        <v>7.5937500000000826</v>
      </c>
      <c r="I2864" s="7">
        <f t="shared" si="91"/>
        <v>7.5937500000000826</v>
      </c>
    </row>
    <row r="2865" spans="1:9" x14ac:dyDescent="0.2">
      <c r="A2865" t="s">
        <v>3169</v>
      </c>
      <c r="B2865">
        <v>3.331</v>
      </c>
      <c r="C2865">
        <v>4.6649999999999997E-2</v>
      </c>
      <c r="D2865">
        <v>262</v>
      </c>
      <c r="E2865" t="s">
        <v>3169</v>
      </c>
      <c r="F2865">
        <v>262</v>
      </c>
      <c r="G2865" s="1">
        <v>45188</v>
      </c>
      <c r="H2865" s="6">
        <f t="shared" si="90"/>
        <v>7.6041666666667496</v>
      </c>
      <c r="I2865" s="7">
        <f t="shared" si="91"/>
        <v>7.6041666666667496</v>
      </c>
    </row>
    <row r="2866" spans="1:9" x14ac:dyDescent="0.2">
      <c r="A2866" t="s">
        <v>3170</v>
      </c>
      <c r="B2866">
        <v>3.3039999999999998</v>
      </c>
      <c r="C2866" s="2" t="s">
        <v>3171</v>
      </c>
      <c r="D2866">
        <v>262</v>
      </c>
      <c r="E2866" t="s">
        <v>3170</v>
      </c>
      <c r="F2866">
        <v>262</v>
      </c>
      <c r="G2866" s="1">
        <v>45188</v>
      </c>
      <c r="H2866" s="6">
        <f t="shared" si="90"/>
        <v>7.6145833333334165</v>
      </c>
      <c r="I2866" s="7">
        <f t="shared" si="91"/>
        <v>7.6145833333334165</v>
      </c>
    </row>
    <row r="2867" spans="1:9" x14ac:dyDescent="0.2">
      <c r="A2867" t="s">
        <v>3172</v>
      </c>
      <c r="B2867" s="2" t="s">
        <v>2908</v>
      </c>
      <c r="C2867">
        <v>4.5865000000000003E-2</v>
      </c>
      <c r="D2867">
        <v>262</v>
      </c>
      <c r="E2867" t="s">
        <v>3172</v>
      </c>
      <c r="F2867">
        <v>262</v>
      </c>
      <c r="G2867" s="1">
        <v>45188</v>
      </c>
      <c r="H2867" s="6">
        <f t="shared" si="90"/>
        <v>7.6250000000000835</v>
      </c>
      <c r="I2867" s="7">
        <f t="shared" si="91"/>
        <v>7.6250000000000835</v>
      </c>
    </row>
    <row r="2868" spans="1:9" x14ac:dyDescent="0.2">
      <c r="A2868" t="s">
        <v>3173</v>
      </c>
      <c r="B2868">
        <v>3.2959999999999998</v>
      </c>
      <c r="C2868">
        <v>4.6175000000000001E-2</v>
      </c>
      <c r="D2868">
        <v>262</v>
      </c>
      <c r="E2868" t="s">
        <v>3173</v>
      </c>
      <c r="F2868">
        <v>262</v>
      </c>
      <c r="G2868" s="1">
        <v>45188</v>
      </c>
      <c r="H2868" s="6">
        <f t="shared" si="90"/>
        <v>7.6354166666667505</v>
      </c>
      <c r="I2868" s="7">
        <f t="shared" si="91"/>
        <v>7.6354166666667505</v>
      </c>
    </row>
    <row r="2869" spans="1:9" x14ac:dyDescent="0.2">
      <c r="A2869" t="s">
        <v>3174</v>
      </c>
      <c r="B2869">
        <v>3.286</v>
      </c>
      <c r="C2869">
        <v>4.6059999999999997E-2</v>
      </c>
      <c r="D2869">
        <v>262</v>
      </c>
      <c r="E2869" t="s">
        <v>3174</v>
      </c>
      <c r="F2869">
        <v>262</v>
      </c>
      <c r="G2869" s="1">
        <v>45188</v>
      </c>
      <c r="H2869" s="6">
        <f t="shared" si="90"/>
        <v>7.6458333333334174</v>
      </c>
      <c r="I2869" s="7">
        <f t="shared" si="91"/>
        <v>7.6458333333334174</v>
      </c>
    </row>
    <row r="2870" spans="1:9" x14ac:dyDescent="0.2">
      <c r="A2870" t="s">
        <v>3175</v>
      </c>
      <c r="B2870">
        <v>3.2890000000000001</v>
      </c>
      <c r="C2870">
        <v>4.6065000000000002E-2</v>
      </c>
      <c r="D2870">
        <v>263</v>
      </c>
      <c r="E2870" t="s">
        <v>3175</v>
      </c>
      <c r="F2870">
        <v>262</v>
      </c>
      <c r="G2870" s="1">
        <v>45188</v>
      </c>
      <c r="H2870" s="6">
        <f t="shared" si="90"/>
        <v>7.6562500000000844</v>
      </c>
      <c r="I2870" s="7">
        <f t="shared" si="91"/>
        <v>7.6562500000000844</v>
      </c>
    </row>
    <row r="2871" spans="1:9" x14ac:dyDescent="0.2">
      <c r="A2871" t="s">
        <v>3176</v>
      </c>
      <c r="B2871">
        <v>3.2774999999999999</v>
      </c>
      <c r="C2871">
        <v>4.5905000000000001E-2</v>
      </c>
      <c r="D2871">
        <v>263</v>
      </c>
      <c r="E2871" t="s">
        <v>3176</v>
      </c>
      <c r="F2871">
        <v>262</v>
      </c>
      <c r="G2871" s="1">
        <v>45188</v>
      </c>
      <c r="H2871" s="6">
        <f t="shared" si="90"/>
        <v>7.6666666666667513</v>
      </c>
      <c r="I2871" s="7">
        <f t="shared" si="91"/>
        <v>7.6666666666667513</v>
      </c>
    </row>
    <row r="2872" spans="1:9" x14ac:dyDescent="0.2">
      <c r="A2872" t="s">
        <v>3177</v>
      </c>
      <c r="B2872">
        <v>3.2625000000000002</v>
      </c>
      <c r="C2872">
        <v>4.5705000000000003E-2</v>
      </c>
      <c r="D2872">
        <v>263</v>
      </c>
      <c r="E2872" t="s">
        <v>3177</v>
      </c>
      <c r="F2872">
        <v>262</v>
      </c>
      <c r="G2872" s="1">
        <v>45188</v>
      </c>
      <c r="H2872" s="6">
        <f t="shared" si="90"/>
        <v>7.6770833333334183</v>
      </c>
      <c r="I2872" s="7">
        <f t="shared" si="91"/>
        <v>7.6770833333334183</v>
      </c>
    </row>
    <row r="2873" spans="1:9" x14ac:dyDescent="0.2">
      <c r="A2873" t="s">
        <v>3178</v>
      </c>
      <c r="B2873">
        <v>3.2875000000000001</v>
      </c>
      <c r="C2873">
        <v>4.6039999999999998E-2</v>
      </c>
      <c r="D2873">
        <v>263</v>
      </c>
      <c r="E2873" t="s">
        <v>3178</v>
      </c>
      <c r="F2873">
        <v>262</v>
      </c>
      <c r="G2873" s="1">
        <v>45188</v>
      </c>
      <c r="H2873" s="6">
        <f t="shared" si="90"/>
        <v>7.6875000000000853</v>
      </c>
      <c r="I2873" s="7">
        <f t="shared" si="91"/>
        <v>7.6875000000000853</v>
      </c>
    </row>
    <row r="2874" spans="1:9" x14ac:dyDescent="0.2">
      <c r="A2874" t="s">
        <v>3179</v>
      </c>
      <c r="B2874">
        <v>3.3184999999999998</v>
      </c>
      <c r="C2874">
        <v>4.6484999999999999E-2</v>
      </c>
      <c r="D2874">
        <v>263</v>
      </c>
      <c r="E2874" t="s">
        <v>3179</v>
      </c>
      <c r="F2874">
        <v>262</v>
      </c>
      <c r="G2874" s="1">
        <v>45188</v>
      </c>
      <c r="H2874" s="6">
        <f t="shared" si="90"/>
        <v>7.6979166666667522</v>
      </c>
      <c r="I2874" s="7">
        <f t="shared" si="91"/>
        <v>7.6979166666667522</v>
      </c>
    </row>
    <row r="2875" spans="1:9" x14ac:dyDescent="0.2">
      <c r="A2875" t="s">
        <v>3180</v>
      </c>
      <c r="B2875">
        <v>3.3035000000000001</v>
      </c>
      <c r="C2875">
        <v>4.6280000000000002E-2</v>
      </c>
      <c r="D2875">
        <v>263</v>
      </c>
      <c r="E2875" t="s">
        <v>3180</v>
      </c>
      <c r="F2875">
        <v>262</v>
      </c>
      <c r="G2875" s="1">
        <v>45188</v>
      </c>
      <c r="H2875" s="6">
        <f t="shared" si="90"/>
        <v>7.7083333333334192</v>
      </c>
      <c r="I2875" s="7">
        <f t="shared" si="91"/>
        <v>7.7083333333334192</v>
      </c>
    </row>
    <row r="2876" spans="1:9" x14ac:dyDescent="0.2">
      <c r="A2876" t="s">
        <v>3181</v>
      </c>
      <c r="B2876" s="2" t="s">
        <v>1071</v>
      </c>
      <c r="C2876">
        <v>4.6089999999999999E-2</v>
      </c>
      <c r="D2876">
        <v>263</v>
      </c>
      <c r="E2876" t="s">
        <v>3181</v>
      </c>
      <c r="F2876">
        <v>262</v>
      </c>
      <c r="G2876" s="1">
        <v>45188</v>
      </c>
      <c r="H2876" s="6">
        <f t="shared" si="90"/>
        <v>7.7187500000000862</v>
      </c>
      <c r="I2876" s="7">
        <f t="shared" si="91"/>
        <v>7.7187500000000862</v>
      </c>
    </row>
    <row r="2877" spans="1:9" x14ac:dyDescent="0.2">
      <c r="A2877" t="s">
        <v>3182</v>
      </c>
      <c r="B2877">
        <v>3.2949999999999999</v>
      </c>
      <c r="C2877">
        <v>4.6155000000000002E-2</v>
      </c>
      <c r="D2877">
        <v>263</v>
      </c>
      <c r="E2877" t="s">
        <v>3182</v>
      </c>
      <c r="F2877">
        <v>262</v>
      </c>
      <c r="G2877" s="1">
        <v>45188</v>
      </c>
      <c r="H2877" s="6">
        <f t="shared" si="90"/>
        <v>7.7291666666667531</v>
      </c>
      <c r="I2877" s="7">
        <f t="shared" si="91"/>
        <v>7.7291666666667531</v>
      </c>
    </row>
    <row r="2878" spans="1:9" x14ac:dyDescent="0.2">
      <c r="A2878" t="s">
        <v>3183</v>
      </c>
      <c r="B2878">
        <v>3.3039999999999998</v>
      </c>
      <c r="C2878">
        <v>4.6285E-2</v>
      </c>
      <c r="D2878">
        <v>263</v>
      </c>
      <c r="E2878" t="s">
        <v>3183</v>
      </c>
      <c r="F2878">
        <v>262</v>
      </c>
      <c r="G2878" s="1">
        <v>45188</v>
      </c>
      <c r="H2878" s="6">
        <f t="shared" si="90"/>
        <v>7.7395833333334201</v>
      </c>
      <c r="I2878" s="7">
        <f t="shared" si="91"/>
        <v>7.7395833333334201</v>
      </c>
    </row>
    <row r="2879" spans="1:9" x14ac:dyDescent="0.2">
      <c r="A2879" t="s">
        <v>3184</v>
      </c>
      <c r="B2879">
        <v>3.3250000000000002</v>
      </c>
      <c r="C2879">
        <v>4.6565000000000002E-2</v>
      </c>
      <c r="D2879">
        <v>263</v>
      </c>
      <c r="E2879" t="s">
        <v>3184</v>
      </c>
      <c r="F2879">
        <v>262</v>
      </c>
      <c r="G2879" s="1">
        <v>45188</v>
      </c>
      <c r="H2879" s="6">
        <f t="shared" si="90"/>
        <v>7.750000000000087</v>
      </c>
      <c r="I2879" s="7">
        <f t="shared" si="91"/>
        <v>7.750000000000087</v>
      </c>
    </row>
    <row r="2880" spans="1:9" x14ac:dyDescent="0.2">
      <c r="A2880" t="s">
        <v>3185</v>
      </c>
      <c r="B2880">
        <v>3.3149999999999999</v>
      </c>
      <c r="C2880">
        <v>4.6434999999999997E-2</v>
      </c>
      <c r="D2880">
        <v>263</v>
      </c>
      <c r="E2880" t="s">
        <v>3185</v>
      </c>
      <c r="F2880">
        <v>262</v>
      </c>
      <c r="G2880" s="1">
        <v>45188</v>
      </c>
      <c r="H2880" s="6">
        <f t="shared" si="90"/>
        <v>7.760416666666754</v>
      </c>
      <c r="I2880" s="7">
        <f t="shared" si="91"/>
        <v>7.760416666666754</v>
      </c>
    </row>
    <row r="2881" spans="1:9" x14ac:dyDescent="0.2">
      <c r="A2881" t="s">
        <v>3186</v>
      </c>
      <c r="B2881">
        <v>3.3294999999999999</v>
      </c>
      <c r="C2881">
        <v>4.6640000000000001E-2</v>
      </c>
      <c r="D2881">
        <v>263</v>
      </c>
      <c r="E2881" t="s">
        <v>3186</v>
      </c>
      <c r="F2881">
        <v>262</v>
      </c>
      <c r="G2881" s="1">
        <v>45188</v>
      </c>
      <c r="H2881" s="6">
        <f t="shared" si="90"/>
        <v>7.770833333333421</v>
      </c>
      <c r="I2881" s="7">
        <f t="shared" si="91"/>
        <v>7.770833333333421</v>
      </c>
    </row>
    <row r="2882" spans="1:9" x14ac:dyDescent="0.2">
      <c r="A2882" t="s">
        <v>3187</v>
      </c>
      <c r="B2882" s="2" t="s">
        <v>3188</v>
      </c>
      <c r="C2882" s="2" t="s">
        <v>856</v>
      </c>
      <c r="D2882">
        <v>263</v>
      </c>
      <c r="E2882" t="s">
        <v>3187</v>
      </c>
      <c r="F2882">
        <v>262</v>
      </c>
      <c r="G2882" s="1">
        <v>45188</v>
      </c>
      <c r="H2882" s="6">
        <f t="shared" si="90"/>
        <v>7.7812500000000879</v>
      </c>
      <c r="I2882" s="7">
        <f t="shared" si="91"/>
        <v>7.7812500000000879</v>
      </c>
    </row>
    <row r="2883" spans="1:9" x14ac:dyDescent="0.2">
      <c r="A2883" t="s">
        <v>3189</v>
      </c>
      <c r="B2883">
        <v>3.3315000000000001</v>
      </c>
      <c r="C2883">
        <v>4.6670000000000003E-2</v>
      </c>
      <c r="D2883">
        <v>263</v>
      </c>
      <c r="E2883" t="s">
        <v>3189</v>
      </c>
      <c r="F2883">
        <v>262</v>
      </c>
      <c r="G2883" s="1">
        <v>45188</v>
      </c>
      <c r="H2883" s="6">
        <f t="shared" si="90"/>
        <v>7.7916666666667549</v>
      </c>
      <c r="I2883" s="7">
        <f t="shared" si="91"/>
        <v>7.7916666666667549</v>
      </c>
    </row>
    <row r="2884" spans="1:9" x14ac:dyDescent="0.2">
      <c r="A2884" t="s">
        <v>3190</v>
      </c>
      <c r="B2884">
        <v>3.3184999999999998</v>
      </c>
      <c r="C2884" s="2" t="s">
        <v>872</v>
      </c>
      <c r="D2884">
        <v>263</v>
      </c>
      <c r="E2884" t="s">
        <v>3190</v>
      </c>
      <c r="F2884">
        <v>262</v>
      </c>
      <c r="G2884" s="1">
        <v>45188</v>
      </c>
      <c r="H2884" s="6">
        <f t="shared" si="90"/>
        <v>7.8020833333334219</v>
      </c>
      <c r="I2884" s="7">
        <f t="shared" si="91"/>
        <v>7.8020833333334219</v>
      </c>
    </row>
    <row r="2885" spans="1:9" x14ac:dyDescent="0.2">
      <c r="A2885" t="s">
        <v>3191</v>
      </c>
      <c r="B2885">
        <v>3.35</v>
      </c>
      <c r="C2885">
        <v>4.6929999999999999E-2</v>
      </c>
      <c r="D2885">
        <v>263</v>
      </c>
      <c r="E2885" t="s">
        <v>3191</v>
      </c>
      <c r="F2885">
        <v>262</v>
      </c>
      <c r="G2885" s="1">
        <v>45188</v>
      </c>
      <c r="H2885" s="6">
        <f t="shared" si="90"/>
        <v>7.8125000000000888</v>
      </c>
      <c r="I2885" s="7">
        <f t="shared" si="91"/>
        <v>7.8125000000000888</v>
      </c>
    </row>
    <row r="2886" spans="1:9" x14ac:dyDescent="0.2">
      <c r="A2886" t="s">
        <v>3192</v>
      </c>
      <c r="B2886">
        <v>3.3679999999999999</v>
      </c>
      <c r="C2886">
        <v>4.7169999999999997E-2</v>
      </c>
      <c r="D2886">
        <v>263</v>
      </c>
      <c r="E2886" t="s">
        <v>3192</v>
      </c>
      <c r="F2886">
        <v>262</v>
      </c>
      <c r="G2886" s="1">
        <v>45188</v>
      </c>
      <c r="H2886" s="6">
        <f t="shared" si="90"/>
        <v>7.8229166666667558</v>
      </c>
      <c r="I2886" s="7">
        <f t="shared" si="91"/>
        <v>7.8229166666667558</v>
      </c>
    </row>
    <row r="2887" spans="1:9" x14ac:dyDescent="0.2">
      <c r="A2887" t="s">
        <v>3193</v>
      </c>
      <c r="B2887">
        <v>3.367</v>
      </c>
      <c r="C2887">
        <v>4.7175000000000002E-2</v>
      </c>
      <c r="D2887">
        <v>263</v>
      </c>
      <c r="E2887" t="s">
        <v>3193</v>
      </c>
      <c r="F2887">
        <v>262</v>
      </c>
      <c r="G2887" s="1">
        <v>45188</v>
      </c>
      <c r="H2887" s="6">
        <f t="shared" si="90"/>
        <v>7.8333333333334227</v>
      </c>
      <c r="I2887" s="7">
        <f t="shared" si="91"/>
        <v>7.8333333333334227</v>
      </c>
    </row>
    <row r="2888" spans="1:9" x14ac:dyDescent="0.2">
      <c r="A2888" t="s">
        <v>3194</v>
      </c>
      <c r="B2888">
        <v>3.3330000000000002</v>
      </c>
      <c r="C2888">
        <v>4.6679999999999999E-2</v>
      </c>
      <c r="D2888">
        <v>263</v>
      </c>
      <c r="E2888" t="s">
        <v>3194</v>
      </c>
      <c r="F2888">
        <v>262</v>
      </c>
      <c r="G2888" s="1">
        <v>45188</v>
      </c>
      <c r="H2888" s="6">
        <f t="shared" si="90"/>
        <v>7.8437500000000897</v>
      </c>
      <c r="I2888" s="7">
        <f t="shared" si="91"/>
        <v>7.8437500000000897</v>
      </c>
    </row>
    <row r="2889" spans="1:9" x14ac:dyDescent="0.2">
      <c r="A2889" t="s">
        <v>3195</v>
      </c>
      <c r="B2889">
        <v>3.3359999999999999</v>
      </c>
      <c r="C2889">
        <v>4.6730000000000001E-2</v>
      </c>
      <c r="D2889">
        <v>263</v>
      </c>
      <c r="E2889" t="s">
        <v>3195</v>
      </c>
      <c r="F2889">
        <v>262</v>
      </c>
      <c r="G2889" s="1">
        <v>45188</v>
      </c>
      <c r="H2889" s="6">
        <f t="shared" si="90"/>
        <v>7.8541666666667567</v>
      </c>
      <c r="I2889" s="7">
        <f t="shared" si="91"/>
        <v>7.8541666666667567</v>
      </c>
    </row>
    <row r="2890" spans="1:9" x14ac:dyDescent="0.2">
      <c r="A2890" t="s">
        <v>3196</v>
      </c>
      <c r="B2890">
        <v>3.3435000000000001</v>
      </c>
      <c r="C2890">
        <v>4.6829999999999997E-2</v>
      </c>
      <c r="D2890">
        <v>263</v>
      </c>
      <c r="E2890" t="s">
        <v>3196</v>
      </c>
      <c r="F2890">
        <v>262</v>
      </c>
      <c r="G2890" s="1">
        <v>45188</v>
      </c>
      <c r="H2890" s="6">
        <f t="shared" si="90"/>
        <v>7.8645833333334236</v>
      </c>
      <c r="I2890" s="7">
        <f t="shared" si="91"/>
        <v>7.8645833333334236</v>
      </c>
    </row>
    <row r="2891" spans="1:9" x14ac:dyDescent="0.2">
      <c r="A2891" t="s">
        <v>3197</v>
      </c>
      <c r="B2891">
        <v>3.38</v>
      </c>
      <c r="C2891" s="2" t="s">
        <v>3198</v>
      </c>
      <c r="D2891">
        <v>263</v>
      </c>
      <c r="E2891" t="s">
        <v>3197</v>
      </c>
      <c r="F2891">
        <v>262</v>
      </c>
      <c r="G2891" s="1">
        <v>45188</v>
      </c>
      <c r="H2891" s="6">
        <f t="shared" si="90"/>
        <v>7.8750000000000906</v>
      </c>
      <c r="I2891" s="7">
        <f t="shared" si="91"/>
        <v>7.8750000000000906</v>
      </c>
    </row>
    <row r="2892" spans="1:9" x14ac:dyDescent="0.2">
      <c r="A2892" t="s">
        <v>3199</v>
      </c>
      <c r="B2892">
        <v>3.3519999999999999</v>
      </c>
      <c r="C2892">
        <v>4.6949999999999999E-2</v>
      </c>
      <c r="D2892">
        <v>263</v>
      </c>
      <c r="E2892" t="s">
        <v>3199</v>
      </c>
      <c r="F2892">
        <v>262</v>
      </c>
      <c r="G2892" s="1">
        <v>45188</v>
      </c>
      <c r="H2892" s="6">
        <f t="shared" si="90"/>
        <v>7.8854166666667576</v>
      </c>
      <c r="I2892" s="7">
        <f t="shared" si="91"/>
        <v>7.8854166666667576</v>
      </c>
    </row>
    <row r="2893" spans="1:9" x14ac:dyDescent="0.2">
      <c r="A2893" t="s">
        <v>3200</v>
      </c>
      <c r="B2893">
        <v>3.3420000000000001</v>
      </c>
      <c r="C2893">
        <v>4.6829999999999997E-2</v>
      </c>
      <c r="D2893">
        <v>263</v>
      </c>
      <c r="E2893" t="s">
        <v>3200</v>
      </c>
      <c r="F2893">
        <v>262</v>
      </c>
      <c r="G2893" s="1">
        <v>45188</v>
      </c>
      <c r="H2893" s="6">
        <f t="shared" si="90"/>
        <v>7.8958333333334245</v>
      </c>
      <c r="I2893" s="7">
        <f t="shared" si="91"/>
        <v>7.8958333333334245</v>
      </c>
    </row>
    <row r="2894" spans="1:9" x14ac:dyDescent="0.2">
      <c r="A2894" t="s">
        <v>3201</v>
      </c>
      <c r="B2894">
        <v>3.3525</v>
      </c>
      <c r="C2894">
        <v>4.6960000000000002E-2</v>
      </c>
      <c r="D2894">
        <v>263</v>
      </c>
      <c r="E2894" t="s">
        <v>3201</v>
      </c>
      <c r="F2894">
        <v>263</v>
      </c>
      <c r="G2894" s="1">
        <v>45189</v>
      </c>
      <c r="H2894" s="6">
        <f t="shared" si="90"/>
        <v>7.9062500000000915</v>
      </c>
      <c r="I2894" s="7">
        <f t="shared" si="91"/>
        <v>7.9062500000000915</v>
      </c>
    </row>
    <row r="2895" spans="1:9" x14ac:dyDescent="0.2">
      <c r="A2895" t="s">
        <v>3202</v>
      </c>
      <c r="B2895">
        <v>3.3955000000000002</v>
      </c>
      <c r="C2895">
        <v>4.7565000000000003E-2</v>
      </c>
      <c r="D2895">
        <v>263</v>
      </c>
      <c r="E2895" t="s">
        <v>3202</v>
      </c>
      <c r="F2895">
        <v>263</v>
      </c>
      <c r="G2895" s="1">
        <v>45189</v>
      </c>
      <c r="H2895" s="6">
        <f t="shared" si="90"/>
        <v>7.9166666666667584</v>
      </c>
      <c r="I2895" s="7">
        <f t="shared" si="91"/>
        <v>7.9166666666667584</v>
      </c>
    </row>
    <row r="2896" spans="1:9" x14ac:dyDescent="0.2">
      <c r="A2896" t="s">
        <v>3203</v>
      </c>
      <c r="B2896">
        <v>3.3540000000000001</v>
      </c>
      <c r="C2896">
        <v>4.6989999999999997E-2</v>
      </c>
      <c r="D2896">
        <v>263</v>
      </c>
      <c r="E2896" t="s">
        <v>3203</v>
      </c>
      <c r="F2896">
        <v>263</v>
      </c>
      <c r="G2896" s="1">
        <v>45189</v>
      </c>
      <c r="H2896" s="6">
        <f t="shared" si="90"/>
        <v>7.9270833333334254</v>
      </c>
      <c r="I2896" s="7">
        <f t="shared" si="91"/>
        <v>7.9270833333334254</v>
      </c>
    </row>
    <row r="2897" spans="1:9" x14ac:dyDescent="0.2">
      <c r="A2897" t="s">
        <v>3204</v>
      </c>
      <c r="B2897">
        <v>3.3544999999999998</v>
      </c>
      <c r="C2897">
        <v>4.6989999999999997E-2</v>
      </c>
      <c r="D2897">
        <v>263</v>
      </c>
      <c r="E2897" t="s">
        <v>3204</v>
      </c>
      <c r="F2897">
        <v>263</v>
      </c>
      <c r="G2897" s="1">
        <v>45189</v>
      </c>
      <c r="H2897" s="6">
        <f t="shared" si="90"/>
        <v>7.9375000000000924</v>
      </c>
      <c r="I2897" s="7">
        <f t="shared" si="91"/>
        <v>7.9375000000000924</v>
      </c>
    </row>
    <row r="2898" spans="1:9" x14ac:dyDescent="0.2">
      <c r="A2898" t="s">
        <v>3205</v>
      </c>
      <c r="B2898">
        <v>3.355</v>
      </c>
      <c r="C2898">
        <v>4.6980000000000001E-2</v>
      </c>
      <c r="D2898">
        <v>263</v>
      </c>
      <c r="E2898" t="s">
        <v>3205</v>
      </c>
      <c r="F2898">
        <v>263</v>
      </c>
      <c r="G2898" s="1">
        <v>45189</v>
      </c>
      <c r="H2898" s="6">
        <f t="shared" si="90"/>
        <v>7.9479166666667593</v>
      </c>
      <c r="I2898" s="7">
        <f t="shared" si="91"/>
        <v>7.9479166666667593</v>
      </c>
    </row>
    <row r="2899" spans="1:9" x14ac:dyDescent="0.2">
      <c r="A2899" t="s">
        <v>3206</v>
      </c>
      <c r="B2899">
        <v>3.3784999999999998</v>
      </c>
      <c r="C2899">
        <v>4.7320000000000001E-2</v>
      </c>
      <c r="D2899">
        <v>263</v>
      </c>
      <c r="E2899" t="s">
        <v>3206</v>
      </c>
      <c r="F2899">
        <v>263</v>
      </c>
      <c r="G2899" s="1">
        <v>45189</v>
      </c>
      <c r="H2899" s="6">
        <f t="shared" si="90"/>
        <v>7.9583333333334263</v>
      </c>
      <c r="I2899" s="7">
        <f t="shared" si="91"/>
        <v>7.9583333333334263</v>
      </c>
    </row>
    <row r="2900" spans="1:9" x14ac:dyDescent="0.2">
      <c r="A2900" t="s">
        <v>3207</v>
      </c>
      <c r="B2900">
        <v>3.3915000000000002</v>
      </c>
      <c r="C2900">
        <v>4.7524999999999998E-2</v>
      </c>
      <c r="D2900">
        <v>263</v>
      </c>
      <c r="E2900" t="s">
        <v>3207</v>
      </c>
      <c r="F2900">
        <v>263</v>
      </c>
      <c r="G2900" s="1">
        <v>45189</v>
      </c>
      <c r="H2900" s="6">
        <f t="shared" si="90"/>
        <v>7.9687500000000933</v>
      </c>
      <c r="I2900" s="7">
        <f t="shared" si="91"/>
        <v>7.9687500000000933</v>
      </c>
    </row>
    <row r="2901" spans="1:9" x14ac:dyDescent="0.2">
      <c r="A2901" t="s">
        <v>3208</v>
      </c>
      <c r="B2901">
        <v>3.4159999999999999</v>
      </c>
      <c r="C2901">
        <v>4.7864999999999998E-2</v>
      </c>
      <c r="D2901">
        <v>263</v>
      </c>
      <c r="E2901" t="s">
        <v>3208</v>
      </c>
      <c r="F2901">
        <v>263</v>
      </c>
      <c r="G2901" s="1">
        <v>45189</v>
      </c>
      <c r="H2901" s="6">
        <f t="shared" si="90"/>
        <v>7.9791666666667602</v>
      </c>
      <c r="I2901" s="7">
        <f t="shared" si="91"/>
        <v>7.9791666666667602</v>
      </c>
    </row>
    <row r="2902" spans="1:9" x14ac:dyDescent="0.2">
      <c r="A2902" t="s">
        <v>3209</v>
      </c>
      <c r="B2902">
        <v>3.4184999999999999</v>
      </c>
      <c r="C2902">
        <v>4.7870000000000003E-2</v>
      </c>
      <c r="D2902">
        <v>263</v>
      </c>
      <c r="E2902" t="s">
        <v>3209</v>
      </c>
      <c r="F2902">
        <v>263</v>
      </c>
      <c r="G2902" s="1">
        <v>45189</v>
      </c>
      <c r="H2902" s="6">
        <f t="shared" si="90"/>
        <v>7.9895833333334272</v>
      </c>
      <c r="I2902" s="7">
        <f t="shared" si="91"/>
        <v>7.9895833333334272</v>
      </c>
    </row>
    <row r="2903" spans="1:9" x14ac:dyDescent="0.2">
      <c r="A2903" t="s">
        <v>3210</v>
      </c>
      <c r="B2903">
        <v>3.4089999999999998</v>
      </c>
      <c r="C2903">
        <v>4.7724999999999997E-2</v>
      </c>
      <c r="D2903">
        <v>263</v>
      </c>
      <c r="E2903" t="s">
        <v>3210</v>
      </c>
      <c r="F2903">
        <v>263</v>
      </c>
      <c r="G2903" s="1">
        <v>45189</v>
      </c>
      <c r="H2903" s="6">
        <f t="shared" si="90"/>
        <v>8.0000000000000941</v>
      </c>
      <c r="I2903" s="7">
        <f t="shared" si="91"/>
        <v>8.0000000000000941</v>
      </c>
    </row>
    <row r="2904" spans="1:9" x14ac:dyDescent="0.2">
      <c r="A2904" t="s">
        <v>3211</v>
      </c>
      <c r="B2904">
        <v>3.4239999999999999</v>
      </c>
      <c r="C2904">
        <v>4.7954999999999998E-2</v>
      </c>
      <c r="D2904">
        <v>263</v>
      </c>
      <c r="E2904" t="s">
        <v>3211</v>
      </c>
      <c r="F2904">
        <v>263</v>
      </c>
      <c r="G2904" s="1">
        <v>45189</v>
      </c>
      <c r="H2904" s="6">
        <f t="shared" si="90"/>
        <v>8.0104166666667602</v>
      </c>
      <c r="I2904" s="7">
        <f t="shared" si="91"/>
        <v>8.0104166666667602</v>
      </c>
    </row>
    <row r="2905" spans="1:9" x14ac:dyDescent="0.2">
      <c r="A2905" t="s">
        <v>3212</v>
      </c>
      <c r="B2905">
        <v>3.4079999999999999</v>
      </c>
      <c r="C2905" s="2" t="s">
        <v>3213</v>
      </c>
      <c r="D2905">
        <v>263</v>
      </c>
      <c r="E2905" t="s">
        <v>3212</v>
      </c>
      <c r="F2905">
        <v>263</v>
      </c>
      <c r="G2905" s="1">
        <v>45189</v>
      </c>
      <c r="H2905" s="6">
        <f t="shared" si="90"/>
        <v>8.0208333333334263</v>
      </c>
      <c r="I2905" s="7">
        <f t="shared" si="91"/>
        <v>8.0208333333334263</v>
      </c>
    </row>
    <row r="2906" spans="1:9" x14ac:dyDescent="0.2">
      <c r="A2906" t="s">
        <v>3214</v>
      </c>
      <c r="B2906">
        <v>3.4245000000000001</v>
      </c>
      <c r="C2906">
        <v>4.7974999999999997E-2</v>
      </c>
      <c r="D2906">
        <v>263</v>
      </c>
      <c r="E2906" t="s">
        <v>3214</v>
      </c>
      <c r="F2906">
        <v>263</v>
      </c>
      <c r="G2906" s="1">
        <v>45189</v>
      </c>
      <c r="H2906" s="6">
        <f t="shared" si="90"/>
        <v>8.0312500000000924</v>
      </c>
      <c r="I2906" s="7">
        <f t="shared" si="91"/>
        <v>8.0312500000000924</v>
      </c>
    </row>
    <row r="2907" spans="1:9" x14ac:dyDescent="0.2">
      <c r="A2907" t="s">
        <v>3215</v>
      </c>
      <c r="B2907">
        <v>3.4209999999999998</v>
      </c>
      <c r="C2907">
        <v>4.7895E-2</v>
      </c>
      <c r="D2907">
        <v>263</v>
      </c>
      <c r="E2907" t="s">
        <v>3215</v>
      </c>
      <c r="F2907">
        <v>263</v>
      </c>
      <c r="G2907" s="1">
        <v>45189</v>
      </c>
      <c r="H2907" s="6">
        <f t="shared" si="90"/>
        <v>8.0416666666667584</v>
      </c>
      <c r="I2907" s="7">
        <f t="shared" si="91"/>
        <v>8.0416666666667584</v>
      </c>
    </row>
    <row r="2908" spans="1:9" x14ac:dyDescent="0.2">
      <c r="A2908" t="s">
        <v>3216</v>
      </c>
      <c r="B2908">
        <v>3.4005000000000001</v>
      </c>
      <c r="C2908">
        <v>4.7614999999999998E-2</v>
      </c>
      <c r="D2908">
        <v>263</v>
      </c>
      <c r="E2908" t="s">
        <v>3216</v>
      </c>
      <c r="F2908">
        <v>263</v>
      </c>
      <c r="G2908" s="1">
        <v>45189</v>
      </c>
      <c r="H2908" s="6">
        <f t="shared" ref="H2908:H2971" si="92">H2907+$K$1</f>
        <v>8.0520833333334245</v>
      </c>
      <c r="I2908" s="7">
        <f t="shared" ref="I2908:I2971" si="93">I2907+$K$1</f>
        <v>8.0520833333334245</v>
      </c>
    </row>
    <row r="2909" spans="1:9" x14ac:dyDescent="0.2">
      <c r="A2909" t="s">
        <v>3217</v>
      </c>
      <c r="B2909">
        <v>3.3955000000000002</v>
      </c>
      <c r="C2909">
        <v>4.7535000000000001E-2</v>
      </c>
      <c r="D2909">
        <v>263</v>
      </c>
      <c r="E2909" t="s">
        <v>3217</v>
      </c>
      <c r="F2909">
        <v>263</v>
      </c>
      <c r="G2909" s="1">
        <v>45189</v>
      </c>
      <c r="H2909" s="6">
        <f t="shared" si="92"/>
        <v>8.0625000000000906</v>
      </c>
      <c r="I2909" s="7">
        <f t="shared" si="93"/>
        <v>8.0625000000000906</v>
      </c>
    </row>
    <row r="2910" spans="1:9" x14ac:dyDescent="0.2">
      <c r="A2910" t="s">
        <v>3218</v>
      </c>
      <c r="B2910">
        <v>3.3864999999999998</v>
      </c>
      <c r="C2910" s="2" t="s">
        <v>3219</v>
      </c>
      <c r="D2910">
        <v>263</v>
      </c>
      <c r="E2910" t="s">
        <v>3218</v>
      </c>
      <c r="F2910">
        <v>263</v>
      </c>
      <c r="G2910" s="1">
        <v>45189</v>
      </c>
      <c r="H2910" s="6">
        <f t="shared" si="92"/>
        <v>8.0729166666667567</v>
      </c>
      <c r="I2910" s="7">
        <f t="shared" si="93"/>
        <v>8.0729166666667567</v>
      </c>
    </row>
    <row r="2911" spans="1:9" x14ac:dyDescent="0.2">
      <c r="A2911" t="s">
        <v>3220</v>
      </c>
      <c r="B2911">
        <v>3.4035000000000002</v>
      </c>
      <c r="C2911">
        <v>4.7704999999999997E-2</v>
      </c>
      <c r="D2911">
        <v>263</v>
      </c>
      <c r="E2911" t="s">
        <v>3220</v>
      </c>
      <c r="F2911">
        <v>263</v>
      </c>
      <c r="G2911" s="1">
        <v>45189</v>
      </c>
      <c r="H2911" s="6">
        <f t="shared" si="92"/>
        <v>8.0833333333334227</v>
      </c>
      <c r="I2911" s="7">
        <f t="shared" si="93"/>
        <v>8.0833333333334227</v>
      </c>
    </row>
    <row r="2912" spans="1:9" x14ac:dyDescent="0.2">
      <c r="A2912" t="s">
        <v>3221</v>
      </c>
      <c r="B2912">
        <v>3.4055</v>
      </c>
      <c r="C2912">
        <v>4.7710000000000002E-2</v>
      </c>
      <c r="D2912">
        <v>263</v>
      </c>
      <c r="E2912" t="s">
        <v>3221</v>
      </c>
      <c r="F2912">
        <v>263</v>
      </c>
      <c r="G2912" s="1">
        <v>45189</v>
      </c>
      <c r="H2912" s="6">
        <f t="shared" si="92"/>
        <v>8.0937500000000888</v>
      </c>
      <c r="I2912" s="7">
        <f t="shared" si="93"/>
        <v>8.0937500000000888</v>
      </c>
    </row>
    <row r="2913" spans="1:9" x14ac:dyDescent="0.2">
      <c r="A2913" t="s">
        <v>3222</v>
      </c>
      <c r="B2913">
        <v>3.4060000000000001</v>
      </c>
      <c r="C2913">
        <v>4.7710000000000002E-2</v>
      </c>
      <c r="D2913">
        <v>263</v>
      </c>
      <c r="E2913" t="s">
        <v>3222</v>
      </c>
      <c r="F2913">
        <v>263</v>
      </c>
      <c r="G2913" s="1">
        <v>45189</v>
      </c>
      <c r="H2913" s="6">
        <f t="shared" si="92"/>
        <v>8.1041666666667549</v>
      </c>
      <c r="I2913" s="7">
        <f t="shared" si="93"/>
        <v>8.1041666666667549</v>
      </c>
    </row>
    <row r="2914" spans="1:9" x14ac:dyDescent="0.2">
      <c r="A2914" t="s">
        <v>3223</v>
      </c>
      <c r="B2914">
        <v>3.4409999999999998</v>
      </c>
      <c r="C2914">
        <v>4.8204999999999998E-2</v>
      </c>
      <c r="D2914">
        <v>263</v>
      </c>
      <c r="E2914" t="s">
        <v>3223</v>
      </c>
      <c r="F2914">
        <v>263</v>
      </c>
      <c r="G2914" s="1">
        <v>45189</v>
      </c>
      <c r="H2914" s="6">
        <f t="shared" si="92"/>
        <v>8.114583333333421</v>
      </c>
      <c r="I2914" s="7">
        <f t="shared" si="93"/>
        <v>8.114583333333421</v>
      </c>
    </row>
    <row r="2915" spans="1:9" x14ac:dyDescent="0.2">
      <c r="A2915" t="s">
        <v>3224</v>
      </c>
      <c r="B2915">
        <v>3.4060000000000001</v>
      </c>
      <c r="C2915">
        <v>4.7699999999999999E-2</v>
      </c>
      <c r="D2915">
        <v>263</v>
      </c>
      <c r="E2915" t="s">
        <v>3224</v>
      </c>
      <c r="F2915">
        <v>263</v>
      </c>
      <c r="G2915" s="1">
        <v>45189</v>
      </c>
      <c r="H2915" s="6">
        <f t="shared" si="92"/>
        <v>8.125000000000087</v>
      </c>
      <c r="I2915" s="7">
        <f t="shared" si="93"/>
        <v>8.125000000000087</v>
      </c>
    </row>
    <row r="2916" spans="1:9" x14ac:dyDescent="0.2">
      <c r="A2916" t="s">
        <v>3225</v>
      </c>
      <c r="B2916" s="2" t="s">
        <v>3226</v>
      </c>
      <c r="C2916">
        <v>4.8035000000000001E-2</v>
      </c>
      <c r="D2916">
        <v>263</v>
      </c>
      <c r="E2916" t="s">
        <v>3225</v>
      </c>
      <c r="F2916">
        <v>263</v>
      </c>
      <c r="G2916" s="1">
        <v>45189</v>
      </c>
      <c r="H2916" s="6">
        <f t="shared" si="92"/>
        <v>8.1354166666667531</v>
      </c>
      <c r="I2916" s="7">
        <f t="shared" si="93"/>
        <v>8.1354166666667531</v>
      </c>
    </row>
    <row r="2917" spans="1:9" x14ac:dyDescent="0.2">
      <c r="A2917" t="s">
        <v>3227</v>
      </c>
      <c r="B2917">
        <v>3.4195000000000002</v>
      </c>
      <c r="C2917">
        <v>4.7899999999999998E-2</v>
      </c>
      <c r="D2917">
        <v>263</v>
      </c>
      <c r="E2917" t="s">
        <v>3227</v>
      </c>
      <c r="F2917">
        <v>263</v>
      </c>
      <c r="G2917" s="1">
        <v>45189</v>
      </c>
      <c r="H2917" s="6">
        <f t="shared" si="92"/>
        <v>8.1458333333334192</v>
      </c>
      <c r="I2917" s="7">
        <f t="shared" si="93"/>
        <v>8.1458333333334192</v>
      </c>
    </row>
    <row r="2918" spans="1:9" x14ac:dyDescent="0.2">
      <c r="A2918" t="s">
        <v>3228</v>
      </c>
      <c r="B2918">
        <v>3.4064999999999999</v>
      </c>
      <c r="C2918">
        <v>4.7715E-2</v>
      </c>
      <c r="D2918">
        <v>263</v>
      </c>
      <c r="E2918" t="s">
        <v>3228</v>
      </c>
      <c r="F2918">
        <v>263</v>
      </c>
      <c r="G2918" s="1">
        <v>45189</v>
      </c>
      <c r="H2918" s="6">
        <f t="shared" si="92"/>
        <v>8.1562500000000853</v>
      </c>
      <c r="I2918" s="7">
        <f t="shared" si="93"/>
        <v>8.1562500000000853</v>
      </c>
    </row>
    <row r="2919" spans="1:9" x14ac:dyDescent="0.2">
      <c r="A2919" t="s">
        <v>3229</v>
      </c>
      <c r="B2919">
        <v>3.4424999999999999</v>
      </c>
      <c r="C2919">
        <v>4.8219999999999999E-2</v>
      </c>
      <c r="D2919">
        <v>263</v>
      </c>
      <c r="E2919" t="s">
        <v>3229</v>
      </c>
      <c r="F2919">
        <v>263</v>
      </c>
      <c r="G2919" s="1">
        <v>45189</v>
      </c>
      <c r="H2919" s="6">
        <f t="shared" si="92"/>
        <v>8.1666666666667513</v>
      </c>
      <c r="I2919" s="7">
        <f t="shared" si="93"/>
        <v>8.1666666666667513</v>
      </c>
    </row>
    <row r="2920" spans="1:9" x14ac:dyDescent="0.2">
      <c r="A2920" t="s">
        <v>3230</v>
      </c>
      <c r="B2920">
        <v>3.3855</v>
      </c>
      <c r="C2920">
        <v>4.7419999999999997E-2</v>
      </c>
      <c r="D2920">
        <v>263</v>
      </c>
      <c r="E2920" t="s">
        <v>3230</v>
      </c>
      <c r="F2920">
        <v>263</v>
      </c>
      <c r="G2920" s="1">
        <v>45189</v>
      </c>
      <c r="H2920" s="6">
        <f t="shared" si="92"/>
        <v>8.1770833333334174</v>
      </c>
      <c r="I2920" s="7">
        <f t="shared" si="93"/>
        <v>8.1770833333334174</v>
      </c>
    </row>
    <row r="2921" spans="1:9" x14ac:dyDescent="0.2">
      <c r="A2921" t="s">
        <v>3231</v>
      </c>
      <c r="B2921">
        <v>3.4279999999999999</v>
      </c>
      <c r="C2921">
        <v>4.8009999999999997E-2</v>
      </c>
      <c r="D2921">
        <v>263</v>
      </c>
      <c r="E2921" t="s">
        <v>3231</v>
      </c>
      <c r="F2921">
        <v>263</v>
      </c>
      <c r="G2921" s="1">
        <v>45189</v>
      </c>
      <c r="H2921" s="6">
        <f t="shared" si="92"/>
        <v>8.1875000000000835</v>
      </c>
      <c r="I2921" s="7">
        <f t="shared" si="93"/>
        <v>8.1875000000000835</v>
      </c>
    </row>
    <row r="2922" spans="1:9" x14ac:dyDescent="0.2">
      <c r="A2922" t="s">
        <v>3232</v>
      </c>
      <c r="B2922" s="2" t="s">
        <v>3233</v>
      </c>
      <c r="C2922">
        <v>4.7805E-2</v>
      </c>
      <c r="D2922">
        <v>263</v>
      </c>
      <c r="E2922" t="s">
        <v>3232</v>
      </c>
      <c r="F2922">
        <v>263</v>
      </c>
      <c r="G2922" s="1">
        <v>45189</v>
      </c>
      <c r="H2922" s="6">
        <f t="shared" si="92"/>
        <v>8.1979166666667496</v>
      </c>
      <c r="I2922" s="7">
        <f t="shared" si="93"/>
        <v>8.1979166666667496</v>
      </c>
    </row>
    <row r="2923" spans="1:9" x14ac:dyDescent="0.2">
      <c r="A2923" t="s">
        <v>3234</v>
      </c>
      <c r="B2923">
        <v>3.4365000000000001</v>
      </c>
      <c r="C2923">
        <v>4.8129999999999999E-2</v>
      </c>
      <c r="D2923">
        <v>263</v>
      </c>
      <c r="E2923" t="s">
        <v>3234</v>
      </c>
      <c r="F2923">
        <v>263</v>
      </c>
      <c r="G2923" s="1">
        <v>45189</v>
      </c>
      <c r="H2923" s="6">
        <f t="shared" si="92"/>
        <v>8.2083333333334156</v>
      </c>
      <c r="I2923" s="7">
        <f t="shared" si="93"/>
        <v>8.2083333333334156</v>
      </c>
    </row>
    <row r="2924" spans="1:9" x14ac:dyDescent="0.2">
      <c r="A2924" t="s">
        <v>3235</v>
      </c>
      <c r="B2924">
        <v>3.4180000000000001</v>
      </c>
      <c r="C2924">
        <v>4.7875000000000001E-2</v>
      </c>
      <c r="D2924">
        <v>263</v>
      </c>
      <c r="E2924" t="s">
        <v>3235</v>
      </c>
      <c r="F2924">
        <v>263</v>
      </c>
      <c r="G2924" s="1">
        <v>45189</v>
      </c>
      <c r="H2924" s="6">
        <f t="shared" si="92"/>
        <v>8.2187500000000817</v>
      </c>
      <c r="I2924" s="7">
        <f t="shared" si="93"/>
        <v>8.2187500000000817</v>
      </c>
    </row>
    <row r="2925" spans="1:9" x14ac:dyDescent="0.2">
      <c r="A2925" t="s">
        <v>3236</v>
      </c>
      <c r="B2925">
        <v>3.4279999999999999</v>
      </c>
      <c r="C2925">
        <v>4.8030000000000003E-2</v>
      </c>
      <c r="D2925">
        <v>263</v>
      </c>
      <c r="E2925" t="s">
        <v>3236</v>
      </c>
      <c r="F2925">
        <v>263</v>
      </c>
      <c r="G2925" s="1">
        <v>45189</v>
      </c>
      <c r="H2925" s="6">
        <f t="shared" si="92"/>
        <v>8.2291666666667478</v>
      </c>
      <c r="I2925" s="7">
        <f t="shared" si="93"/>
        <v>8.2291666666667478</v>
      </c>
    </row>
    <row r="2926" spans="1:9" x14ac:dyDescent="0.2">
      <c r="A2926" t="s">
        <v>3237</v>
      </c>
      <c r="B2926">
        <v>3.4540000000000002</v>
      </c>
      <c r="C2926">
        <v>4.8379999999999999E-2</v>
      </c>
      <c r="D2926">
        <v>263</v>
      </c>
      <c r="E2926" t="s">
        <v>3237</v>
      </c>
      <c r="F2926">
        <v>263</v>
      </c>
      <c r="G2926" s="1">
        <v>45189</v>
      </c>
      <c r="H2926" s="6">
        <f t="shared" si="92"/>
        <v>8.2395833333334139</v>
      </c>
      <c r="I2926" s="7">
        <f t="shared" si="93"/>
        <v>8.2395833333334139</v>
      </c>
    </row>
    <row r="2927" spans="1:9" x14ac:dyDescent="0.2">
      <c r="A2927" t="s">
        <v>3238</v>
      </c>
      <c r="B2927">
        <v>3.4645000000000001</v>
      </c>
      <c r="C2927">
        <v>4.8524999999999999E-2</v>
      </c>
      <c r="D2927">
        <v>263</v>
      </c>
      <c r="E2927" t="s">
        <v>3238</v>
      </c>
      <c r="F2927">
        <v>263</v>
      </c>
      <c r="G2927" s="1">
        <v>45189</v>
      </c>
      <c r="H2927" s="6">
        <f t="shared" si="92"/>
        <v>8.2500000000000799</v>
      </c>
      <c r="I2927" s="7">
        <f t="shared" si="93"/>
        <v>8.2500000000000799</v>
      </c>
    </row>
    <row r="2928" spans="1:9" x14ac:dyDescent="0.2">
      <c r="A2928" t="s">
        <v>3239</v>
      </c>
      <c r="B2928">
        <v>3.4295</v>
      </c>
      <c r="C2928">
        <v>4.8039999999999999E-2</v>
      </c>
      <c r="D2928">
        <v>263</v>
      </c>
      <c r="E2928" t="s">
        <v>3239</v>
      </c>
      <c r="F2928">
        <v>263</v>
      </c>
      <c r="G2928" s="1">
        <v>45189</v>
      </c>
      <c r="H2928" s="6">
        <f t="shared" si="92"/>
        <v>8.260416666666746</v>
      </c>
      <c r="I2928" s="7">
        <f t="shared" si="93"/>
        <v>8.260416666666746</v>
      </c>
    </row>
    <row r="2929" spans="1:9" x14ac:dyDescent="0.2">
      <c r="A2929" t="s">
        <v>3240</v>
      </c>
      <c r="B2929">
        <v>3.4434999999999998</v>
      </c>
      <c r="C2929">
        <v>4.8235E-2</v>
      </c>
      <c r="D2929">
        <v>263</v>
      </c>
      <c r="E2929" t="s">
        <v>3240</v>
      </c>
      <c r="F2929">
        <v>263</v>
      </c>
      <c r="G2929" s="1">
        <v>45189</v>
      </c>
      <c r="H2929" s="6">
        <f t="shared" si="92"/>
        <v>8.2708333333334121</v>
      </c>
      <c r="I2929" s="7">
        <f t="shared" si="93"/>
        <v>8.2708333333334121</v>
      </c>
    </row>
    <row r="2930" spans="1:9" x14ac:dyDescent="0.2">
      <c r="A2930" t="s">
        <v>3241</v>
      </c>
      <c r="B2930">
        <v>3.4525000000000001</v>
      </c>
      <c r="C2930">
        <v>4.8344999999999999E-2</v>
      </c>
      <c r="D2930">
        <v>263</v>
      </c>
      <c r="E2930" t="s">
        <v>3241</v>
      </c>
      <c r="F2930">
        <v>263</v>
      </c>
      <c r="G2930" s="1">
        <v>45189</v>
      </c>
      <c r="H2930" s="6">
        <f t="shared" si="92"/>
        <v>8.2812500000000782</v>
      </c>
      <c r="I2930" s="7">
        <f t="shared" si="93"/>
        <v>8.2812500000000782</v>
      </c>
    </row>
    <row r="2931" spans="1:9" x14ac:dyDescent="0.2">
      <c r="A2931" t="s">
        <v>3242</v>
      </c>
      <c r="B2931">
        <v>3.395</v>
      </c>
      <c r="C2931">
        <v>4.7535000000000001E-2</v>
      </c>
      <c r="D2931">
        <v>263</v>
      </c>
      <c r="E2931" t="s">
        <v>3242</v>
      </c>
      <c r="F2931">
        <v>263</v>
      </c>
      <c r="G2931" s="1">
        <v>45189</v>
      </c>
      <c r="H2931" s="6">
        <f t="shared" si="92"/>
        <v>8.2916666666667442</v>
      </c>
      <c r="I2931" s="7">
        <f t="shared" si="93"/>
        <v>8.2916666666667442</v>
      </c>
    </row>
    <row r="2932" spans="1:9" x14ac:dyDescent="0.2">
      <c r="A2932" t="s">
        <v>3243</v>
      </c>
      <c r="B2932">
        <v>3.431</v>
      </c>
      <c r="C2932">
        <v>4.8050000000000002E-2</v>
      </c>
      <c r="D2932">
        <v>263</v>
      </c>
      <c r="E2932" t="s">
        <v>3243</v>
      </c>
      <c r="F2932">
        <v>263</v>
      </c>
      <c r="G2932" s="1">
        <v>45189</v>
      </c>
      <c r="H2932" s="6">
        <f t="shared" si="92"/>
        <v>8.3020833333334103</v>
      </c>
      <c r="I2932" s="7">
        <f t="shared" si="93"/>
        <v>8.3020833333334103</v>
      </c>
    </row>
    <row r="2933" spans="1:9" x14ac:dyDescent="0.2">
      <c r="A2933" t="s">
        <v>3244</v>
      </c>
      <c r="B2933">
        <v>3.4055</v>
      </c>
      <c r="C2933">
        <v>4.7695000000000001E-2</v>
      </c>
      <c r="D2933">
        <v>263</v>
      </c>
      <c r="E2933" t="s">
        <v>3244</v>
      </c>
      <c r="F2933">
        <v>263</v>
      </c>
      <c r="G2933" s="1">
        <v>45189</v>
      </c>
      <c r="H2933" s="6">
        <f t="shared" si="92"/>
        <v>8.3125000000000764</v>
      </c>
      <c r="I2933" s="7">
        <f t="shared" si="93"/>
        <v>8.3125000000000764</v>
      </c>
    </row>
    <row r="2934" spans="1:9" x14ac:dyDescent="0.2">
      <c r="A2934" t="s">
        <v>3245</v>
      </c>
      <c r="B2934">
        <v>3.3984999999999999</v>
      </c>
      <c r="C2934">
        <v>4.7620000000000003E-2</v>
      </c>
      <c r="D2934">
        <v>263</v>
      </c>
      <c r="E2934" t="s">
        <v>3245</v>
      </c>
      <c r="F2934">
        <v>263</v>
      </c>
      <c r="G2934" s="1">
        <v>45189</v>
      </c>
      <c r="H2934" s="6">
        <f t="shared" si="92"/>
        <v>8.3229166666667425</v>
      </c>
      <c r="I2934" s="7">
        <f t="shared" si="93"/>
        <v>8.3229166666667425</v>
      </c>
    </row>
    <row r="2935" spans="1:9" x14ac:dyDescent="0.2">
      <c r="A2935" t="s">
        <v>3246</v>
      </c>
      <c r="B2935">
        <v>3.4329999999999998</v>
      </c>
      <c r="C2935" s="2" t="s">
        <v>3247</v>
      </c>
      <c r="D2935">
        <v>263</v>
      </c>
      <c r="E2935" t="s">
        <v>3246</v>
      </c>
      <c r="F2935">
        <v>263</v>
      </c>
      <c r="G2935" s="1">
        <v>45189</v>
      </c>
      <c r="H2935" s="6">
        <f t="shared" si="92"/>
        <v>8.3333333333334085</v>
      </c>
      <c r="I2935" s="7">
        <f t="shared" si="93"/>
        <v>8.3333333333334085</v>
      </c>
    </row>
    <row r="2936" spans="1:9" x14ac:dyDescent="0.2">
      <c r="A2936" t="s">
        <v>3248</v>
      </c>
      <c r="B2936">
        <v>3.4175</v>
      </c>
      <c r="C2936">
        <v>4.7855000000000002E-2</v>
      </c>
      <c r="D2936">
        <v>263</v>
      </c>
      <c r="E2936" t="s">
        <v>3248</v>
      </c>
      <c r="F2936">
        <v>263</v>
      </c>
      <c r="G2936" s="1">
        <v>45189</v>
      </c>
      <c r="H2936" s="6">
        <f t="shared" si="92"/>
        <v>8.3437500000000746</v>
      </c>
      <c r="I2936" s="7">
        <f t="shared" si="93"/>
        <v>8.3437500000000746</v>
      </c>
    </row>
    <row r="2937" spans="1:9" x14ac:dyDescent="0.2">
      <c r="A2937" t="s">
        <v>3249</v>
      </c>
      <c r="B2937">
        <v>3.4245000000000001</v>
      </c>
      <c r="C2937">
        <v>4.7954999999999998E-2</v>
      </c>
      <c r="D2937">
        <v>263</v>
      </c>
      <c r="E2937" t="s">
        <v>3249</v>
      </c>
      <c r="F2937">
        <v>263</v>
      </c>
      <c r="G2937" s="1">
        <v>45189</v>
      </c>
      <c r="H2937" s="6">
        <f t="shared" si="92"/>
        <v>8.3541666666667407</v>
      </c>
      <c r="I2937" s="7">
        <f t="shared" si="93"/>
        <v>8.3541666666667407</v>
      </c>
    </row>
    <row r="2938" spans="1:9" x14ac:dyDescent="0.2">
      <c r="A2938" t="s">
        <v>3250</v>
      </c>
      <c r="B2938">
        <v>3.423</v>
      </c>
      <c r="C2938">
        <v>4.793E-2</v>
      </c>
      <c r="D2938">
        <v>263</v>
      </c>
      <c r="E2938" t="s">
        <v>3250</v>
      </c>
      <c r="F2938">
        <v>263</v>
      </c>
      <c r="G2938" s="1">
        <v>45189</v>
      </c>
      <c r="H2938" s="6">
        <f t="shared" si="92"/>
        <v>8.3645833333334068</v>
      </c>
      <c r="I2938" s="7">
        <f t="shared" si="93"/>
        <v>8.3645833333334068</v>
      </c>
    </row>
    <row r="2939" spans="1:9" x14ac:dyDescent="0.2">
      <c r="A2939" t="s">
        <v>3251</v>
      </c>
      <c r="B2939">
        <v>3.4115000000000002</v>
      </c>
      <c r="C2939">
        <v>4.7780000000000003E-2</v>
      </c>
      <c r="D2939">
        <v>263</v>
      </c>
      <c r="E2939" t="s">
        <v>3251</v>
      </c>
      <c r="F2939">
        <v>263</v>
      </c>
      <c r="G2939" s="1">
        <v>45189</v>
      </c>
      <c r="H2939" s="6">
        <f t="shared" si="92"/>
        <v>8.3750000000000728</v>
      </c>
      <c r="I2939" s="7">
        <f t="shared" si="93"/>
        <v>8.3750000000000728</v>
      </c>
    </row>
    <row r="2940" spans="1:9" x14ac:dyDescent="0.2">
      <c r="A2940" t="s">
        <v>3252</v>
      </c>
      <c r="B2940">
        <v>3.4049999999999998</v>
      </c>
      <c r="C2940">
        <v>4.7704999999999997E-2</v>
      </c>
      <c r="D2940">
        <v>263</v>
      </c>
      <c r="E2940" t="s">
        <v>3252</v>
      </c>
      <c r="F2940">
        <v>263</v>
      </c>
      <c r="G2940" s="1">
        <v>45189</v>
      </c>
      <c r="H2940" s="6">
        <f t="shared" si="92"/>
        <v>8.3854166666667389</v>
      </c>
      <c r="I2940" s="7">
        <f t="shared" si="93"/>
        <v>8.3854166666667389</v>
      </c>
    </row>
    <row r="2941" spans="1:9" x14ac:dyDescent="0.2">
      <c r="A2941" t="s">
        <v>3253</v>
      </c>
      <c r="B2941">
        <v>3.4315000000000002</v>
      </c>
      <c r="C2941">
        <v>4.8050000000000002E-2</v>
      </c>
      <c r="D2941">
        <v>263</v>
      </c>
      <c r="E2941" t="s">
        <v>3253</v>
      </c>
      <c r="F2941">
        <v>263</v>
      </c>
      <c r="G2941" s="1">
        <v>45189</v>
      </c>
      <c r="H2941" s="6">
        <f t="shared" si="92"/>
        <v>8.395833333333405</v>
      </c>
      <c r="I2941" s="7">
        <f t="shared" si="93"/>
        <v>8.395833333333405</v>
      </c>
    </row>
    <row r="2942" spans="1:9" x14ac:dyDescent="0.2">
      <c r="A2942" t="s">
        <v>3254</v>
      </c>
      <c r="B2942">
        <v>3.4125000000000001</v>
      </c>
      <c r="C2942">
        <v>4.7780000000000003E-2</v>
      </c>
      <c r="D2942">
        <v>263</v>
      </c>
      <c r="E2942" t="s">
        <v>3254</v>
      </c>
      <c r="F2942">
        <v>263</v>
      </c>
      <c r="G2942" s="1">
        <v>45189</v>
      </c>
      <c r="H2942" s="6">
        <f t="shared" si="92"/>
        <v>8.4062500000000711</v>
      </c>
      <c r="I2942" s="7">
        <f t="shared" si="93"/>
        <v>8.4062500000000711</v>
      </c>
    </row>
    <row r="2943" spans="1:9" x14ac:dyDescent="0.2">
      <c r="A2943" t="s">
        <v>3255</v>
      </c>
      <c r="B2943">
        <v>3.4215</v>
      </c>
      <c r="C2943">
        <v>4.7910000000000001E-2</v>
      </c>
      <c r="D2943">
        <v>263</v>
      </c>
      <c r="E2943" t="s">
        <v>3255</v>
      </c>
      <c r="F2943">
        <v>263</v>
      </c>
      <c r="G2943" s="1">
        <v>45189</v>
      </c>
      <c r="H2943" s="6">
        <f t="shared" si="92"/>
        <v>8.4166666666667371</v>
      </c>
      <c r="I2943" s="7">
        <f t="shared" si="93"/>
        <v>8.4166666666667371</v>
      </c>
    </row>
    <row r="2944" spans="1:9" x14ac:dyDescent="0.2">
      <c r="A2944" t="s">
        <v>3256</v>
      </c>
      <c r="B2944">
        <v>3.3995000000000002</v>
      </c>
      <c r="C2944">
        <v>4.7625000000000001E-2</v>
      </c>
      <c r="D2944">
        <v>263</v>
      </c>
      <c r="E2944" t="s">
        <v>3256</v>
      </c>
      <c r="F2944">
        <v>263</v>
      </c>
      <c r="G2944" s="1">
        <v>45189</v>
      </c>
      <c r="H2944" s="6">
        <f t="shared" si="92"/>
        <v>8.4270833333334032</v>
      </c>
      <c r="I2944" s="7">
        <f t="shared" si="93"/>
        <v>8.4270833333334032</v>
      </c>
    </row>
    <row r="2945" spans="1:9" x14ac:dyDescent="0.2">
      <c r="A2945" t="s">
        <v>3257</v>
      </c>
      <c r="B2945">
        <v>3.3860000000000001</v>
      </c>
      <c r="C2945">
        <v>4.7414999999999999E-2</v>
      </c>
      <c r="D2945">
        <v>263</v>
      </c>
      <c r="E2945" t="s">
        <v>3257</v>
      </c>
      <c r="F2945">
        <v>263</v>
      </c>
      <c r="G2945" s="1">
        <v>45189</v>
      </c>
      <c r="H2945" s="6">
        <f t="shared" si="92"/>
        <v>8.4375000000000693</v>
      </c>
      <c r="I2945" s="7">
        <f t="shared" si="93"/>
        <v>8.4375000000000693</v>
      </c>
    </row>
    <row r="2946" spans="1:9" x14ac:dyDescent="0.2">
      <c r="A2946" t="s">
        <v>3258</v>
      </c>
      <c r="B2946">
        <v>3.3614999999999999</v>
      </c>
      <c r="C2946">
        <v>4.7094999999999998E-2</v>
      </c>
      <c r="D2946">
        <v>263</v>
      </c>
      <c r="E2946" t="s">
        <v>3258</v>
      </c>
      <c r="F2946">
        <v>263</v>
      </c>
      <c r="G2946" s="1">
        <v>45189</v>
      </c>
      <c r="H2946" s="6">
        <f t="shared" si="92"/>
        <v>8.4479166666667354</v>
      </c>
      <c r="I2946" s="7">
        <f t="shared" si="93"/>
        <v>8.4479166666667354</v>
      </c>
    </row>
    <row r="2947" spans="1:9" x14ac:dyDescent="0.2">
      <c r="A2947" t="s">
        <v>3259</v>
      </c>
      <c r="B2947">
        <v>3.3915000000000002</v>
      </c>
      <c r="C2947">
        <v>4.7495000000000002E-2</v>
      </c>
      <c r="D2947">
        <v>263</v>
      </c>
      <c r="E2947" t="s">
        <v>3259</v>
      </c>
      <c r="F2947">
        <v>263</v>
      </c>
      <c r="G2947" s="1">
        <v>45189</v>
      </c>
      <c r="H2947" s="6">
        <f t="shared" si="92"/>
        <v>8.4583333333334014</v>
      </c>
      <c r="I2947" s="7">
        <f t="shared" si="93"/>
        <v>8.4583333333334014</v>
      </c>
    </row>
    <row r="2948" spans="1:9" x14ac:dyDescent="0.2">
      <c r="A2948" t="s">
        <v>3260</v>
      </c>
      <c r="B2948">
        <v>3.3784999999999998</v>
      </c>
      <c r="C2948">
        <v>4.7320000000000001E-2</v>
      </c>
      <c r="D2948">
        <v>263</v>
      </c>
      <c r="E2948" t="s">
        <v>3260</v>
      </c>
      <c r="F2948">
        <v>263</v>
      </c>
      <c r="G2948" s="1">
        <v>45189</v>
      </c>
      <c r="H2948" s="6">
        <f t="shared" si="92"/>
        <v>8.4687500000000675</v>
      </c>
      <c r="I2948" s="7">
        <f t="shared" si="93"/>
        <v>8.4687500000000675</v>
      </c>
    </row>
    <row r="2949" spans="1:9" x14ac:dyDescent="0.2">
      <c r="A2949" t="s">
        <v>3261</v>
      </c>
      <c r="B2949">
        <v>3.3984999999999999</v>
      </c>
      <c r="C2949">
        <v>4.7600000000000003E-2</v>
      </c>
      <c r="D2949">
        <v>263</v>
      </c>
      <c r="E2949" t="s">
        <v>3261</v>
      </c>
      <c r="F2949">
        <v>263</v>
      </c>
      <c r="G2949" s="1">
        <v>45189</v>
      </c>
      <c r="H2949" s="6">
        <f t="shared" si="92"/>
        <v>8.4791666666667336</v>
      </c>
      <c r="I2949" s="7">
        <f t="shared" si="93"/>
        <v>8.4791666666667336</v>
      </c>
    </row>
    <row r="2950" spans="1:9" x14ac:dyDescent="0.2">
      <c r="A2950" t="s">
        <v>3262</v>
      </c>
      <c r="B2950">
        <v>3.4125000000000001</v>
      </c>
      <c r="C2950">
        <v>4.7774999999999998E-2</v>
      </c>
      <c r="D2950">
        <v>263</v>
      </c>
      <c r="E2950" t="s">
        <v>3262</v>
      </c>
      <c r="F2950">
        <v>263</v>
      </c>
      <c r="G2950" s="1">
        <v>45189</v>
      </c>
      <c r="H2950" s="6">
        <f t="shared" si="92"/>
        <v>8.4895833333333997</v>
      </c>
      <c r="I2950" s="7">
        <f t="shared" si="93"/>
        <v>8.4895833333333997</v>
      </c>
    </row>
    <row r="2951" spans="1:9" x14ac:dyDescent="0.2">
      <c r="A2951" t="s">
        <v>3263</v>
      </c>
      <c r="B2951">
        <v>3.3944999999999999</v>
      </c>
      <c r="C2951">
        <v>4.7550000000000002E-2</v>
      </c>
      <c r="D2951">
        <v>263</v>
      </c>
      <c r="E2951" t="s">
        <v>3263</v>
      </c>
      <c r="F2951">
        <v>263</v>
      </c>
      <c r="G2951" s="1">
        <v>45189</v>
      </c>
      <c r="H2951" s="6">
        <f t="shared" si="92"/>
        <v>8.5000000000000657</v>
      </c>
      <c r="I2951" s="7">
        <f t="shared" si="93"/>
        <v>8.5000000000000657</v>
      </c>
    </row>
    <row r="2952" spans="1:9" x14ac:dyDescent="0.2">
      <c r="A2952" t="s">
        <v>3264</v>
      </c>
      <c r="B2952">
        <v>3.38</v>
      </c>
      <c r="C2952">
        <v>4.734E-2</v>
      </c>
      <c r="D2952">
        <v>263</v>
      </c>
      <c r="E2952" t="s">
        <v>3264</v>
      </c>
      <c r="F2952">
        <v>263</v>
      </c>
      <c r="G2952" s="1">
        <v>45189</v>
      </c>
      <c r="H2952" s="6">
        <f t="shared" si="92"/>
        <v>8.5104166666667318</v>
      </c>
      <c r="I2952" s="7">
        <f t="shared" si="93"/>
        <v>8.5104166666667318</v>
      </c>
    </row>
    <row r="2953" spans="1:9" x14ac:dyDescent="0.2">
      <c r="A2953" t="s">
        <v>3265</v>
      </c>
      <c r="B2953">
        <v>3.3774999999999999</v>
      </c>
      <c r="C2953">
        <v>4.7335000000000002E-2</v>
      </c>
      <c r="D2953">
        <v>263</v>
      </c>
      <c r="E2953" t="s">
        <v>3265</v>
      </c>
      <c r="F2953">
        <v>263</v>
      </c>
      <c r="G2953" s="1">
        <v>45189</v>
      </c>
      <c r="H2953" s="6">
        <f t="shared" si="92"/>
        <v>8.5208333333333979</v>
      </c>
      <c r="I2953" s="7">
        <f t="shared" si="93"/>
        <v>8.5208333333333979</v>
      </c>
    </row>
    <row r="2954" spans="1:9" x14ac:dyDescent="0.2">
      <c r="A2954" t="s">
        <v>3266</v>
      </c>
      <c r="B2954">
        <v>3.3769999999999998</v>
      </c>
      <c r="C2954">
        <v>4.7300000000000002E-2</v>
      </c>
      <c r="D2954">
        <v>263</v>
      </c>
      <c r="E2954" t="s">
        <v>3266</v>
      </c>
      <c r="F2954">
        <v>263</v>
      </c>
      <c r="G2954" s="1">
        <v>45189</v>
      </c>
      <c r="H2954" s="6">
        <f t="shared" si="92"/>
        <v>8.5312500000000639</v>
      </c>
      <c r="I2954" s="7">
        <f t="shared" si="93"/>
        <v>8.5312500000000639</v>
      </c>
    </row>
    <row r="2955" spans="1:9" x14ac:dyDescent="0.2">
      <c r="A2955" t="s">
        <v>3267</v>
      </c>
      <c r="B2955">
        <v>3.3755000000000002</v>
      </c>
      <c r="C2955">
        <v>4.7285000000000001E-2</v>
      </c>
      <c r="D2955">
        <v>263</v>
      </c>
      <c r="E2955" t="s">
        <v>3267</v>
      </c>
      <c r="F2955">
        <v>263</v>
      </c>
      <c r="G2955" s="1">
        <v>45189</v>
      </c>
      <c r="H2955" s="6">
        <f t="shared" si="92"/>
        <v>8.54166666666673</v>
      </c>
      <c r="I2955" s="7">
        <f t="shared" si="93"/>
        <v>8.54166666666673</v>
      </c>
    </row>
    <row r="2956" spans="1:9" x14ac:dyDescent="0.2">
      <c r="A2956" t="s">
        <v>3268</v>
      </c>
      <c r="B2956" s="2" t="s">
        <v>120</v>
      </c>
      <c r="C2956">
        <v>4.7169999999999997E-2</v>
      </c>
      <c r="D2956">
        <v>263</v>
      </c>
      <c r="E2956" t="s">
        <v>3268</v>
      </c>
      <c r="F2956">
        <v>263</v>
      </c>
      <c r="G2956" s="1">
        <v>45189</v>
      </c>
      <c r="H2956" s="6">
        <f t="shared" si="92"/>
        <v>8.5520833333333961</v>
      </c>
      <c r="I2956" s="7">
        <f t="shared" si="93"/>
        <v>8.5520833333333961</v>
      </c>
    </row>
    <row r="2957" spans="1:9" x14ac:dyDescent="0.2">
      <c r="A2957" t="s">
        <v>3269</v>
      </c>
      <c r="B2957">
        <v>3.3660000000000001</v>
      </c>
      <c r="C2957">
        <v>4.7149999999999997E-2</v>
      </c>
      <c r="D2957">
        <v>263</v>
      </c>
      <c r="E2957" t="s">
        <v>3269</v>
      </c>
      <c r="F2957">
        <v>263</v>
      </c>
      <c r="G2957" s="1">
        <v>45189</v>
      </c>
      <c r="H2957" s="6">
        <f t="shared" si="92"/>
        <v>8.5625000000000622</v>
      </c>
      <c r="I2957" s="7">
        <f t="shared" si="93"/>
        <v>8.5625000000000622</v>
      </c>
    </row>
    <row r="2958" spans="1:9" x14ac:dyDescent="0.2">
      <c r="A2958" t="s">
        <v>3270</v>
      </c>
      <c r="B2958">
        <v>3.3620000000000001</v>
      </c>
      <c r="C2958">
        <v>4.7074999999999999E-2</v>
      </c>
      <c r="D2958">
        <v>263</v>
      </c>
      <c r="E2958" t="s">
        <v>3270</v>
      </c>
      <c r="F2958">
        <v>263</v>
      </c>
      <c r="G2958" s="1">
        <v>45189</v>
      </c>
      <c r="H2958" s="6">
        <f t="shared" si="92"/>
        <v>8.5729166666667282</v>
      </c>
      <c r="I2958" s="7">
        <f t="shared" si="93"/>
        <v>8.5729166666667282</v>
      </c>
    </row>
    <row r="2959" spans="1:9" x14ac:dyDescent="0.2">
      <c r="A2959" t="s">
        <v>3271</v>
      </c>
      <c r="B2959">
        <v>3.36</v>
      </c>
      <c r="C2959" s="2" t="s">
        <v>3272</v>
      </c>
      <c r="D2959">
        <v>263</v>
      </c>
      <c r="E2959" t="s">
        <v>3271</v>
      </c>
      <c r="F2959">
        <v>263</v>
      </c>
      <c r="G2959" s="1">
        <v>45189</v>
      </c>
      <c r="H2959" s="6">
        <f t="shared" si="92"/>
        <v>8.5833333333333943</v>
      </c>
      <c r="I2959" s="7">
        <f t="shared" si="93"/>
        <v>8.5833333333333943</v>
      </c>
    </row>
    <row r="2960" spans="1:9" x14ac:dyDescent="0.2">
      <c r="A2960" t="s">
        <v>3273</v>
      </c>
      <c r="B2960" s="2" t="s">
        <v>100</v>
      </c>
      <c r="C2960">
        <v>4.6730000000000001E-2</v>
      </c>
      <c r="D2960">
        <v>263</v>
      </c>
      <c r="E2960" t="s">
        <v>3273</v>
      </c>
      <c r="F2960">
        <v>263</v>
      </c>
      <c r="G2960" s="1">
        <v>45189</v>
      </c>
      <c r="H2960" s="6">
        <f t="shared" si="92"/>
        <v>8.5937500000000604</v>
      </c>
      <c r="I2960" s="7">
        <f t="shared" si="93"/>
        <v>8.5937500000000604</v>
      </c>
    </row>
    <row r="2961" spans="1:9" x14ac:dyDescent="0.2">
      <c r="A2961" t="s">
        <v>3274</v>
      </c>
      <c r="B2961">
        <v>3.375</v>
      </c>
      <c r="C2961">
        <v>4.7274999999999998E-2</v>
      </c>
      <c r="D2961">
        <v>263</v>
      </c>
      <c r="E2961" t="s">
        <v>3274</v>
      </c>
      <c r="F2961">
        <v>263</v>
      </c>
      <c r="G2961" s="1">
        <v>45189</v>
      </c>
      <c r="H2961" s="6">
        <f t="shared" si="92"/>
        <v>8.6041666666667265</v>
      </c>
      <c r="I2961" s="7">
        <f t="shared" si="93"/>
        <v>8.6041666666667265</v>
      </c>
    </row>
    <row r="2962" spans="1:9" x14ac:dyDescent="0.2">
      <c r="A2962" t="s">
        <v>3275</v>
      </c>
      <c r="B2962">
        <v>3.3544999999999998</v>
      </c>
      <c r="C2962">
        <v>4.6969999999999998E-2</v>
      </c>
      <c r="D2962">
        <v>263</v>
      </c>
      <c r="E2962" t="s">
        <v>3275</v>
      </c>
      <c r="F2962">
        <v>263</v>
      </c>
      <c r="G2962" s="1">
        <v>45189</v>
      </c>
      <c r="H2962" s="6">
        <f t="shared" si="92"/>
        <v>8.6145833333333925</v>
      </c>
      <c r="I2962" s="7">
        <f t="shared" si="93"/>
        <v>8.6145833333333925</v>
      </c>
    </row>
    <row r="2963" spans="1:9" x14ac:dyDescent="0.2">
      <c r="A2963" t="s">
        <v>3276</v>
      </c>
      <c r="B2963">
        <v>3.3414999999999999</v>
      </c>
      <c r="C2963">
        <v>4.6804999999999999E-2</v>
      </c>
      <c r="D2963">
        <v>263</v>
      </c>
      <c r="E2963" t="s">
        <v>3276</v>
      </c>
      <c r="F2963">
        <v>263</v>
      </c>
      <c r="G2963" s="1">
        <v>45189</v>
      </c>
      <c r="H2963" s="6">
        <f t="shared" si="92"/>
        <v>8.6250000000000586</v>
      </c>
      <c r="I2963" s="7">
        <f t="shared" si="93"/>
        <v>8.6250000000000586</v>
      </c>
    </row>
    <row r="2964" spans="1:9" x14ac:dyDescent="0.2">
      <c r="A2964" t="s">
        <v>3277</v>
      </c>
      <c r="B2964">
        <v>3.3220000000000001</v>
      </c>
      <c r="C2964">
        <v>4.6535E-2</v>
      </c>
      <c r="D2964">
        <v>263</v>
      </c>
      <c r="E2964" t="s">
        <v>3277</v>
      </c>
      <c r="F2964">
        <v>263</v>
      </c>
      <c r="G2964" s="1">
        <v>45189</v>
      </c>
      <c r="H2964" s="6">
        <f t="shared" si="92"/>
        <v>8.6354166666667247</v>
      </c>
      <c r="I2964" s="7">
        <f t="shared" si="93"/>
        <v>8.6354166666667247</v>
      </c>
    </row>
    <row r="2965" spans="1:9" x14ac:dyDescent="0.2">
      <c r="A2965" t="s">
        <v>3278</v>
      </c>
      <c r="B2965">
        <v>3.3414999999999999</v>
      </c>
      <c r="C2965">
        <v>4.6815000000000002E-2</v>
      </c>
      <c r="D2965">
        <v>263</v>
      </c>
      <c r="E2965" t="s">
        <v>3278</v>
      </c>
      <c r="F2965">
        <v>263</v>
      </c>
      <c r="G2965" s="1">
        <v>45189</v>
      </c>
      <c r="H2965" s="6">
        <f t="shared" si="92"/>
        <v>8.6458333333333908</v>
      </c>
      <c r="I2965" s="7">
        <f t="shared" si="93"/>
        <v>8.6458333333333908</v>
      </c>
    </row>
    <row r="2966" spans="1:9" x14ac:dyDescent="0.2">
      <c r="A2966" t="s">
        <v>3279</v>
      </c>
      <c r="B2966">
        <v>3.3285</v>
      </c>
      <c r="C2966" s="2" t="s">
        <v>3280</v>
      </c>
      <c r="D2966">
        <v>264</v>
      </c>
      <c r="E2966" t="s">
        <v>3279</v>
      </c>
      <c r="F2966">
        <v>263</v>
      </c>
      <c r="G2966" s="1">
        <v>45189</v>
      </c>
      <c r="H2966" s="6">
        <f t="shared" si="92"/>
        <v>8.6562500000000568</v>
      </c>
      <c r="I2966" s="7">
        <f t="shared" si="93"/>
        <v>8.6562500000000568</v>
      </c>
    </row>
    <row r="2967" spans="1:9" x14ac:dyDescent="0.2">
      <c r="A2967" t="s">
        <v>3281</v>
      </c>
      <c r="B2967">
        <v>3.3054999999999999</v>
      </c>
      <c r="C2967">
        <v>4.6300000000000001E-2</v>
      </c>
      <c r="D2967">
        <v>264</v>
      </c>
      <c r="E2967" t="s">
        <v>3281</v>
      </c>
      <c r="F2967">
        <v>263</v>
      </c>
      <c r="G2967" s="1">
        <v>45189</v>
      </c>
      <c r="H2967" s="6">
        <f t="shared" si="92"/>
        <v>8.6666666666667229</v>
      </c>
      <c r="I2967" s="7">
        <f t="shared" si="93"/>
        <v>8.6666666666667229</v>
      </c>
    </row>
    <row r="2968" spans="1:9" x14ac:dyDescent="0.2">
      <c r="A2968" t="s">
        <v>3282</v>
      </c>
      <c r="B2968">
        <v>3.3325</v>
      </c>
      <c r="C2968">
        <v>4.6675000000000001E-2</v>
      </c>
      <c r="D2968">
        <v>264</v>
      </c>
      <c r="E2968" t="s">
        <v>3282</v>
      </c>
      <c r="F2968">
        <v>263</v>
      </c>
      <c r="G2968" s="1">
        <v>45189</v>
      </c>
      <c r="H2968" s="6">
        <f t="shared" si="92"/>
        <v>8.677083333333389</v>
      </c>
      <c r="I2968" s="7">
        <f t="shared" si="93"/>
        <v>8.677083333333389</v>
      </c>
    </row>
    <row r="2969" spans="1:9" x14ac:dyDescent="0.2">
      <c r="A2969" t="s">
        <v>3283</v>
      </c>
      <c r="B2969">
        <v>3.3245</v>
      </c>
      <c r="C2969" s="2" t="s">
        <v>3284</v>
      </c>
      <c r="D2969">
        <v>264</v>
      </c>
      <c r="E2969" t="s">
        <v>3283</v>
      </c>
      <c r="F2969">
        <v>263</v>
      </c>
      <c r="G2969" s="1">
        <v>45189</v>
      </c>
      <c r="H2969" s="6">
        <f t="shared" si="92"/>
        <v>8.6875000000000551</v>
      </c>
      <c r="I2969" s="7">
        <f t="shared" si="93"/>
        <v>8.6875000000000551</v>
      </c>
    </row>
    <row r="2970" spans="1:9" x14ac:dyDescent="0.2">
      <c r="A2970" t="s">
        <v>3285</v>
      </c>
      <c r="B2970">
        <v>3.3054999999999999</v>
      </c>
      <c r="C2970">
        <v>4.6289999999999998E-2</v>
      </c>
      <c r="D2970">
        <v>264</v>
      </c>
      <c r="E2970" t="s">
        <v>3285</v>
      </c>
      <c r="F2970">
        <v>263</v>
      </c>
      <c r="G2970" s="1">
        <v>45189</v>
      </c>
      <c r="H2970" s="6">
        <f t="shared" si="92"/>
        <v>8.6979166666667211</v>
      </c>
      <c r="I2970" s="7">
        <f t="shared" si="93"/>
        <v>8.6979166666667211</v>
      </c>
    </row>
    <row r="2971" spans="1:9" x14ac:dyDescent="0.2">
      <c r="A2971" t="s">
        <v>3286</v>
      </c>
      <c r="B2971">
        <v>3.2549999999999999</v>
      </c>
      <c r="C2971">
        <v>4.5589999999999999E-2</v>
      </c>
      <c r="D2971">
        <v>264</v>
      </c>
      <c r="E2971" t="s">
        <v>3286</v>
      </c>
      <c r="F2971">
        <v>263</v>
      </c>
      <c r="G2971" s="1">
        <v>45189</v>
      </c>
      <c r="H2971" s="6">
        <f t="shared" si="92"/>
        <v>8.7083333333333872</v>
      </c>
      <c r="I2971" s="7">
        <f t="shared" si="93"/>
        <v>8.7083333333333872</v>
      </c>
    </row>
    <row r="2972" spans="1:9" x14ac:dyDescent="0.2">
      <c r="A2972" t="s">
        <v>3287</v>
      </c>
      <c r="B2972">
        <v>3.3010000000000002</v>
      </c>
      <c r="C2972">
        <v>4.6225000000000002E-2</v>
      </c>
      <c r="D2972">
        <v>264</v>
      </c>
      <c r="E2972" t="s">
        <v>3287</v>
      </c>
      <c r="F2972">
        <v>263</v>
      </c>
      <c r="G2972" s="1">
        <v>45189</v>
      </c>
      <c r="H2972" s="6">
        <f t="shared" ref="H2972:H3035" si="94">H2971+$K$1</f>
        <v>8.7187500000000533</v>
      </c>
      <c r="I2972" s="7">
        <f t="shared" ref="I2972:I3035" si="95">I2971+$K$1</f>
        <v>8.7187500000000533</v>
      </c>
    </row>
    <row r="2973" spans="1:9" x14ac:dyDescent="0.2">
      <c r="A2973" t="s">
        <v>3288</v>
      </c>
      <c r="B2973">
        <v>3.286</v>
      </c>
      <c r="C2973">
        <v>4.6039999999999998E-2</v>
      </c>
      <c r="D2973">
        <v>264</v>
      </c>
      <c r="E2973" t="s">
        <v>3288</v>
      </c>
      <c r="F2973">
        <v>263</v>
      </c>
      <c r="G2973" s="1">
        <v>45189</v>
      </c>
      <c r="H2973" s="6">
        <f t="shared" si="94"/>
        <v>8.7291666666667194</v>
      </c>
      <c r="I2973" s="7">
        <f t="shared" si="95"/>
        <v>8.7291666666667194</v>
      </c>
    </row>
    <row r="2974" spans="1:9" x14ac:dyDescent="0.2">
      <c r="A2974" t="s">
        <v>3289</v>
      </c>
      <c r="B2974">
        <v>3.2959999999999998</v>
      </c>
      <c r="C2974">
        <v>4.6179999999999999E-2</v>
      </c>
      <c r="D2974">
        <v>264</v>
      </c>
      <c r="E2974" t="s">
        <v>3289</v>
      </c>
      <c r="F2974">
        <v>263</v>
      </c>
      <c r="G2974" s="1">
        <v>45189</v>
      </c>
      <c r="H2974" s="6">
        <f t="shared" si="94"/>
        <v>8.7395833333333854</v>
      </c>
      <c r="I2974" s="7">
        <f t="shared" si="95"/>
        <v>8.7395833333333854</v>
      </c>
    </row>
    <row r="2975" spans="1:9" x14ac:dyDescent="0.2">
      <c r="A2975" t="s">
        <v>3290</v>
      </c>
      <c r="B2975">
        <v>3.3039999999999998</v>
      </c>
      <c r="C2975">
        <v>4.6285E-2</v>
      </c>
      <c r="D2975">
        <v>264</v>
      </c>
      <c r="E2975" t="s">
        <v>3290</v>
      </c>
      <c r="F2975">
        <v>263</v>
      </c>
      <c r="G2975" s="1">
        <v>45189</v>
      </c>
      <c r="H2975" s="6">
        <f t="shared" si="94"/>
        <v>8.7500000000000515</v>
      </c>
      <c r="I2975" s="7">
        <f t="shared" si="95"/>
        <v>8.7500000000000515</v>
      </c>
    </row>
    <row r="2976" spans="1:9" x14ac:dyDescent="0.2">
      <c r="A2976" t="s">
        <v>3291</v>
      </c>
      <c r="B2976">
        <v>3.3109999999999999</v>
      </c>
      <c r="C2976">
        <v>4.6370000000000001E-2</v>
      </c>
      <c r="D2976">
        <v>264</v>
      </c>
      <c r="E2976" t="s">
        <v>3291</v>
      </c>
      <c r="F2976">
        <v>263</v>
      </c>
      <c r="G2976" s="1">
        <v>45189</v>
      </c>
      <c r="H2976" s="6">
        <f t="shared" si="94"/>
        <v>8.7604166666667176</v>
      </c>
      <c r="I2976" s="7">
        <f t="shared" si="95"/>
        <v>8.7604166666667176</v>
      </c>
    </row>
    <row r="2977" spans="1:9" x14ac:dyDescent="0.2">
      <c r="A2977" t="s">
        <v>3292</v>
      </c>
      <c r="B2977">
        <v>3.3010000000000002</v>
      </c>
      <c r="C2977">
        <v>4.6234999999999998E-2</v>
      </c>
      <c r="D2977">
        <v>264</v>
      </c>
      <c r="E2977" t="s">
        <v>3292</v>
      </c>
      <c r="F2977">
        <v>263</v>
      </c>
      <c r="G2977" s="1">
        <v>45189</v>
      </c>
      <c r="H2977" s="6">
        <f t="shared" si="94"/>
        <v>8.7708333333333837</v>
      </c>
      <c r="I2977" s="7">
        <f t="shared" si="95"/>
        <v>8.7708333333333837</v>
      </c>
    </row>
    <row r="2978" spans="1:9" x14ac:dyDescent="0.2">
      <c r="A2978" t="s">
        <v>3293</v>
      </c>
      <c r="B2978">
        <v>3.3014999999999999</v>
      </c>
      <c r="C2978">
        <v>4.6234999999999998E-2</v>
      </c>
      <c r="D2978">
        <v>264</v>
      </c>
      <c r="E2978" t="s">
        <v>3293</v>
      </c>
      <c r="F2978">
        <v>263</v>
      </c>
      <c r="G2978" s="1">
        <v>45189</v>
      </c>
      <c r="H2978" s="6">
        <f t="shared" si="94"/>
        <v>8.7812500000000497</v>
      </c>
      <c r="I2978" s="7">
        <f t="shared" si="95"/>
        <v>8.7812500000000497</v>
      </c>
    </row>
    <row r="2979" spans="1:9" x14ac:dyDescent="0.2">
      <c r="A2979" t="s">
        <v>3294</v>
      </c>
      <c r="B2979">
        <v>3.2885</v>
      </c>
      <c r="C2979">
        <v>4.6059999999999997E-2</v>
      </c>
      <c r="D2979">
        <v>264</v>
      </c>
      <c r="E2979" t="s">
        <v>3294</v>
      </c>
      <c r="F2979">
        <v>263</v>
      </c>
      <c r="G2979" s="1">
        <v>45189</v>
      </c>
      <c r="H2979" s="6">
        <f t="shared" si="94"/>
        <v>8.7916666666667158</v>
      </c>
      <c r="I2979" s="7">
        <f t="shared" si="95"/>
        <v>8.7916666666667158</v>
      </c>
    </row>
    <row r="2980" spans="1:9" x14ac:dyDescent="0.2">
      <c r="A2980" t="s">
        <v>3295</v>
      </c>
      <c r="B2980" s="2" t="s">
        <v>1071</v>
      </c>
      <c r="C2980">
        <v>4.6074999999999998E-2</v>
      </c>
      <c r="D2980">
        <v>264</v>
      </c>
      <c r="E2980" t="s">
        <v>3295</v>
      </c>
      <c r="F2980">
        <v>263</v>
      </c>
      <c r="G2980" s="1">
        <v>45189</v>
      </c>
      <c r="H2980" s="6">
        <f t="shared" si="94"/>
        <v>8.8020833333333819</v>
      </c>
      <c r="I2980" s="7">
        <f t="shared" si="95"/>
        <v>8.8020833333333819</v>
      </c>
    </row>
    <row r="2981" spans="1:9" x14ac:dyDescent="0.2">
      <c r="A2981" t="s">
        <v>3296</v>
      </c>
      <c r="B2981">
        <v>3.2825000000000002</v>
      </c>
      <c r="C2981">
        <v>4.5984999999999998E-2</v>
      </c>
      <c r="D2981">
        <v>264</v>
      </c>
      <c r="E2981" t="s">
        <v>3296</v>
      </c>
      <c r="F2981">
        <v>263</v>
      </c>
      <c r="G2981" s="1">
        <v>45189</v>
      </c>
      <c r="H2981" s="6">
        <f t="shared" si="94"/>
        <v>8.812500000000048</v>
      </c>
      <c r="I2981" s="7">
        <f t="shared" si="95"/>
        <v>8.812500000000048</v>
      </c>
    </row>
    <row r="2982" spans="1:9" x14ac:dyDescent="0.2">
      <c r="A2982" t="s">
        <v>3297</v>
      </c>
      <c r="B2982">
        <v>3.2814999999999999</v>
      </c>
      <c r="C2982">
        <v>4.5975000000000002E-2</v>
      </c>
      <c r="D2982">
        <v>264</v>
      </c>
      <c r="E2982" t="s">
        <v>3297</v>
      </c>
      <c r="F2982">
        <v>263</v>
      </c>
      <c r="G2982" s="1">
        <v>45189</v>
      </c>
      <c r="H2982" s="6">
        <f t="shared" si="94"/>
        <v>8.822916666666714</v>
      </c>
      <c r="I2982" s="7">
        <f t="shared" si="95"/>
        <v>8.822916666666714</v>
      </c>
    </row>
    <row r="2983" spans="1:9" x14ac:dyDescent="0.2">
      <c r="A2983" t="s">
        <v>3298</v>
      </c>
      <c r="B2983">
        <v>3.2909999999999999</v>
      </c>
      <c r="C2983">
        <v>4.6100000000000002E-2</v>
      </c>
      <c r="D2983">
        <v>264</v>
      </c>
      <c r="E2983" t="s">
        <v>3298</v>
      </c>
      <c r="F2983">
        <v>263</v>
      </c>
      <c r="G2983" s="1">
        <v>45189</v>
      </c>
      <c r="H2983" s="6">
        <f t="shared" si="94"/>
        <v>8.8333333333333801</v>
      </c>
      <c r="I2983" s="7">
        <f t="shared" si="95"/>
        <v>8.8333333333333801</v>
      </c>
    </row>
    <row r="2984" spans="1:9" x14ac:dyDescent="0.2">
      <c r="A2984" t="s">
        <v>3299</v>
      </c>
      <c r="B2984">
        <v>3.2930000000000001</v>
      </c>
      <c r="C2984">
        <v>4.6115000000000003E-2</v>
      </c>
      <c r="D2984">
        <v>264</v>
      </c>
      <c r="E2984" t="s">
        <v>3299</v>
      </c>
      <c r="F2984">
        <v>263</v>
      </c>
      <c r="G2984" s="1">
        <v>45189</v>
      </c>
      <c r="H2984" s="6">
        <f t="shared" si="94"/>
        <v>8.8437500000000462</v>
      </c>
      <c r="I2984" s="7">
        <f t="shared" si="95"/>
        <v>8.8437500000000462</v>
      </c>
    </row>
    <row r="2985" spans="1:9" x14ac:dyDescent="0.2">
      <c r="A2985" t="s">
        <v>3300</v>
      </c>
      <c r="B2985">
        <v>3.2989999999999999</v>
      </c>
      <c r="C2985">
        <v>4.6210000000000001E-2</v>
      </c>
      <c r="D2985">
        <v>264</v>
      </c>
      <c r="E2985" t="s">
        <v>3300</v>
      </c>
      <c r="F2985">
        <v>263</v>
      </c>
      <c r="G2985" s="1">
        <v>45189</v>
      </c>
      <c r="H2985" s="6">
        <f t="shared" si="94"/>
        <v>8.8541666666667123</v>
      </c>
      <c r="I2985" s="7">
        <f t="shared" si="95"/>
        <v>8.8541666666667123</v>
      </c>
    </row>
    <row r="2986" spans="1:9" x14ac:dyDescent="0.2">
      <c r="A2986" t="s">
        <v>3301</v>
      </c>
      <c r="B2986">
        <v>3.2625000000000002</v>
      </c>
      <c r="C2986">
        <v>4.5695E-2</v>
      </c>
      <c r="D2986">
        <v>264</v>
      </c>
      <c r="E2986" t="s">
        <v>3301</v>
      </c>
      <c r="F2986">
        <v>263</v>
      </c>
      <c r="G2986" s="1">
        <v>45189</v>
      </c>
      <c r="H2986" s="6">
        <f t="shared" si="94"/>
        <v>8.8645833333333783</v>
      </c>
      <c r="I2986" s="7">
        <f t="shared" si="95"/>
        <v>8.8645833333333783</v>
      </c>
    </row>
    <row r="2987" spans="1:9" x14ac:dyDescent="0.2">
      <c r="A2987" t="s">
        <v>3302</v>
      </c>
      <c r="B2987">
        <v>3.2530000000000001</v>
      </c>
      <c r="C2987">
        <v>4.5569999999999999E-2</v>
      </c>
      <c r="D2987">
        <v>264</v>
      </c>
      <c r="E2987" t="s">
        <v>3302</v>
      </c>
      <c r="F2987">
        <v>263</v>
      </c>
      <c r="G2987" s="1">
        <v>45189</v>
      </c>
      <c r="H2987" s="6">
        <f t="shared" si="94"/>
        <v>8.8750000000000444</v>
      </c>
      <c r="I2987" s="7">
        <f t="shared" si="95"/>
        <v>8.8750000000000444</v>
      </c>
    </row>
    <row r="2988" spans="1:9" x14ac:dyDescent="0.2">
      <c r="A2988" t="s">
        <v>3303</v>
      </c>
      <c r="B2988">
        <v>3.278</v>
      </c>
      <c r="C2988">
        <v>4.5940000000000002E-2</v>
      </c>
      <c r="D2988">
        <v>264</v>
      </c>
      <c r="E2988" t="s">
        <v>3303</v>
      </c>
      <c r="F2988">
        <v>263</v>
      </c>
      <c r="G2988" s="1">
        <v>45189</v>
      </c>
      <c r="H2988" s="6">
        <f t="shared" si="94"/>
        <v>8.8854166666667105</v>
      </c>
      <c r="I2988" s="7">
        <f t="shared" si="95"/>
        <v>8.8854166666667105</v>
      </c>
    </row>
    <row r="2989" spans="1:9" x14ac:dyDescent="0.2">
      <c r="A2989" t="s">
        <v>3304</v>
      </c>
      <c r="B2989" s="2" t="s">
        <v>3305</v>
      </c>
      <c r="C2989">
        <v>4.6039999999999998E-2</v>
      </c>
      <c r="D2989">
        <v>264</v>
      </c>
      <c r="E2989" t="s">
        <v>3304</v>
      </c>
      <c r="F2989">
        <v>263</v>
      </c>
      <c r="G2989" s="1">
        <v>45189</v>
      </c>
      <c r="H2989" s="6">
        <f t="shared" si="94"/>
        <v>8.8958333333333766</v>
      </c>
      <c r="I2989" s="7">
        <f t="shared" si="95"/>
        <v>8.8958333333333766</v>
      </c>
    </row>
    <row r="2990" spans="1:9" x14ac:dyDescent="0.2">
      <c r="A2990" t="s">
        <v>3306</v>
      </c>
      <c r="B2990">
        <v>3.26</v>
      </c>
      <c r="C2990">
        <v>4.5659999999999999E-2</v>
      </c>
      <c r="D2990">
        <v>264</v>
      </c>
      <c r="E2990" t="s">
        <v>3306</v>
      </c>
      <c r="F2990">
        <v>264</v>
      </c>
      <c r="G2990" s="1">
        <v>45190</v>
      </c>
      <c r="H2990" s="6">
        <f t="shared" si="94"/>
        <v>8.9062500000000426</v>
      </c>
      <c r="I2990" s="7">
        <f t="shared" si="95"/>
        <v>8.9062500000000426</v>
      </c>
    </row>
    <row r="2991" spans="1:9" x14ac:dyDescent="0.2">
      <c r="A2991" t="s">
        <v>3307</v>
      </c>
      <c r="B2991">
        <v>3.2685</v>
      </c>
      <c r="C2991">
        <v>4.5769999999999998E-2</v>
      </c>
      <c r="D2991">
        <v>264</v>
      </c>
      <c r="E2991" t="s">
        <v>3307</v>
      </c>
      <c r="F2991">
        <v>264</v>
      </c>
      <c r="G2991" s="1">
        <v>45190</v>
      </c>
      <c r="H2991" s="6">
        <f t="shared" si="94"/>
        <v>8.9166666666667087</v>
      </c>
      <c r="I2991" s="7">
        <f t="shared" si="95"/>
        <v>8.9166666666667087</v>
      </c>
    </row>
    <row r="2992" spans="1:9" x14ac:dyDescent="0.2">
      <c r="A2992" t="s">
        <v>3308</v>
      </c>
      <c r="B2992">
        <v>3.2465000000000002</v>
      </c>
      <c r="C2992">
        <v>4.548E-2</v>
      </c>
      <c r="D2992">
        <v>264</v>
      </c>
      <c r="E2992" t="s">
        <v>3308</v>
      </c>
      <c r="F2992">
        <v>264</v>
      </c>
      <c r="G2992" s="1">
        <v>45190</v>
      </c>
      <c r="H2992" s="6">
        <f t="shared" si="94"/>
        <v>8.9270833333333748</v>
      </c>
      <c r="I2992" s="7">
        <f t="shared" si="95"/>
        <v>8.9270833333333748</v>
      </c>
    </row>
    <row r="2993" spans="1:9" x14ac:dyDescent="0.2">
      <c r="A2993" t="s">
        <v>3309</v>
      </c>
      <c r="B2993">
        <v>3.2685</v>
      </c>
      <c r="C2993">
        <v>4.5784999999999999E-2</v>
      </c>
      <c r="D2993">
        <v>264</v>
      </c>
      <c r="E2993" t="s">
        <v>3309</v>
      </c>
      <c r="F2993">
        <v>264</v>
      </c>
      <c r="G2993" s="1">
        <v>45190</v>
      </c>
      <c r="H2993" s="6">
        <f t="shared" si="94"/>
        <v>8.9375000000000409</v>
      </c>
      <c r="I2993" s="7">
        <f t="shared" si="95"/>
        <v>8.9375000000000409</v>
      </c>
    </row>
    <row r="2994" spans="1:9" x14ac:dyDescent="0.2">
      <c r="A2994" t="s">
        <v>3310</v>
      </c>
      <c r="B2994">
        <v>3.2654999999999998</v>
      </c>
      <c r="C2994">
        <v>4.5740000000000003E-2</v>
      </c>
      <c r="D2994">
        <v>264</v>
      </c>
      <c r="E2994" t="s">
        <v>3310</v>
      </c>
      <c r="F2994">
        <v>264</v>
      </c>
      <c r="G2994" s="1">
        <v>45190</v>
      </c>
      <c r="H2994" s="6">
        <f t="shared" si="94"/>
        <v>8.9479166666667069</v>
      </c>
      <c r="I2994" s="7">
        <f t="shared" si="95"/>
        <v>8.9479166666667069</v>
      </c>
    </row>
    <row r="2995" spans="1:9" x14ac:dyDescent="0.2">
      <c r="A2995" t="s">
        <v>3311</v>
      </c>
      <c r="B2995">
        <v>3.2825000000000002</v>
      </c>
      <c r="C2995">
        <v>4.5964999999999999E-2</v>
      </c>
      <c r="D2995">
        <v>264</v>
      </c>
      <c r="E2995" t="s">
        <v>3311</v>
      </c>
      <c r="F2995">
        <v>264</v>
      </c>
      <c r="G2995" s="1">
        <v>45190</v>
      </c>
      <c r="H2995" s="6">
        <f t="shared" si="94"/>
        <v>8.958333333333373</v>
      </c>
      <c r="I2995" s="7">
        <f t="shared" si="95"/>
        <v>8.958333333333373</v>
      </c>
    </row>
    <row r="2996" spans="1:9" x14ac:dyDescent="0.2">
      <c r="A2996" t="s">
        <v>3312</v>
      </c>
      <c r="B2996">
        <v>3.294</v>
      </c>
      <c r="C2996">
        <v>4.6135000000000002E-2</v>
      </c>
      <c r="D2996">
        <v>264</v>
      </c>
      <c r="E2996" t="s">
        <v>3312</v>
      </c>
      <c r="F2996">
        <v>264</v>
      </c>
      <c r="G2996" s="1">
        <v>45190</v>
      </c>
      <c r="H2996" s="6">
        <f t="shared" si="94"/>
        <v>8.9687500000000391</v>
      </c>
      <c r="I2996" s="7">
        <f t="shared" si="95"/>
        <v>8.9687500000000391</v>
      </c>
    </row>
    <row r="2997" spans="1:9" x14ac:dyDescent="0.2">
      <c r="A2997" t="s">
        <v>3313</v>
      </c>
      <c r="B2997">
        <v>3.2835000000000001</v>
      </c>
      <c r="C2997">
        <v>4.5999999999999999E-2</v>
      </c>
      <c r="D2997">
        <v>264</v>
      </c>
      <c r="E2997" t="s">
        <v>3313</v>
      </c>
      <c r="F2997">
        <v>264</v>
      </c>
      <c r="G2997" s="1">
        <v>45190</v>
      </c>
      <c r="H2997" s="6">
        <f t="shared" si="94"/>
        <v>8.9791666666667052</v>
      </c>
      <c r="I2997" s="7">
        <f t="shared" si="95"/>
        <v>8.9791666666667052</v>
      </c>
    </row>
    <row r="2998" spans="1:9" x14ac:dyDescent="0.2">
      <c r="A2998" t="s">
        <v>3314</v>
      </c>
      <c r="B2998">
        <v>3.2934999999999999</v>
      </c>
      <c r="C2998" s="2" t="s">
        <v>3315</v>
      </c>
      <c r="D2998">
        <v>264</v>
      </c>
      <c r="E2998" t="s">
        <v>3314</v>
      </c>
      <c r="F2998">
        <v>264</v>
      </c>
      <c r="G2998" s="1">
        <v>45190</v>
      </c>
      <c r="H2998" s="6">
        <f t="shared" si="94"/>
        <v>8.9895833333333712</v>
      </c>
      <c r="I2998" s="7">
        <f t="shared" si="95"/>
        <v>8.9895833333333712</v>
      </c>
    </row>
    <row r="2999" spans="1:9" x14ac:dyDescent="0.2">
      <c r="A2999" t="s">
        <v>3316</v>
      </c>
      <c r="B2999">
        <v>3.2930000000000001</v>
      </c>
      <c r="C2999">
        <v>4.6109999999999998E-2</v>
      </c>
      <c r="D2999">
        <v>264</v>
      </c>
      <c r="E2999" t="s">
        <v>3316</v>
      </c>
      <c r="F2999">
        <v>264</v>
      </c>
      <c r="G2999" s="1">
        <v>45190</v>
      </c>
      <c r="H2999" s="6">
        <f t="shared" si="94"/>
        <v>9.0000000000000373</v>
      </c>
      <c r="I2999" s="7">
        <f t="shared" si="95"/>
        <v>9.0000000000000373</v>
      </c>
    </row>
    <row r="3000" spans="1:9" x14ac:dyDescent="0.2">
      <c r="A3000" t="s">
        <v>3317</v>
      </c>
      <c r="B3000" s="2" t="s">
        <v>3318</v>
      </c>
      <c r="C3000">
        <v>4.6214999999999999E-2</v>
      </c>
      <c r="D3000">
        <v>264</v>
      </c>
      <c r="E3000" t="s">
        <v>3317</v>
      </c>
      <c r="F3000">
        <v>264</v>
      </c>
      <c r="G3000" s="1">
        <v>45190</v>
      </c>
      <c r="H3000" s="6">
        <f t="shared" si="94"/>
        <v>9.0104166666667034</v>
      </c>
      <c r="I3000" s="7">
        <f t="shared" si="95"/>
        <v>9.0104166666667034</v>
      </c>
    </row>
    <row r="3001" spans="1:9" x14ac:dyDescent="0.2">
      <c r="A3001" t="s">
        <v>3319</v>
      </c>
      <c r="B3001">
        <v>3.2429999999999999</v>
      </c>
      <c r="C3001" s="2" t="s">
        <v>3320</v>
      </c>
      <c r="D3001">
        <v>264</v>
      </c>
      <c r="E3001" t="s">
        <v>3319</v>
      </c>
      <c r="F3001">
        <v>264</v>
      </c>
      <c r="G3001" s="1">
        <v>45190</v>
      </c>
      <c r="H3001" s="6">
        <f t="shared" si="94"/>
        <v>9.0208333333333695</v>
      </c>
      <c r="I3001" s="7">
        <f t="shared" si="95"/>
        <v>9.0208333333333695</v>
      </c>
    </row>
    <row r="3002" spans="1:9" x14ac:dyDescent="0.2">
      <c r="A3002" t="s">
        <v>3321</v>
      </c>
      <c r="B3002">
        <v>3.29</v>
      </c>
      <c r="C3002">
        <v>4.6065000000000002E-2</v>
      </c>
      <c r="D3002">
        <v>264</v>
      </c>
      <c r="E3002" t="s">
        <v>3321</v>
      </c>
      <c r="F3002">
        <v>264</v>
      </c>
      <c r="G3002" s="1">
        <v>45190</v>
      </c>
      <c r="H3002" s="6">
        <f t="shared" si="94"/>
        <v>9.0312500000000355</v>
      </c>
      <c r="I3002" s="7">
        <f t="shared" si="95"/>
        <v>9.0312500000000355</v>
      </c>
    </row>
    <row r="3003" spans="1:9" x14ac:dyDescent="0.2">
      <c r="A3003" t="s">
        <v>3322</v>
      </c>
      <c r="B3003">
        <v>3.278</v>
      </c>
      <c r="C3003">
        <v>4.5914999999999997E-2</v>
      </c>
      <c r="D3003">
        <v>264</v>
      </c>
      <c r="E3003" t="s">
        <v>3322</v>
      </c>
      <c r="F3003">
        <v>264</v>
      </c>
      <c r="G3003" s="1">
        <v>45190</v>
      </c>
      <c r="H3003" s="6">
        <f t="shared" si="94"/>
        <v>9.0416666666667016</v>
      </c>
      <c r="I3003" s="7">
        <f t="shared" si="95"/>
        <v>9.0416666666667016</v>
      </c>
    </row>
    <row r="3004" spans="1:9" x14ac:dyDescent="0.2">
      <c r="A3004" t="s">
        <v>3323</v>
      </c>
      <c r="B3004">
        <v>3.2810000000000001</v>
      </c>
      <c r="C3004">
        <v>4.598E-2</v>
      </c>
      <c r="D3004">
        <v>264</v>
      </c>
      <c r="E3004" t="s">
        <v>3323</v>
      </c>
      <c r="F3004">
        <v>264</v>
      </c>
      <c r="G3004" s="1">
        <v>45190</v>
      </c>
      <c r="H3004" s="6">
        <f t="shared" si="94"/>
        <v>9.0520833333333677</v>
      </c>
      <c r="I3004" s="7">
        <f t="shared" si="95"/>
        <v>9.0520833333333677</v>
      </c>
    </row>
    <row r="3005" spans="1:9" x14ac:dyDescent="0.2">
      <c r="A3005" t="s">
        <v>3324</v>
      </c>
      <c r="B3005">
        <v>3.2854999999999999</v>
      </c>
      <c r="C3005">
        <v>4.6025000000000003E-2</v>
      </c>
      <c r="D3005">
        <v>264</v>
      </c>
      <c r="E3005" t="s">
        <v>3324</v>
      </c>
      <c r="F3005">
        <v>264</v>
      </c>
      <c r="G3005" s="1">
        <v>45190</v>
      </c>
      <c r="H3005" s="6">
        <f t="shared" si="94"/>
        <v>9.0625000000000338</v>
      </c>
      <c r="I3005" s="7">
        <f t="shared" si="95"/>
        <v>9.0625000000000338</v>
      </c>
    </row>
    <row r="3006" spans="1:9" x14ac:dyDescent="0.2">
      <c r="A3006" t="s">
        <v>3325</v>
      </c>
      <c r="B3006">
        <v>3.2959999999999998</v>
      </c>
      <c r="C3006">
        <v>4.616E-2</v>
      </c>
      <c r="D3006">
        <v>264</v>
      </c>
      <c r="E3006" t="s">
        <v>3325</v>
      </c>
      <c r="F3006">
        <v>264</v>
      </c>
      <c r="G3006" s="1">
        <v>45190</v>
      </c>
      <c r="H3006" s="6">
        <f t="shared" si="94"/>
        <v>9.0729166666666998</v>
      </c>
      <c r="I3006" s="7">
        <f t="shared" si="95"/>
        <v>9.0729166666666998</v>
      </c>
    </row>
    <row r="3007" spans="1:9" x14ac:dyDescent="0.2">
      <c r="A3007" t="s">
        <v>3326</v>
      </c>
      <c r="B3007" s="2" t="s">
        <v>1071</v>
      </c>
      <c r="C3007">
        <v>4.6085000000000001E-2</v>
      </c>
      <c r="D3007">
        <v>264</v>
      </c>
      <c r="E3007" t="s">
        <v>3326</v>
      </c>
      <c r="F3007">
        <v>264</v>
      </c>
      <c r="G3007" s="1">
        <v>45190</v>
      </c>
      <c r="H3007" s="6">
        <f t="shared" si="94"/>
        <v>9.0833333333333659</v>
      </c>
      <c r="I3007" s="7">
        <f t="shared" si="95"/>
        <v>9.0833333333333659</v>
      </c>
    </row>
    <row r="3008" spans="1:9" x14ac:dyDescent="0.2">
      <c r="A3008" t="s">
        <v>3327</v>
      </c>
      <c r="B3008">
        <v>3.2869999999999999</v>
      </c>
      <c r="C3008">
        <v>4.6050000000000001E-2</v>
      </c>
      <c r="D3008">
        <v>264</v>
      </c>
      <c r="E3008" t="s">
        <v>3327</v>
      </c>
      <c r="F3008">
        <v>264</v>
      </c>
      <c r="G3008" s="1">
        <v>45190</v>
      </c>
      <c r="H3008" s="6">
        <f t="shared" si="94"/>
        <v>9.093750000000032</v>
      </c>
      <c r="I3008" s="7">
        <f t="shared" si="95"/>
        <v>9.093750000000032</v>
      </c>
    </row>
    <row r="3009" spans="1:9" x14ac:dyDescent="0.2">
      <c r="A3009" t="s">
        <v>3328</v>
      </c>
      <c r="B3009">
        <v>3.27</v>
      </c>
      <c r="C3009">
        <v>4.5804999999999998E-2</v>
      </c>
      <c r="D3009">
        <v>264</v>
      </c>
      <c r="E3009" t="s">
        <v>3328</v>
      </c>
      <c r="F3009">
        <v>264</v>
      </c>
      <c r="G3009" s="1">
        <v>45190</v>
      </c>
      <c r="H3009" s="6">
        <f t="shared" si="94"/>
        <v>9.104166666666698</v>
      </c>
      <c r="I3009" s="7">
        <f t="shared" si="95"/>
        <v>9.104166666666698</v>
      </c>
    </row>
    <row r="3010" spans="1:9" x14ac:dyDescent="0.2">
      <c r="A3010" t="s">
        <v>3329</v>
      </c>
      <c r="B3010">
        <v>3.3029999999999999</v>
      </c>
      <c r="C3010" s="2" t="s">
        <v>3171</v>
      </c>
      <c r="D3010">
        <v>264</v>
      </c>
      <c r="E3010" t="s">
        <v>3329</v>
      </c>
      <c r="F3010">
        <v>264</v>
      </c>
      <c r="G3010" s="1">
        <v>45190</v>
      </c>
      <c r="H3010" s="6">
        <f t="shared" si="94"/>
        <v>9.1145833333333641</v>
      </c>
      <c r="I3010" s="7">
        <f t="shared" si="95"/>
        <v>9.1145833333333641</v>
      </c>
    </row>
    <row r="3011" spans="1:9" x14ac:dyDescent="0.2">
      <c r="A3011" t="s">
        <v>3330</v>
      </c>
      <c r="B3011">
        <v>3.2835000000000001</v>
      </c>
      <c r="C3011">
        <v>4.5995000000000001E-2</v>
      </c>
      <c r="D3011">
        <v>264</v>
      </c>
      <c r="E3011" t="s">
        <v>3330</v>
      </c>
      <c r="F3011">
        <v>264</v>
      </c>
      <c r="G3011" s="1">
        <v>45190</v>
      </c>
      <c r="H3011" s="6">
        <f t="shared" si="94"/>
        <v>9.1250000000000302</v>
      </c>
      <c r="I3011" s="7">
        <f t="shared" si="95"/>
        <v>9.1250000000000302</v>
      </c>
    </row>
    <row r="3012" spans="1:9" x14ac:dyDescent="0.2">
      <c r="A3012" t="s">
        <v>3331</v>
      </c>
      <c r="B3012">
        <v>3.3205</v>
      </c>
      <c r="C3012">
        <v>4.65E-2</v>
      </c>
      <c r="D3012">
        <v>264</v>
      </c>
      <c r="E3012" t="s">
        <v>3331</v>
      </c>
      <c r="F3012">
        <v>264</v>
      </c>
      <c r="G3012" s="1">
        <v>45190</v>
      </c>
      <c r="H3012" s="6">
        <f t="shared" si="94"/>
        <v>9.1354166666666963</v>
      </c>
      <c r="I3012" s="7">
        <f t="shared" si="95"/>
        <v>9.1354166666666963</v>
      </c>
    </row>
    <row r="3013" spans="1:9" x14ac:dyDescent="0.2">
      <c r="A3013" t="s">
        <v>3332</v>
      </c>
      <c r="B3013">
        <v>3.3370000000000002</v>
      </c>
      <c r="C3013">
        <v>4.6739999999999997E-2</v>
      </c>
      <c r="D3013">
        <v>264</v>
      </c>
      <c r="E3013" t="s">
        <v>3332</v>
      </c>
      <c r="F3013">
        <v>264</v>
      </c>
      <c r="G3013" s="1">
        <v>45190</v>
      </c>
      <c r="H3013" s="6">
        <f t="shared" si="94"/>
        <v>9.1458333333333623</v>
      </c>
      <c r="I3013" s="7">
        <f t="shared" si="95"/>
        <v>9.1458333333333623</v>
      </c>
    </row>
    <row r="3014" spans="1:9" x14ac:dyDescent="0.2">
      <c r="A3014" t="s">
        <v>3333</v>
      </c>
      <c r="B3014" s="2" t="s">
        <v>3334</v>
      </c>
      <c r="C3014">
        <v>4.6365000000000003E-2</v>
      </c>
      <c r="D3014">
        <v>264</v>
      </c>
      <c r="E3014" t="s">
        <v>3333</v>
      </c>
      <c r="F3014">
        <v>264</v>
      </c>
      <c r="G3014" s="1">
        <v>45190</v>
      </c>
      <c r="H3014" s="6">
        <f t="shared" si="94"/>
        <v>9.1562500000000284</v>
      </c>
      <c r="I3014" s="7">
        <f t="shared" si="95"/>
        <v>9.1562500000000284</v>
      </c>
    </row>
    <row r="3015" spans="1:9" x14ac:dyDescent="0.2">
      <c r="A3015" t="s">
        <v>3335</v>
      </c>
      <c r="B3015">
        <v>3.3025000000000002</v>
      </c>
      <c r="C3015">
        <v>4.6240000000000003E-2</v>
      </c>
      <c r="D3015">
        <v>264</v>
      </c>
      <c r="E3015" t="s">
        <v>3335</v>
      </c>
      <c r="F3015">
        <v>264</v>
      </c>
      <c r="G3015" s="1">
        <v>45190</v>
      </c>
      <c r="H3015" s="6">
        <f t="shared" si="94"/>
        <v>9.1666666666666945</v>
      </c>
      <c r="I3015" s="7">
        <f t="shared" si="95"/>
        <v>9.1666666666666945</v>
      </c>
    </row>
    <row r="3016" spans="1:9" x14ac:dyDescent="0.2">
      <c r="A3016" t="s">
        <v>3336</v>
      </c>
      <c r="B3016">
        <v>3.31</v>
      </c>
      <c r="C3016">
        <v>4.6359999999999998E-2</v>
      </c>
      <c r="D3016">
        <v>264</v>
      </c>
      <c r="E3016" t="s">
        <v>3336</v>
      </c>
      <c r="F3016">
        <v>264</v>
      </c>
      <c r="G3016" s="1">
        <v>45190</v>
      </c>
      <c r="H3016" s="6">
        <f t="shared" si="94"/>
        <v>9.1770833333333606</v>
      </c>
      <c r="I3016" s="7">
        <f t="shared" si="95"/>
        <v>9.1770833333333606</v>
      </c>
    </row>
    <row r="3017" spans="1:9" x14ac:dyDescent="0.2">
      <c r="A3017" t="s">
        <v>3337</v>
      </c>
      <c r="B3017">
        <v>3.3050000000000002</v>
      </c>
      <c r="C3017">
        <v>4.6300000000000001E-2</v>
      </c>
      <c r="D3017">
        <v>264</v>
      </c>
      <c r="E3017" t="s">
        <v>3337</v>
      </c>
      <c r="F3017">
        <v>264</v>
      </c>
      <c r="G3017" s="1">
        <v>45190</v>
      </c>
      <c r="H3017" s="6">
        <f t="shared" si="94"/>
        <v>9.1875000000000266</v>
      </c>
      <c r="I3017" s="7">
        <f t="shared" si="95"/>
        <v>9.1875000000000266</v>
      </c>
    </row>
    <row r="3018" spans="1:9" x14ac:dyDescent="0.2">
      <c r="A3018" t="s">
        <v>3338</v>
      </c>
      <c r="B3018">
        <v>3.3134999999999999</v>
      </c>
      <c r="C3018">
        <v>4.6429999999999999E-2</v>
      </c>
      <c r="D3018">
        <v>264</v>
      </c>
      <c r="E3018" t="s">
        <v>3338</v>
      </c>
      <c r="F3018">
        <v>264</v>
      </c>
      <c r="G3018" s="1">
        <v>45190</v>
      </c>
      <c r="H3018" s="6">
        <f t="shared" si="94"/>
        <v>9.1979166666666927</v>
      </c>
      <c r="I3018" s="7">
        <f t="shared" si="95"/>
        <v>9.1979166666666927</v>
      </c>
    </row>
    <row r="3019" spans="1:9" x14ac:dyDescent="0.2">
      <c r="A3019" t="s">
        <v>3339</v>
      </c>
      <c r="B3019">
        <v>3.2995000000000001</v>
      </c>
      <c r="C3019">
        <v>4.6234999999999998E-2</v>
      </c>
      <c r="D3019">
        <v>264</v>
      </c>
      <c r="E3019" t="s">
        <v>3339</v>
      </c>
      <c r="F3019">
        <v>264</v>
      </c>
      <c r="G3019" s="1">
        <v>45190</v>
      </c>
      <c r="H3019" s="6">
        <f t="shared" si="94"/>
        <v>9.2083333333333588</v>
      </c>
      <c r="I3019" s="7">
        <f t="shared" si="95"/>
        <v>9.2083333333333588</v>
      </c>
    </row>
    <row r="3020" spans="1:9" x14ac:dyDescent="0.2">
      <c r="A3020" t="s">
        <v>3340</v>
      </c>
      <c r="B3020">
        <v>3.331</v>
      </c>
      <c r="C3020">
        <v>4.6664999999999998E-2</v>
      </c>
      <c r="D3020">
        <v>264</v>
      </c>
      <c r="E3020" t="s">
        <v>3340</v>
      </c>
      <c r="F3020">
        <v>264</v>
      </c>
      <c r="G3020" s="1">
        <v>45190</v>
      </c>
      <c r="H3020" s="6">
        <f t="shared" si="94"/>
        <v>9.2187500000000249</v>
      </c>
      <c r="I3020" s="7">
        <f t="shared" si="95"/>
        <v>9.2187500000000249</v>
      </c>
    </row>
    <row r="3021" spans="1:9" x14ac:dyDescent="0.2">
      <c r="A3021" t="s">
        <v>3341</v>
      </c>
      <c r="B3021">
        <v>3.3149999999999999</v>
      </c>
      <c r="C3021">
        <v>4.6440000000000002E-2</v>
      </c>
      <c r="D3021">
        <v>264</v>
      </c>
      <c r="E3021" t="s">
        <v>3341</v>
      </c>
      <c r="F3021">
        <v>264</v>
      </c>
      <c r="G3021" s="1">
        <v>45190</v>
      </c>
      <c r="H3021" s="6">
        <f t="shared" si="94"/>
        <v>9.2291666666666909</v>
      </c>
      <c r="I3021" s="7">
        <f t="shared" si="95"/>
        <v>9.2291666666666909</v>
      </c>
    </row>
    <row r="3022" spans="1:9" x14ac:dyDescent="0.2">
      <c r="A3022" t="s">
        <v>3342</v>
      </c>
      <c r="B3022">
        <v>3.3260000000000001</v>
      </c>
      <c r="C3022">
        <v>4.6594999999999998E-2</v>
      </c>
      <c r="D3022">
        <v>264</v>
      </c>
      <c r="E3022" t="s">
        <v>3342</v>
      </c>
      <c r="F3022">
        <v>264</v>
      </c>
      <c r="G3022" s="1">
        <v>45190</v>
      </c>
      <c r="H3022" s="6">
        <f t="shared" si="94"/>
        <v>9.239583333333357</v>
      </c>
      <c r="I3022" s="7">
        <f t="shared" si="95"/>
        <v>9.239583333333357</v>
      </c>
    </row>
    <row r="3023" spans="1:9" x14ac:dyDescent="0.2">
      <c r="A3023" t="s">
        <v>3343</v>
      </c>
      <c r="B3023" s="2" t="s">
        <v>3344</v>
      </c>
      <c r="C3023">
        <v>4.6475000000000002E-2</v>
      </c>
      <c r="D3023">
        <v>264</v>
      </c>
      <c r="E3023" t="s">
        <v>3343</v>
      </c>
      <c r="F3023">
        <v>264</v>
      </c>
      <c r="G3023" s="1">
        <v>45190</v>
      </c>
      <c r="H3023" s="6">
        <f t="shared" si="94"/>
        <v>9.2500000000000231</v>
      </c>
      <c r="I3023" s="7">
        <f t="shared" si="95"/>
        <v>9.2500000000000231</v>
      </c>
    </row>
    <row r="3024" spans="1:9" x14ac:dyDescent="0.2">
      <c r="A3024" t="s">
        <v>3345</v>
      </c>
      <c r="B3024">
        <v>3.282</v>
      </c>
      <c r="C3024">
        <v>4.5955000000000003E-2</v>
      </c>
      <c r="D3024">
        <v>264</v>
      </c>
      <c r="E3024" t="s">
        <v>3345</v>
      </c>
      <c r="F3024">
        <v>264</v>
      </c>
      <c r="G3024" s="1">
        <v>45190</v>
      </c>
      <c r="H3024" s="6">
        <f t="shared" si="94"/>
        <v>9.2604166666666892</v>
      </c>
      <c r="I3024" s="7">
        <f t="shared" si="95"/>
        <v>9.2604166666666892</v>
      </c>
    </row>
    <row r="3025" spans="1:9" x14ac:dyDescent="0.2">
      <c r="A3025" t="s">
        <v>3346</v>
      </c>
      <c r="B3025">
        <v>3.2865000000000002</v>
      </c>
      <c r="C3025">
        <v>4.6030000000000001E-2</v>
      </c>
      <c r="D3025">
        <v>264</v>
      </c>
      <c r="E3025" t="s">
        <v>3346</v>
      </c>
      <c r="F3025">
        <v>264</v>
      </c>
      <c r="G3025" s="1">
        <v>45190</v>
      </c>
      <c r="H3025" s="6">
        <f t="shared" si="94"/>
        <v>9.2708333333333552</v>
      </c>
      <c r="I3025" s="7">
        <f t="shared" si="95"/>
        <v>9.2708333333333552</v>
      </c>
    </row>
    <row r="3026" spans="1:9" x14ac:dyDescent="0.2">
      <c r="A3026" t="s">
        <v>3347</v>
      </c>
      <c r="B3026">
        <v>3.286</v>
      </c>
      <c r="C3026">
        <v>4.6050000000000001E-2</v>
      </c>
      <c r="D3026">
        <v>264</v>
      </c>
      <c r="E3026" t="s">
        <v>3347</v>
      </c>
      <c r="F3026">
        <v>264</v>
      </c>
      <c r="G3026" s="1">
        <v>45190</v>
      </c>
      <c r="H3026" s="6">
        <f t="shared" si="94"/>
        <v>9.2812500000000213</v>
      </c>
      <c r="I3026" s="7">
        <f t="shared" si="95"/>
        <v>9.2812500000000213</v>
      </c>
    </row>
    <row r="3027" spans="1:9" x14ac:dyDescent="0.2">
      <c r="A3027" t="s">
        <v>3348</v>
      </c>
      <c r="B3027">
        <v>3.27</v>
      </c>
      <c r="C3027">
        <v>4.5789999999999997E-2</v>
      </c>
      <c r="D3027">
        <v>264</v>
      </c>
      <c r="E3027" t="s">
        <v>3348</v>
      </c>
      <c r="F3027">
        <v>264</v>
      </c>
      <c r="G3027" s="1">
        <v>45190</v>
      </c>
      <c r="H3027" s="6">
        <f t="shared" si="94"/>
        <v>9.2916666666666874</v>
      </c>
      <c r="I3027" s="7">
        <f t="shared" si="95"/>
        <v>9.2916666666666874</v>
      </c>
    </row>
    <row r="3028" spans="1:9" x14ac:dyDescent="0.2">
      <c r="A3028" t="s">
        <v>3349</v>
      </c>
      <c r="B3028">
        <v>3.2795000000000001</v>
      </c>
      <c r="C3028">
        <v>4.5945E-2</v>
      </c>
      <c r="D3028">
        <v>264</v>
      </c>
      <c r="E3028" t="s">
        <v>3349</v>
      </c>
      <c r="F3028">
        <v>264</v>
      </c>
      <c r="G3028" s="1">
        <v>45190</v>
      </c>
      <c r="H3028" s="6">
        <f t="shared" si="94"/>
        <v>9.3020833333333535</v>
      </c>
      <c r="I3028" s="7">
        <f t="shared" si="95"/>
        <v>9.3020833333333535</v>
      </c>
    </row>
    <row r="3029" spans="1:9" x14ac:dyDescent="0.2">
      <c r="A3029" t="s">
        <v>3350</v>
      </c>
      <c r="B3029">
        <v>3.262</v>
      </c>
      <c r="C3029">
        <v>4.5685000000000003E-2</v>
      </c>
      <c r="D3029">
        <v>264</v>
      </c>
      <c r="E3029" t="s">
        <v>3350</v>
      </c>
      <c r="F3029">
        <v>264</v>
      </c>
      <c r="G3029" s="1">
        <v>45190</v>
      </c>
      <c r="H3029" s="6">
        <f t="shared" si="94"/>
        <v>9.3125000000000195</v>
      </c>
      <c r="I3029" s="7">
        <f t="shared" si="95"/>
        <v>9.3125000000000195</v>
      </c>
    </row>
    <row r="3030" spans="1:9" x14ac:dyDescent="0.2">
      <c r="A3030" t="s">
        <v>3351</v>
      </c>
      <c r="B3030">
        <v>3.2665000000000002</v>
      </c>
      <c r="C3030">
        <v>4.5765E-2</v>
      </c>
      <c r="D3030">
        <v>264</v>
      </c>
      <c r="E3030" t="s">
        <v>3351</v>
      </c>
      <c r="F3030">
        <v>264</v>
      </c>
      <c r="G3030" s="1">
        <v>45190</v>
      </c>
      <c r="H3030" s="6">
        <f t="shared" si="94"/>
        <v>9.3229166666666856</v>
      </c>
      <c r="I3030" s="7">
        <f t="shared" si="95"/>
        <v>9.3229166666666856</v>
      </c>
    </row>
    <row r="3031" spans="1:9" x14ac:dyDescent="0.2">
      <c r="A3031" t="s">
        <v>3352</v>
      </c>
      <c r="B3031">
        <v>3.2715000000000001</v>
      </c>
      <c r="C3031">
        <v>4.582E-2</v>
      </c>
      <c r="D3031">
        <v>264</v>
      </c>
      <c r="E3031" t="s">
        <v>3352</v>
      </c>
      <c r="F3031">
        <v>264</v>
      </c>
      <c r="G3031" s="1">
        <v>45190</v>
      </c>
      <c r="H3031" s="6">
        <f t="shared" si="94"/>
        <v>9.3333333333333517</v>
      </c>
      <c r="I3031" s="7">
        <f t="shared" si="95"/>
        <v>9.3333333333333517</v>
      </c>
    </row>
    <row r="3032" spans="1:9" x14ac:dyDescent="0.2">
      <c r="A3032" t="s">
        <v>3353</v>
      </c>
      <c r="B3032">
        <v>3.3094999999999999</v>
      </c>
      <c r="C3032">
        <v>4.6344999999999997E-2</v>
      </c>
      <c r="D3032">
        <v>264</v>
      </c>
      <c r="E3032" t="s">
        <v>3353</v>
      </c>
      <c r="F3032">
        <v>264</v>
      </c>
      <c r="G3032" s="1">
        <v>45190</v>
      </c>
      <c r="H3032" s="6">
        <f t="shared" si="94"/>
        <v>9.3437500000000178</v>
      </c>
      <c r="I3032" s="7">
        <f t="shared" si="95"/>
        <v>9.3437500000000178</v>
      </c>
    </row>
    <row r="3033" spans="1:9" x14ac:dyDescent="0.2">
      <c r="A3033" t="s">
        <v>3354</v>
      </c>
      <c r="B3033">
        <v>3.2635000000000001</v>
      </c>
      <c r="C3033">
        <v>4.5705000000000003E-2</v>
      </c>
      <c r="D3033">
        <v>264</v>
      </c>
      <c r="E3033" t="s">
        <v>3354</v>
      </c>
      <c r="F3033">
        <v>264</v>
      </c>
      <c r="G3033" s="1">
        <v>45190</v>
      </c>
      <c r="H3033" s="6">
        <f t="shared" si="94"/>
        <v>9.3541666666666838</v>
      </c>
      <c r="I3033" s="7">
        <f t="shared" si="95"/>
        <v>9.3541666666666838</v>
      </c>
    </row>
    <row r="3034" spans="1:9" x14ac:dyDescent="0.2">
      <c r="A3034" t="s">
        <v>3355</v>
      </c>
      <c r="B3034">
        <v>3.2850000000000001</v>
      </c>
      <c r="C3034">
        <v>4.5995000000000001E-2</v>
      </c>
      <c r="D3034">
        <v>264</v>
      </c>
      <c r="E3034" t="s">
        <v>3355</v>
      </c>
      <c r="F3034">
        <v>264</v>
      </c>
      <c r="G3034" s="1">
        <v>45190</v>
      </c>
      <c r="H3034" s="6">
        <f t="shared" si="94"/>
        <v>9.3645833333333499</v>
      </c>
      <c r="I3034" s="7">
        <f t="shared" si="95"/>
        <v>9.3645833333333499</v>
      </c>
    </row>
    <row r="3035" spans="1:9" x14ac:dyDescent="0.2">
      <c r="A3035" t="s">
        <v>3356</v>
      </c>
      <c r="B3035">
        <v>3.2789999999999999</v>
      </c>
      <c r="C3035">
        <v>4.5949999999999998E-2</v>
      </c>
      <c r="D3035">
        <v>264</v>
      </c>
      <c r="E3035" t="s">
        <v>3356</v>
      </c>
      <c r="F3035">
        <v>264</v>
      </c>
      <c r="G3035" s="1">
        <v>45190</v>
      </c>
      <c r="H3035" s="6">
        <f t="shared" si="94"/>
        <v>9.375000000000016</v>
      </c>
      <c r="I3035" s="7">
        <f t="shared" si="95"/>
        <v>9.375000000000016</v>
      </c>
    </row>
    <row r="3036" spans="1:9" x14ac:dyDescent="0.2">
      <c r="A3036" t="s">
        <v>3357</v>
      </c>
      <c r="B3036">
        <v>3.2635000000000001</v>
      </c>
      <c r="C3036">
        <v>4.5719999999999997E-2</v>
      </c>
      <c r="D3036">
        <v>264</v>
      </c>
      <c r="E3036" t="s">
        <v>3357</v>
      </c>
      <c r="F3036">
        <v>264</v>
      </c>
      <c r="G3036" s="1">
        <v>45190</v>
      </c>
      <c r="H3036" s="6">
        <f t="shared" ref="H3036:H3099" si="96">H3035+$K$1</f>
        <v>9.3854166666666821</v>
      </c>
      <c r="I3036" s="7">
        <f t="shared" ref="I3036:I3099" si="97">I3035+$K$1</f>
        <v>9.3854166666666821</v>
      </c>
    </row>
    <row r="3037" spans="1:9" x14ac:dyDescent="0.2">
      <c r="A3037" t="s">
        <v>3358</v>
      </c>
      <c r="B3037">
        <v>3.2825000000000002</v>
      </c>
      <c r="C3037">
        <v>4.5984999999999998E-2</v>
      </c>
      <c r="D3037">
        <v>264</v>
      </c>
      <c r="E3037" t="s">
        <v>3358</v>
      </c>
      <c r="F3037">
        <v>264</v>
      </c>
      <c r="G3037" s="1">
        <v>45190</v>
      </c>
      <c r="H3037" s="6">
        <f t="shared" si="96"/>
        <v>9.3958333333333481</v>
      </c>
      <c r="I3037" s="7">
        <f t="shared" si="97"/>
        <v>9.3958333333333481</v>
      </c>
    </row>
    <row r="3038" spans="1:9" x14ac:dyDescent="0.2">
      <c r="A3038" t="s">
        <v>3359</v>
      </c>
      <c r="B3038">
        <v>3.26</v>
      </c>
      <c r="C3038">
        <v>4.5670000000000002E-2</v>
      </c>
      <c r="D3038">
        <v>264</v>
      </c>
      <c r="E3038" t="s">
        <v>3359</v>
      </c>
      <c r="F3038">
        <v>264</v>
      </c>
      <c r="G3038" s="1">
        <v>45190</v>
      </c>
      <c r="H3038" s="6">
        <f t="shared" si="96"/>
        <v>9.4062500000000142</v>
      </c>
      <c r="I3038" s="7">
        <f t="shared" si="97"/>
        <v>9.4062500000000142</v>
      </c>
    </row>
    <row r="3039" spans="1:9" x14ac:dyDescent="0.2">
      <c r="A3039" t="s">
        <v>3360</v>
      </c>
      <c r="B3039">
        <v>3.2595000000000001</v>
      </c>
      <c r="C3039">
        <v>4.564E-2</v>
      </c>
      <c r="D3039">
        <v>264</v>
      </c>
      <c r="E3039" t="s">
        <v>3360</v>
      </c>
      <c r="F3039">
        <v>264</v>
      </c>
      <c r="G3039" s="1">
        <v>45190</v>
      </c>
      <c r="H3039" s="6">
        <f t="shared" si="96"/>
        <v>9.4166666666666803</v>
      </c>
      <c r="I3039" s="7">
        <f t="shared" si="97"/>
        <v>9.4166666666666803</v>
      </c>
    </row>
    <row r="3040" spans="1:9" x14ac:dyDescent="0.2">
      <c r="A3040" t="s">
        <v>3361</v>
      </c>
      <c r="B3040">
        <v>3.2709999999999999</v>
      </c>
      <c r="C3040">
        <v>4.5835000000000001E-2</v>
      </c>
      <c r="D3040">
        <v>264</v>
      </c>
      <c r="E3040" t="s">
        <v>3361</v>
      </c>
      <c r="F3040">
        <v>264</v>
      </c>
      <c r="G3040" s="1">
        <v>45190</v>
      </c>
      <c r="H3040" s="6">
        <f t="shared" si="96"/>
        <v>9.4270833333333464</v>
      </c>
      <c r="I3040" s="7">
        <f t="shared" si="97"/>
        <v>9.4270833333333464</v>
      </c>
    </row>
    <row r="3041" spans="1:9" x14ac:dyDescent="0.2">
      <c r="A3041" t="s">
        <v>3362</v>
      </c>
      <c r="B3041">
        <v>3.242</v>
      </c>
      <c r="C3041">
        <v>4.5409999999999999E-2</v>
      </c>
      <c r="D3041">
        <v>264</v>
      </c>
      <c r="E3041" t="s">
        <v>3362</v>
      </c>
      <c r="F3041">
        <v>264</v>
      </c>
      <c r="G3041" s="1">
        <v>45190</v>
      </c>
      <c r="H3041" s="6">
        <f t="shared" si="96"/>
        <v>9.4375000000000124</v>
      </c>
      <c r="I3041" s="7">
        <f t="shared" si="97"/>
        <v>9.4375000000000124</v>
      </c>
    </row>
    <row r="3042" spans="1:9" x14ac:dyDescent="0.2">
      <c r="A3042" t="s">
        <v>3363</v>
      </c>
      <c r="B3042">
        <v>3.2719999999999998</v>
      </c>
      <c r="C3042">
        <v>4.5839999999999999E-2</v>
      </c>
      <c r="D3042">
        <v>264</v>
      </c>
      <c r="E3042" t="s">
        <v>3363</v>
      </c>
      <c r="F3042">
        <v>264</v>
      </c>
      <c r="G3042" s="1">
        <v>45190</v>
      </c>
      <c r="H3042" s="6">
        <f t="shared" si="96"/>
        <v>9.4479166666666785</v>
      </c>
      <c r="I3042" s="7">
        <f t="shared" si="97"/>
        <v>9.4479166666666785</v>
      </c>
    </row>
    <row r="3043" spans="1:9" x14ac:dyDescent="0.2">
      <c r="A3043" t="s">
        <v>3364</v>
      </c>
      <c r="B3043">
        <v>3.2709999999999999</v>
      </c>
      <c r="C3043">
        <v>4.5830000000000003E-2</v>
      </c>
      <c r="D3043">
        <v>264</v>
      </c>
      <c r="E3043" t="s">
        <v>3364</v>
      </c>
      <c r="F3043">
        <v>264</v>
      </c>
      <c r="G3043" s="1">
        <v>45190</v>
      </c>
      <c r="H3043" s="6">
        <f t="shared" si="96"/>
        <v>9.4583333333333446</v>
      </c>
      <c r="I3043" s="7">
        <f t="shared" si="97"/>
        <v>9.4583333333333446</v>
      </c>
    </row>
    <row r="3044" spans="1:9" x14ac:dyDescent="0.2">
      <c r="A3044" t="s">
        <v>3365</v>
      </c>
      <c r="B3044">
        <v>3.2629999999999999</v>
      </c>
      <c r="C3044">
        <v>4.5679999999999998E-2</v>
      </c>
      <c r="D3044">
        <v>264</v>
      </c>
      <c r="E3044" t="s">
        <v>3365</v>
      </c>
      <c r="F3044">
        <v>264</v>
      </c>
      <c r="G3044" s="1">
        <v>45190</v>
      </c>
      <c r="H3044" s="6">
        <f t="shared" si="96"/>
        <v>9.4687500000000107</v>
      </c>
      <c r="I3044" s="7">
        <f t="shared" si="97"/>
        <v>9.4687500000000107</v>
      </c>
    </row>
    <row r="3045" spans="1:9" x14ac:dyDescent="0.2">
      <c r="A3045" t="s">
        <v>3366</v>
      </c>
      <c r="B3045">
        <v>3.2454999999999998</v>
      </c>
      <c r="C3045">
        <v>4.546E-2</v>
      </c>
      <c r="D3045">
        <v>264</v>
      </c>
      <c r="E3045" t="s">
        <v>3366</v>
      </c>
      <c r="F3045">
        <v>264</v>
      </c>
      <c r="G3045" s="1">
        <v>45190</v>
      </c>
      <c r="H3045" s="6">
        <f t="shared" si="96"/>
        <v>9.4791666666666767</v>
      </c>
      <c r="I3045" s="7">
        <f t="shared" si="97"/>
        <v>9.4791666666666767</v>
      </c>
    </row>
    <row r="3046" spans="1:9" x14ac:dyDescent="0.2">
      <c r="A3046" t="s">
        <v>3367</v>
      </c>
      <c r="B3046">
        <v>3.2524999999999999</v>
      </c>
      <c r="C3046">
        <v>4.5569999999999999E-2</v>
      </c>
      <c r="D3046">
        <v>264</v>
      </c>
      <c r="E3046" t="s">
        <v>3367</v>
      </c>
      <c r="F3046">
        <v>264</v>
      </c>
      <c r="G3046" s="1">
        <v>45190</v>
      </c>
      <c r="H3046" s="6">
        <f t="shared" si="96"/>
        <v>9.4895833333333428</v>
      </c>
      <c r="I3046" s="7">
        <f t="shared" si="97"/>
        <v>9.4895833333333428</v>
      </c>
    </row>
    <row r="3047" spans="1:9" x14ac:dyDescent="0.2">
      <c r="A3047" t="s">
        <v>3368</v>
      </c>
      <c r="B3047">
        <v>3.2410000000000001</v>
      </c>
      <c r="C3047">
        <v>4.5400000000000003E-2</v>
      </c>
      <c r="D3047">
        <v>264</v>
      </c>
      <c r="E3047" t="s">
        <v>3368</v>
      </c>
      <c r="F3047">
        <v>264</v>
      </c>
      <c r="G3047" s="1">
        <v>45190</v>
      </c>
      <c r="H3047" s="6">
        <f t="shared" si="96"/>
        <v>9.5000000000000089</v>
      </c>
      <c r="I3047" s="7">
        <f t="shared" si="97"/>
        <v>9.5000000000000089</v>
      </c>
    </row>
    <row r="3048" spans="1:9" x14ac:dyDescent="0.2">
      <c r="A3048" t="s">
        <v>3369</v>
      </c>
      <c r="B3048" s="2" t="s">
        <v>3370</v>
      </c>
      <c r="C3048">
        <v>4.5444999999999999E-2</v>
      </c>
      <c r="D3048">
        <v>264</v>
      </c>
      <c r="E3048" t="s">
        <v>3369</v>
      </c>
      <c r="F3048">
        <v>264</v>
      </c>
      <c r="G3048" s="1">
        <v>45190</v>
      </c>
      <c r="H3048" s="6">
        <f t="shared" si="96"/>
        <v>9.510416666666675</v>
      </c>
      <c r="I3048" s="7">
        <f t="shared" si="97"/>
        <v>9.510416666666675</v>
      </c>
    </row>
    <row r="3049" spans="1:9" x14ac:dyDescent="0.2">
      <c r="A3049" t="s">
        <v>3371</v>
      </c>
      <c r="B3049">
        <v>3.2755000000000001</v>
      </c>
      <c r="C3049">
        <v>4.5879999999999997E-2</v>
      </c>
      <c r="D3049">
        <v>264</v>
      </c>
      <c r="E3049" t="s">
        <v>3371</v>
      </c>
      <c r="F3049">
        <v>264</v>
      </c>
      <c r="G3049" s="1">
        <v>45190</v>
      </c>
      <c r="H3049" s="6">
        <f t="shared" si="96"/>
        <v>9.520833333333341</v>
      </c>
      <c r="I3049" s="7">
        <f t="shared" si="97"/>
        <v>9.520833333333341</v>
      </c>
    </row>
    <row r="3050" spans="1:9" x14ac:dyDescent="0.2">
      <c r="A3050" t="s">
        <v>3372</v>
      </c>
      <c r="B3050">
        <v>3.26</v>
      </c>
      <c r="C3050">
        <v>4.5644999999999998E-2</v>
      </c>
      <c r="D3050">
        <v>264</v>
      </c>
      <c r="E3050" t="s">
        <v>3372</v>
      </c>
      <c r="F3050">
        <v>264</v>
      </c>
      <c r="G3050" s="1">
        <v>45190</v>
      </c>
      <c r="H3050" s="6">
        <f t="shared" si="96"/>
        <v>9.5312500000000071</v>
      </c>
      <c r="I3050" s="7">
        <f t="shared" si="97"/>
        <v>9.5312500000000071</v>
      </c>
    </row>
    <row r="3051" spans="1:9" x14ac:dyDescent="0.2">
      <c r="A3051" t="s">
        <v>3373</v>
      </c>
      <c r="B3051">
        <v>3.2629999999999999</v>
      </c>
      <c r="C3051">
        <v>4.5710000000000001E-2</v>
      </c>
      <c r="D3051">
        <v>264</v>
      </c>
      <c r="E3051" t="s">
        <v>3373</v>
      </c>
      <c r="F3051">
        <v>264</v>
      </c>
      <c r="G3051" s="1">
        <v>45190</v>
      </c>
      <c r="H3051" s="6">
        <f t="shared" si="96"/>
        <v>9.5416666666666732</v>
      </c>
      <c r="I3051" s="7">
        <f t="shared" si="97"/>
        <v>9.5416666666666732</v>
      </c>
    </row>
    <row r="3052" spans="1:9" x14ac:dyDescent="0.2">
      <c r="A3052" t="s">
        <v>3374</v>
      </c>
      <c r="B3052">
        <v>3.2585000000000002</v>
      </c>
      <c r="C3052">
        <v>4.5650000000000003E-2</v>
      </c>
      <c r="D3052">
        <v>264</v>
      </c>
      <c r="E3052" t="s">
        <v>3374</v>
      </c>
      <c r="F3052">
        <v>264</v>
      </c>
      <c r="G3052" s="1">
        <v>45190</v>
      </c>
      <c r="H3052" s="6">
        <f t="shared" si="96"/>
        <v>9.5520833333333393</v>
      </c>
      <c r="I3052" s="7">
        <f t="shared" si="97"/>
        <v>9.5520833333333393</v>
      </c>
    </row>
    <row r="3053" spans="1:9" x14ac:dyDescent="0.2">
      <c r="A3053" t="s">
        <v>3375</v>
      </c>
      <c r="B3053">
        <v>3.2364999999999999</v>
      </c>
      <c r="C3053">
        <v>4.5339999999999998E-2</v>
      </c>
      <c r="D3053">
        <v>264</v>
      </c>
      <c r="E3053" t="s">
        <v>3375</v>
      </c>
      <c r="F3053">
        <v>264</v>
      </c>
      <c r="G3053" s="1">
        <v>45190</v>
      </c>
      <c r="H3053" s="6">
        <f t="shared" si="96"/>
        <v>9.5625000000000053</v>
      </c>
      <c r="I3053" s="7">
        <f t="shared" si="97"/>
        <v>9.5625000000000053</v>
      </c>
    </row>
    <row r="3054" spans="1:9" x14ac:dyDescent="0.2">
      <c r="A3054" t="s">
        <v>3376</v>
      </c>
      <c r="B3054">
        <v>3.2275</v>
      </c>
      <c r="C3054">
        <v>4.5194999999999999E-2</v>
      </c>
      <c r="D3054">
        <v>264</v>
      </c>
      <c r="E3054" t="s">
        <v>3376</v>
      </c>
      <c r="F3054">
        <v>264</v>
      </c>
      <c r="G3054" s="1">
        <v>45190</v>
      </c>
      <c r="H3054" s="6">
        <f t="shared" si="96"/>
        <v>9.5729166666666714</v>
      </c>
      <c r="I3054" s="7">
        <f t="shared" si="97"/>
        <v>9.5729166666666714</v>
      </c>
    </row>
    <row r="3055" spans="1:9" x14ac:dyDescent="0.2">
      <c r="A3055" t="s">
        <v>3377</v>
      </c>
      <c r="B3055">
        <v>3.2450000000000001</v>
      </c>
      <c r="C3055">
        <v>4.5444999999999999E-2</v>
      </c>
      <c r="D3055">
        <v>264</v>
      </c>
      <c r="E3055" t="s">
        <v>3377</v>
      </c>
      <c r="F3055">
        <v>264</v>
      </c>
      <c r="G3055" s="1">
        <v>45190</v>
      </c>
      <c r="H3055" s="6">
        <f t="shared" si="96"/>
        <v>9.5833333333333375</v>
      </c>
      <c r="I3055" s="7">
        <f t="shared" si="97"/>
        <v>9.5833333333333375</v>
      </c>
    </row>
    <row r="3056" spans="1:9" x14ac:dyDescent="0.2">
      <c r="A3056" t="s">
        <v>3378</v>
      </c>
      <c r="B3056">
        <v>3.2629999999999999</v>
      </c>
      <c r="C3056">
        <v>4.5710000000000001E-2</v>
      </c>
      <c r="D3056">
        <v>264</v>
      </c>
      <c r="E3056" t="s">
        <v>3378</v>
      </c>
      <c r="F3056">
        <v>264</v>
      </c>
      <c r="G3056" s="1">
        <v>45190</v>
      </c>
      <c r="H3056" s="6">
        <f t="shared" si="96"/>
        <v>9.5937500000000036</v>
      </c>
      <c r="I3056" s="7">
        <f t="shared" si="97"/>
        <v>9.5937500000000036</v>
      </c>
    </row>
    <row r="3057" spans="1:9" x14ac:dyDescent="0.2">
      <c r="A3057" t="s">
        <v>3379</v>
      </c>
      <c r="B3057">
        <v>3.2715000000000001</v>
      </c>
      <c r="C3057">
        <v>4.5850000000000002E-2</v>
      </c>
      <c r="D3057">
        <v>264</v>
      </c>
      <c r="E3057" t="s">
        <v>3379</v>
      </c>
      <c r="F3057">
        <v>264</v>
      </c>
      <c r="G3057" s="1">
        <v>45190</v>
      </c>
      <c r="H3057" s="6">
        <f t="shared" si="96"/>
        <v>9.6041666666666696</v>
      </c>
      <c r="I3057" s="7">
        <f t="shared" si="97"/>
        <v>9.6041666666666696</v>
      </c>
    </row>
    <row r="3058" spans="1:9" x14ac:dyDescent="0.2">
      <c r="A3058" t="s">
        <v>3380</v>
      </c>
      <c r="B3058">
        <v>3.2269999999999999</v>
      </c>
      <c r="C3058">
        <v>4.5205000000000002E-2</v>
      </c>
      <c r="D3058">
        <v>264</v>
      </c>
      <c r="E3058" t="s">
        <v>3380</v>
      </c>
      <c r="F3058">
        <v>264</v>
      </c>
      <c r="G3058" s="1">
        <v>45190</v>
      </c>
      <c r="H3058" s="6">
        <f t="shared" si="96"/>
        <v>9.6145833333333357</v>
      </c>
      <c r="I3058" s="7">
        <f t="shared" si="97"/>
        <v>9.6145833333333357</v>
      </c>
    </row>
    <row r="3059" spans="1:9" x14ac:dyDescent="0.2">
      <c r="A3059" t="s">
        <v>3381</v>
      </c>
      <c r="B3059">
        <v>3.2515000000000001</v>
      </c>
      <c r="C3059">
        <v>4.5545000000000002E-2</v>
      </c>
      <c r="D3059">
        <v>264</v>
      </c>
      <c r="E3059" t="s">
        <v>3381</v>
      </c>
      <c r="F3059">
        <v>264</v>
      </c>
      <c r="G3059" s="1">
        <v>45190</v>
      </c>
      <c r="H3059" s="6">
        <f t="shared" si="96"/>
        <v>9.6250000000000018</v>
      </c>
      <c r="I3059" s="7">
        <f t="shared" si="97"/>
        <v>9.6250000000000018</v>
      </c>
    </row>
    <row r="3060" spans="1:9" x14ac:dyDescent="0.2">
      <c r="A3060" t="s">
        <v>3382</v>
      </c>
      <c r="B3060" s="2" t="s">
        <v>3383</v>
      </c>
      <c r="C3060">
        <v>4.5769999999999998E-2</v>
      </c>
      <c r="D3060">
        <v>264</v>
      </c>
      <c r="E3060" t="s">
        <v>3382</v>
      </c>
      <c r="F3060">
        <v>264</v>
      </c>
      <c r="G3060" s="1">
        <v>45190</v>
      </c>
      <c r="H3060" s="6">
        <f t="shared" si="96"/>
        <v>9.6354166666666679</v>
      </c>
      <c r="I3060" s="7">
        <f t="shared" si="97"/>
        <v>9.6354166666666679</v>
      </c>
    </row>
    <row r="3061" spans="1:9" x14ac:dyDescent="0.2">
      <c r="A3061" t="s">
        <v>3384</v>
      </c>
      <c r="B3061">
        <v>3.2629999999999999</v>
      </c>
      <c r="C3061">
        <v>4.5725000000000002E-2</v>
      </c>
      <c r="D3061">
        <v>264</v>
      </c>
      <c r="E3061" t="s">
        <v>3384</v>
      </c>
      <c r="F3061">
        <v>264</v>
      </c>
      <c r="G3061" s="1">
        <v>45190</v>
      </c>
      <c r="H3061" s="6">
        <f t="shared" si="96"/>
        <v>9.6458333333333339</v>
      </c>
      <c r="I3061" s="7">
        <f t="shared" si="97"/>
        <v>9.6458333333333339</v>
      </c>
    </row>
    <row r="3062" spans="1:9" x14ac:dyDescent="0.2">
      <c r="A3062" t="s">
        <v>3385</v>
      </c>
      <c r="B3062">
        <v>3.25</v>
      </c>
      <c r="C3062">
        <v>4.5515E-2</v>
      </c>
      <c r="D3062">
        <v>265</v>
      </c>
      <c r="E3062" t="s">
        <v>3385</v>
      </c>
      <c r="F3062">
        <v>264</v>
      </c>
      <c r="G3062" s="1">
        <v>45190</v>
      </c>
      <c r="H3062" s="6">
        <f t="shared" si="96"/>
        <v>9.65625</v>
      </c>
      <c r="I3062" s="7">
        <f t="shared" si="97"/>
        <v>9.65625</v>
      </c>
    </row>
    <row r="3063" spans="1:9" x14ac:dyDescent="0.2">
      <c r="A3063" t="s">
        <v>3386</v>
      </c>
      <c r="B3063">
        <v>3.2370000000000001</v>
      </c>
      <c r="C3063">
        <v>4.5339999999999998E-2</v>
      </c>
      <c r="D3063">
        <v>265</v>
      </c>
      <c r="E3063" t="s">
        <v>3386</v>
      </c>
      <c r="F3063">
        <v>264</v>
      </c>
      <c r="G3063" s="1">
        <v>45190</v>
      </c>
      <c r="H3063" s="6">
        <f t="shared" si="96"/>
        <v>9.6666666666666661</v>
      </c>
      <c r="I3063" s="7">
        <f t="shared" si="97"/>
        <v>9.6666666666666661</v>
      </c>
    </row>
    <row r="3064" spans="1:9" x14ac:dyDescent="0.2">
      <c r="A3064" t="s">
        <v>3387</v>
      </c>
      <c r="B3064">
        <v>3.2269999999999999</v>
      </c>
      <c r="C3064">
        <v>4.5194999999999999E-2</v>
      </c>
      <c r="D3064">
        <v>265</v>
      </c>
      <c r="E3064" t="s">
        <v>3387</v>
      </c>
      <c r="F3064">
        <v>264</v>
      </c>
      <c r="G3064" s="1">
        <v>45190</v>
      </c>
      <c r="H3064" s="6">
        <f t="shared" si="96"/>
        <v>9.6770833333333321</v>
      </c>
      <c r="I3064" s="7">
        <f t="shared" si="97"/>
        <v>9.6770833333333321</v>
      </c>
    </row>
    <row r="3065" spans="1:9" x14ac:dyDescent="0.2">
      <c r="A3065" t="s">
        <v>3388</v>
      </c>
      <c r="B3065">
        <v>3.2330000000000001</v>
      </c>
      <c r="C3065">
        <v>4.5284999999999999E-2</v>
      </c>
      <c r="D3065">
        <v>265</v>
      </c>
      <c r="E3065" t="s">
        <v>3388</v>
      </c>
      <c r="F3065">
        <v>264</v>
      </c>
      <c r="G3065" s="1">
        <v>45190</v>
      </c>
      <c r="H3065" s="6">
        <f t="shared" si="96"/>
        <v>9.6874999999999982</v>
      </c>
      <c r="I3065" s="7">
        <f t="shared" si="97"/>
        <v>9.6874999999999982</v>
      </c>
    </row>
    <row r="3066" spans="1:9" x14ac:dyDescent="0.2">
      <c r="A3066" t="s">
        <v>3389</v>
      </c>
      <c r="B3066">
        <v>3.2164999999999999</v>
      </c>
      <c r="C3066">
        <v>4.505E-2</v>
      </c>
      <c r="D3066">
        <v>265</v>
      </c>
      <c r="E3066" t="s">
        <v>3389</v>
      </c>
      <c r="F3066">
        <v>264</v>
      </c>
      <c r="G3066" s="1">
        <v>45190</v>
      </c>
      <c r="H3066" s="6">
        <f t="shared" si="96"/>
        <v>9.6979166666666643</v>
      </c>
      <c r="I3066" s="7">
        <f t="shared" si="97"/>
        <v>9.6979166666666643</v>
      </c>
    </row>
    <row r="3067" spans="1:9" x14ac:dyDescent="0.2">
      <c r="A3067" t="s">
        <v>3390</v>
      </c>
      <c r="B3067">
        <v>3.2235</v>
      </c>
      <c r="C3067">
        <v>4.5144999999999998E-2</v>
      </c>
      <c r="D3067">
        <v>265</v>
      </c>
      <c r="E3067" t="s">
        <v>3390</v>
      </c>
      <c r="F3067">
        <v>264</v>
      </c>
      <c r="G3067" s="1">
        <v>45190</v>
      </c>
      <c r="H3067" s="6">
        <f t="shared" si="96"/>
        <v>9.7083333333333304</v>
      </c>
      <c r="I3067" s="7">
        <f t="shared" si="97"/>
        <v>9.7083333333333304</v>
      </c>
    </row>
    <row r="3068" spans="1:9" x14ac:dyDescent="0.2">
      <c r="A3068" t="s">
        <v>3391</v>
      </c>
      <c r="B3068">
        <v>3.218</v>
      </c>
      <c r="C3068">
        <v>4.5065000000000001E-2</v>
      </c>
      <c r="D3068">
        <v>265</v>
      </c>
      <c r="E3068" t="s">
        <v>3391</v>
      </c>
      <c r="F3068">
        <v>264</v>
      </c>
      <c r="G3068" s="1">
        <v>45190</v>
      </c>
      <c r="H3068" s="6">
        <f t="shared" si="96"/>
        <v>9.7187499999999964</v>
      </c>
      <c r="I3068" s="7">
        <f t="shared" si="97"/>
        <v>9.7187499999999964</v>
      </c>
    </row>
    <row r="3069" spans="1:9" x14ac:dyDescent="0.2">
      <c r="A3069" t="s">
        <v>3392</v>
      </c>
      <c r="B3069">
        <v>3.234</v>
      </c>
      <c r="C3069">
        <v>4.5310000000000003E-2</v>
      </c>
      <c r="D3069">
        <v>265</v>
      </c>
      <c r="E3069" t="s">
        <v>3392</v>
      </c>
      <c r="F3069">
        <v>264</v>
      </c>
      <c r="G3069" s="1">
        <v>45190</v>
      </c>
      <c r="H3069" s="6">
        <f t="shared" si="96"/>
        <v>9.7291666666666625</v>
      </c>
      <c r="I3069" s="7">
        <f t="shared" si="97"/>
        <v>9.7291666666666625</v>
      </c>
    </row>
    <row r="3070" spans="1:9" x14ac:dyDescent="0.2">
      <c r="A3070" t="s">
        <v>3393</v>
      </c>
      <c r="B3070">
        <v>3.2454999999999998</v>
      </c>
      <c r="C3070" s="2" t="s">
        <v>3394</v>
      </c>
      <c r="D3070">
        <v>265</v>
      </c>
      <c r="E3070" t="s">
        <v>3393</v>
      </c>
      <c r="F3070">
        <v>264</v>
      </c>
      <c r="G3070" s="1">
        <v>45190</v>
      </c>
      <c r="H3070" s="6">
        <f t="shared" si="96"/>
        <v>9.7395833333333286</v>
      </c>
      <c r="I3070" s="7">
        <f t="shared" si="97"/>
        <v>9.7395833333333286</v>
      </c>
    </row>
    <row r="3071" spans="1:9" x14ac:dyDescent="0.2">
      <c r="A3071" t="s">
        <v>3395</v>
      </c>
      <c r="B3071">
        <v>3.2349999999999999</v>
      </c>
      <c r="C3071">
        <v>4.5330000000000002E-2</v>
      </c>
      <c r="D3071">
        <v>265</v>
      </c>
      <c r="E3071" t="s">
        <v>3395</v>
      </c>
      <c r="F3071">
        <v>264</v>
      </c>
      <c r="G3071" s="1">
        <v>45190</v>
      </c>
      <c r="H3071" s="6">
        <f t="shared" si="96"/>
        <v>9.7499999999999947</v>
      </c>
      <c r="I3071" s="7">
        <f t="shared" si="97"/>
        <v>9.7499999999999947</v>
      </c>
    </row>
    <row r="3072" spans="1:9" x14ac:dyDescent="0.2">
      <c r="A3072" t="s">
        <v>3396</v>
      </c>
      <c r="B3072">
        <v>3.2109999999999999</v>
      </c>
      <c r="C3072">
        <v>4.4990000000000002E-2</v>
      </c>
      <c r="D3072">
        <v>265</v>
      </c>
      <c r="E3072" t="s">
        <v>3396</v>
      </c>
      <c r="F3072">
        <v>264</v>
      </c>
      <c r="G3072" s="1">
        <v>45190</v>
      </c>
      <c r="H3072" s="6">
        <f t="shared" si="96"/>
        <v>9.7604166666666607</v>
      </c>
      <c r="I3072" s="7">
        <f t="shared" si="97"/>
        <v>9.7604166666666607</v>
      </c>
    </row>
    <row r="3073" spans="1:9" x14ac:dyDescent="0.2">
      <c r="A3073" t="s">
        <v>3397</v>
      </c>
      <c r="B3073">
        <v>3.2509999999999999</v>
      </c>
      <c r="C3073">
        <v>4.5525000000000003E-2</v>
      </c>
      <c r="D3073">
        <v>265</v>
      </c>
      <c r="E3073" t="s">
        <v>3397</v>
      </c>
      <c r="F3073">
        <v>264</v>
      </c>
      <c r="G3073" s="1">
        <v>45190</v>
      </c>
      <c r="H3073" s="6">
        <f t="shared" si="96"/>
        <v>9.7708333333333268</v>
      </c>
      <c r="I3073" s="7">
        <f t="shared" si="97"/>
        <v>9.7708333333333268</v>
      </c>
    </row>
    <row r="3074" spans="1:9" x14ac:dyDescent="0.2">
      <c r="A3074" t="s">
        <v>3398</v>
      </c>
      <c r="B3074">
        <v>3.2429999999999999</v>
      </c>
      <c r="C3074">
        <v>4.5414999999999997E-2</v>
      </c>
      <c r="D3074">
        <v>265</v>
      </c>
      <c r="E3074" t="s">
        <v>3398</v>
      </c>
      <c r="F3074">
        <v>264</v>
      </c>
      <c r="G3074" s="1">
        <v>45190</v>
      </c>
      <c r="H3074" s="6">
        <f t="shared" si="96"/>
        <v>9.7812499999999929</v>
      </c>
      <c r="I3074" s="7">
        <f t="shared" si="97"/>
        <v>9.7812499999999929</v>
      </c>
    </row>
    <row r="3075" spans="1:9" x14ac:dyDescent="0.2">
      <c r="A3075" t="s">
        <v>3399</v>
      </c>
      <c r="B3075">
        <v>3.2585000000000002</v>
      </c>
      <c r="C3075">
        <v>4.5644999999999998E-2</v>
      </c>
      <c r="D3075">
        <v>265</v>
      </c>
      <c r="E3075" t="s">
        <v>3399</v>
      </c>
      <c r="F3075">
        <v>264</v>
      </c>
      <c r="G3075" s="1">
        <v>45190</v>
      </c>
      <c r="H3075" s="6">
        <f t="shared" si="96"/>
        <v>9.791666666666659</v>
      </c>
      <c r="I3075" s="7">
        <f t="shared" si="97"/>
        <v>9.791666666666659</v>
      </c>
    </row>
    <row r="3076" spans="1:9" x14ac:dyDescent="0.2">
      <c r="A3076" t="s">
        <v>3400</v>
      </c>
      <c r="B3076" s="2" t="s">
        <v>3401</v>
      </c>
      <c r="C3076">
        <v>4.5830000000000003E-2</v>
      </c>
      <c r="D3076">
        <v>265</v>
      </c>
      <c r="E3076" t="s">
        <v>3400</v>
      </c>
      <c r="F3076">
        <v>264</v>
      </c>
      <c r="G3076" s="1">
        <v>45190</v>
      </c>
      <c r="H3076" s="6">
        <f t="shared" si="96"/>
        <v>9.802083333333325</v>
      </c>
      <c r="I3076" s="7">
        <f t="shared" si="97"/>
        <v>9.802083333333325</v>
      </c>
    </row>
    <row r="3077" spans="1:9" x14ac:dyDescent="0.2">
      <c r="A3077" t="s">
        <v>3402</v>
      </c>
      <c r="B3077">
        <v>3.2595000000000001</v>
      </c>
      <c r="C3077">
        <v>4.5664999999999997E-2</v>
      </c>
      <c r="D3077">
        <v>265</v>
      </c>
      <c r="E3077" t="s">
        <v>3402</v>
      </c>
      <c r="F3077">
        <v>264</v>
      </c>
      <c r="G3077" s="1">
        <v>45190</v>
      </c>
      <c r="H3077" s="6">
        <f t="shared" si="96"/>
        <v>9.8124999999999911</v>
      </c>
      <c r="I3077" s="7">
        <f t="shared" si="97"/>
        <v>9.8124999999999911</v>
      </c>
    </row>
    <row r="3078" spans="1:9" x14ac:dyDescent="0.2">
      <c r="A3078" t="s">
        <v>3403</v>
      </c>
      <c r="B3078">
        <v>3.2639999999999998</v>
      </c>
      <c r="C3078">
        <v>4.573E-2</v>
      </c>
      <c r="D3078">
        <v>265</v>
      </c>
      <c r="E3078" t="s">
        <v>3403</v>
      </c>
      <c r="F3078">
        <v>264</v>
      </c>
      <c r="G3078" s="1">
        <v>45190</v>
      </c>
      <c r="H3078" s="6">
        <f t="shared" si="96"/>
        <v>9.8229166666666572</v>
      </c>
      <c r="I3078" s="7">
        <f t="shared" si="97"/>
        <v>9.8229166666666572</v>
      </c>
    </row>
    <row r="3079" spans="1:9" x14ac:dyDescent="0.2">
      <c r="A3079" t="s">
        <v>3404</v>
      </c>
      <c r="B3079">
        <v>3.2650000000000001</v>
      </c>
      <c r="C3079">
        <v>4.5725000000000002E-2</v>
      </c>
      <c r="D3079">
        <v>265</v>
      </c>
      <c r="E3079" t="s">
        <v>3404</v>
      </c>
      <c r="F3079">
        <v>264</v>
      </c>
      <c r="G3079" s="1">
        <v>45190</v>
      </c>
      <c r="H3079" s="6">
        <f t="shared" si="96"/>
        <v>9.8333333333333233</v>
      </c>
      <c r="I3079" s="7">
        <f t="shared" si="97"/>
        <v>9.8333333333333233</v>
      </c>
    </row>
    <row r="3080" spans="1:9" x14ac:dyDescent="0.2">
      <c r="A3080" t="s">
        <v>3405</v>
      </c>
      <c r="B3080">
        <v>3.258</v>
      </c>
      <c r="C3080">
        <v>4.564E-2</v>
      </c>
      <c r="D3080">
        <v>265</v>
      </c>
      <c r="E3080" t="s">
        <v>3405</v>
      </c>
      <c r="F3080">
        <v>264</v>
      </c>
      <c r="G3080" s="1">
        <v>45190</v>
      </c>
      <c r="H3080" s="6">
        <f t="shared" si="96"/>
        <v>9.8437499999999893</v>
      </c>
      <c r="I3080" s="7">
        <f t="shared" si="97"/>
        <v>9.8437499999999893</v>
      </c>
    </row>
    <row r="3081" spans="1:9" x14ac:dyDescent="0.2">
      <c r="A3081" t="s">
        <v>3406</v>
      </c>
      <c r="B3081">
        <v>3.2565</v>
      </c>
      <c r="C3081" s="2" t="s">
        <v>3407</v>
      </c>
      <c r="D3081">
        <v>265</v>
      </c>
      <c r="E3081" t="s">
        <v>3406</v>
      </c>
      <c r="F3081">
        <v>264</v>
      </c>
      <c r="G3081" s="1">
        <v>45190</v>
      </c>
      <c r="H3081" s="6">
        <f t="shared" si="96"/>
        <v>9.8541666666666554</v>
      </c>
      <c r="I3081" s="7">
        <f t="shared" si="97"/>
        <v>9.8541666666666554</v>
      </c>
    </row>
    <row r="3082" spans="1:9" x14ac:dyDescent="0.2">
      <c r="A3082" t="s">
        <v>3408</v>
      </c>
      <c r="B3082">
        <v>3.266</v>
      </c>
      <c r="C3082">
        <v>4.5734999999999998E-2</v>
      </c>
      <c r="D3082">
        <v>265</v>
      </c>
      <c r="E3082" t="s">
        <v>3408</v>
      </c>
      <c r="F3082">
        <v>264</v>
      </c>
      <c r="G3082" s="1">
        <v>45190</v>
      </c>
      <c r="H3082" s="6">
        <f t="shared" si="96"/>
        <v>9.8645833333333215</v>
      </c>
      <c r="I3082" s="7">
        <f t="shared" si="97"/>
        <v>9.8645833333333215</v>
      </c>
    </row>
    <row r="3083" spans="1:9" x14ac:dyDescent="0.2">
      <c r="A3083" t="s">
        <v>3409</v>
      </c>
      <c r="B3083">
        <v>3.2810000000000001</v>
      </c>
      <c r="C3083">
        <v>4.5969999999999997E-2</v>
      </c>
      <c r="D3083">
        <v>265</v>
      </c>
      <c r="E3083" t="s">
        <v>3409</v>
      </c>
      <c r="F3083">
        <v>264</v>
      </c>
      <c r="G3083" s="1">
        <v>45190</v>
      </c>
      <c r="H3083" s="6">
        <f t="shared" si="96"/>
        <v>9.8749999999999876</v>
      </c>
      <c r="I3083" s="7">
        <f t="shared" si="97"/>
        <v>9.8749999999999876</v>
      </c>
    </row>
    <row r="3084" spans="1:9" x14ac:dyDescent="0.2">
      <c r="A3084" t="s">
        <v>3410</v>
      </c>
      <c r="B3084">
        <v>3.25</v>
      </c>
      <c r="C3084">
        <v>4.5525000000000003E-2</v>
      </c>
      <c r="D3084">
        <v>265</v>
      </c>
      <c r="E3084" t="s">
        <v>3410</v>
      </c>
      <c r="F3084">
        <v>264</v>
      </c>
      <c r="G3084" s="1">
        <v>45190</v>
      </c>
      <c r="H3084" s="6">
        <f t="shared" si="96"/>
        <v>9.8854166666666536</v>
      </c>
      <c r="I3084" s="7">
        <f t="shared" si="97"/>
        <v>9.8854166666666536</v>
      </c>
    </row>
    <row r="3085" spans="1:9" x14ac:dyDescent="0.2">
      <c r="A3085" t="s">
        <v>3411</v>
      </c>
      <c r="B3085">
        <v>3.2745000000000002</v>
      </c>
      <c r="C3085">
        <v>4.5870000000000001E-2</v>
      </c>
      <c r="D3085">
        <v>265</v>
      </c>
      <c r="E3085" t="s">
        <v>3411</v>
      </c>
      <c r="F3085">
        <v>264</v>
      </c>
      <c r="G3085" s="1">
        <v>45190</v>
      </c>
      <c r="H3085" s="6">
        <f t="shared" si="96"/>
        <v>9.8958333333333197</v>
      </c>
      <c r="I3085" s="7">
        <f t="shared" si="97"/>
        <v>9.8958333333333197</v>
      </c>
    </row>
    <row r="3086" spans="1:9" x14ac:dyDescent="0.2">
      <c r="A3086" t="s">
        <v>3412</v>
      </c>
      <c r="B3086">
        <v>3.2555000000000001</v>
      </c>
      <c r="C3086">
        <v>4.5594999999999997E-2</v>
      </c>
      <c r="D3086">
        <v>265</v>
      </c>
      <c r="E3086" t="s">
        <v>3412</v>
      </c>
      <c r="F3086">
        <v>265</v>
      </c>
      <c r="G3086" s="1">
        <v>45191</v>
      </c>
      <c r="H3086" s="6">
        <f t="shared" si="96"/>
        <v>9.9062499999999858</v>
      </c>
      <c r="I3086" s="7">
        <f t="shared" si="97"/>
        <v>9.9062499999999858</v>
      </c>
    </row>
    <row r="3087" spans="1:9" x14ac:dyDescent="0.2">
      <c r="A3087" t="s">
        <v>3413</v>
      </c>
      <c r="B3087">
        <v>3.2665000000000002</v>
      </c>
      <c r="C3087">
        <v>4.5754999999999997E-2</v>
      </c>
      <c r="D3087">
        <v>265</v>
      </c>
      <c r="E3087" t="s">
        <v>3413</v>
      </c>
      <c r="F3087">
        <v>265</v>
      </c>
      <c r="G3087" s="1">
        <v>45191</v>
      </c>
      <c r="H3087" s="6">
        <f t="shared" si="96"/>
        <v>9.9166666666666519</v>
      </c>
      <c r="I3087" s="7">
        <f t="shared" si="97"/>
        <v>9.9166666666666519</v>
      </c>
    </row>
    <row r="3088" spans="1:9" x14ac:dyDescent="0.2">
      <c r="A3088" t="s">
        <v>3414</v>
      </c>
      <c r="B3088">
        <v>3.2435</v>
      </c>
      <c r="C3088">
        <v>4.5409999999999999E-2</v>
      </c>
      <c r="D3088">
        <v>265</v>
      </c>
      <c r="E3088" t="s">
        <v>3414</v>
      </c>
      <c r="F3088">
        <v>265</v>
      </c>
      <c r="G3088" s="1">
        <v>45191</v>
      </c>
      <c r="H3088" s="6">
        <f t="shared" si="96"/>
        <v>9.9270833333333179</v>
      </c>
      <c r="I3088" s="7">
        <f t="shared" si="97"/>
        <v>9.9270833333333179</v>
      </c>
    </row>
    <row r="3089" spans="1:9" x14ac:dyDescent="0.2">
      <c r="A3089" t="s">
        <v>3415</v>
      </c>
      <c r="B3089">
        <v>3.2625000000000002</v>
      </c>
      <c r="C3089">
        <v>4.5699999999999998E-2</v>
      </c>
      <c r="D3089">
        <v>265</v>
      </c>
      <c r="E3089" t="s">
        <v>3415</v>
      </c>
      <c r="F3089">
        <v>265</v>
      </c>
      <c r="G3089" s="1">
        <v>45191</v>
      </c>
      <c r="H3089" s="6">
        <f t="shared" si="96"/>
        <v>9.937499999999984</v>
      </c>
      <c r="I3089" s="7">
        <f t="shared" si="97"/>
        <v>9.937499999999984</v>
      </c>
    </row>
    <row r="3090" spans="1:9" x14ac:dyDescent="0.2">
      <c r="A3090" t="s">
        <v>3416</v>
      </c>
      <c r="B3090">
        <v>3.2509999999999999</v>
      </c>
      <c r="C3090">
        <v>4.5545000000000002E-2</v>
      </c>
      <c r="D3090">
        <v>265</v>
      </c>
      <c r="E3090" t="s">
        <v>3416</v>
      </c>
      <c r="F3090">
        <v>265</v>
      </c>
      <c r="G3090" s="1">
        <v>45191</v>
      </c>
      <c r="H3090" s="6">
        <f t="shared" si="96"/>
        <v>9.9479166666666501</v>
      </c>
      <c r="I3090" s="7">
        <f t="shared" si="97"/>
        <v>9.9479166666666501</v>
      </c>
    </row>
    <row r="3091" spans="1:9" x14ac:dyDescent="0.2">
      <c r="A3091" t="s">
        <v>3417</v>
      </c>
      <c r="B3091">
        <v>3.2534999999999998</v>
      </c>
      <c r="C3091">
        <v>4.5594999999999997E-2</v>
      </c>
      <c r="D3091">
        <v>265</v>
      </c>
      <c r="E3091" t="s">
        <v>3417</v>
      </c>
      <c r="F3091">
        <v>265</v>
      </c>
      <c r="G3091" s="1">
        <v>45191</v>
      </c>
      <c r="H3091" s="6">
        <f t="shared" si="96"/>
        <v>9.9583333333333162</v>
      </c>
      <c r="I3091" s="7">
        <f t="shared" si="97"/>
        <v>9.9583333333333162</v>
      </c>
    </row>
    <row r="3092" spans="1:9" x14ac:dyDescent="0.2">
      <c r="A3092" t="s">
        <v>3418</v>
      </c>
      <c r="B3092">
        <v>3.2719999999999998</v>
      </c>
      <c r="C3092">
        <v>4.5824999999999998E-2</v>
      </c>
      <c r="D3092">
        <v>265</v>
      </c>
      <c r="E3092" t="s">
        <v>3418</v>
      </c>
      <c r="F3092">
        <v>265</v>
      </c>
      <c r="G3092" s="1">
        <v>45191</v>
      </c>
      <c r="H3092" s="6">
        <f t="shared" si="96"/>
        <v>9.9687499999999822</v>
      </c>
      <c r="I3092" s="7">
        <f t="shared" si="97"/>
        <v>9.9687499999999822</v>
      </c>
    </row>
    <row r="3093" spans="1:9" x14ac:dyDescent="0.2">
      <c r="A3093" t="s">
        <v>3419</v>
      </c>
      <c r="B3093">
        <v>3.2850000000000001</v>
      </c>
      <c r="C3093">
        <v>4.6004999999999997E-2</v>
      </c>
      <c r="D3093">
        <v>265</v>
      </c>
      <c r="E3093" t="s">
        <v>3419</v>
      </c>
      <c r="F3093">
        <v>265</v>
      </c>
      <c r="G3093" s="1">
        <v>45191</v>
      </c>
      <c r="H3093" s="6">
        <f t="shared" si="96"/>
        <v>9.9791666666666483</v>
      </c>
      <c r="I3093" s="7">
        <f t="shared" si="97"/>
        <v>9.9791666666666483</v>
      </c>
    </row>
    <row r="3094" spans="1:9" x14ac:dyDescent="0.2">
      <c r="A3094" t="s">
        <v>3420</v>
      </c>
      <c r="B3094">
        <v>3.2829999999999999</v>
      </c>
      <c r="C3094">
        <v>4.5995000000000001E-2</v>
      </c>
      <c r="D3094">
        <v>265</v>
      </c>
      <c r="E3094" t="s">
        <v>3420</v>
      </c>
      <c r="F3094">
        <v>265</v>
      </c>
      <c r="G3094" s="1">
        <v>45191</v>
      </c>
      <c r="H3094" s="6">
        <f t="shared" si="96"/>
        <v>9.9895833333333144</v>
      </c>
      <c r="I3094" s="7">
        <f t="shared" si="97"/>
        <v>9.9895833333333144</v>
      </c>
    </row>
    <row r="3095" spans="1:9" x14ac:dyDescent="0.2">
      <c r="A3095" t="s">
        <v>3421</v>
      </c>
      <c r="B3095">
        <v>3.2854999999999999</v>
      </c>
      <c r="C3095">
        <v>4.6019999999999998E-2</v>
      </c>
      <c r="D3095">
        <v>265</v>
      </c>
      <c r="E3095" t="s">
        <v>3421</v>
      </c>
      <c r="F3095">
        <v>265</v>
      </c>
      <c r="G3095" s="1">
        <v>45191</v>
      </c>
      <c r="H3095" s="6">
        <f t="shared" si="96"/>
        <v>9.9999999999999805</v>
      </c>
      <c r="I3095" s="7">
        <f t="shared" si="97"/>
        <v>9.9999999999999805</v>
      </c>
    </row>
    <row r="3096" spans="1:9" x14ac:dyDescent="0.2">
      <c r="A3096" t="s">
        <v>3422</v>
      </c>
      <c r="B3096">
        <v>3.2734999999999999</v>
      </c>
      <c r="C3096">
        <v>4.5844999999999997E-2</v>
      </c>
      <c r="D3096">
        <v>265</v>
      </c>
      <c r="E3096" t="s">
        <v>3422</v>
      </c>
      <c r="F3096">
        <v>265</v>
      </c>
      <c r="G3096" s="1">
        <v>45191</v>
      </c>
      <c r="H3096" s="6">
        <f t="shared" si="96"/>
        <v>10.010416666666647</v>
      </c>
      <c r="I3096" s="7">
        <f t="shared" si="97"/>
        <v>10.010416666666647</v>
      </c>
    </row>
    <row r="3097" spans="1:9" x14ac:dyDescent="0.2">
      <c r="A3097" t="s">
        <v>3423</v>
      </c>
      <c r="B3097">
        <v>3.2905000000000002</v>
      </c>
      <c r="C3097">
        <v>4.6100000000000002E-2</v>
      </c>
      <c r="D3097">
        <v>265</v>
      </c>
      <c r="E3097" t="s">
        <v>3423</v>
      </c>
      <c r="F3097">
        <v>265</v>
      </c>
      <c r="G3097" s="1">
        <v>45191</v>
      </c>
      <c r="H3097" s="6">
        <f t="shared" si="96"/>
        <v>10.020833333333313</v>
      </c>
      <c r="I3097" s="7">
        <f t="shared" si="97"/>
        <v>10.020833333333313</v>
      </c>
    </row>
    <row r="3098" spans="1:9" x14ac:dyDescent="0.2">
      <c r="A3098" t="s">
        <v>3424</v>
      </c>
      <c r="B3098">
        <v>3.27</v>
      </c>
      <c r="C3098">
        <v>4.5789999999999997E-2</v>
      </c>
      <c r="D3098">
        <v>265</v>
      </c>
      <c r="E3098" t="s">
        <v>3424</v>
      </c>
      <c r="F3098">
        <v>265</v>
      </c>
      <c r="G3098" s="1">
        <v>45191</v>
      </c>
      <c r="H3098" s="6">
        <f t="shared" si="96"/>
        <v>10.031249999999979</v>
      </c>
      <c r="I3098" s="7">
        <f t="shared" si="97"/>
        <v>10.031249999999979</v>
      </c>
    </row>
    <row r="3099" spans="1:9" x14ac:dyDescent="0.2">
      <c r="A3099" t="s">
        <v>3425</v>
      </c>
      <c r="B3099">
        <v>3.2810000000000001</v>
      </c>
      <c r="C3099">
        <v>4.5929999999999999E-2</v>
      </c>
      <c r="D3099">
        <v>265</v>
      </c>
      <c r="E3099" t="s">
        <v>3425</v>
      </c>
      <c r="F3099">
        <v>265</v>
      </c>
      <c r="G3099" s="1">
        <v>45191</v>
      </c>
      <c r="H3099" s="6">
        <f t="shared" si="96"/>
        <v>10.041666666666645</v>
      </c>
      <c r="I3099" s="7">
        <f t="shared" si="97"/>
        <v>10.041666666666645</v>
      </c>
    </row>
    <row r="3100" spans="1:9" x14ac:dyDescent="0.2">
      <c r="A3100" t="s">
        <v>3426</v>
      </c>
      <c r="B3100">
        <v>3.2475000000000001</v>
      </c>
      <c r="C3100">
        <v>4.548E-2</v>
      </c>
      <c r="D3100">
        <v>265</v>
      </c>
      <c r="E3100" t="s">
        <v>3426</v>
      </c>
      <c r="F3100">
        <v>265</v>
      </c>
      <c r="G3100" s="1">
        <v>45191</v>
      </c>
      <c r="H3100" s="6">
        <f t="shared" ref="H3100:H3163" si="98">H3099+$K$1</f>
        <v>10.052083333333311</v>
      </c>
      <c r="I3100" s="7">
        <f t="shared" ref="I3100:I3163" si="99">I3099+$K$1</f>
        <v>10.052083333333311</v>
      </c>
    </row>
    <row r="3101" spans="1:9" x14ac:dyDescent="0.2">
      <c r="A3101" t="s">
        <v>3427</v>
      </c>
      <c r="B3101">
        <v>3.2595000000000001</v>
      </c>
      <c r="C3101">
        <v>4.5659999999999999E-2</v>
      </c>
      <c r="D3101">
        <v>265</v>
      </c>
      <c r="E3101" t="s">
        <v>3427</v>
      </c>
      <c r="F3101">
        <v>265</v>
      </c>
      <c r="G3101" s="1">
        <v>45191</v>
      </c>
      <c r="H3101" s="6">
        <f t="shared" si="98"/>
        <v>10.062499999999977</v>
      </c>
      <c r="I3101" s="7">
        <f t="shared" si="99"/>
        <v>10.062499999999977</v>
      </c>
    </row>
    <row r="3102" spans="1:9" x14ac:dyDescent="0.2">
      <c r="A3102" t="s">
        <v>3428</v>
      </c>
      <c r="B3102">
        <v>3.2894999999999999</v>
      </c>
      <c r="C3102">
        <v>4.6074999999999998E-2</v>
      </c>
      <c r="D3102">
        <v>265</v>
      </c>
      <c r="E3102" t="s">
        <v>3428</v>
      </c>
      <c r="F3102">
        <v>265</v>
      </c>
      <c r="G3102" s="1">
        <v>45191</v>
      </c>
      <c r="H3102" s="6">
        <f t="shared" si="98"/>
        <v>10.072916666666643</v>
      </c>
      <c r="I3102" s="7">
        <f t="shared" si="99"/>
        <v>10.072916666666643</v>
      </c>
    </row>
    <row r="3103" spans="1:9" x14ac:dyDescent="0.2">
      <c r="A3103" t="s">
        <v>3429</v>
      </c>
      <c r="B3103">
        <v>3.2410000000000001</v>
      </c>
      <c r="C3103">
        <v>4.5400000000000003E-2</v>
      </c>
      <c r="D3103">
        <v>265</v>
      </c>
      <c r="E3103" t="s">
        <v>3429</v>
      </c>
      <c r="F3103">
        <v>265</v>
      </c>
      <c r="G3103" s="1">
        <v>45191</v>
      </c>
      <c r="H3103" s="6">
        <f t="shared" si="98"/>
        <v>10.083333333333309</v>
      </c>
      <c r="I3103" s="7">
        <f t="shared" si="99"/>
        <v>10.083333333333309</v>
      </c>
    </row>
    <row r="3104" spans="1:9" x14ac:dyDescent="0.2">
      <c r="A3104" t="s">
        <v>3430</v>
      </c>
      <c r="B3104">
        <v>3.2425000000000002</v>
      </c>
      <c r="C3104">
        <v>4.5414999999999997E-2</v>
      </c>
      <c r="D3104">
        <v>265</v>
      </c>
      <c r="E3104" t="s">
        <v>3430</v>
      </c>
      <c r="F3104">
        <v>265</v>
      </c>
      <c r="G3104" s="1">
        <v>45191</v>
      </c>
      <c r="H3104" s="6">
        <f t="shared" si="98"/>
        <v>10.093749999999975</v>
      </c>
      <c r="I3104" s="7">
        <f t="shared" si="99"/>
        <v>10.093749999999975</v>
      </c>
    </row>
    <row r="3105" spans="1:9" x14ac:dyDescent="0.2">
      <c r="A3105" t="s">
        <v>3431</v>
      </c>
      <c r="B3105">
        <v>3.2854999999999999</v>
      </c>
      <c r="C3105">
        <v>4.6004999999999997E-2</v>
      </c>
      <c r="D3105">
        <v>265</v>
      </c>
      <c r="E3105" t="s">
        <v>3431</v>
      </c>
      <c r="F3105">
        <v>265</v>
      </c>
      <c r="G3105" s="1">
        <v>45191</v>
      </c>
      <c r="H3105" s="6">
        <f t="shared" si="98"/>
        <v>10.104166666666641</v>
      </c>
      <c r="I3105" s="7">
        <f t="shared" si="99"/>
        <v>10.104166666666641</v>
      </c>
    </row>
    <row r="3106" spans="1:9" x14ac:dyDescent="0.2">
      <c r="A3106" t="s">
        <v>3432</v>
      </c>
      <c r="B3106">
        <v>3.2629999999999999</v>
      </c>
      <c r="C3106">
        <v>4.5705000000000003E-2</v>
      </c>
      <c r="D3106">
        <v>265</v>
      </c>
      <c r="E3106" t="s">
        <v>3432</v>
      </c>
      <c r="F3106">
        <v>265</v>
      </c>
      <c r="G3106" s="1">
        <v>45191</v>
      </c>
      <c r="H3106" s="6">
        <f t="shared" si="98"/>
        <v>10.114583333333307</v>
      </c>
      <c r="I3106" s="7">
        <f t="shared" si="99"/>
        <v>10.114583333333307</v>
      </c>
    </row>
    <row r="3107" spans="1:9" x14ac:dyDescent="0.2">
      <c r="A3107" t="s">
        <v>3433</v>
      </c>
      <c r="B3107">
        <v>3.2915000000000001</v>
      </c>
      <c r="C3107">
        <v>4.6100000000000002E-2</v>
      </c>
      <c r="D3107">
        <v>265</v>
      </c>
      <c r="E3107" t="s">
        <v>3433</v>
      </c>
      <c r="F3107">
        <v>265</v>
      </c>
      <c r="G3107" s="1">
        <v>45191</v>
      </c>
      <c r="H3107" s="6">
        <f t="shared" si="98"/>
        <v>10.124999999999973</v>
      </c>
      <c r="I3107" s="7">
        <f t="shared" si="99"/>
        <v>10.124999999999973</v>
      </c>
    </row>
    <row r="3108" spans="1:9" x14ac:dyDescent="0.2">
      <c r="A3108" t="s">
        <v>3434</v>
      </c>
      <c r="B3108">
        <v>3.2534999999999998</v>
      </c>
      <c r="C3108">
        <v>4.5560000000000003E-2</v>
      </c>
      <c r="D3108">
        <v>265</v>
      </c>
      <c r="E3108" t="s">
        <v>3434</v>
      </c>
      <c r="F3108">
        <v>265</v>
      </c>
      <c r="G3108" s="1">
        <v>45191</v>
      </c>
      <c r="H3108" s="6">
        <f t="shared" si="98"/>
        <v>10.135416666666639</v>
      </c>
      <c r="I3108" s="7">
        <f t="shared" si="99"/>
        <v>10.135416666666639</v>
      </c>
    </row>
    <row r="3109" spans="1:9" x14ac:dyDescent="0.2">
      <c r="A3109" t="s">
        <v>3435</v>
      </c>
      <c r="B3109">
        <v>3.2869999999999999</v>
      </c>
      <c r="C3109">
        <v>4.6050000000000001E-2</v>
      </c>
      <c r="D3109">
        <v>265</v>
      </c>
      <c r="E3109" t="s">
        <v>3435</v>
      </c>
      <c r="F3109">
        <v>265</v>
      </c>
      <c r="G3109" s="1">
        <v>45191</v>
      </c>
      <c r="H3109" s="6">
        <f t="shared" si="98"/>
        <v>10.145833333333306</v>
      </c>
      <c r="I3109" s="7">
        <f t="shared" si="99"/>
        <v>10.145833333333306</v>
      </c>
    </row>
    <row r="3110" spans="1:9" x14ac:dyDescent="0.2">
      <c r="A3110" t="s">
        <v>3436</v>
      </c>
      <c r="B3110">
        <v>3.2665000000000002</v>
      </c>
      <c r="C3110">
        <v>4.5740000000000003E-2</v>
      </c>
      <c r="D3110">
        <v>265</v>
      </c>
      <c r="E3110" t="s">
        <v>3436</v>
      </c>
      <c r="F3110">
        <v>265</v>
      </c>
      <c r="G3110" s="1">
        <v>45191</v>
      </c>
      <c r="H3110" s="6">
        <f t="shared" si="98"/>
        <v>10.156249999999972</v>
      </c>
      <c r="I3110" s="7">
        <f t="shared" si="99"/>
        <v>10.156249999999972</v>
      </c>
    </row>
    <row r="3111" spans="1:9" x14ac:dyDescent="0.2">
      <c r="A3111" t="s">
        <v>3437</v>
      </c>
      <c r="B3111">
        <v>3.2955000000000001</v>
      </c>
      <c r="C3111">
        <v>4.6149999999999997E-2</v>
      </c>
      <c r="D3111">
        <v>265</v>
      </c>
      <c r="E3111" t="s">
        <v>3437</v>
      </c>
      <c r="F3111">
        <v>265</v>
      </c>
      <c r="G3111" s="1">
        <v>45191</v>
      </c>
      <c r="H3111" s="6">
        <f t="shared" si="98"/>
        <v>10.166666666666638</v>
      </c>
      <c r="I3111" s="7">
        <f t="shared" si="99"/>
        <v>10.166666666666638</v>
      </c>
    </row>
    <row r="3112" spans="1:9" x14ac:dyDescent="0.2">
      <c r="A3112" t="s">
        <v>3438</v>
      </c>
      <c r="B3112">
        <v>3.2854999999999999</v>
      </c>
      <c r="C3112">
        <v>4.6025000000000003E-2</v>
      </c>
      <c r="D3112">
        <v>265</v>
      </c>
      <c r="E3112" t="s">
        <v>3438</v>
      </c>
      <c r="F3112">
        <v>265</v>
      </c>
      <c r="G3112" s="1">
        <v>45191</v>
      </c>
      <c r="H3112" s="6">
        <f t="shared" si="98"/>
        <v>10.177083333333304</v>
      </c>
      <c r="I3112" s="7">
        <f t="shared" si="99"/>
        <v>10.177083333333304</v>
      </c>
    </row>
    <row r="3113" spans="1:9" x14ac:dyDescent="0.2">
      <c r="A3113" t="s">
        <v>3439</v>
      </c>
      <c r="B3113">
        <v>3.3050000000000002</v>
      </c>
      <c r="C3113">
        <v>4.6280000000000002E-2</v>
      </c>
      <c r="D3113">
        <v>265</v>
      </c>
      <c r="E3113" t="s">
        <v>3439</v>
      </c>
      <c r="F3113">
        <v>265</v>
      </c>
      <c r="G3113" s="1">
        <v>45191</v>
      </c>
      <c r="H3113" s="6">
        <f t="shared" si="98"/>
        <v>10.18749999999997</v>
      </c>
      <c r="I3113" s="7">
        <f t="shared" si="99"/>
        <v>10.18749999999997</v>
      </c>
    </row>
    <row r="3114" spans="1:9" x14ac:dyDescent="0.2">
      <c r="A3114" t="s">
        <v>3440</v>
      </c>
      <c r="B3114">
        <v>3.2774999999999999</v>
      </c>
      <c r="C3114">
        <v>4.5914999999999997E-2</v>
      </c>
      <c r="D3114">
        <v>265</v>
      </c>
      <c r="E3114" t="s">
        <v>3440</v>
      </c>
      <c r="F3114">
        <v>265</v>
      </c>
      <c r="G3114" s="1">
        <v>45191</v>
      </c>
      <c r="H3114" s="6">
        <f t="shared" si="98"/>
        <v>10.197916666666636</v>
      </c>
      <c r="I3114" s="7">
        <f t="shared" si="99"/>
        <v>10.197916666666636</v>
      </c>
    </row>
    <row r="3115" spans="1:9" x14ac:dyDescent="0.2">
      <c r="A3115" t="s">
        <v>3441</v>
      </c>
      <c r="B3115">
        <v>3.3005</v>
      </c>
      <c r="C3115">
        <v>4.6240000000000003E-2</v>
      </c>
      <c r="D3115">
        <v>265</v>
      </c>
      <c r="E3115" t="s">
        <v>3441</v>
      </c>
      <c r="F3115">
        <v>265</v>
      </c>
      <c r="G3115" s="1">
        <v>45191</v>
      </c>
      <c r="H3115" s="6">
        <f t="shared" si="98"/>
        <v>10.208333333333302</v>
      </c>
      <c r="I3115" s="7">
        <f t="shared" si="99"/>
        <v>10.208333333333302</v>
      </c>
    </row>
    <row r="3116" spans="1:9" x14ac:dyDescent="0.2">
      <c r="A3116" t="s">
        <v>3442</v>
      </c>
      <c r="B3116">
        <v>3.2759999999999998</v>
      </c>
      <c r="C3116">
        <v>4.5885000000000002E-2</v>
      </c>
      <c r="D3116">
        <v>265</v>
      </c>
      <c r="E3116" t="s">
        <v>3442</v>
      </c>
      <c r="F3116">
        <v>265</v>
      </c>
      <c r="G3116" s="1">
        <v>45191</v>
      </c>
      <c r="H3116" s="6">
        <f t="shared" si="98"/>
        <v>10.218749999999968</v>
      </c>
      <c r="I3116" s="7">
        <f t="shared" si="99"/>
        <v>10.218749999999968</v>
      </c>
    </row>
    <row r="3117" spans="1:9" x14ac:dyDescent="0.2">
      <c r="A3117" t="s">
        <v>3443</v>
      </c>
      <c r="B3117" s="2" t="s">
        <v>1071</v>
      </c>
      <c r="C3117">
        <v>4.6080000000000003E-2</v>
      </c>
      <c r="D3117">
        <v>265</v>
      </c>
      <c r="E3117" t="s">
        <v>3443</v>
      </c>
      <c r="F3117">
        <v>265</v>
      </c>
      <c r="G3117" s="1">
        <v>45191</v>
      </c>
      <c r="H3117" s="6">
        <f t="shared" si="98"/>
        <v>10.229166666666634</v>
      </c>
      <c r="I3117" s="7">
        <f t="shared" si="99"/>
        <v>10.229166666666634</v>
      </c>
    </row>
    <row r="3118" spans="1:9" x14ac:dyDescent="0.2">
      <c r="A3118" t="s">
        <v>3444</v>
      </c>
      <c r="B3118">
        <v>3.2934999999999999</v>
      </c>
      <c r="C3118">
        <v>4.6124999999999999E-2</v>
      </c>
      <c r="D3118">
        <v>265</v>
      </c>
      <c r="E3118" t="s">
        <v>3444</v>
      </c>
      <c r="F3118">
        <v>265</v>
      </c>
      <c r="G3118" s="1">
        <v>45191</v>
      </c>
      <c r="H3118" s="6">
        <f t="shared" si="98"/>
        <v>10.2395833333333</v>
      </c>
      <c r="I3118" s="7">
        <f t="shared" si="99"/>
        <v>10.2395833333333</v>
      </c>
    </row>
    <row r="3119" spans="1:9" x14ac:dyDescent="0.2">
      <c r="A3119" t="s">
        <v>3445</v>
      </c>
      <c r="B3119">
        <v>3.282</v>
      </c>
      <c r="C3119">
        <v>4.5955000000000003E-2</v>
      </c>
      <c r="D3119">
        <v>265</v>
      </c>
      <c r="E3119" t="s">
        <v>3445</v>
      </c>
      <c r="F3119">
        <v>265</v>
      </c>
      <c r="G3119" s="1">
        <v>45191</v>
      </c>
      <c r="H3119" s="6">
        <f t="shared" si="98"/>
        <v>10.249999999999966</v>
      </c>
      <c r="I3119" s="7">
        <f t="shared" si="99"/>
        <v>10.249999999999966</v>
      </c>
    </row>
    <row r="3120" spans="1:9" x14ac:dyDescent="0.2">
      <c r="A3120" t="s">
        <v>3446</v>
      </c>
      <c r="B3120">
        <v>3.2879999999999998</v>
      </c>
      <c r="C3120">
        <v>4.6059999999999997E-2</v>
      </c>
      <c r="D3120">
        <v>265</v>
      </c>
      <c r="E3120" t="s">
        <v>3446</v>
      </c>
      <c r="F3120">
        <v>265</v>
      </c>
      <c r="G3120" s="1">
        <v>45191</v>
      </c>
      <c r="H3120" s="6">
        <f t="shared" si="98"/>
        <v>10.260416666666632</v>
      </c>
      <c r="I3120" s="7">
        <f t="shared" si="99"/>
        <v>10.260416666666632</v>
      </c>
    </row>
    <row r="3121" spans="1:9" x14ac:dyDescent="0.2">
      <c r="A3121" t="s">
        <v>3447</v>
      </c>
      <c r="B3121">
        <v>3.3050000000000002</v>
      </c>
      <c r="C3121">
        <v>4.6289999999999998E-2</v>
      </c>
      <c r="D3121">
        <v>265</v>
      </c>
      <c r="E3121" t="s">
        <v>3447</v>
      </c>
      <c r="F3121">
        <v>265</v>
      </c>
      <c r="G3121" s="1">
        <v>45191</v>
      </c>
      <c r="H3121" s="6">
        <f t="shared" si="98"/>
        <v>10.270833333333298</v>
      </c>
      <c r="I3121" s="7">
        <f t="shared" si="99"/>
        <v>10.270833333333298</v>
      </c>
    </row>
    <row r="3122" spans="1:9" x14ac:dyDescent="0.2">
      <c r="A3122" t="s">
        <v>3448</v>
      </c>
      <c r="B3122">
        <v>3.298</v>
      </c>
      <c r="C3122">
        <v>4.6190000000000002E-2</v>
      </c>
      <c r="D3122">
        <v>265</v>
      </c>
      <c r="E3122" t="s">
        <v>3448</v>
      </c>
      <c r="F3122">
        <v>265</v>
      </c>
      <c r="G3122" s="1">
        <v>45191</v>
      </c>
      <c r="H3122" s="6">
        <f t="shared" si="98"/>
        <v>10.281249999999964</v>
      </c>
      <c r="I3122" s="7">
        <f t="shared" si="99"/>
        <v>10.281249999999964</v>
      </c>
    </row>
    <row r="3123" spans="1:9" x14ac:dyDescent="0.2">
      <c r="A3123" t="s">
        <v>3449</v>
      </c>
      <c r="B3123">
        <v>3.2685</v>
      </c>
      <c r="C3123">
        <v>4.5789999999999997E-2</v>
      </c>
      <c r="D3123">
        <v>265</v>
      </c>
      <c r="E3123" t="s">
        <v>3449</v>
      </c>
      <c r="F3123">
        <v>265</v>
      </c>
      <c r="G3123" s="1">
        <v>45191</v>
      </c>
      <c r="H3123" s="6">
        <f t="shared" si="98"/>
        <v>10.291666666666631</v>
      </c>
      <c r="I3123" s="7">
        <f t="shared" si="99"/>
        <v>10.291666666666631</v>
      </c>
    </row>
    <row r="3124" spans="1:9" x14ac:dyDescent="0.2">
      <c r="A3124" t="s">
        <v>3450</v>
      </c>
      <c r="B3124">
        <v>3.2690000000000001</v>
      </c>
      <c r="C3124">
        <v>4.5765E-2</v>
      </c>
      <c r="D3124">
        <v>265</v>
      </c>
      <c r="E3124" t="s">
        <v>3450</v>
      </c>
      <c r="F3124">
        <v>265</v>
      </c>
      <c r="G3124" s="1">
        <v>45191</v>
      </c>
      <c r="H3124" s="6">
        <f t="shared" si="98"/>
        <v>10.302083333333297</v>
      </c>
      <c r="I3124" s="7">
        <f t="shared" si="99"/>
        <v>10.302083333333297</v>
      </c>
    </row>
    <row r="3125" spans="1:9" x14ac:dyDescent="0.2">
      <c r="A3125" t="s">
        <v>3451</v>
      </c>
      <c r="B3125">
        <v>3.262</v>
      </c>
      <c r="C3125">
        <v>4.5699999999999998E-2</v>
      </c>
      <c r="D3125">
        <v>265</v>
      </c>
      <c r="E3125" t="s">
        <v>3451</v>
      </c>
      <c r="F3125">
        <v>265</v>
      </c>
      <c r="G3125" s="1">
        <v>45191</v>
      </c>
      <c r="H3125" s="6">
        <f t="shared" si="98"/>
        <v>10.312499999999963</v>
      </c>
      <c r="I3125" s="7">
        <f t="shared" si="99"/>
        <v>10.312499999999963</v>
      </c>
    </row>
    <row r="3126" spans="1:9" x14ac:dyDescent="0.2">
      <c r="A3126" t="s">
        <v>3452</v>
      </c>
      <c r="B3126">
        <v>3.2685</v>
      </c>
      <c r="C3126">
        <v>4.5780000000000001E-2</v>
      </c>
      <c r="D3126">
        <v>265</v>
      </c>
      <c r="E3126" t="s">
        <v>3452</v>
      </c>
      <c r="F3126">
        <v>265</v>
      </c>
      <c r="G3126" s="1">
        <v>45191</v>
      </c>
      <c r="H3126" s="6">
        <f t="shared" si="98"/>
        <v>10.322916666666629</v>
      </c>
      <c r="I3126" s="7">
        <f t="shared" si="99"/>
        <v>10.322916666666629</v>
      </c>
    </row>
    <row r="3127" spans="1:9" x14ac:dyDescent="0.2">
      <c r="A3127" t="s">
        <v>3453</v>
      </c>
      <c r="B3127">
        <v>3.2565</v>
      </c>
      <c r="C3127">
        <v>4.5620000000000001E-2</v>
      </c>
      <c r="D3127">
        <v>265</v>
      </c>
      <c r="E3127" t="s">
        <v>3453</v>
      </c>
      <c r="F3127">
        <v>265</v>
      </c>
      <c r="G3127" s="1">
        <v>45191</v>
      </c>
      <c r="H3127" s="6">
        <f t="shared" si="98"/>
        <v>10.333333333333295</v>
      </c>
      <c r="I3127" s="7">
        <f t="shared" si="99"/>
        <v>10.333333333333295</v>
      </c>
    </row>
    <row r="3128" spans="1:9" x14ac:dyDescent="0.2">
      <c r="A3128" t="s">
        <v>3454</v>
      </c>
      <c r="B3128">
        <v>3.258</v>
      </c>
      <c r="C3128">
        <v>4.5615000000000003E-2</v>
      </c>
      <c r="D3128">
        <v>265</v>
      </c>
      <c r="E3128" t="s">
        <v>3454</v>
      </c>
      <c r="F3128">
        <v>265</v>
      </c>
      <c r="G3128" s="1">
        <v>45191</v>
      </c>
      <c r="H3128" s="6">
        <f t="shared" si="98"/>
        <v>10.343749999999961</v>
      </c>
      <c r="I3128" s="7">
        <f t="shared" si="99"/>
        <v>10.343749999999961</v>
      </c>
    </row>
    <row r="3129" spans="1:9" x14ac:dyDescent="0.2">
      <c r="A3129" t="s">
        <v>3455</v>
      </c>
      <c r="B3129">
        <v>3.2589999999999999</v>
      </c>
      <c r="C3129">
        <v>4.5650000000000003E-2</v>
      </c>
      <c r="D3129">
        <v>265</v>
      </c>
      <c r="E3129" t="s">
        <v>3455</v>
      </c>
      <c r="F3129">
        <v>265</v>
      </c>
      <c r="G3129" s="1">
        <v>45191</v>
      </c>
      <c r="H3129" s="6">
        <f t="shared" si="98"/>
        <v>10.354166666666627</v>
      </c>
      <c r="I3129" s="7">
        <f t="shared" si="99"/>
        <v>10.354166666666627</v>
      </c>
    </row>
    <row r="3130" spans="1:9" x14ac:dyDescent="0.2">
      <c r="A3130" t="s">
        <v>3456</v>
      </c>
      <c r="B3130">
        <v>3.2749999999999999</v>
      </c>
      <c r="C3130">
        <v>4.5874999999999999E-2</v>
      </c>
      <c r="D3130">
        <v>265</v>
      </c>
      <c r="E3130" t="s">
        <v>3456</v>
      </c>
      <c r="F3130">
        <v>265</v>
      </c>
      <c r="G3130" s="1">
        <v>45191</v>
      </c>
      <c r="H3130" s="6">
        <f t="shared" si="98"/>
        <v>10.364583333333293</v>
      </c>
      <c r="I3130" s="7">
        <f t="shared" si="99"/>
        <v>10.364583333333293</v>
      </c>
    </row>
    <row r="3131" spans="1:9" x14ac:dyDescent="0.2">
      <c r="A3131" t="s">
        <v>3457</v>
      </c>
      <c r="B3131">
        <v>3.2565</v>
      </c>
      <c r="C3131">
        <v>4.5605E-2</v>
      </c>
      <c r="D3131">
        <v>265</v>
      </c>
      <c r="E3131" t="s">
        <v>3457</v>
      </c>
      <c r="F3131">
        <v>265</v>
      </c>
      <c r="G3131" s="1">
        <v>45191</v>
      </c>
      <c r="H3131" s="6">
        <f t="shared" si="98"/>
        <v>10.374999999999959</v>
      </c>
      <c r="I3131" s="7">
        <f t="shared" si="99"/>
        <v>10.374999999999959</v>
      </c>
    </row>
    <row r="3132" spans="1:9" x14ac:dyDescent="0.2">
      <c r="A3132" t="s">
        <v>3458</v>
      </c>
      <c r="B3132">
        <v>3.2545000000000002</v>
      </c>
      <c r="C3132">
        <v>4.5600000000000002E-2</v>
      </c>
      <c r="D3132">
        <v>265</v>
      </c>
      <c r="E3132" t="s">
        <v>3458</v>
      </c>
      <c r="F3132">
        <v>265</v>
      </c>
      <c r="G3132" s="1">
        <v>45191</v>
      </c>
      <c r="H3132" s="6">
        <f t="shared" si="98"/>
        <v>10.385416666666625</v>
      </c>
      <c r="I3132" s="7">
        <f t="shared" si="99"/>
        <v>10.385416666666625</v>
      </c>
    </row>
    <row r="3133" spans="1:9" x14ac:dyDescent="0.2">
      <c r="A3133" t="s">
        <v>3459</v>
      </c>
      <c r="B3133">
        <v>3.2654999999999998</v>
      </c>
      <c r="C3133">
        <v>4.5740000000000003E-2</v>
      </c>
      <c r="D3133">
        <v>265</v>
      </c>
      <c r="E3133" t="s">
        <v>3459</v>
      </c>
      <c r="F3133">
        <v>265</v>
      </c>
      <c r="G3133" s="1">
        <v>45191</v>
      </c>
      <c r="H3133" s="6">
        <f t="shared" si="98"/>
        <v>10.395833333333291</v>
      </c>
      <c r="I3133" s="7">
        <f t="shared" si="99"/>
        <v>10.395833333333291</v>
      </c>
    </row>
    <row r="3134" spans="1:9" x14ac:dyDescent="0.2">
      <c r="A3134" t="s">
        <v>3460</v>
      </c>
      <c r="B3134" s="2" t="s">
        <v>3370</v>
      </c>
      <c r="C3134">
        <v>4.5425E-2</v>
      </c>
      <c r="D3134">
        <v>265</v>
      </c>
      <c r="E3134" t="s">
        <v>3460</v>
      </c>
      <c r="F3134">
        <v>265</v>
      </c>
      <c r="G3134" s="1">
        <v>45191</v>
      </c>
      <c r="H3134" s="6">
        <f t="shared" si="98"/>
        <v>10.406249999999957</v>
      </c>
      <c r="I3134" s="7">
        <f t="shared" si="99"/>
        <v>10.406249999999957</v>
      </c>
    </row>
    <row r="3135" spans="1:9" x14ac:dyDescent="0.2">
      <c r="A3135" t="s">
        <v>3461</v>
      </c>
      <c r="B3135">
        <v>3.2530000000000001</v>
      </c>
      <c r="C3135">
        <v>4.5554999999999998E-2</v>
      </c>
      <c r="D3135">
        <v>265</v>
      </c>
      <c r="E3135" t="s">
        <v>3461</v>
      </c>
      <c r="F3135">
        <v>265</v>
      </c>
      <c r="G3135" s="1">
        <v>45191</v>
      </c>
      <c r="H3135" s="6">
        <f t="shared" si="98"/>
        <v>10.416666666666623</v>
      </c>
      <c r="I3135" s="7">
        <f t="shared" si="99"/>
        <v>10.416666666666623</v>
      </c>
    </row>
    <row r="3136" spans="1:9" x14ac:dyDescent="0.2">
      <c r="A3136" t="s">
        <v>3462</v>
      </c>
      <c r="B3136">
        <v>3.2465000000000002</v>
      </c>
      <c r="C3136">
        <v>4.548E-2</v>
      </c>
      <c r="D3136">
        <v>265</v>
      </c>
      <c r="E3136" t="s">
        <v>3462</v>
      </c>
      <c r="F3136">
        <v>265</v>
      </c>
      <c r="G3136" s="1">
        <v>45191</v>
      </c>
      <c r="H3136" s="6">
        <f t="shared" si="98"/>
        <v>10.42708333333329</v>
      </c>
      <c r="I3136" s="7">
        <f t="shared" si="99"/>
        <v>10.42708333333329</v>
      </c>
    </row>
    <row r="3137" spans="1:9" x14ac:dyDescent="0.2">
      <c r="A3137" t="s">
        <v>3463</v>
      </c>
      <c r="B3137">
        <v>3.2435</v>
      </c>
      <c r="C3137">
        <v>4.5444999999999999E-2</v>
      </c>
      <c r="D3137">
        <v>265</v>
      </c>
      <c r="E3137" t="s">
        <v>3463</v>
      </c>
      <c r="F3137">
        <v>265</v>
      </c>
      <c r="G3137" s="1">
        <v>45191</v>
      </c>
      <c r="H3137" s="6">
        <f t="shared" si="98"/>
        <v>10.437499999999956</v>
      </c>
      <c r="I3137" s="7">
        <f t="shared" si="99"/>
        <v>10.437499999999956</v>
      </c>
    </row>
    <row r="3138" spans="1:9" x14ac:dyDescent="0.2">
      <c r="A3138" t="s">
        <v>3464</v>
      </c>
      <c r="B3138">
        <v>3.2519999999999998</v>
      </c>
      <c r="C3138">
        <v>4.555E-2</v>
      </c>
      <c r="D3138">
        <v>265</v>
      </c>
      <c r="E3138" t="s">
        <v>3464</v>
      </c>
      <c r="F3138">
        <v>265</v>
      </c>
      <c r="G3138" s="1">
        <v>45191</v>
      </c>
      <c r="H3138" s="6">
        <f t="shared" si="98"/>
        <v>10.447916666666622</v>
      </c>
      <c r="I3138" s="7">
        <f t="shared" si="99"/>
        <v>10.447916666666622</v>
      </c>
    </row>
    <row r="3139" spans="1:9" x14ac:dyDescent="0.2">
      <c r="A3139" t="s">
        <v>3465</v>
      </c>
      <c r="B3139">
        <v>3.26</v>
      </c>
      <c r="C3139">
        <v>4.5679999999999998E-2</v>
      </c>
      <c r="D3139">
        <v>265</v>
      </c>
      <c r="E3139" t="s">
        <v>3465</v>
      </c>
      <c r="F3139">
        <v>265</v>
      </c>
      <c r="G3139" s="1">
        <v>45191</v>
      </c>
      <c r="H3139" s="6">
        <f t="shared" si="98"/>
        <v>10.458333333333288</v>
      </c>
      <c r="I3139" s="7">
        <f t="shared" si="99"/>
        <v>10.458333333333288</v>
      </c>
    </row>
    <row r="3140" spans="1:9" x14ac:dyDescent="0.2">
      <c r="A3140" t="s">
        <v>3466</v>
      </c>
      <c r="B3140">
        <v>3.2040000000000002</v>
      </c>
      <c r="C3140">
        <v>4.4874999999999998E-2</v>
      </c>
      <c r="D3140">
        <v>265</v>
      </c>
      <c r="E3140" t="s">
        <v>3466</v>
      </c>
      <c r="F3140">
        <v>265</v>
      </c>
      <c r="G3140" s="1">
        <v>45191</v>
      </c>
      <c r="H3140" s="6">
        <f t="shared" si="98"/>
        <v>10.468749999999954</v>
      </c>
      <c r="I3140" s="7">
        <f t="shared" si="99"/>
        <v>10.468749999999954</v>
      </c>
    </row>
    <row r="3141" spans="1:9" x14ac:dyDescent="0.2">
      <c r="A3141" t="s">
        <v>3467</v>
      </c>
      <c r="B3141">
        <v>3.2320000000000002</v>
      </c>
      <c r="C3141">
        <v>4.5269999999999998E-2</v>
      </c>
      <c r="D3141">
        <v>265</v>
      </c>
      <c r="E3141" t="s">
        <v>3467</v>
      </c>
      <c r="F3141">
        <v>265</v>
      </c>
      <c r="G3141" s="1">
        <v>45191</v>
      </c>
      <c r="H3141" s="6">
        <f t="shared" si="98"/>
        <v>10.47916666666662</v>
      </c>
      <c r="I3141" s="7">
        <f t="shared" si="99"/>
        <v>10.47916666666662</v>
      </c>
    </row>
    <row r="3142" spans="1:9" x14ac:dyDescent="0.2">
      <c r="A3142" t="s">
        <v>3468</v>
      </c>
      <c r="B3142">
        <v>3.2275</v>
      </c>
      <c r="C3142">
        <v>4.521E-2</v>
      </c>
      <c r="D3142">
        <v>265</v>
      </c>
      <c r="E3142" t="s">
        <v>3468</v>
      </c>
      <c r="F3142">
        <v>265</v>
      </c>
      <c r="G3142" s="1">
        <v>45191</v>
      </c>
      <c r="H3142" s="6">
        <f t="shared" si="98"/>
        <v>10.489583333333286</v>
      </c>
      <c r="I3142" s="7">
        <f t="shared" si="99"/>
        <v>10.489583333333286</v>
      </c>
    </row>
    <row r="3143" spans="1:9" x14ac:dyDescent="0.2">
      <c r="A3143" t="s">
        <v>3469</v>
      </c>
      <c r="B3143">
        <v>3.2265000000000001</v>
      </c>
      <c r="C3143">
        <v>4.5225000000000001E-2</v>
      </c>
      <c r="D3143">
        <v>265</v>
      </c>
      <c r="E3143" t="s">
        <v>3469</v>
      </c>
      <c r="F3143">
        <v>265</v>
      </c>
      <c r="G3143" s="1">
        <v>45191</v>
      </c>
      <c r="H3143" s="6">
        <f t="shared" si="98"/>
        <v>10.499999999999952</v>
      </c>
      <c r="I3143" s="7">
        <f t="shared" si="99"/>
        <v>10.499999999999952</v>
      </c>
    </row>
    <row r="3144" spans="1:9" x14ac:dyDescent="0.2">
      <c r="A3144" t="s">
        <v>3470</v>
      </c>
      <c r="B3144">
        <v>3.2454999999999998</v>
      </c>
      <c r="C3144" s="2" t="s">
        <v>3471</v>
      </c>
      <c r="D3144">
        <v>265</v>
      </c>
      <c r="E3144" t="s">
        <v>3470</v>
      </c>
      <c r="F3144">
        <v>265</v>
      </c>
      <c r="G3144" s="1">
        <v>45191</v>
      </c>
      <c r="H3144" s="6">
        <f t="shared" si="98"/>
        <v>10.510416666666618</v>
      </c>
      <c r="I3144" s="7">
        <f t="shared" si="99"/>
        <v>10.510416666666618</v>
      </c>
    </row>
    <row r="3145" spans="1:9" x14ac:dyDescent="0.2">
      <c r="A3145" t="s">
        <v>3472</v>
      </c>
      <c r="B3145">
        <v>3.2324999999999999</v>
      </c>
      <c r="C3145">
        <v>4.5265E-2</v>
      </c>
      <c r="D3145">
        <v>265</v>
      </c>
      <c r="E3145" t="s">
        <v>3472</v>
      </c>
      <c r="F3145">
        <v>265</v>
      </c>
      <c r="G3145" s="1">
        <v>45191</v>
      </c>
      <c r="H3145" s="6">
        <f t="shared" si="98"/>
        <v>10.520833333333284</v>
      </c>
      <c r="I3145" s="7">
        <f t="shared" si="99"/>
        <v>10.520833333333284</v>
      </c>
    </row>
    <row r="3146" spans="1:9" x14ac:dyDescent="0.2">
      <c r="A3146" t="s">
        <v>3473</v>
      </c>
      <c r="B3146">
        <v>3.2305000000000001</v>
      </c>
      <c r="C3146">
        <v>4.5249999999999999E-2</v>
      </c>
      <c r="D3146">
        <v>265</v>
      </c>
      <c r="E3146" t="s">
        <v>3473</v>
      </c>
      <c r="F3146">
        <v>265</v>
      </c>
      <c r="G3146" s="1">
        <v>45191</v>
      </c>
      <c r="H3146" s="6">
        <f t="shared" si="98"/>
        <v>10.53124999999995</v>
      </c>
      <c r="I3146" s="7">
        <f t="shared" si="99"/>
        <v>10.53124999999995</v>
      </c>
    </row>
    <row r="3147" spans="1:9" x14ac:dyDescent="0.2">
      <c r="A3147" t="s">
        <v>3474</v>
      </c>
      <c r="B3147">
        <v>3.2149999999999999</v>
      </c>
      <c r="C3147">
        <v>4.5014999999999999E-2</v>
      </c>
      <c r="D3147">
        <v>265</v>
      </c>
      <c r="E3147" t="s">
        <v>3474</v>
      </c>
      <c r="F3147">
        <v>265</v>
      </c>
      <c r="G3147" s="1">
        <v>45191</v>
      </c>
      <c r="H3147" s="6">
        <f t="shared" si="98"/>
        <v>10.541666666666616</v>
      </c>
      <c r="I3147" s="7">
        <f t="shared" si="99"/>
        <v>10.541666666666616</v>
      </c>
    </row>
    <row r="3148" spans="1:9" x14ac:dyDescent="0.2">
      <c r="A3148" t="s">
        <v>3475</v>
      </c>
      <c r="B3148">
        <v>3.222</v>
      </c>
      <c r="C3148" s="2" t="s">
        <v>3476</v>
      </c>
      <c r="D3148">
        <v>265</v>
      </c>
      <c r="E3148" t="s">
        <v>3475</v>
      </c>
      <c r="F3148">
        <v>265</v>
      </c>
      <c r="G3148" s="1">
        <v>45191</v>
      </c>
      <c r="H3148" s="6">
        <f t="shared" si="98"/>
        <v>10.552083333333282</v>
      </c>
      <c r="I3148" s="7">
        <f t="shared" si="99"/>
        <v>10.552083333333282</v>
      </c>
    </row>
    <row r="3149" spans="1:9" x14ac:dyDescent="0.2">
      <c r="A3149" t="s">
        <v>3477</v>
      </c>
      <c r="B3149">
        <v>3.2195</v>
      </c>
      <c r="C3149">
        <v>4.512E-2</v>
      </c>
      <c r="D3149">
        <v>265</v>
      </c>
      <c r="E3149" t="s">
        <v>3477</v>
      </c>
      <c r="F3149">
        <v>265</v>
      </c>
      <c r="G3149" s="1">
        <v>45191</v>
      </c>
      <c r="H3149" s="6">
        <f t="shared" si="98"/>
        <v>10.562499999999948</v>
      </c>
      <c r="I3149" s="7">
        <f t="shared" si="99"/>
        <v>10.562499999999948</v>
      </c>
    </row>
    <row r="3150" spans="1:9" x14ac:dyDescent="0.2">
      <c r="A3150" t="s">
        <v>3478</v>
      </c>
      <c r="B3150">
        <v>3.1960000000000002</v>
      </c>
      <c r="C3150">
        <v>4.4769999999999997E-2</v>
      </c>
      <c r="D3150">
        <v>265</v>
      </c>
      <c r="E3150" t="s">
        <v>3478</v>
      </c>
      <c r="F3150">
        <v>265</v>
      </c>
      <c r="G3150" s="1">
        <v>45191</v>
      </c>
      <c r="H3150" s="6">
        <f t="shared" si="98"/>
        <v>10.572916666666615</v>
      </c>
      <c r="I3150" s="7">
        <f t="shared" si="99"/>
        <v>10.572916666666615</v>
      </c>
    </row>
    <row r="3151" spans="1:9" x14ac:dyDescent="0.2">
      <c r="A3151" t="s">
        <v>3479</v>
      </c>
      <c r="B3151">
        <v>3.2284999999999999</v>
      </c>
      <c r="C3151">
        <v>4.5205000000000002E-2</v>
      </c>
      <c r="D3151">
        <v>265</v>
      </c>
      <c r="E3151" t="s">
        <v>3479</v>
      </c>
      <c r="F3151">
        <v>265</v>
      </c>
      <c r="G3151" s="1">
        <v>45191</v>
      </c>
      <c r="H3151" s="6">
        <f t="shared" si="98"/>
        <v>10.583333333333281</v>
      </c>
      <c r="I3151" s="7">
        <f t="shared" si="99"/>
        <v>10.583333333333281</v>
      </c>
    </row>
    <row r="3152" spans="1:9" x14ac:dyDescent="0.2">
      <c r="A3152" t="s">
        <v>3480</v>
      </c>
      <c r="B3152">
        <v>3.226</v>
      </c>
      <c r="C3152">
        <v>4.5179999999999998E-2</v>
      </c>
      <c r="D3152">
        <v>265</v>
      </c>
      <c r="E3152" t="s">
        <v>3480</v>
      </c>
      <c r="F3152">
        <v>265</v>
      </c>
      <c r="G3152" s="1">
        <v>45191</v>
      </c>
      <c r="H3152" s="6">
        <f t="shared" si="98"/>
        <v>10.593749999999947</v>
      </c>
      <c r="I3152" s="7">
        <f t="shared" si="99"/>
        <v>10.593749999999947</v>
      </c>
    </row>
    <row r="3153" spans="1:9" x14ac:dyDescent="0.2">
      <c r="A3153" t="s">
        <v>3481</v>
      </c>
      <c r="B3153" s="2" t="s">
        <v>22</v>
      </c>
      <c r="C3153">
        <v>4.4734999999999997E-2</v>
      </c>
      <c r="D3153">
        <v>265</v>
      </c>
      <c r="E3153" t="s">
        <v>3481</v>
      </c>
      <c r="F3153">
        <v>265</v>
      </c>
      <c r="G3153" s="1">
        <v>45191</v>
      </c>
      <c r="H3153" s="6">
        <f t="shared" si="98"/>
        <v>10.604166666666613</v>
      </c>
      <c r="I3153" s="7">
        <f t="shared" si="99"/>
        <v>10.604166666666613</v>
      </c>
    </row>
    <row r="3154" spans="1:9" x14ac:dyDescent="0.2">
      <c r="A3154" t="s">
        <v>3482</v>
      </c>
      <c r="B3154">
        <v>3.2225000000000001</v>
      </c>
      <c r="C3154">
        <v>4.5144999999999998E-2</v>
      </c>
      <c r="D3154">
        <v>265</v>
      </c>
      <c r="E3154" t="s">
        <v>3482</v>
      </c>
      <c r="F3154">
        <v>265</v>
      </c>
      <c r="G3154" s="1">
        <v>45191</v>
      </c>
      <c r="H3154" s="6">
        <f t="shared" si="98"/>
        <v>10.614583333333279</v>
      </c>
      <c r="I3154" s="7">
        <f t="shared" si="99"/>
        <v>10.614583333333279</v>
      </c>
    </row>
    <row r="3155" spans="1:9" x14ac:dyDescent="0.2">
      <c r="A3155" t="s">
        <v>3483</v>
      </c>
      <c r="B3155">
        <v>3.1970000000000001</v>
      </c>
      <c r="C3155">
        <v>4.4775000000000002E-2</v>
      </c>
      <c r="D3155">
        <v>265</v>
      </c>
      <c r="E3155" t="s">
        <v>3483</v>
      </c>
      <c r="F3155">
        <v>265</v>
      </c>
      <c r="G3155" s="1">
        <v>45191</v>
      </c>
      <c r="H3155" s="6">
        <f t="shared" si="98"/>
        <v>10.624999999999945</v>
      </c>
      <c r="I3155" s="7">
        <f t="shared" si="99"/>
        <v>10.624999999999945</v>
      </c>
    </row>
    <row r="3156" spans="1:9" x14ac:dyDescent="0.2">
      <c r="A3156" t="s">
        <v>3484</v>
      </c>
      <c r="B3156">
        <v>3.1955</v>
      </c>
      <c r="C3156">
        <v>4.4769999999999997E-2</v>
      </c>
      <c r="D3156">
        <v>265</v>
      </c>
      <c r="E3156" t="s">
        <v>3484</v>
      </c>
      <c r="F3156">
        <v>265</v>
      </c>
      <c r="G3156" s="1">
        <v>45191</v>
      </c>
      <c r="H3156" s="6">
        <f t="shared" si="98"/>
        <v>10.635416666666611</v>
      </c>
      <c r="I3156" s="7">
        <f t="shared" si="99"/>
        <v>10.635416666666611</v>
      </c>
    </row>
    <row r="3157" spans="1:9" x14ac:dyDescent="0.2">
      <c r="A3157" t="s">
        <v>3485</v>
      </c>
      <c r="B3157">
        <v>3.1705000000000001</v>
      </c>
      <c r="C3157">
        <v>4.4394999999999997E-2</v>
      </c>
      <c r="D3157">
        <v>265</v>
      </c>
      <c r="E3157" t="s">
        <v>3485</v>
      </c>
      <c r="F3157">
        <v>265</v>
      </c>
      <c r="G3157" s="1">
        <v>45191</v>
      </c>
      <c r="H3157" s="6">
        <f t="shared" si="98"/>
        <v>10.645833333333277</v>
      </c>
      <c r="I3157" s="7">
        <f t="shared" si="99"/>
        <v>10.645833333333277</v>
      </c>
    </row>
    <row r="3158" spans="1:9" x14ac:dyDescent="0.2">
      <c r="A3158" t="s">
        <v>3486</v>
      </c>
      <c r="B3158">
        <v>3.2185000000000001</v>
      </c>
      <c r="C3158">
        <v>4.5060000000000003E-2</v>
      </c>
      <c r="D3158">
        <v>266</v>
      </c>
      <c r="E3158" t="s">
        <v>3486</v>
      </c>
      <c r="F3158">
        <v>265</v>
      </c>
      <c r="G3158" s="1">
        <v>45191</v>
      </c>
      <c r="H3158" s="6">
        <f t="shared" si="98"/>
        <v>10.656249999999943</v>
      </c>
      <c r="I3158" s="7">
        <f t="shared" si="99"/>
        <v>10.656249999999943</v>
      </c>
    </row>
    <row r="3159" spans="1:9" x14ac:dyDescent="0.2">
      <c r="A3159" t="s">
        <v>3487</v>
      </c>
      <c r="B3159">
        <v>3.198</v>
      </c>
      <c r="C3159">
        <v>4.48E-2</v>
      </c>
      <c r="D3159">
        <v>266</v>
      </c>
      <c r="E3159" t="s">
        <v>3487</v>
      </c>
      <c r="F3159">
        <v>265</v>
      </c>
      <c r="G3159" s="1">
        <v>45191</v>
      </c>
      <c r="H3159" s="6">
        <f t="shared" si="98"/>
        <v>10.666666666666609</v>
      </c>
      <c r="I3159" s="7">
        <f t="shared" si="99"/>
        <v>10.666666666666609</v>
      </c>
    </row>
    <row r="3160" spans="1:9" x14ac:dyDescent="0.2">
      <c r="A3160" t="s">
        <v>3488</v>
      </c>
      <c r="B3160">
        <v>3.2290000000000001</v>
      </c>
      <c r="C3160" s="2" t="s">
        <v>3489</v>
      </c>
      <c r="D3160">
        <v>266</v>
      </c>
      <c r="E3160" t="s">
        <v>3488</v>
      </c>
      <c r="F3160">
        <v>265</v>
      </c>
      <c r="G3160" s="1">
        <v>45191</v>
      </c>
      <c r="H3160" s="6">
        <f t="shared" si="98"/>
        <v>10.677083333333275</v>
      </c>
      <c r="I3160" s="7">
        <f t="shared" si="99"/>
        <v>10.677083333333275</v>
      </c>
    </row>
    <row r="3161" spans="1:9" x14ac:dyDescent="0.2">
      <c r="A3161" t="s">
        <v>3490</v>
      </c>
      <c r="B3161" s="2" t="s">
        <v>3491</v>
      </c>
      <c r="C3161">
        <v>4.4775000000000002E-2</v>
      </c>
      <c r="D3161">
        <v>266</v>
      </c>
      <c r="E3161" t="s">
        <v>3490</v>
      </c>
      <c r="F3161">
        <v>265</v>
      </c>
      <c r="G3161" s="1">
        <v>45191</v>
      </c>
      <c r="H3161" s="6">
        <f t="shared" si="98"/>
        <v>10.687499999999941</v>
      </c>
      <c r="I3161" s="7">
        <f t="shared" si="99"/>
        <v>10.687499999999941</v>
      </c>
    </row>
    <row r="3162" spans="1:9" x14ac:dyDescent="0.2">
      <c r="A3162" t="s">
        <v>3492</v>
      </c>
      <c r="B3162">
        <v>3.2164999999999999</v>
      </c>
      <c r="C3162">
        <v>4.505E-2</v>
      </c>
      <c r="D3162">
        <v>266</v>
      </c>
      <c r="E3162" t="s">
        <v>3492</v>
      </c>
      <c r="F3162">
        <v>265</v>
      </c>
      <c r="G3162" s="1">
        <v>45191</v>
      </c>
      <c r="H3162" s="6">
        <f t="shared" si="98"/>
        <v>10.697916666666607</v>
      </c>
      <c r="I3162" s="7">
        <f t="shared" si="99"/>
        <v>10.697916666666607</v>
      </c>
    </row>
    <row r="3163" spans="1:9" x14ac:dyDescent="0.2">
      <c r="A3163" t="s">
        <v>3493</v>
      </c>
      <c r="B3163">
        <v>3.2010000000000001</v>
      </c>
      <c r="C3163">
        <v>4.4830000000000002E-2</v>
      </c>
      <c r="D3163">
        <v>266</v>
      </c>
      <c r="E3163" t="s">
        <v>3493</v>
      </c>
      <c r="F3163">
        <v>265</v>
      </c>
      <c r="G3163" s="1">
        <v>45191</v>
      </c>
      <c r="H3163" s="6">
        <f t="shared" si="98"/>
        <v>10.708333333333274</v>
      </c>
      <c r="I3163" s="7">
        <f t="shared" si="99"/>
        <v>10.708333333333274</v>
      </c>
    </row>
    <row r="3164" spans="1:9" x14ac:dyDescent="0.2">
      <c r="A3164" t="s">
        <v>3494</v>
      </c>
      <c r="B3164">
        <v>3.1875</v>
      </c>
      <c r="C3164">
        <v>4.4659999999999998E-2</v>
      </c>
      <c r="D3164">
        <v>266</v>
      </c>
      <c r="E3164" t="s">
        <v>3494</v>
      </c>
      <c r="F3164">
        <v>265</v>
      </c>
      <c r="G3164" s="1">
        <v>45191</v>
      </c>
      <c r="H3164" s="6">
        <f t="shared" ref="H3164:H3227" si="100">H3163+$K$1</f>
        <v>10.71874999999994</v>
      </c>
      <c r="I3164" s="7">
        <f t="shared" ref="I3164:I3227" si="101">I3163+$K$1</f>
        <v>10.71874999999994</v>
      </c>
    </row>
    <row r="3165" spans="1:9" x14ac:dyDescent="0.2">
      <c r="A3165" t="s">
        <v>3495</v>
      </c>
      <c r="B3165">
        <v>3.1985000000000001</v>
      </c>
      <c r="C3165">
        <v>4.4795000000000001E-2</v>
      </c>
      <c r="D3165">
        <v>266</v>
      </c>
      <c r="E3165" t="s">
        <v>3495</v>
      </c>
      <c r="F3165">
        <v>265</v>
      </c>
      <c r="G3165" s="1">
        <v>45191</v>
      </c>
      <c r="H3165" s="6">
        <f t="shared" si="100"/>
        <v>10.729166666666606</v>
      </c>
      <c r="I3165" s="7">
        <f t="shared" si="101"/>
        <v>10.729166666666606</v>
      </c>
    </row>
    <row r="3166" spans="1:9" x14ac:dyDescent="0.2">
      <c r="A3166" t="s">
        <v>3496</v>
      </c>
      <c r="B3166" s="2" t="s">
        <v>3497</v>
      </c>
      <c r="C3166">
        <v>4.5039999999999997E-2</v>
      </c>
      <c r="D3166">
        <v>266</v>
      </c>
      <c r="E3166" t="s">
        <v>3496</v>
      </c>
      <c r="F3166">
        <v>265</v>
      </c>
      <c r="G3166" s="1">
        <v>45191</v>
      </c>
      <c r="H3166" s="6">
        <f t="shared" si="100"/>
        <v>10.739583333333272</v>
      </c>
      <c r="I3166" s="7">
        <f t="shared" si="101"/>
        <v>10.739583333333272</v>
      </c>
    </row>
    <row r="3167" spans="1:9" x14ac:dyDescent="0.2">
      <c r="A3167" t="s">
        <v>3498</v>
      </c>
      <c r="B3167">
        <v>3.2250000000000001</v>
      </c>
      <c r="C3167">
        <v>4.5150000000000003E-2</v>
      </c>
      <c r="D3167">
        <v>266</v>
      </c>
      <c r="E3167" t="s">
        <v>3498</v>
      </c>
      <c r="F3167">
        <v>265</v>
      </c>
      <c r="G3167" s="1">
        <v>45191</v>
      </c>
      <c r="H3167" s="6">
        <f t="shared" si="100"/>
        <v>10.749999999999938</v>
      </c>
      <c r="I3167" s="7">
        <f t="shared" si="101"/>
        <v>10.749999999999938</v>
      </c>
    </row>
    <row r="3168" spans="1:9" x14ac:dyDescent="0.2">
      <c r="A3168" t="s">
        <v>3499</v>
      </c>
      <c r="B3168">
        <v>3.222</v>
      </c>
      <c r="C3168">
        <v>4.5135000000000002E-2</v>
      </c>
      <c r="D3168">
        <v>266</v>
      </c>
      <c r="E3168" t="s">
        <v>3499</v>
      </c>
      <c r="F3168">
        <v>265</v>
      </c>
      <c r="G3168" s="1">
        <v>45191</v>
      </c>
      <c r="H3168" s="6">
        <f t="shared" si="100"/>
        <v>10.760416666666604</v>
      </c>
      <c r="I3168" s="7">
        <f t="shared" si="101"/>
        <v>10.760416666666604</v>
      </c>
    </row>
    <row r="3169" spans="1:9" x14ac:dyDescent="0.2">
      <c r="A3169" t="s">
        <v>3500</v>
      </c>
      <c r="B3169">
        <v>3.2385000000000002</v>
      </c>
      <c r="C3169">
        <v>4.5339999999999998E-2</v>
      </c>
      <c r="D3169">
        <v>266</v>
      </c>
      <c r="E3169" t="s">
        <v>3500</v>
      </c>
      <c r="F3169">
        <v>265</v>
      </c>
      <c r="G3169" s="1">
        <v>45191</v>
      </c>
      <c r="H3169" s="6">
        <f t="shared" si="100"/>
        <v>10.77083333333327</v>
      </c>
      <c r="I3169" s="7">
        <f t="shared" si="101"/>
        <v>10.77083333333327</v>
      </c>
    </row>
    <row r="3170" spans="1:9" x14ac:dyDescent="0.2">
      <c r="A3170" t="s">
        <v>3501</v>
      </c>
      <c r="B3170">
        <v>3.2450000000000001</v>
      </c>
      <c r="C3170">
        <v>4.5449999999999997E-2</v>
      </c>
      <c r="D3170">
        <v>266</v>
      </c>
      <c r="E3170" t="s">
        <v>3501</v>
      </c>
      <c r="F3170">
        <v>265</v>
      </c>
      <c r="G3170" s="1">
        <v>45191</v>
      </c>
      <c r="H3170" s="6">
        <f t="shared" si="100"/>
        <v>10.781249999999936</v>
      </c>
      <c r="I3170" s="7">
        <f t="shared" si="101"/>
        <v>10.781249999999936</v>
      </c>
    </row>
    <row r="3171" spans="1:9" x14ac:dyDescent="0.2">
      <c r="A3171" t="s">
        <v>3502</v>
      </c>
      <c r="B3171">
        <v>3.2675000000000001</v>
      </c>
      <c r="C3171">
        <v>4.5789999999999997E-2</v>
      </c>
      <c r="D3171">
        <v>266</v>
      </c>
      <c r="E3171" t="s">
        <v>3502</v>
      </c>
      <c r="F3171">
        <v>265</v>
      </c>
      <c r="G3171" s="1">
        <v>45191</v>
      </c>
      <c r="H3171" s="6">
        <f t="shared" si="100"/>
        <v>10.791666666666602</v>
      </c>
      <c r="I3171" s="7">
        <f t="shared" si="101"/>
        <v>10.791666666666602</v>
      </c>
    </row>
    <row r="3172" spans="1:9" x14ac:dyDescent="0.2">
      <c r="A3172" t="s">
        <v>3503</v>
      </c>
      <c r="B3172">
        <v>3.2614999999999998</v>
      </c>
      <c r="C3172">
        <v>4.5670000000000002E-2</v>
      </c>
      <c r="D3172">
        <v>266</v>
      </c>
      <c r="E3172" t="s">
        <v>3503</v>
      </c>
      <c r="F3172">
        <v>265</v>
      </c>
      <c r="G3172" s="1">
        <v>45191</v>
      </c>
      <c r="H3172" s="6">
        <f t="shared" si="100"/>
        <v>10.802083333333268</v>
      </c>
      <c r="I3172" s="7">
        <f t="shared" si="101"/>
        <v>10.802083333333268</v>
      </c>
    </row>
    <row r="3173" spans="1:9" x14ac:dyDescent="0.2">
      <c r="A3173" t="s">
        <v>3504</v>
      </c>
      <c r="B3173">
        <v>3.2795000000000001</v>
      </c>
      <c r="C3173">
        <v>4.5955000000000003E-2</v>
      </c>
      <c r="D3173">
        <v>266</v>
      </c>
      <c r="E3173" t="s">
        <v>3504</v>
      </c>
      <c r="F3173">
        <v>265</v>
      </c>
      <c r="G3173" s="1">
        <v>45191</v>
      </c>
      <c r="H3173" s="6">
        <f t="shared" si="100"/>
        <v>10.812499999999934</v>
      </c>
      <c r="I3173" s="7">
        <f t="shared" si="101"/>
        <v>10.812499999999934</v>
      </c>
    </row>
    <row r="3174" spans="1:9" x14ac:dyDescent="0.2">
      <c r="A3174" t="s">
        <v>3505</v>
      </c>
      <c r="B3174">
        <v>3.2565</v>
      </c>
      <c r="C3174">
        <v>4.5605E-2</v>
      </c>
      <c r="D3174">
        <v>266</v>
      </c>
      <c r="E3174" t="s">
        <v>3505</v>
      </c>
      <c r="F3174">
        <v>265</v>
      </c>
      <c r="G3174" s="1">
        <v>45191</v>
      </c>
      <c r="H3174" s="6">
        <f t="shared" si="100"/>
        <v>10.8229166666666</v>
      </c>
      <c r="I3174" s="7">
        <f t="shared" si="101"/>
        <v>10.8229166666666</v>
      </c>
    </row>
    <row r="3175" spans="1:9" x14ac:dyDescent="0.2">
      <c r="A3175" t="s">
        <v>3506</v>
      </c>
      <c r="B3175">
        <v>3.2705000000000002</v>
      </c>
      <c r="C3175">
        <v>4.5815000000000002E-2</v>
      </c>
      <c r="D3175">
        <v>266</v>
      </c>
      <c r="E3175" t="s">
        <v>3506</v>
      </c>
      <c r="F3175">
        <v>265</v>
      </c>
      <c r="G3175" s="1">
        <v>45191</v>
      </c>
      <c r="H3175" s="6">
        <f t="shared" si="100"/>
        <v>10.833333333333266</v>
      </c>
      <c r="I3175" s="7">
        <f t="shared" si="101"/>
        <v>10.833333333333266</v>
      </c>
    </row>
    <row r="3176" spans="1:9" x14ac:dyDescent="0.2">
      <c r="A3176" t="s">
        <v>3507</v>
      </c>
      <c r="B3176">
        <v>3.2839999999999998</v>
      </c>
      <c r="C3176">
        <v>4.6010000000000002E-2</v>
      </c>
      <c r="D3176">
        <v>266</v>
      </c>
      <c r="E3176" t="s">
        <v>3507</v>
      </c>
      <c r="F3176">
        <v>265</v>
      </c>
      <c r="G3176" s="1">
        <v>45191</v>
      </c>
      <c r="H3176" s="6">
        <f t="shared" si="100"/>
        <v>10.843749999999932</v>
      </c>
      <c r="I3176" s="7">
        <f t="shared" si="101"/>
        <v>10.843749999999932</v>
      </c>
    </row>
    <row r="3177" spans="1:9" x14ac:dyDescent="0.2">
      <c r="A3177" t="s">
        <v>3508</v>
      </c>
      <c r="B3177">
        <v>3.2909999999999999</v>
      </c>
      <c r="C3177">
        <v>4.6094999999999997E-2</v>
      </c>
      <c r="D3177">
        <v>266</v>
      </c>
      <c r="E3177" t="s">
        <v>3508</v>
      </c>
      <c r="F3177">
        <v>265</v>
      </c>
      <c r="G3177" s="1">
        <v>45191</v>
      </c>
      <c r="H3177" s="6">
        <f t="shared" si="100"/>
        <v>10.854166666666599</v>
      </c>
      <c r="I3177" s="7">
        <f t="shared" si="101"/>
        <v>10.854166666666599</v>
      </c>
    </row>
    <row r="3178" spans="1:9" x14ac:dyDescent="0.2">
      <c r="A3178" t="s">
        <v>3509</v>
      </c>
      <c r="B3178">
        <v>3.2965</v>
      </c>
      <c r="C3178">
        <v>4.6190000000000002E-2</v>
      </c>
      <c r="D3178">
        <v>266</v>
      </c>
      <c r="E3178" t="s">
        <v>3509</v>
      </c>
      <c r="F3178">
        <v>265</v>
      </c>
      <c r="G3178" s="1">
        <v>45191</v>
      </c>
      <c r="H3178" s="6">
        <f t="shared" si="100"/>
        <v>10.864583333333265</v>
      </c>
      <c r="I3178" s="7">
        <f t="shared" si="101"/>
        <v>10.864583333333265</v>
      </c>
    </row>
    <row r="3179" spans="1:9" x14ac:dyDescent="0.2">
      <c r="A3179" t="s">
        <v>3510</v>
      </c>
      <c r="B3179">
        <v>3.2955000000000001</v>
      </c>
      <c r="C3179">
        <v>4.6155000000000002E-2</v>
      </c>
      <c r="D3179">
        <v>266</v>
      </c>
      <c r="E3179" t="s">
        <v>3510</v>
      </c>
      <c r="F3179">
        <v>265</v>
      </c>
      <c r="G3179" s="1">
        <v>45191</v>
      </c>
      <c r="H3179" s="6">
        <f t="shared" si="100"/>
        <v>10.874999999999931</v>
      </c>
      <c r="I3179" s="7">
        <f t="shared" si="101"/>
        <v>10.874999999999931</v>
      </c>
    </row>
    <row r="3180" spans="1:9" x14ac:dyDescent="0.2">
      <c r="A3180" t="s">
        <v>3511</v>
      </c>
      <c r="B3180">
        <v>3.2829999999999999</v>
      </c>
      <c r="C3180">
        <v>4.5949999999999998E-2</v>
      </c>
      <c r="D3180">
        <v>266</v>
      </c>
      <c r="E3180" t="s">
        <v>3511</v>
      </c>
      <c r="F3180">
        <v>265</v>
      </c>
      <c r="G3180" s="1">
        <v>45191</v>
      </c>
      <c r="H3180" s="6">
        <f t="shared" si="100"/>
        <v>10.885416666666597</v>
      </c>
      <c r="I3180" s="7">
        <f t="shared" si="101"/>
        <v>10.885416666666597</v>
      </c>
    </row>
    <row r="3181" spans="1:9" x14ac:dyDescent="0.2">
      <c r="A3181" t="s">
        <v>3512</v>
      </c>
      <c r="B3181">
        <v>3.2829999999999999</v>
      </c>
      <c r="C3181">
        <v>4.5984999999999998E-2</v>
      </c>
      <c r="D3181">
        <v>266</v>
      </c>
      <c r="E3181" t="s">
        <v>3512</v>
      </c>
      <c r="F3181">
        <v>265</v>
      </c>
      <c r="G3181" s="1">
        <v>45191</v>
      </c>
      <c r="H3181" s="6">
        <f t="shared" si="100"/>
        <v>10.895833333333263</v>
      </c>
      <c r="I3181" s="7">
        <f t="shared" si="101"/>
        <v>10.895833333333263</v>
      </c>
    </row>
    <row r="3182" spans="1:9" x14ac:dyDescent="0.2">
      <c r="A3182" t="s">
        <v>3513</v>
      </c>
      <c r="B3182">
        <v>3.3045</v>
      </c>
      <c r="C3182">
        <v>4.6295000000000003E-2</v>
      </c>
      <c r="D3182">
        <v>266</v>
      </c>
      <c r="E3182" t="s">
        <v>3513</v>
      </c>
      <c r="F3182">
        <v>266</v>
      </c>
      <c r="G3182" s="1">
        <v>45192</v>
      </c>
      <c r="H3182" s="6">
        <f t="shared" si="100"/>
        <v>10.906249999999929</v>
      </c>
      <c r="I3182" s="7">
        <f t="shared" si="101"/>
        <v>10.906249999999929</v>
      </c>
    </row>
    <row r="3183" spans="1:9" x14ac:dyDescent="0.2">
      <c r="A3183" t="s">
        <v>3514</v>
      </c>
      <c r="B3183">
        <v>3.3130000000000002</v>
      </c>
      <c r="C3183">
        <v>4.6399999999999997E-2</v>
      </c>
      <c r="D3183">
        <v>266</v>
      </c>
      <c r="E3183" t="s">
        <v>3514</v>
      </c>
      <c r="F3183">
        <v>266</v>
      </c>
      <c r="G3183" s="1">
        <v>45192</v>
      </c>
      <c r="H3183" s="6">
        <f t="shared" si="100"/>
        <v>10.916666666666595</v>
      </c>
      <c r="I3183" s="7">
        <f t="shared" si="101"/>
        <v>10.916666666666595</v>
      </c>
    </row>
    <row r="3184" spans="1:9" x14ac:dyDescent="0.2">
      <c r="A3184" t="s">
        <v>3515</v>
      </c>
      <c r="B3184">
        <v>3.3290000000000002</v>
      </c>
      <c r="C3184">
        <v>4.6629999999999998E-2</v>
      </c>
      <c r="D3184">
        <v>266</v>
      </c>
      <c r="E3184" t="s">
        <v>3515</v>
      </c>
      <c r="F3184">
        <v>266</v>
      </c>
      <c r="G3184" s="1">
        <v>45192</v>
      </c>
      <c r="H3184" s="6">
        <f t="shared" si="100"/>
        <v>10.927083333333261</v>
      </c>
      <c r="I3184" s="7">
        <f t="shared" si="101"/>
        <v>10.927083333333261</v>
      </c>
    </row>
    <row r="3185" spans="1:9" x14ac:dyDescent="0.2">
      <c r="A3185" t="s">
        <v>3516</v>
      </c>
      <c r="B3185">
        <v>3.32</v>
      </c>
      <c r="C3185">
        <v>4.65E-2</v>
      </c>
      <c r="D3185">
        <v>266</v>
      </c>
      <c r="E3185" t="s">
        <v>3516</v>
      </c>
      <c r="F3185">
        <v>266</v>
      </c>
      <c r="G3185" s="1">
        <v>45192</v>
      </c>
      <c r="H3185" s="6">
        <f t="shared" si="100"/>
        <v>10.937499999999927</v>
      </c>
      <c r="I3185" s="7">
        <f t="shared" si="101"/>
        <v>10.937499999999927</v>
      </c>
    </row>
    <row r="3186" spans="1:9" x14ac:dyDescent="0.2">
      <c r="A3186" t="s">
        <v>3517</v>
      </c>
      <c r="B3186">
        <v>3.3174999999999999</v>
      </c>
      <c r="C3186">
        <v>4.6469999999999997E-2</v>
      </c>
      <c r="D3186">
        <v>266</v>
      </c>
      <c r="E3186" t="s">
        <v>3517</v>
      </c>
      <c r="F3186">
        <v>266</v>
      </c>
      <c r="G3186" s="1">
        <v>45192</v>
      </c>
      <c r="H3186" s="6">
        <f t="shared" si="100"/>
        <v>10.947916666666593</v>
      </c>
      <c r="I3186" s="7">
        <f t="shared" si="101"/>
        <v>10.947916666666593</v>
      </c>
    </row>
    <row r="3187" spans="1:9" x14ac:dyDescent="0.2">
      <c r="A3187" t="s">
        <v>3518</v>
      </c>
      <c r="B3187">
        <v>3.3485</v>
      </c>
      <c r="C3187" s="2" t="s">
        <v>3519</v>
      </c>
      <c r="D3187">
        <v>266</v>
      </c>
      <c r="E3187" t="s">
        <v>3518</v>
      </c>
      <c r="F3187">
        <v>266</v>
      </c>
      <c r="G3187" s="1">
        <v>45192</v>
      </c>
      <c r="H3187" s="6">
        <f t="shared" si="100"/>
        <v>10.958333333333259</v>
      </c>
      <c r="I3187" s="7">
        <f t="shared" si="101"/>
        <v>10.958333333333259</v>
      </c>
    </row>
    <row r="3188" spans="1:9" x14ac:dyDescent="0.2">
      <c r="A3188" t="s">
        <v>3520</v>
      </c>
      <c r="B3188">
        <v>3.3515000000000001</v>
      </c>
      <c r="C3188">
        <v>4.6945000000000001E-2</v>
      </c>
      <c r="D3188">
        <v>266</v>
      </c>
      <c r="E3188" t="s">
        <v>3520</v>
      </c>
      <c r="F3188">
        <v>266</v>
      </c>
      <c r="G3188" s="1">
        <v>45192</v>
      </c>
      <c r="H3188" s="6">
        <f t="shared" si="100"/>
        <v>10.968749999999925</v>
      </c>
      <c r="I3188" s="7">
        <f t="shared" si="101"/>
        <v>10.968749999999925</v>
      </c>
    </row>
    <row r="3189" spans="1:9" x14ac:dyDescent="0.2">
      <c r="A3189" t="s">
        <v>3521</v>
      </c>
      <c r="B3189">
        <v>3.375</v>
      </c>
      <c r="C3189">
        <v>4.727E-2</v>
      </c>
      <c r="D3189">
        <v>266</v>
      </c>
      <c r="E3189" t="s">
        <v>3521</v>
      </c>
      <c r="F3189">
        <v>266</v>
      </c>
      <c r="G3189" s="1">
        <v>45192</v>
      </c>
      <c r="H3189" s="6">
        <f t="shared" si="100"/>
        <v>10.979166666666591</v>
      </c>
      <c r="I3189" s="7">
        <f t="shared" si="101"/>
        <v>10.979166666666591</v>
      </c>
    </row>
    <row r="3190" spans="1:9" x14ac:dyDescent="0.2">
      <c r="A3190" t="s">
        <v>3522</v>
      </c>
      <c r="B3190" s="2" t="s">
        <v>3523</v>
      </c>
      <c r="C3190">
        <v>4.7055E-2</v>
      </c>
      <c r="D3190">
        <v>266</v>
      </c>
      <c r="E3190" t="s">
        <v>3522</v>
      </c>
      <c r="F3190">
        <v>266</v>
      </c>
      <c r="G3190" s="1">
        <v>45192</v>
      </c>
      <c r="H3190" s="6">
        <f t="shared" si="100"/>
        <v>10.989583333333258</v>
      </c>
      <c r="I3190" s="7">
        <f t="shared" si="101"/>
        <v>10.989583333333258</v>
      </c>
    </row>
    <row r="3191" spans="1:9" x14ac:dyDescent="0.2">
      <c r="A3191" t="s">
        <v>3524</v>
      </c>
      <c r="B3191">
        <v>3.3595000000000002</v>
      </c>
      <c r="C3191">
        <v>4.7050000000000002E-2</v>
      </c>
      <c r="D3191">
        <v>266</v>
      </c>
      <c r="E3191" t="s">
        <v>3524</v>
      </c>
      <c r="F3191">
        <v>266</v>
      </c>
      <c r="G3191" s="1">
        <v>45192</v>
      </c>
      <c r="H3191" s="6">
        <f t="shared" si="100"/>
        <v>10.999999999999924</v>
      </c>
      <c r="I3191" s="7">
        <f t="shared" si="101"/>
        <v>10.999999999999924</v>
      </c>
    </row>
    <row r="3192" spans="1:9" x14ac:dyDescent="0.2">
      <c r="A3192" t="s">
        <v>3525</v>
      </c>
      <c r="B3192">
        <v>3.3515000000000001</v>
      </c>
      <c r="C3192">
        <v>4.6949999999999999E-2</v>
      </c>
      <c r="D3192">
        <v>266</v>
      </c>
      <c r="E3192" t="s">
        <v>3525</v>
      </c>
      <c r="F3192">
        <v>266</v>
      </c>
      <c r="G3192" s="1">
        <v>45192</v>
      </c>
      <c r="H3192" s="6">
        <f t="shared" si="100"/>
        <v>11.01041666666659</v>
      </c>
      <c r="I3192" s="7">
        <f t="shared" si="101"/>
        <v>11.01041666666659</v>
      </c>
    </row>
    <row r="3193" spans="1:9" x14ac:dyDescent="0.2">
      <c r="A3193" t="s">
        <v>3526</v>
      </c>
      <c r="B3193">
        <v>3.3744999999999998</v>
      </c>
      <c r="C3193">
        <v>4.7260000000000003E-2</v>
      </c>
      <c r="D3193">
        <v>266</v>
      </c>
      <c r="E3193" t="s">
        <v>3526</v>
      </c>
      <c r="F3193">
        <v>266</v>
      </c>
      <c r="G3193" s="1">
        <v>45192</v>
      </c>
      <c r="H3193" s="6">
        <f t="shared" si="100"/>
        <v>11.020833333333256</v>
      </c>
      <c r="I3193" s="7">
        <f t="shared" si="101"/>
        <v>11.020833333333256</v>
      </c>
    </row>
    <row r="3194" spans="1:9" x14ac:dyDescent="0.2">
      <c r="A3194" t="s">
        <v>3527</v>
      </c>
      <c r="B3194">
        <v>3.35</v>
      </c>
      <c r="C3194">
        <v>4.6929999999999999E-2</v>
      </c>
      <c r="D3194">
        <v>266</v>
      </c>
      <c r="E3194" t="s">
        <v>3527</v>
      </c>
      <c r="F3194">
        <v>266</v>
      </c>
      <c r="G3194" s="1">
        <v>45192</v>
      </c>
      <c r="H3194" s="6">
        <f t="shared" si="100"/>
        <v>11.031249999999922</v>
      </c>
      <c r="I3194" s="7">
        <f t="shared" si="101"/>
        <v>11.031249999999922</v>
      </c>
    </row>
    <row r="3195" spans="1:9" x14ac:dyDescent="0.2">
      <c r="A3195" t="s">
        <v>3528</v>
      </c>
      <c r="B3195">
        <v>3.3774999999999999</v>
      </c>
      <c r="C3195">
        <v>4.7289999999999999E-2</v>
      </c>
      <c r="D3195">
        <v>266</v>
      </c>
      <c r="E3195" t="s">
        <v>3528</v>
      </c>
      <c r="F3195">
        <v>266</v>
      </c>
      <c r="G3195" s="1">
        <v>45192</v>
      </c>
      <c r="H3195" s="6">
        <f t="shared" si="100"/>
        <v>11.041666666666588</v>
      </c>
      <c r="I3195" s="7">
        <f t="shared" si="101"/>
        <v>11.041666666666588</v>
      </c>
    </row>
    <row r="3196" spans="1:9" x14ac:dyDescent="0.2">
      <c r="A3196" t="s">
        <v>3529</v>
      </c>
      <c r="B3196">
        <v>3.3944999999999999</v>
      </c>
      <c r="C3196">
        <v>4.7539999999999999E-2</v>
      </c>
      <c r="D3196">
        <v>266</v>
      </c>
      <c r="E3196" t="s">
        <v>3529</v>
      </c>
      <c r="F3196">
        <v>266</v>
      </c>
      <c r="G3196" s="1">
        <v>45192</v>
      </c>
      <c r="H3196" s="6">
        <f t="shared" si="100"/>
        <v>11.052083333333254</v>
      </c>
      <c r="I3196" s="7">
        <f t="shared" si="101"/>
        <v>11.052083333333254</v>
      </c>
    </row>
    <row r="3197" spans="1:9" x14ac:dyDescent="0.2">
      <c r="A3197" t="s">
        <v>3530</v>
      </c>
      <c r="B3197">
        <v>3.3540000000000001</v>
      </c>
      <c r="C3197">
        <v>4.6989999999999997E-2</v>
      </c>
      <c r="D3197">
        <v>266</v>
      </c>
      <c r="E3197" t="s">
        <v>3530</v>
      </c>
      <c r="F3197">
        <v>266</v>
      </c>
      <c r="G3197" s="1">
        <v>45192</v>
      </c>
      <c r="H3197" s="6">
        <f t="shared" si="100"/>
        <v>11.06249999999992</v>
      </c>
      <c r="I3197" s="7">
        <f t="shared" si="101"/>
        <v>11.06249999999992</v>
      </c>
    </row>
    <row r="3198" spans="1:9" x14ac:dyDescent="0.2">
      <c r="A3198" t="s">
        <v>3531</v>
      </c>
      <c r="B3198">
        <v>3.37</v>
      </c>
      <c r="C3198">
        <v>4.7210000000000002E-2</v>
      </c>
      <c r="D3198">
        <v>266</v>
      </c>
      <c r="E3198" t="s">
        <v>3531</v>
      </c>
      <c r="F3198">
        <v>266</v>
      </c>
      <c r="G3198" s="1">
        <v>45192</v>
      </c>
      <c r="H3198" s="6">
        <f t="shared" si="100"/>
        <v>11.072916666666586</v>
      </c>
      <c r="I3198" s="7">
        <f t="shared" si="101"/>
        <v>11.072916666666586</v>
      </c>
    </row>
    <row r="3199" spans="1:9" x14ac:dyDescent="0.2">
      <c r="A3199" t="s">
        <v>3532</v>
      </c>
      <c r="B3199">
        <v>3.4020000000000001</v>
      </c>
      <c r="C3199">
        <v>4.7655000000000003E-2</v>
      </c>
      <c r="D3199">
        <v>266</v>
      </c>
      <c r="E3199" t="s">
        <v>3532</v>
      </c>
      <c r="F3199">
        <v>266</v>
      </c>
      <c r="G3199" s="1">
        <v>45192</v>
      </c>
      <c r="H3199" s="6">
        <f t="shared" si="100"/>
        <v>11.083333333333252</v>
      </c>
      <c r="I3199" s="7">
        <f t="shared" si="101"/>
        <v>11.083333333333252</v>
      </c>
    </row>
    <row r="3200" spans="1:9" x14ac:dyDescent="0.2">
      <c r="A3200" t="s">
        <v>3533</v>
      </c>
      <c r="B3200">
        <v>3.379</v>
      </c>
      <c r="C3200">
        <v>4.7315000000000003E-2</v>
      </c>
      <c r="D3200">
        <v>266</v>
      </c>
      <c r="E3200" t="s">
        <v>3533</v>
      </c>
      <c r="F3200">
        <v>266</v>
      </c>
      <c r="G3200" s="1">
        <v>45192</v>
      </c>
      <c r="H3200" s="6">
        <f t="shared" si="100"/>
        <v>11.093749999999918</v>
      </c>
      <c r="I3200" s="7">
        <f t="shared" si="101"/>
        <v>11.093749999999918</v>
      </c>
    </row>
    <row r="3201" spans="1:9" x14ac:dyDescent="0.2">
      <c r="A3201" t="s">
        <v>3534</v>
      </c>
      <c r="B3201">
        <v>3.4085000000000001</v>
      </c>
      <c r="C3201">
        <v>4.7750000000000001E-2</v>
      </c>
      <c r="D3201">
        <v>266</v>
      </c>
      <c r="E3201" t="s">
        <v>3534</v>
      </c>
      <c r="F3201">
        <v>266</v>
      </c>
      <c r="G3201" s="1">
        <v>45192</v>
      </c>
      <c r="H3201" s="6">
        <f t="shared" si="100"/>
        <v>11.104166666666584</v>
      </c>
      <c r="I3201" s="7">
        <f t="shared" si="101"/>
        <v>11.104166666666584</v>
      </c>
    </row>
    <row r="3202" spans="1:9" x14ac:dyDescent="0.2">
      <c r="A3202" t="s">
        <v>3535</v>
      </c>
      <c r="B3202">
        <v>3.3944999999999999</v>
      </c>
      <c r="C3202">
        <v>4.7544999999999997E-2</v>
      </c>
      <c r="D3202">
        <v>266</v>
      </c>
      <c r="E3202" t="s">
        <v>3535</v>
      </c>
      <c r="F3202">
        <v>266</v>
      </c>
      <c r="G3202" s="1">
        <v>45192</v>
      </c>
      <c r="H3202" s="6">
        <f t="shared" si="100"/>
        <v>11.11458333333325</v>
      </c>
      <c r="I3202" s="7">
        <f t="shared" si="101"/>
        <v>11.11458333333325</v>
      </c>
    </row>
    <row r="3203" spans="1:9" x14ac:dyDescent="0.2">
      <c r="A3203" t="s">
        <v>3536</v>
      </c>
      <c r="B3203">
        <v>3.3570000000000002</v>
      </c>
      <c r="C3203">
        <v>4.7024999999999997E-2</v>
      </c>
      <c r="D3203">
        <v>266</v>
      </c>
      <c r="E3203" t="s">
        <v>3536</v>
      </c>
      <c r="F3203">
        <v>266</v>
      </c>
      <c r="G3203" s="1">
        <v>45192</v>
      </c>
      <c r="H3203" s="6">
        <f t="shared" si="100"/>
        <v>11.124999999999917</v>
      </c>
      <c r="I3203" s="7">
        <f t="shared" si="101"/>
        <v>11.124999999999917</v>
      </c>
    </row>
    <row r="3204" spans="1:9" x14ac:dyDescent="0.2">
      <c r="A3204" t="s">
        <v>3537</v>
      </c>
      <c r="B3204">
        <v>3.3885000000000001</v>
      </c>
      <c r="C3204">
        <v>4.7454999999999997E-2</v>
      </c>
      <c r="D3204">
        <v>266</v>
      </c>
      <c r="E3204" t="s">
        <v>3537</v>
      </c>
      <c r="F3204">
        <v>266</v>
      </c>
      <c r="G3204" s="1">
        <v>45192</v>
      </c>
      <c r="H3204" s="6">
        <f t="shared" si="100"/>
        <v>11.135416666666583</v>
      </c>
      <c r="I3204" s="7">
        <f t="shared" si="101"/>
        <v>11.135416666666583</v>
      </c>
    </row>
    <row r="3205" spans="1:9" x14ac:dyDescent="0.2">
      <c r="A3205" t="s">
        <v>3538</v>
      </c>
      <c r="B3205">
        <v>3.3614999999999999</v>
      </c>
      <c r="C3205">
        <v>4.7085000000000002E-2</v>
      </c>
      <c r="D3205">
        <v>266</v>
      </c>
      <c r="E3205" t="s">
        <v>3538</v>
      </c>
      <c r="F3205">
        <v>266</v>
      </c>
      <c r="G3205" s="1">
        <v>45192</v>
      </c>
      <c r="H3205" s="6">
        <f t="shared" si="100"/>
        <v>11.145833333333249</v>
      </c>
      <c r="I3205" s="7">
        <f t="shared" si="101"/>
        <v>11.145833333333249</v>
      </c>
    </row>
    <row r="3206" spans="1:9" x14ac:dyDescent="0.2">
      <c r="A3206" t="s">
        <v>3539</v>
      </c>
      <c r="B3206">
        <v>3.4035000000000002</v>
      </c>
      <c r="C3206">
        <v>4.7684999999999998E-2</v>
      </c>
      <c r="D3206">
        <v>266</v>
      </c>
      <c r="E3206" t="s">
        <v>3539</v>
      </c>
      <c r="F3206">
        <v>266</v>
      </c>
      <c r="G3206" s="1">
        <v>45192</v>
      </c>
      <c r="H3206" s="6">
        <f t="shared" si="100"/>
        <v>11.156249999999915</v>
      </c>
      <c r="I3206" s="7">
        <f t="shared" si="101"/>
        <v>11.156249999999915</v>
      </c>
    </row>
    <row r="3207" spans="1:9" x14ac:dyDescent="0.2">
      <c r="A3207" t="s">
        <v>3540</v>
      </c>
      <c r="B3207">
        <v>3.3935</v>
      </c>
      <c r="C3207">
        <v>4.7555E-2</v>
      </c>
      <c r="D3207">
        <v>266</v>
      </c>
      <c r="E3207" t="s">
        <v>3540</v>
      </c>
      <c r="F3207">
        <v>266</v>
      </c>
      <c r="G3207" s="1">
        <v>45192</v>
      </c>
      <c r="H3207" s="6">
        <f t="shared" si="100"/>
        <v>11.166666666666581</v>
      </c>
      <c r="I3207" s="7">
        <f t="shared" si="101"/>
        <v>11.166666666666581</v>
      </c>
    </row>
    <row r="3208" spans="1:9" x14ac:dyDescent="0.2">
      <c r="A3208" t="s">
        <v>3541</v>
      </c>
      <c r="B3208">
        <v>3.4009999999999998</v>
      </c>
      <c r="C3208">
        <v>4.7625000000000001E-2</v>
      </c>
      <c r="D3208">
        <v>266</v>
      </c>
      <c r="E3208" t="s">
        <v>3541</v>
      </c>
      <c r="F3208">
        <v>266</v>
      </c>
      <c r="G3208" s="1">
        <v>45192</v>
      </c>
      <c r="H3208" s="6">
        <f t="shared" si="100"/>
        <v>11.177083333333247</v>
      </c>
      <c r="I3208" s="7">
        <f t="shared" si="101"/>
        <v>11.177083333333247</v>
      </c>
    </row>
    <row r="3209" spans="1:9" x14ac:dyDescent="0.2">
      <c r="A3209" t="s">
        <v>3542</v>
      </c>
      <c r="B3209">
        <v>3.403</v>
      </c>
      <c r="C3209">
        <v>4.7655000000000003E-2</v>
      </c>
      <c r="D3209">
        <v>266</v>
      </c>
      <c r="E3209" t="s">
        <v>3542</v>
      </c>
      <c r="F3209">
        <v>266</v>
      </c>
      <c r="G3209" s="1">
        <v>45192</v>
      </c>
      <c r="H3209" s="6">
        <f t="shared" si="100"/>
        <v>11.187499999999913</v>
      </c>
      <c r="I3209" s="7">
        <f t="shared" si="101"/>
        <v>11.187499999999913</v>
      </c>
    </row>
    <row r="3210" spans="1:9" x14ac:dyDescent="0.2">
      <c r="A3210" t="s">
        <v>3543</v>
      </c>
      <c r="B3210">
        <v>3.4355000000000002</v>
      </c>
      <c r="C3210">
        <v>4.8114999999999998E-2</v>
      </c>
      <c r="D3210">
        <v>266</v>
      </c>
      <c r="E3210" t="s">
        <v>3543</v>
      </c>
      <c r="F3210">
        <v>266</v>
      </c>
      <c r="G3210" s="1">
        <v>45192</v>
      </c>
      <c r="H3210" s="6">
        <f t="shared" si="100"/>
        <v>11.197916666666579</v>
      </c>
      <c r="I3210" s="7">
        <f t="shared" si="101"/>
        <v>11.197916666666579</v>
      </c>
    </row>
    <row r="3211" spans="1:9" x14ac:dyDescent="0.2">
      <c r="A3211" t="s">
        <v>3544</v>
      </c>
      <c r="B3211">
        <v>3.4424999999999999</v>
      </c>
      <c r="C3211">
        <v>4.8224999999999997E-2</v>
      </c>
      <c r="D3211">
        <v>266</v>
      </c>
      <c r="E3211" t="s">
        <v>3544</v>
      </c>
      <c r="F3211">
        <v>266</v>
      </c>
      <c r="G3211" s="1">
        <v>45192</v>
      </c>
      <c r="H3211" s="6">
        <f t="shared" si="100"/>
        <v>11.208333333333245</v>
      </c>
      <c r="I3211" s="7">
        <f t="shared" si="101"/>
        <v>11.208333333333245</v>
      </c>
    </row>
    <row r="3212" spans="1:9" x14ac:dyDescent="0.2">
      <c r="A3212" t="s">
        <v>3545</v>
      </c>
      <c r="B3212" s="2" t="s">
        <v>3546</v>
      </c>
      <c r="C3212">
        <v>4.8125000000000001E-2</v>
      </c>
      <c r="D3212">
        <v>266</v>
      </c>
      <c r="E3212" t="s">
        <v>3545</v>
      </c>
      <c r="F3212">
        <v>266</v>
      </c>
      <c r="G3212" s="1">
        <v>45192</v>
      </c>
      <c r="H3212" s="6">
        <f t="shared" si="100"/>
        <v>11.218749999999911</v>
      </c>
      <c r="I3212" s="7">
        <f t="shared" si="101"/>
        <v>11.218749999999911</v>
      </c>
    </row>
    <row r="3213" spans="1:9" x14ac:dyDescent="0.2">
      <c r="A3213" t="s">
        <v>3547</v>
      </c>
      <c r="B3213">
        <v>3.4285000000000001</v>
      </c>
      <c r="C3213" s="2" t="s">
        <v>3548</v>
      </c>
      <c r="D3213">
        <v>266</v>
      </c>
      <c r="E3213" t="s">
        <v>3547</v>
      </c>
      <c r="F3213">
        <v>266</v>
      </c>
      <c r="G3213" s="1">
        <v>45192</v>
      </c>
      <c r="H3213" s="6">
        <f t="shared" si="100"/>
        <v>11.229166666666577</v>
      </c>
      <c r="I3213" s="7">
        <f t="shared" si="101"/>
        <v>11.229166666666577</v>
      </c>
    </row>
    <row r="3214" spans="1:9" x14ac:dyDescent="0.2">
      <c r="A3214" t="s">
        <v>3549</v>
      </c>
      <c r="B3214">
        <v>3.415</v>
      </c>
      <c r="C3214">
        <v>4.7829999999999998E-2</v>
      </c>
      <c r="D3214">
        <v>266</v>
      </c>
      <c r="E3214" t="s">
        <v>3549</v>
      </c>
      <c r="F3214">
        <v>266</v>
      </c>
      <c r="G3214" s="1">
        <v>45192</v>
      </c>
      <c r="H3214" s="6">
        <f t="shared" si="100"/>
        <v>11.239583333333243</v>
      </c>
      <c r="I3214" s="7">
        <f t="shared" si="101"/>
        <v>11.239583333333243</v>
      </c>
    </row>
    <row r="3215" spans="1:9" x14ac:dyDescent="0.2">
      <c r="A3215" t="s">
        <v>3550</v>
      </c>
      <c r="B3215">
        <v>3.4165000000000001</v>
      </c>
      <c r="C3215">
        <v>4.7879999999999999E-2</v>
      </c>
      <c r="D3215">
        <v>266</v>
      </c>
      <c r="E3215" t="s">
        <v>3550</v>
      </c>
      <c r="F3215">
        <v>266</v>
      </c>
      <c r="G3215" s="1">
        <v>45192</v>
      </c>
      <c r="H3215" s="6">
        <f t="shared" si="100"/>
        <v>11.249999999999909</v>
      </c>
      <c r="I3215" s="7">
        <f t="shared" si="101"/>
        <v>11.249999999999909</v>
      </c>
    </row>
    <row r="3216" spans="1:9" x14ac:dyDescent="0.2">
      <c r="A3216" t="s">
        <v>3551</v>
      </c>
      <c r="B3216">
        <v>3.4249999999999998</v>
      </c>
      <c r="C3216">
        <v>4.7980000000000002E-2</v>
      </c>
      <c r="D3216">
        <v>266</v>
      </c>
      <c r="E3216" t="s">
        <v>3551</v>
      </c>
      <c r="F3216">
        <v>266</v>
      </c>
      <c r="G3216" s="1">
        <v>45192</v>
      </c>
      <c r="H3216" s="6">
        <f t="shared" si="100"/>
        <v>11.260416666666575</v>
      </c>
      <c r="I3216" s="7">
        <f t="shared" si="101"/>
        <v>11.260416666666575</v>
      </c>
    </row>
    <row r="3217" spans="1:9" x14ac:dyDescent="0.2">
      <c r="A3217" t="s">
        <v>3552</v>
      </c>
      <c r="B3217">
        <v>3.4095</v>
      </c>
      <c r="C3217">
        <v>4.7754999999999999E-2</v>
      </c>
      <c r="D3217">
        <v>266</v>
      </c>
      <c r="E3217" t="s">
        <v>3552</v>
      </c>
      <c r="F3217">
        <v>266</v>
      </c>
      <c r="G3217" s="1">
        <v>45192</v>
      </c>
      <c r="H3217" s="6">
        <f t="shared" si="100"/>
        <v>11.270833333333242</v>
      </c>
      <c r="I3217" s="7">
        <f t="shared" si="101"/>
        <v>11.270833333333242</v>
      </c>
    </row>
    <row r="3218" spans="1:9" x14ac:dyDescent="0.2">
      <c r="A3218" t="s">
        <v>3553</v>
      </c>
      <c r="B3218">
        <v>3.4024999999999999</v>
      </c>
      <c r="C3218" s="2" t="s">
        <v>3554</v>
      </c>
      <c r="D3218">
        <v>266</v>
      </c>
      <c r="E3218" t="s">
        <v>3553</v>
      </c>
      <c r="F3218">
        <v>266</v>
      </c>
      <c r="G3218" s="1">
        <v>45192</v>
      </c>
      <c r="H3218" s="6">
        <f t="shared" si="100"/>
        <v>11.281249999999908</v>
      </c>
      <c r="I3218" s="7">
        <f t="shared" si="101"/>
        <v>11.281249999999908</v>
      </c>
    </row>
    <row r="3219" spans="1:9" x14ac:dyDescent="0.2">
      <c r="A3219" t="s">
        <v>3555</v>
      </c>
      <c r="B3219">
        <v>3.4159999999999999</v>
      </c>
      <c r="C3219">
        <v>4.786E-2</v>
      </c>
      <c r="D3219">
        <v>266</v>
      </c>
      <c r="E3219" t="s">
        <v>3555</v>
      </c>
      <c r="F3219">
        <v>266</v>
      </c>
      <c r="G3219" s="1">
        <v>45192</v>
      </c>
      <c r="H3219" s="6">
        <f t="shared" si="100"/>
        <v>11.291666666666574</v>
      </c>
      <c r="I3219" s="7">
        <f t="shared" si="101"/>
        <v>11.291666666666574</v>
      </c>
    </row>
    <row r="3220" spans="1:9" x14ac:dyDescent="0.2">
      <c r="A3220" t="s">
        <v>3556</v>
      </c>
      <c r="B3220">
        <v>3.4159999999999999</v>
      </c>
      <c r="C3220">
        <v>4.7844999999999999E-2</v>
      </c>
      <c r="D3220">
        <v>266</v>
      </c>
      <c r="E3220" t="s">
        <v>3556</v>
      </c>
      <c r="F3220">
        <v>266</v>
      </c>
      <c r="G3220" s="1">
        <v>45192</v>
      </c>
      <c r="H3220" s="6">
        <f t="shared" si="100"/>
        <v>11.30208333333324</v>
      </c>
      <c r="I3220" s="7">
        <f t="shared" si="101"/>
        <v>11.30208333333324</v>
      </c>
    </row>
    <row r="3221" spans="1:9" x14ac:dyDescent="0.2">
      <c r="A3221" t="s">
        <v>3557</v>
      </c>
      <c r="B3221">
        <v>3.3875000000000002</v>
      </c>
      <c r="C3221">
        <v>4.7469999999999998E-2</v>
      </c>
      <c r="D3221">
        <v>266</v>
      </c>
      <c r="E3221" t="s">
        <v>3557</v>
      </c>
      <c r="F3221">
        <v>266</v>
      </c>
      <c r="G3221" s="1">
        <v>45192</v>
      </c>
      <c r="H3221" s="6">
        <f t="shared" si="100"/>
        <v>11.312499999999906</v>
      </c>
      <c r="I3221" s="7">
        <f t="shared" si="101"/>
        <v>11.312499999999906</v>
      </c>
    </row>
    <row r="3222" spans="1:9" x14ac:dyDescent="0.2">
      <c r="A3222" t="s">
        <v>3558</v>
      </c>
      <c r="B3222">
        <v>3.4035000000000002</v>
      </c>
      <c r="C3222">
        <v>4.7690000000000003E-2</v>
      </c>
      <c r="D3222">
        <v>266</v>
      </c>
      <c r="E3222" t="s">
        <v>3558</v>
      </c>
      <c r="F3222">
        <v>266</v>
      </c>
      <c r="G3222" s="1">
        <v>45192</v>
      </c>
      <c r="H3222" s="6">
        <f t="shared" si="100"/>
        <v>11.322916666666572</v>
      </c>
      <c r="I3222" s="7">
        <f t="shared" si="101"/>
        <v>11.322916666666572</v>
      </c>
    </row>
    <row r="3223" spans="1:9" x14ac:dyDescent="0.2">
      <c r="A3223" t="s">
        <v>3559</v>
      </c>
      <c r="B3223">
        <v>3.3915000000000002</v>
      </c>
      <c r="C3223">
        <v>4.7504999999999999E-2</v>
      </c>
      <c r="D3223">
        <v>266</v>
      </c>
      <c r="E3223" t="s">
        <v>3559</v>
      </c>
      <c r="F3223">
        <v>266</v>
      </c>
      <c r="G3223" s="1">
        <v>45192</v>
      </c>
      <c r="H3223" s="6">
        <f t="shared" si="100"/>
        <v>11.333333333333238</v>
      </c>
      <c r="I3223" s="7">
        <f t="shared" si="101"/>
        <v>11.333333333333238</v>
      </c>
    </row>
    <row r="3224" spans="1:9" x14ac:dyDescent="0.2">
      <c r="A3224" t="s">
        <v>3560</v>
      </c>
      <c r="B3224">
        <v>3.3774999999999999</v>
      </c>
      <c r="C3224">
        <v>4.7289999999999999E-2</v>
      </c>
      <c r="D3224">
        <v>266</v>
      </c>
      <c r="E3224" t="s">
        <v>3560</v>
      </c>
      <c r="F3224">
        <v>266</v>
      </c>
      <c r="G3224" s="1">
        <v>45192</v>
      </c>
      <c r="H3224" s="6">
        <f t="shared" si="100"/>
        <v>11.343749999999904</v>
      </c>
      <c r="I3224" s="7">
        <f t="shared" si="101"/>
        <v>11.343749999999904</v>
      </c>
    </row>
    <row r="3225" spans="1:9" x14ac:dyDescent="0.2">
      <c r="A3225" t="s">
        <v>3561</v>
      </c>
      <c r="B3225">
        <v>3.3624999999999998</v>
      </c>
      <c r="C3225">
        <v>4.7100000000000003E-2</v>
      </c>
      <c r="D3225">
        <v>266</v>
      </c>
      <c r="E3225" t="s">
        <v>3561</v>
      </c>
      <c r="F3225">
        <v>266</v>
      </c>
      <c r="G3225" s="1">
        <v>45192</v>
      </c>
      <c r="H3225" s="6">
        <f t="shared" si="100"/>
        <v>11.35416666666657</v>
      </c>
      <c r="I3225" s="7">
        <f t="shared" si="101"/>
        <v>11.35416666666657</v>
      </c>
    </row>
    <row r="3226" spans="1:9" x14ac:dyDescent="0.2">
      <c r="A3226" t="s">
        <v>3562</v>
      </c>
      <c r="B3226">
        <v>3.3765000000000001</v>
      </c>
      <c r="C3226">
        <v>4.7285000000000001E-2</v>
      </c>
      <c r="D3226">
        <v>266</v>
      </c>
      <c r="E3226" t="s">
        <v>3562</v>
      </c>
      <c r="F3226">
        <v>266</v>
      </c>
      <c r="G3226" s="1">
        <v>45192</v>
      </c>
      <c r="H3226" s="6">
        <f t="shared" si="100"/>
        <v>11.364583333333236</v>
      </c>
      <c r="I3226" s="7">
        <f t="shared" si="101"/>
        <v>11.364583333333236</v>
      </c>
    </row>
    <row r="3227" spans="1:9" x14ac:dyDescent="0.2">
      <c r="A3227" t="s">
        <v>3563</v>
      </c>
      <c r="B3227">
        <v>3.3759999999999999</v>
      </c>
      <c r="C3227">
        <v>4.7280000000000003E-2</v>
      </c>
      <c r="D3227">
        <v>266</v>
      </c>
      <c r="E3227" t="s">
        <v>3563</v>
      </c>
      <c r="F3227">
        <v>266</v>
      </c>
      <c r="G3227" s="1">
        <v>45192</v>
      </c>
      <c r="H3227" s="6">
        <f t="shared" si="100"/>
        <v>11.374999999999902</v>
      </c>
      <c r="I3227" s="7">
        <f t="shared" si="101"/>
        <v>11.374999999999902</v>
      </c>
    </row>
    <row r="3228" spans="1:9" x14ac:dyDescent="0.2">
      <c r="A3228" t="s">
        <v>3564</v>
      </c>
      <c r="B3228">
        <v>3.3765000000000001</v>
      </c>
      <c r="C3228">
        <v>4.7289999999999999E-2</v>
      </c>
      <c r="D3228">
        <v>266</v>
      </c>
      <c r="E3228" t="s">
        <v>3564</v>
      </c>
      <c r="F3228">
        <v>266</v>
      </c>
      <c r="G3228" s="1">
        <v>45192</v>
      </c>
      <c r="H3228" s="6">
        <f t="shared" ref="H3228:H3291" si="102">H3227+$K$1</f>
        <v>11.385416666666568</v>
      </c>
      <c r="I3228" s="7">
        <f t="shared" ref="I3228:I3291" si="103">I3227+$K$1</f>
        <v>11.385416666666568</v>
      </c>
    </row>
    <row r="3229" spans="1:9" x14ac:dyDescent="0.2">
      <c r="A3229" t="s">
        <v>3565</v>
      </c>
      <c r="B3229">
        <v>3.37</v>
      </c>
      <c r="C3229">
        <v>4.7234999999999999E-2</v>
      </c>
      <c r="D3229">
        <v>266</v>
      </c>
      <c r="E3229" t="s">
        <v>3565</v>
      </c>
      <c r="F3229">
        <v>266</v>
      </c>
      <c r="G3229" s="1">
        <v>45192</v>
      </c>
      <c r="H3229" s="6">
        <f t="shared" si="102"/>
        <v>11.395833333333234</v>
      </c>
      <c r="I3229" s="7">
        <f t="shared" si="103"/>
        <v>11.395833333333234</v>
      </c>
    </row>
    <row r="3230" spans="1:9" x14ac:dyDescent="0.2">
      <c r="A3230" t="s">
        <v>3566</v>
      </c>
      <c r="B3230">
        <v>3.3639999999999999</v>
      </c>
      <c r="C3230">
        <v>4.7129999999999998E-2</v>
      </c>
      <c r="D3230">
        <v>266</v>
      </c>
      <c r="E3230" t="s">
        <v>3566</v>
      </c>
      <c r="F3230">
        <v>266</v>
      </c>
      <c r="G3230" s="1">
        <v>45192</v>
      </c>
      <c r="H3230" s="6">
        <f t="shared" si="102"/>
        <v>11.406249999999901</v>
      </c>
      <c r="I3230" s="7">
        <f t="shared" si="103"/>
        <v>11.406249999999901</v>
      </c>
    </row>
    <row r="3231" spans="1:9" x14ac:dyDescent="0.2">
      <c r="A3231" t="s">
        <v>3567</v>
      </c>
      <c r="B3231">
        <v>3.3730000000000002</v>
      </c>
      <c r="C3231">
        <v>4.7230000000000001E-2</v>
      </c>
      <c r="D3231">
        <v>266</v>
      </c>
      <c r="E3231" t="s">
        <v>3567</v>
      </c>
      <c r="F3231">
        <v>266</v>
      </c>
      <c r="G3231" s="1">
        <v>45192</v>
      </c>
      <c r="H3231" s="6">
        <f t="shared" si="102"/>
        <v>11.416666666666567</v>
      </c>
      <c r="I3231" s="7">
        <f t="shared" si="103"/>
        <v>11.416666666666567</v>
      </c>
    </row>
    <row r="3232" spans="1:9" x14ac:dyDescent="0.2">
      <c r="A3232" t="s">
        <v>3568</v>
      </c>
      <c r="B3232">
        <v>3.3769999999999998</v>
      </c>
      <c r="C3232">
        <v>4.7294999999999997E-2</v>
      </c>
      <c r="D3232">
        <v>266</v>
      </c>
      <c r="E3232" t="s">
        <v>3568</v>
      </c>
      <c r="F3232">
        <v>266</v>
      </c>
      <c r="G3232" s="1">
        <v>45192</v>
      </c>
      <c r="H3232" s="6">
        <f t="shared" si="102"/>
        <v>11.427083333333233</v>
      </c>
      <c r="I3232" s="7">
        <f t="shared" si="103"/>
        <v>11.427083333333233</v>
      </c>
    </row>
    <row r="3233" spans="1:9" x14ac:dyDescent="0.2">
      <c r="A3233" t="s">
        <v>3569</v>
      </c>
      <c r="B3233">
        <v>3.3534999999999999</v>
      </c>
      <c r="C3233">
        <v>4.6965E-2</v>
      </c>
      <c r="D3233">
        <v>266</v>
      </c>
      <c r="E3233" t="s">
        <v>3569</v>
      </c>
      <c r="F3233">
        <v>266</v>
      </c>
      <c r="G3233" s="1">
        <v>45192</v>
      </c>
      <c r="H3233" s="6">
        <f t="shared" si="102"/>
        <v>11.437499999999899</v>
      </c>
      <c r="I3233" s="7">
        <f t="shared" si="103"/>
        <v>11.437499999999899</v>
      </c>
    </row>
    <row r="3234" spans="1:9" x14ac:dyDescent="0.2">
      <c r="A3234" t="s">
        <v>3570</v>
      </c>
      <c r="B3234">
        <v>3.359</v>
      </c>
      <c r="C3234" s="2" t="s">
        <v>3272</v>
      </c>
      <c r="D3234">
        <v>266</v>
      </c>
      <c r="E3234" t="s">
        <v>3570</v>
      </c>
      <c r="F3234">
        <v>266</v>
      </c>
      <c r="G3234" s="1">
        <v>45192</v>
      </c>
      <c r="H3234" s="6">
        <f t="shared" si="102"/>
        <v>11.447916666666565</v>
      </c>
      <c r="I3234" s="7">
        <f t="shared" si="103"/>
        <v>11.447916666666565</v>
      </c>
    </row>
    <row r="3235" spans="1:9" x14ac:dyDescent="0.2">
      <c r="A3235" t="s">
        <v>3571</v>
      </c>
      <c r="B3235">
        <v>3.3414999999999999</v>
      </c>
      <c r="C3235">
        <v>4.6789999999999998E-2</v>
      </c>
      <c r="D3235">
        <v>266</v>
      </c>
      <c r="E3235" t="s">
        <v>3571</v>
      </c>
      <c r="F3235">
        <v>266</v>
      </c>
      <c r="G3235" s="1">
        <v>45192</v>
      </c>
      <c r="H3235" s="6">
        <f t="shared" si="102"/>
        <v>11.458333333333231</v>
      </c>
      <c r="I3235" s="7">
        <f t="shared" si="103"/>
        <v>11.458333333333231</v>
      </c>
    </row>
    <row r="3236" spans="1:9" x14ac:dyDescent="0.2">
      <c r="A3236" t="s">
        <v>3572</v>
      </c>
      <c r="B3236">
        <v>3.32</v>
      </c>
      <c r="C3236">
        <v>4.6515000000000001E-2</v>
      </c>
      <c r="D3236">
        <v>266</v>
      </c>
      <c r="E3236" t="s">
        <v>3572</v>
      </c>
      <c r="F3236">
        <v>266</v>
      </c>
      <c r="G3236" s="1">
        <v>45192</v>
      </c>
      <c r="H3236" s="6">
        <f t="shared" si="102"/>
        <v>11.468749999999897</v>
      </c>
      <c r="I3236" s="7">
        <f t="shared" si="103"/>
        <v>11.468749999999897</v>
      </c>
    </row>
    <row r="3237" spans="1:9" x14ac:dyDescent="0.2">
      <c r="A3237" t="s">
        <v>3573</v>
      </c>
      <c r="B3237">
        <v>3.3165</v>
      </c>
      <c r="C3237">
        <v>4.6445E-2</v>
      </c>
      <c r="D3237">
        <v>266</v>
      </c>
      <c r="E3237" t="s">
        <v>3573</v>
      </c>
      <c r="F3237">
        <v>266</v>
      </c>
      <c r="G3237" s="1">
        <v>45192</v>
      </c>
      <c r="H3237" s="6">
        <f t="shared" si="102"/>
        <v>11.479166666666563</v>
      </c>
      <c r="I3237" s="7">
        <f t="shared" si="103"/>
        <v>11.479166666666563</v>
      </c>
    </row>
    <row r="3238" spans="1:9" x14ac:dyDescent="0.2">
      <c r="A3238" t="s">
        <v>3574</v>
      </c>
      <c r="B3238">
        <v>3.3069999999999999</v>
      </c>
      <c r="C3238">
        <v>4.6324999999999998E-2</v>
      </c>
      <c r="D3238">
        <v>266</v>
      </c>
      <c r="E3238" t="s">
        <v>3574</v>
      </c>
      <c r="F3238">
        <v>266</v>
      </c>
      <c r="G3238" s="1">
        <v>45192</v>
      </c>
      <c r="H3238" s="6">
        <f t="shared" si="102"/>
        <v>11.489583333333229</v>
      </c>
      <c r="I3238" s="7">
        <f t="shared" si="103"/>
        <v>11.489583333333229</v>
      </c>
    </row>
    <row r="3239" spans="1:9" x14ac:dyDescent="0.2">
      <c r="A3239" t="s">
        <v>3575</v>
      </c>
      <c r="B3239">
        <v>3.3050000000000002</v>
      </c>
      <c r="C3239" s="2" t="s">
        <v>3576</v>
      </c>
      <c r="D3239">
        <v>266</v>
      </c>
      <c r="E3239" t="s">
        <v>3575</v>
      </c>
      <c r="F3239">
        <v>266</v>
      </c>
      <c r="G3239" s="1">
        <v>45192</v>
      </c>
      <c r="H3239" s="6">
        <f t="shared" si="102"/>
        <v>11.499999999999895</v>
      </c>
      <c r="I3239" s="7">
        <f t="shared" si="103"/>
        <v>11.499999999999895</v>
      </c>
    </row>
    <row r="3240" spans="1:9" x14ac:dyDescent="0.2">
      <c r="A3240" t="s">
        <v>3577</v>
      </c>
      <c r="B3240">
        <v>3.2629999999999999</v>
      </c>
      <c r="C3240">
        <v>4.5719999999999997E-2</v>
      </c>
      <c r="D3240">
        <v>266</v>
      </c>
      <c r="E3240" t="s">
        <v>3577</v>
      </c>
      <c r="F3240">
        <v>266</v>
      </c>
      <c r="G3240" s="1">
        <v>45192</v>
      </c>
      <c r="H3240" s="6">
        <f t="shared" si="102"/>
        <v>11.510416666666561</v>
      </c>
      <c r="I3240" s="7">
        <f t="shared" si="103"/>
        <v>11.510416666666561</v>
      </c>
    </row>
    <row r="3241" spans="1:9" x14ac:dyDescent="0.2">
      <c r="A3241" t="s">
        <v>3578</v>
      </c>
      <c r="B3241">
        <v>3.2835000000000001</v>
      </c>
      <c r="C3241">
        <v>4.5995000000000001E-2</v>
      </c>
      <c r="D3241">
        <v>266</v>
      </c>
      <c r="E3241" t="s">
        <v>3578</v>
      </c>
      <c r="F3241">
        <v>266</v>
      </c>
      <c r="G3241" s="1">
        <v>45192</v>
      </c>
      <c r="H3241" s="6">
        <f t="shared" si="102"/>
        <v>11.520833333333227</v>
      </c>
      <c r="I3241" s="7">
        <f t="shared" si="103"/>
        <v>11.520833333333227</v>
      </c>
    </row>
    <row r="3242" spans="1:9" x14ac:dyDescent="0.2">
      <c r="A3242" t="s">
        <v>3579</v>
      </c>
      <c r="B3242">
        <v>3.2814999999999999</v>
      </c>
      <c r="C3242">
        <v>4.5964999999999999E-2</v>
      </c>
      <c r="D3242">
        <v>266</v>
      </c>
      <c r="E3242" t="s">
        <v>3579</v>
      </c>
      <c r="F3242">
        <v>266</v>
      </c>
      <c r="G3242" s="1">
        <v>45192</v>
      </c>
      <c r="H3242" s="6">
        <f t="shared" si="102"/>
        <v>11.531249999999893</v>
      </c>
      <c r="I3242" s="7">
        <f t="shared" si="103"/>
        <v>11.531249999999893</v>
      </c>
    </row>
    <row r="3243" spans="1:9" x14ac:dyDescent="0.2">
      <c r="A3243" t="s">
        <v>3580</v>
      </c>
      <c r="B3243">
        <v>3.2545000000000002</v>
      </c>
      <c r="C3243">
        <v>4.5589999999999999E-2</v>
      </c>
      <c r="D3243">
        <v>266</v>
      </c>
      <c r="E3243" t="s">
        <v>3580</v>
      </c>
      <c r="F3243">
        <v>266</v>
      </c>
      <c r="G3243" s="1">
        <v>45192</v>
      </c>
      <c r="H3243" s="6">
        <f t="shared" si="102"/>
        <v>11.541666666666559</v>
      </c>
      <c r="I3243" s="7">
        <f t="shared" si="103"/>
        <v>11.541666666666559</v>
      </c>
    </row>
    <row r="3244" spans="1:9" x14ac:dyDescent="0.2">
      <c r="A3244" t="s">
        <v>3581</v>
      </c>
      <c r="B3244">
        <v>3.2265000000000001</v>
      </c>
      <c r="C3244">
        <v>4.5175E-2</v>
      </c>
      <c r="D3244">
        <v>266</v>
      </c>
      <c r="E3244" t="s">
        <v>3581</v>
      </c>
      <c r="F3244">
        <v>266</v>
      </c>
      <c r="G3244" s="1">
        <v>45192</v>
      </c>
      <c r="H3244" s="6">
        <f t="shared" si="102"/>
        <v>11.552083333333226</v>
      </c>
      <c r="I3244" s="7">
        <f t="shared" si="103"/>
        <v>11.552083333333226</v>
      </c>
    </row>
    <row r="3245" spans="1:9" x14ac:dyDescent="0.2">
      <c r="A3245" t="s">
        <v>3582</v>
      </c>
      <c r="B3245">
        <v>3.2629999999999999</v>
      </c>
      <c r="C3245">
        <v>4.5690000000000001E-2</v>
      </c>
      <c r="D3245">
        <v>266</v>
      </c>
      <c r="E3245" t="s">
        <v>3582</v>
      </c>
      <c r="F3245">
        <v>266</v>
      </c>
      <c r="G3245" s="1">
        <v>45192</v>
      </c>
      <c r="H3245" s="6">
        <f t="shared" si="102"/>
        <v>11.562499999999892</v>
      </c>
      <c r="I3245" s="7">
        <f t="shared" si="103"/>
        <v>11.562499999999892</v>
      </c>
    </row>
    <row r="3246" spans="1:9" x14ac:dyDescent="0.2">
      <c r="A3246" t="s">
        <v>3583</v>
      </c>
      <c r="B3246">
        <v>3.2330000000000001</v>
      </c>
      <c r="C3246">
        <v>4.5284999999999999E-2</v>
      </c>
      <c r="D3246">
        <v>266</v>
      </c>
      <c r="E3246" t="s">
        <v>3583</v>
      </c>
      <c r="F3246">
        <v>266</v>
      </c>
      <c r="G3246" s="1">
        <v>45192</v>
      </c>
      <c r="H3246" s="6">
        <f t="shared" si="102"/>
        <v>11.572916666666558</v>
      </c>
      <c r="I3246" s="7">
        <f t="shared" si="103"/>
        <v>11.572916666666558</v>
      </c>
    </row>
    <row r="3247" spans="1:9" x14ac:dyDescent="0.2">
      <c r="A3247" t="s">
        <v>3584</v>
      </c>
      <c r="B3247">
        <v>3.2290000000000001</v>
      </c>
      <c r="C3247">
        <v>4.5240000000000002E-2</v>
      </c>
      <c r="D3247">
        <v>266</v>
      </c>
      <c r="E3247" t="s">
        <v>3584</v>
      </c>
      <c r="F3247">
        <v>266</v>
      </c>
      <c r="G3247" s="1">
        <v>45192</v>
      </c>
      <c r="H3247" s="6">
        <f t="shared" si="102"/>
        <v>11.583333333333224</v>
      </c>
      <c r="I3247" s="7">
        <f t="shared" si="103"/>
        <v>11.583333333333224</v>
      </c>
    </row>
    <row r="3248" spans="1:9" x14ac:dyDescent="0.2">
      <c r="A3248" t="s">
        <v>3585</v>
      </c>
      <c r="B3248">
        <v>3.2214999999999998</v>
      </c>
      <c r="C3248">
        <v>4.5124999999999998E-2</v>
      </c>
      <c r="D3248">
        <v>266</v>
      </c>
      <c r="E3248" t="s">
        <v>3585</v>
      </c>
      <c r="F3248">
        <v>266</v>
      </c>
      <c r="G3248" s="1">
        <v>45192</v>
      </c>
      <c r="H3248" s="6">
        <f t="shared" si="102"/>
        <v>11.59374999999989</v>
      </c>
      <c r="I3248" s="7">
        <f t="shared" si="103"/>
        <v>11.59374999999989</v>
      </c>
    </row>
    <row r="3249" spans="1:9" x14ac:dyDescent="0.2">
      <c r="A3249" t="s">
        <v>3586</v>
      </c>
      <c r="B3249" s="2" t="s">
        <v>3587</v>
      </c>
      <c r="C3249">
        <v>4.5220000000000003E-2</v>
      </c>
      <c r="D3249">
        <v>266</v>
      </c>
      <c r="E3249" t="s">
        <v>3586</v>
      </c>
      <c r="F3249">
        <v>266</v>
      </c>
      <c r="G3249" s="1">
        <v>45192</v>
      </c>
      <c r="H3249" s="6">
        <f t="shared" si="102"/>
        <v>11.604166666666556</v>
      </c>
      <c r="I3249" s="7">
        <f t="shared" si="103"/>
        <v>11.604166666666556</v>
      </c>
    </row>
    <row r="3250" spans="1:9" x14ac:dyDescent="0.2">
      <c r="A3250" t="s">
        <v>3588</v>
      </c>
      <c r="B3250">
        <v>3.2290000000000001</v>
      </c>
      <c r="C3250">
        <v>4.5225000000000001E-2</v>
      </c>
      <c r="D3250">
        <v>266</v>
      </c>
      <c r="E3250" t="s">
        <v>3588</v>
      </c>
      <c r="F3250">
        <v>266</v>
      </c>
      <c r="G3250" s="1">
        <v>45192</v>
      </c>
      <c r="H3250" s="6">
        <f t="shared" si="102"/>
        <v>11.614583333333222</v>
      </c>
      <c r="I3250" s="7">
        <f t="shared" si="103"/>
        <v>11.614583333333222</v>
      </c>
    </row>
    <row r="3251" spans="1:9" x14ac:dyDescent="0.2">
      <c r="A3251" t="s">
        <v>3589</v>
      </c>
      <c r="B3251">
        <v>3.2105000000000001</v>
      </c>
      <c r="C3251">
        <v>4.4970000000000003E-2</v>
      </c>
      <c r="D3251">
        <v>266</v>
      </c>
      <c r="E3251" t="s">
        <v>3589</v>
      </c>
      <c r="F3251">
        <v>266</v>
      </c>
      <c r="G3251" s="1">
        <v>45192</v>
      </c>
      <c r="H3251" s="6">
        <f t="shared" si="102"/>
        <v>11.624999999999888</v>
      </c>
      <c r="I3251" s="7">
        <f t="shared" si="103"/>
        <v>11.624999999999888</v>
      </c>
    </row>
    <row r="3252" spans="1:9" x14ac:dyDescent="0.2">
      <c r="A3252" t="s">
        <v>3590</v>
      </c>
      <c r="B3252">
        <v>3.19</v>
      </c>
      <c r="C3252">
        <v>4.4685000000000002E-2</v>
      </c>
      <c r="D3252">
        <v>266</v>
      </c>
      <c r="E3252" t="s">
        <v>3590</v>
      </c>
      <c r="F3252">
        <v>266</v>
      </c>
      <c r="G3252" s="1">
        <v>45192</v>
      </c>
      <c r="H3252" s="6">
        <f t="shared" si="102"/>
        <v>11.635416666666554</v>
      </c>
      <c r="I3252" s="7">
        <f t="shared" si="103"/>
        <v>11.635416666666554</v>
      </c>
    </row>
    <row r="3253" spans="1:9" x14ac:dyDescent="0.2">
      <c r="A3253" t="s">
        <v>3591</v>
      </c>
      <c r="B3253">
        <v>3.2124999999999999</v>
      </c>
      <c r="C3253">
        <v>4.4979999999999999E-2</v>
      </c>
      <c r="D3253">
        <v>266</v>
      </c>
      <c r="E3253" t="s">
        <v>3591</v>
      </c>
      <c r="F3253">
        <v>266</v>
      </c>
      <c r="G3253" s="1">
        <v>45192</v>
      </c>
      <c r="H3253" s="6">
        <f t="shared" si="102"/>
        <v>11.64583333333322</v>
      </c>
      <c r="I3253" s="7">
        <f t="shared" si="103"/>
        <v>11.64583333333322</v>
      </c>
    </row>
    <row r="3254" spans="1:9" x14ac:dyDescent="0.2">
      <c r="A3254" t="s">
        <v>3592</v>
      </c>
      <c r="B3254" s="2" t="s">
        <v>3593</v>
      </c>
      <c r="C3254">
        <v>4.4949999999999997E-2</v>
      </c>
      <c r="D3254">
        <v>267</v>
      </c>
      <c r="E3254" t="s">
        <v>3592</v>
      </c>
      <c r="F3254">
        <v>266</v>
      </c>
      <c r="G3254" s="1">
        <v>45192</v>
      </c>
      <c r="H3254" s="6">
        <f t="shared" si="102"/>
        <v>11.656249999999886</v>
      </c>
      <c r="I3254" s="7">
        <f t="shared" si="103"/>
        <v>11.656249999999886</v>
      </c>
    </row>
    <row r="3255" spans="1:9" x14ac:dyDescent="0.2">
      <c r="A3255" t="s">
        <v>3594</v>
      </c>
      <c r="B3255">
        <v>3.2044999999999999</v>
      </c>
      <c r="C3255">
        <v>4.4885000000000001E-2</v>
      </c>
      <c r="D3255">
        <v>267</v>
      </c>
      <c r="E3255" t="s">
        <v>3594</v>
      </c>
      <c r="F3255">
        <v>266</v>
      </c>
      <c r="G3255" s="1">
        <v>45192</v>
      </c>
      <c r="H3255" s="6">
        <f t="shared" si="102"/>
        <v>11.666666666666552</v>
      </c>
      <c r="I3255" s="7">
        <f t="shared" si="103"/>
        <v>11.666666666666552</v>
      </c>
    </row>
    <row r="3256" spans="1:9" x14ac:dyDescent="0.2">
      <c r="A3256" t="s">
        <v>3595</v>
      </c>
      <c r="B3256">
        <v>3.1905000000000001</v>
      </c>
      <c r="C3256">
        <v>4.4690000000000001E-2</v>
      </c>
      <c r="D3256">
        <v>267</v>
      </c>
      <c r="E3256" t="s">
        <v>3595</v>
      </c>
      <c r="F3256">
        <v>266</v>
      </c>
      <c r="G3256" s="1">
        <v>45192</v>
      </c>
      <c r="H3256" s="6">
        <f t="shared" si="102"/>
        <v>11.677083333333218</v>
      </c>
      <c r="I3256" s="7">
        <f t="shared" si="103"/>
        <v>11.677083333333218</v>
      </c>
    </row>
    <row r="3257" spans="1:9" x14ac:dyDescent="0.2">
      <c r="A3257" t="s">
        <v>3596</v>
      </c>
      <c r="B3257">
        <v>3.149</v>
      </c>
      <c r="C3257">
        <v>4.41E-2</v>
      </c>
      <c r="D3257">
        <v>267</v>
      </c>
      <c r="E3257" t="s">
        <v>3596</v>
      </c>
      <c r="F3257">
        <v>266</v>
      </c>
      <c r="G3257" s="1">
        <v>45192</v>
      </c>
      <c r="H3257" s="6">
        <f t="shared" si="102"/>
        <v>11.687499999999885</v>
      </c>
      <c r="I3257" s="7">
        <f t="shared" si="103"/>
        <v>11.687499999999885</v>
      </c>
    </row>
    <row r="3258" spans="1:9" x14ac:dyDescent="0.2">
      <c r="A3258" t="s">
        <v>3597</v>
      </c>
      <c r="B3258">
        <v>3.169</v>
      </c>
      <c r="C3258" s="2" t="s">
        <v>3598</v>
      </c>
      <c r="D3258">
        <v>267</v>
      </c>
      <c r="E3258" t="s">
        <v>3597</v>
      </c>
      <c r="F3258">
        <v>266</v>
      </c>
      <c r="G3258" s="1">
        <v>45192</v>
      </c>
      <c r="H3258" s="6">
        <f t="shared" si="102"/>
        <v>11.697916666666551</v>
      </c>
      <c r="I3258" s="7">
        <f t="shared" si="103"/>
        <v>11.697916666666551</v>
      </c>
    </row>
    <row r="3259" spans="1:9" x14ac:dyDescent="0.2">
      <c r="A3259" t="s">
        <v>3599</v>
      </c>
      <c r="B3259">
        <v>3.173</v>
      </c>
      <c r="C3259" s="2" t="s">
        <v>3600</v>
      </c>
      <c r="D3259">
        <v>267</v>
      </c>
      <c r="E3259" t="s">
        <v>3599</v>
      </c>
      <c r="F3259">
        <v>266</v>
      </c>
      <c r="G3259" s="1">
        <v>45192</v>
      </c>
      <c r="H3259" s="6">
        <f t="shared" si="102"/>
        <v>11.708333333333217</v>
      </c>
      <c r="I3259" s="7">
        <f t="shared" si="103"/>
        <v>11.708333333333217</v>
      </c>
    </row>
    <row r="3260" spans="1:9" x14ac:dyDescent="0.2">
      <c r="A3260" t="s">
        <v>3601</v>
      </c>
      <c r="B3260">
        <v>3.1680000000000001</v>
      </c>
      <c r="C3260">
        <v>4.437E-2</v>
      </c>
      <c r="D3260">
        <v>267</v>
      </c>
      <c r="E3260" t="s">
        <v>3601</v>
      </c>
      <c r="F3260">
        <v>266</v>
      </c>
      <c r="G3260" s="1">
        <v>45192</v>
      </c>
      <c r="H3260" s="6">
        <f t="shared" si="102"/>
        <v>11.718749999999883</v>
      </c>
      <c r="I3260" s="7">
        <f t="shared" si="103"/>
        <v>11.718749999999883</v>
      </c>
    </row>
    <row r="3261" spans="1:9" x14ac:dyDescent="0.2">
      <c r="A3261" t="s">
        <v>3602</v>
      </c>
      <c r="B3261">
        <v>3.1524999999999999</v>
      </c>
      <c r="C3261">
        <v>4.4150000000000002E-2</v>
      </c>
      <c r="D3261">
        <v>267</v>
      </c>
      <c r="E3261" t="s">
        <v>3602</v>
      </c>
      <c r="F3261">
        <v>266</v>
      </c>
      <c r="G3261" s="1">
        <v>45192</v>
      </c>
      <c r="H3261" s="6">
        <f t="shared" si="102"/>
        <v>11.729166666666549</v>
      </c>
      <c r="I3261" s="7">
        <f t="shared" si="103"/>
        <v>11.729166666666549</v>
      </c>
    </row>
    <row r="3262" spans="1:9" x14ac:dyDescent="0.2">
      <c r="A3262" t="s">
        <v>3603</v>
      </c>
      <c r="B3262" s="2" t="s">
        <v>3604</v>
      </c>
      <c r="C3262">
        <v>4.4084999999999999E-2</v>
      </c>
      <c r="D3262">
        <v>267</v>
      </c>
      <c r="E3262" t="s">
        <v>3603</v>
      </c>
      <c r="F3262">
        <v>266</v>
      </c>
      <c r="G3262" s="1">
        <v>45192</v>
      </c>
      <c r="H3262" s="6">
        <f t="shared" si="102"/>
        <v>11.739583333333215</v>
      </c>
      <c r="I3262" s="7">
        <f t="shared" si="103"/>
        <v>11.739583333333215</v>
      </c>
    </row>
    <row r="3263" spans="1:9" x14ac:dyDescent="0.2">
      <c r="A3263" t="s">
        <v>3605</v>
      </c>
      <c r="B3263">
        <v>3.1644999999999999</v>
      </c>
      <c r="C3263">
        <v>4.4339999999999997E-2</v>
      </c>
      <c r="D3263">
        <v>267</v>
      </c>
      <c r="E3263" t="s">
        <v>3605</v>
      </c>
      <c r="F3263">
        <v>266</v>
      </c>
      <c r="G3263" s="1">
        <v>45192</v>
      </c>
      <c r="H3263" s="6">
        <f t="shared" si="102"/>
        <v>11.749999999999881</v>
      </c>
      <c r="I3263" s="7">
        <f t="shared" si="103"/>
        <v>11.749999999999881</v>
      </c>
    </row>
    <row r="3264" spans="1:9" x14ac:dyDescent="0.2">
      <c r="A3264" t="s">
        <v>3606</v>
      </c>
      <c r="B3264">
        <v>3.153</v>
      </c>
      <c r="C3264">
        <v>4.4165000000000003E-2</v>
      </c>
      <c r="D3264">
        <v>267</v>
      </c>
      <c r="E3264" t="s">
        <v>3606</v>
      </c>
      <c r="F3264">
        <v>266</v>
      </c>
      <c r="G3264" s="1">
        <v>45192</v>
      </c>
      <c r="H3264" s="6">
        <f t="shared" si="102"/>
        <v>11.760416666666547</v>
      </c>
      <c r="I3264" s="7">
        <f t="shared" si="103"/>
        <v>11.760416666666547</v>
      </c>
    </row>
    <row r="3265" spans="1:9" x14ac:dyDescent="0.2">
      <c r="A3265" t="s">
        <v>3607</v>
      </c>
      <c r="B3265">
        <v>3.1709999999999998</v>
      </c>
      <c r="C3265">
        <v>4.4424999999999999E-2</v>
      </c>
      <c r="D3265">
        <v>267</v>
      </c>
      <c r="E3265" t="s">
        <v>3607</v>
      </c>
      <c r="F3265">
        <v>266</v>
      </c>
      <c r="G3265" s="1">
        <v>45192</v>
      </c>
      <c r="H3265" s="6">
        <f t="shared" si="102"/>
        <v>11.770833333333213</v>
      </c>
      <c r="I3265" s="7">
        <f t="shared" si="103"/>
        <v>11.770833333333213</v>
      </c>
    </row>
    <row r="3266" spans="1:9" x14ac:dyDescent="0.2">
      <c r="A3266" t="s">
        <v>3608</v>
      </c>
      <c r="B3266">
        <v>3.1425000000000001</v>
      </c>
      <c r="C3266">
        <v>4.4014999999999999E-2</v>
      </c>
      <c r="D3266">
        <v>267</v>
      </c>
      <c r="E3266" t="s">
        <v>3608</v>
      </c>
      <c r="F3266">
        <v>266</v>
      </c>
      <c r="G3266" s="1">
        <v>45192</v>
      </c>
      <c r="H3266" s="6">
        <f t="shared" si="102"/>
        <v>11.781249999999879</v>
      </c>
      <c r="I3266" s="7">
        <f t="shared" si="103"/>
        <v>11.781249999999879</v>
      </c>
    </row>
    <row r="3267" spans="1:9" x14ac:dyDescent="0.2">
      <c r="A3267" t="s">
        <v>3609</v>
      </c>
      <c r="B3267">
        <v>3.1589999999999998</v>
      </c>
      <c r="C3267">
        <v>4.4264999999999999E-2</v>
      </c>
      <c r="D3267">
        <v>267</v>
      </c>
      <c r="E3267" t="s">
        <v>3609</v>
      </c>
      <c r="F3267">
        <v>266</v>
      </c>
      <c r="G3267" s="1">
        <v>45192</v>
      </c>
      <c r="H3267" s="6">
        <f t="shared" si="102"/>
        <v>11.791666666666545</v>
      </c>
      <c r="I3267" s="7">
        <f t="shared" si="103"/>
        <v>11.791666666666545</v>
      </c>
    </row>
    <row r="3268" spans="1:9" x14ac:dyDescent="0.2">
      <c r="A3268" t="s">
        <v>3610</v>
      </c>
      <c r="B3268">
        <v>3.1265000000000001</v>
      </c>
      <c r="C3268">
        <v>4.3784999999999998E-2</v>
      </c>
      <c r="D3268">
        <v>267</v>
      </c>
      <c r="E3268" t="s">
        <v>3610</v>
      </c>
      <c r="F3268">
        <v>266</v>
      </c>
      <c r="G3268" s="1">
        <v>45192</v>
      </c>
      <c r="H3268" s="6">
        <f t="shared" si="102"/>
        <v>11.802083333333211</v>
      </c>
      <c r="I3268" s="7">
        <f t="shared" si="103"/>
        <v>11.802083333333211</v>
      </c>
    </row>
    <row r="3269" spans="1:9" x14ac:dyDescent="0.2">
      <c r="A3269" t="s">
        <v>3611</v>
      </c>
      <c r="B3269">
        <v>3.1635</v>
      </c>
      <c r="C3269">
        <v>4.4310000000000002E-2</v>
      </c>
      <c r="D3269">
        <v>267</v>
      </c>
      <c r="E3269" t="s">
        <v>3611</v>
      </c>
      <c r="F3269">
        <v>266</v>
      </c>
      <c r="G3269" s="1">
        <v>45192</v>
      </c>
      <c r="H3269" s="6">
        <f t="shared" si="102"/>
        <v>11.812499999999877</v>
      </c>
      <c r="I3269" s="7">
        <f t="shared" si="103"/>
        <v>11.812499999999877</v>
      </c>
    </row>
    <row r="3270" spans="1:9" x14ac:dyDescent="0.2">
      <c r="A3270" t="s">
        <v>3612</v>
      </c>
      <c r="B3270">
        <v>3.1465000000000001</v>
      </c>
      <c r="C3270">
        <v>4.4069999999999998E-2</v>
      </c>
      <c r="D3270">
        <v>267</v>
      </c>
      <c r="E3270" t="s">
        <v>3612</v>
      </c>
      <c r="F3270">
        <v>266</v>
      </c>
      <c r="G3270" s="1">
        <v>45192</v>
      </c>
      <c r="H3270" s="6">
        <f t="shared" si="102"/>
        <v>11.822916666666544</v>
      </c>
      <c r="I3270" s="7">
        <f t="shared" si="103"/>
        <v>11.822916666666544</v>
      </c>
    </row>
    <row r="3271" spans="1:9" x14ac:dyDescent="0.2">
      <c r="A3271" t="s">
        <v>3613</v>
      </c>
      <c r="B3271">
        <v>3.1455000000000002</v>
      </c>
      <c r="C3271">
        <v>4.4060000000000002E-2</v>
      </c>
      <c r="D3271">
        <v>267</v>
      </c>
      <c r="E3271" t="s">
        <v>3613</v>
      </c>
      <c r="F3271">
        <v>266</v>
      </c>
      <c r="G3271" s="1">
        <v>45192</v>
      </c>
      <c r="H3271" s="6">
        <f t="shared" si="102"/>
        <v>11.83333333333321</v>
      </c>
      <c r="I3271" s="7">
        <f t="shared" si="103"/>
        <v>11.83333333333321</v>
      </c>
    </row>
    <row r="3272" spans="1:9" x14ac:dyDescent="0.2">
      <c r="A3272" t="s">
        <v>3614</v>
      </c>
      <c r="B3272">
        <v>3.1395</v>
      </c>
      <c r="C3272">
        <v>4.3959999999999999E-2</v>
      </c>
      <c r="D3272">
        <v>267</v>
      </c>
      <c r="E3272" t="s">
        <v>3614</v>
      </c>
      <c r="F3272">
        <v>266</v>
      </c>
      <c r="G3272" s="1">
        <v>45192</v>
      </c>
      <c r="H3272" s="6">
        <f t="shared" si="102"/>
        <v>11.843749999999876</v>
      </c>
      <c r="I3272" s="7">
        <f t="shared" si="103"/>
        <v>11.843749999999876</v>
      </c>
    </row>
    <row r="3273" spans="1:9" x14ac:dyDescent="0.2">
      <c r="A3273" t="s">
        <v>3615</v>
      </c>
      <c r="B3273">
        <v>3.1339999999999999</v>
      </c>
      <c r="C3273">
        <v>4.3905E-2</v>
      </c>
      <c r="D3273">
        <v>267</v>
      </c>
      <c r="E3273" t="s">
        <v>3615</v>
      </c>
      <c r="F3273">
        <v>266</v>
      </c>
      <c r="G3273" s="1">
        <v>45192</v>
      </c>
      <c r="H3273" s="6">
        <f t="shared" si="102"/>
        <v>11.854166666666542</v>
      </c>
      <c r="I3273" s="7">
        <f t="shared" si="103"/>
        <v>11.854166666666542</v>
      </c>
    </row>
    <row r="3274" spans="1:9" x14ac:dyDescent="0.2">
      <c r="A3274" t="s">
        <v>3616</v>
      </c>
      <c r="B3274">
        <v>3.1435</v>
      </c>
      <c r="C3274">
        <v>4.4025000000000002E-2</v>
      </c>
      <c r="D3274">
        <v>267</v>
      </c>
      <c r="E3274" t="s">
        <v>3616</v>
      </c>
      <c r="F3274">
        <v>266</v>
      </c>
      <c r="G3274" s="1">
        <v>45192</v>
      </c>
      <c r="H3274" s="6">
        <f t="shared" si="102"/>
        <v>11.864583333333208</v>
      </c>
      <c r="I3274" s="7">
        <f t="shared" si="103"/>
        <v>11.864583333333208</v>
      </c>
    </row>
    <row r="3275" spans="1:9" x14ac:dyDescent="0.2">
      <c r="A3275" t="s">
        <v>3617</v>
      </c>
      <c r="B3275">
        <v>3.129</v>
      </c>
      <c r="C3275">
        <v>4.3834999999999999E-2</v>
      </c>
      <c r="D3275">
        <v>267</v>
      </c>
      <c r="E3275" t="s">
        <v>3617</v>
      </c>
      <c r="F3275">
        <v>266</v>
      </c>
      <c r="G3275" s="1">
        <v>45192</v>
      </c>
      <c r="H3275" s="6">
        <f t="shared" si="102"/>
        <v>11.874999999999874</v>
      </c>
      <c r="I3275" s="7">
        <f t="shared" si="103"/>
        <v>11.874999999999874</v>
      </c>
    </row>
    <row r="3276" spans="1:9" x14ac:dyDescent="0.2">
      <c r="A3276" t="s">
        <v>3618</v>
      </c>
      <c r="B3276">
        <v>3.1074999999999999</v>
      </c>
      <c r="C3276">
        <v>4.3529999999999999E-2</v>
      </c>
      <c r="D3276">
        <v>267</v>
      </c>
      <c r="E3276" t="s">
        <v>3618</v>
      </c>
      <c r="F3276">
        <v>266</v>
      </c>
      <c r="G3276" s="1">
        <v>45192</v>
      </c>
      <c r="H3276" s="6">
        <f t="shared" si="102"/>
        <v>11.88541666666654</v>
      </c>
      <c r="I3276" s="7">
        <f t="shared" si="103"/>
        <v>11.88541666666654</v>
      </c>
    </row>
    <row r="3277" spans="1:9" x14ac:dyDescent="0.2">
      <c r="A3277" t="s">
        <v>3619</v>
      </c>
      <c r="B3277">
        <v>3.093</v>
      </c>
      <c r="C3277">
        <v>4.3325000000000002E-2</v>
      </c>
      <c r="D3277">
        <v>267</v>
      </c>
      <c r="E3277" t="s">
        <v>3619</v>
      </c>
      <c r="F3277">
        <v>266</v>
      </c>
      <c r="G3277" s="1">
        <v>45192</v>
      </c>
      <c r="H3277" s="6">
        <f t="shared" si="102"/>
        <v>11.895833333333206</v>
      </c>
      <c r="I3277" s="7">
        <f t="shared" si="103"/>
        <v>11.895833333333206</v>
      </c>
    </row>
    <row r="3278" spans="1:9" x14ac:dyDescent="0.2">
      <c r="A3278" t="s">
        <v>3620</v>
      </c>
      <c r="B3278">
        <v>3.1044999999999998</v>
      </c>
      <c r="C3278">
        <v>4.3490000000000001E-2</v>
      </c>
      <c r="D3278">
        <v>267</v>
      </c>
      <c r="E3278" t="s">
        <v>3620</v>
      </c>
      <c r="F3278">
        <v>267</v>
      </c>
      <c r="G3278" s="1">
        <v>45193</v>
      </c>
      <c r="H3278" s="6">
        <f t="shared" si="102"/>
        <v>11.906249999999872</v>
      </c>
      <c r="I3278" s="7">
        <f t="shared" si="103"/>
        <v>11.906249999999872</v>
      </c>
    </row>
    <row r="3279" spans="1:9" x14ac:dyDescent="0.2">
      <c r="A3279" t="s">
        <v>3621</v>
      </c>
      <c r="B3279">
        <v>3.109</v>
      </c>
      <c r="C3279">
        <v>4.3549999999999998E-2</v>
      </c>
      <c r="D3279">
        <v>267</v>
      </c>
      <c r="E3279" t="s">
        <v>3621</v>
      </c>
      <c r="F3279">
        <v>267</v>
      </c>
      <c r="G3279" s="1">
        <v>45193</v>
      </c>
      <c r="H3279" s="6">
        <f t="shared" si="102"/>
        <v>11.916666666666538</v>
      </c>
      <c r="I3279" s="7">
        <f t="shared" si="103"/>
        <v>11.916666666666538</v>
      </c>
    </row>
    <row r="3280" spans="1:9" x14ac:dyDescent="0.2">
      <c r="A3280" t="s">
        <v>3622</v>
      </c>
      <c r="B3280">
        <v>3.1019999999999999</v>
      </c>
      <c r="C3280">
        <v>4.3470000000000002E-2</v>
      </c>
      <c r="D3280">
        <v>267</v>
      </c>
      <c r="E3280" t="s">
        <v>3622</v>
      </c>
      <c r="F3280">
        <v>267</v>
      </c>
      <c r="G3280" s="1">
        <v>45193</v>
      </c>
      <c r="H3280" s="6">
        <f t="shared" si="102"/>
        <v>11.927083333333204</v>
      </c>
      <c r="I3280" s="7">
        <f t="shared" si="103"/>
        <v>11.927083333333204</v>
      </c>
    </row>
    <row r="3281" spans="1:9" x14ac:dyDescent="0.2">
      <c r="A3281" t="s">
        <v>3623</v>
      </c>
      <c r="B3281">
        <v>3.1004999999999998</v>
      </c>
      <c r="C3281">
        <v>4.3415000000000002E-2</v>
      </c>
      <c r="D3281">
        <v>267</v>
      </c>
      <c r="E3281" t="s">
        <v>3623</v>
      </c>
      <c r="F3281">
        <v>267</v>
      </c>
      <c r="G3281" s="1">
        <v>45193</v>
      </c>
      <c r="H3281" s="6">
        <f t="shared" si="102"/>
        <v>11.93749999999987</v>
      </c>
      <c r="I3281" s="7">
        <f t="shared" si="103"/>
        <v>11.93749999999987</v>
      </c>
    </row>
    <row r="3282" spans="1:9" x14ac:dyDescent="0.2">
      <c r="A3282" t="s">
        <v>3624</v>
      </c>
      <c r="B3282">
        <v>3.0935000000000001</v>
      </c>
      <c r="C3282">
        <v>4.3325000000000002E-2</v>
      </c>
      <c r="D3282">
        <v>267</v>
      </c>
      <c r="E3282" t="s">
        <v>3624</v>
      </c>
      <c r="F3282">
        <v>267</v>
      </c>
      <c r="G3282" s="1">
        <v>45193</v>
      </c>
      <c r="H3282" s="6">
        <f t="shared" si="102"/>
        <v>11.947916666666536</v>
      </c>
      <c r="I3282" s="7">
        <f t="shared" si="103"/>
        <v>11.947916666666536</v>
      </c>
    </row>
    <row r="3283" spans="1:9" x14ac:dyDescent="0.2">
      <c r="A3283" t="s">
        <v>3625</v>
      </c>
      <c r="B3283">
        <v>3.1124999999999998</v>
      </c>
      <c r="C3283">
        <v>4.3595000000000002E-2</v>
      </c>
      <c r="D3283">
        <v>267</v>
      </c>
      <c r="E3283" t="s">
        <v>3625</v>
      </c>
      <c r="F3283">
        <v>267</v>
      </c>
      <c r="G3283" s="1">
        <v>45193</v>
      </c>
      <c r="H3283" s="6">
        <f t="shared" si="102"/>
        <v>11.958333333333202</v>
      </c>
      <c r="I3283" s="7">
        <f t="shared" si="103"/>
        <v>11.958333333333202</v>
      </c>
    </row>
    <row r="3284" spans="1:9" x14ac:dyDescent="0.2">
      <c r="A3284" t="s">
        <v>3626</v>
      </c>
      <c r="B3284">
        <v>3.1124999999999998</v>
      </c>
      <c r="C3284">
        <v>4.3584999999999999E-2</v>
      </c>
      <c r="D3284">
        <v>267</v>
      </c>
      <c r="E3284" t="s">
        <v>3626</v>
      </c>
      <c r="F3284">
        <v>267</v>
      </c>
      <c r="G3284" s="1">
        <v>45193</v>
      </c>
      <c r="H3284" s="6">
        <f t="shared" si="102"/>
        <v>11.968749999999869</v>
      </c>
      <c r="I3284" s="7">
        <f t="shared" si="103"/>
        <v>11.968749999999869</v>
      </c>
    </row>
    <row r="3285" spans="1:9" x14ac:dyDescent="0.2">
      <c r="A3285" t="s">
        <v>3627</v>
      </c>
      <c r="B3285">
        <v>3.0830000000000002</v>
      </c>
      <c r="C3285" s="2" t="s">
        <v>3628</v>
      </c>
      <c r="D3285">
        <v>267</v>
      </c>
      <c r="E3285" t="s">
        <v>3627</v>
      </c>
      <c r="F3285">
        <v>267</v>
      </c>
      <c r="G3285" s="1">
        <v>45193</v>
      </c>
      <c r="H3285" s="6">
        <f t="shared" si="102"/>
        <v>11.979166666666535</v>
      </c>
      <c r="I3285" s="7">
        <f t="shared" si="103"/>
        <v>11.979166666666535</v>
      </c>
    </row>
    <row r="3286" spans="1:9" x14ac:dyDescent="0.2">
      <c r="A3286" t="s">
        <v>3629</v>
      </c>
      <c r="B3286">
        <v>3.085</v>
      </c>
      <c r="C3286">
        <v>4.3194999999999997E-2</v>
      </c>
      <c r="D3286">
        <v>267</v>
      </c>
      <c r="E3286" t="s">
        <v>3629</v>
      </c>
      <c r="F3286">
        <v>267</v>
      </c>
      <c r="G3286" s="1">
        <v>45193</v>
      </c>
      <c r="H3286" s="6">
        <f t="shared" si="102"/>
        <v>11.989583333333201</v>
      </c>
      <c r="I3286" s="7">
        <f t="shared" si="103"/>
        <v>11.989583333333201</v>
      </c>
    </row>
    <row r="3287" spans="1:9" x14ac:dyDescent="0.2">
      <c r="A3287" t="s">
        <v>3630</v>
      </c>
      <c r="B3287">
        <v>3.1284999999999998</v>
      </c>
      <c r="C3287">
        <v>4.3825000000000003E-2</v>
      </c>
      <c r="D3287">
        <v>267</v>
      </c>
      <c r="E3287" t="s">
        <v>3630</v>
      </c>
      <c r="F3287">
        <v>267</v>
      </c>
      <c r="G3287" s="1">
        <v>45193</v>
      </c>
      <c r="H3287" s="6">
        <f t="shared" si="102"/>
        <v>11.999999999999867</v>
      </c>
      <c r="I3287" s="7">
        <f t="shared" si="103"/>
        <v>11.999999999999867</v>
      </c>
    </row>
    <row r="3288" spans="1:9" x14ac:dyDescent="0.2">
      <c r="A3288" t="s">
        <v>3631</v>
      </c>
      <c r="B3288">
        <v>3.0954999999999999</v>
      </c>
      <c r="C3288">
        <v>4.335E-2</v>
      </c>
      <c r="D3288">
        <v>267</v>
      </c>
      <c r="E3288" t="s">
        <v>3631</v>
      </c>
      <c r="F3288">
        <v>267</v>
      </c>
      <c r="G3288" s="1">
        <v>45193</v>
      </c>
      <c r="H3288" s="6">
        <f t="shared" si="102"/>
        <v>12.010416666666533</v>
      </c>
      <c r="I3288" s="7">
        <f t="shared" si="103"/>
        <v>12.010416666666533</v>
      </c>
    </row>
    <row r="3289" spans="1:9" x14ac:dyDescent="0.2">
      <c r="A3289" t="s">
        <v>3632</v>
      </c>
      <c r="B3289">
        <v>3.0804999999999998</v>
      </c>
      <c r="C3289">
        <v>4.3165000000000002E-2</v>
      </c>
      <c r="D3289">
        <v>267</v>
      </c>
      <c r="E3289" t="s">
        <v>3632</v>
      </c>
      <c r="F3289">
        <v>267</v>
      </c>
      <c r="G3289" s="1">
        <v>45193</v>
      </c>
      <c r="H3289" s="6">
        <f t="shared" si="102"/>
        <v>12.020833333333199</v>
      </c>
      <c r="I3289" s="7">
        <f t="shared" si="103"/>
        <v>12.020833333333199</v>
      </c>
    </row>
    <row r="3290" spans="1:9" x14ac:dyDescent="0.2">
      <c r="A3290" t="s">
        <v>3633</v>
      </c>
      <c r="B3290">
        <v>3.069</v>
      </c>
      <c r="C3290">
        <v>4.299E-2</v>
      </c>
      <c r="D3290">
        <v>267</v>
      </c>
      <c r="E3290" t="s">
        <v>3633</v>
      </c>
      <c r="F3290">
        <v>267</v>
      </c>
      <c r="G3290" s="1">
        <v>45193</v>
      </c>
      <c r="H3290" s="6">
        <f t="shared" si="102"/>
        <v>12.031249999999865</v>
      </c>
      <c r="I3290" s="7">
        <f t="shared" si="103"/>
        <v>12.031249999999865</v>
      </c>
    </row>
    <row r="3291" spans="1:9" x14ac:dyDescent="0.2">
      <c r="A3291" t="s">
        <v>3634</v>
      </c>
      <c r="B3291">
        <v>3.0834999999999999</v>
      </c>
      <c r="C3291">
        <v>4.3209999999999998E-2</v>
      </c>
      <c r="D3291">
        <v>267</v>
      </c>
      <c r="E3291" t="s">
        <v>3634</v>
      </c>
      <c r="F3291">
        <v>267</v>
      </c>
      <c r="G3291" s="1">
        <v>45193</v>
      </c>
      <c r="H3291" s="6">
        <f t="shared" si="102"/>
        <v>12.041666666666531</v>
      </c>
      <c r="I3291" s="7">
        <f t="shared" si="103"/>
        <v>12.041666666666531</v>
      </c>
    </row>
    <row r="3292" spans="1:9" x14ac:dyDescent="0.2">
      <c r="A3292" t="s">
        <v>3635</v>
      </c>
      <c r="B3292">
        <v>3.0505</v>
      </c>
      <c r="C3292">
        <v>4.2729999999999997E-2</v>
      </c>
      <c r="D3292">
        <v>267</v>
      </c>
      <c r="E3292" t="s">
        <v>3635</v>
      </c>
      <c r="F3292">
        <v>267</v>
      </c>
      <c r="G3292" s="1">
        <v>45193</v>
      </c>
      <c r="H3292" s="6">
        <f t="shared" ref="H3292:H3355" si="104">H3291+$K$1</f>
        <v>12.052083333333197</v>
      </c>
      <c r="I3292" s="7">
        <f t="shared" ref="I3292:I3355" si="105">I3291+$K$1</f>
        <v>12.052083333333197</v>
      </c>
    </row>
    <row r="3293" spans="1:9" x14ac:dyDescent="0.2">
      <c r="A3293" t="s">
        <v>3636</v>
      </c>
      <c r="B3293">
        <v>3.0665</v>
      </c>
      <c r="C3293">
        <v>4.2950000000000002E-2</v>
      </c>
      <c r="D3293">
        <v>267</v>
      </c>
      <c r="E3293" t="s">
        <v>3636</v>
      </c>
      <c r="F3293">
        <v>267</v>
      </c>
      <c r="G3293" s="1">
        <v>45193</v>
      </c>
      <c r="H3293" s="6">
        <f t="shared" si="104"/>
        <v>12.062499999999863</v>
      </c>
      <c r="I3293" s="7">
        <f t="shared" si="105"/>
        <v>12.062499999999863</v>
      </c>
    </row>
    <row r="3294" spans="1:9" x14ac:dyDescent="0.2">
      <c r="A3294" t="s">
        <v>3637</v>
      </c>
      <c r="B3294">
        <v>3.077</v>
      </c>
      <c r="C3294" s="2" t="s">
        <v>3638</v>
      </c>
      <c r="D3294">
        <v>267</v>
      </c>
      <c r="E3294" t="s">
        <v>3637</v>
      </c>
      <c r="F3294">
        <v>267</v>
      </c>
      <c r="G3294" s="1">
        <v>45193</v>
      </c>
      <c r="H3294" s="6">
        <f t="shared" si="104"/>
        <v>12.072916666666529</v>
      </c>
      <c r="I3294" s="7">
        <f t="shared" si="105"/>
        <v>12.072916666666529</v>
      </c>
    </row>
    <row r="3295" spans="1:9" x14ac:dyDescent="0.2">
      <c r="A3295" t="s">
        <v>3639</v>
      </c>
      <c r="B3295">
        <v>3.0884999999999998</v>
      </c>
      <c r="C3295">
        <v>4.3270000000000003E-2</v>
      </c>
      <c r="D3295">
        <v>267</v>
      </c>
      <c r="E3295" t="s">
        <v>3639</v>
      </c>
      <c r="F3295">
        <v>267</v>
      </c>
      <c r="G3295" s="1">
        <v>45193</v>
      </c>
      <c r="H3295" s="6">
        <f t="shared" si="104"/>
        <v>12.083333333333195</v>
      </c>
      <c r="I3295" s="7">
        <f t="shared" si="105"/>
        <v>12.083333333333195</v>
      </c>
    </row>
    <row r="3296" spans="1:9" x14ac:dyDescent="0.2">
      <c r="A3296" t="s">
        <v>3640</v>
      </c>
      <c r="B3296">
        <v>3.0495000000000001</v>
      </c>
      <c r="C3296">
        <v>4.2700000000000002E-2</v>
      </c>
      <c r="D3296">
        <v>267</v>
      </c>
      <c r="E3296" t="s">
        <v>3640</v>
      </c>
      <c r="F3296">
        <v>267</v>
      </c>
      <c r="G3296" s="1">
        <v>45193</v>
      </c>
      <c r="H3296" s="6">
        <f t="shared" si="104"/>
        <v>12.093749999999861</v>
      </c>
      <c r="I3296" s="7">
        <f t="shared" si="105"/>
        <v>12.093749999999861</v>
      </c>
    </row>
    <row r="3297" spans="1:9" x14ac:dyDescent="0.2">
      <c r="A3297" t="s">
        <v>3641</v>
      </c>
      <c r="B3297">
        <v>3.0920000000000001</v>
      </c>
      <c r="C3297">
        <v>4.3284999999999997E-2</v>
      </c>
      <c r="D3297">
        <v>267</v>
      </c>
      <c r="E3297" t="s">
        <v>3641</v>
      </c>
      <c r="F3297">
        <v>267</v>
      </c>
      <c r="G3297" s="1">
        <v>45193</v>
      </c>
      <c r="H3297" s="6">
        <f t="shared" si="104"/>
        <v>12.104166666666528</v>
      </c>
      <c r="I3297" s="7">
        <f t="shared" si="105"/>
        <v>12.104166666666528</v>
      </c>
    </row>
    <row r="3298" spans="1:9" x14ac:dyDescent="0.2">
      <c r="A3298" t="s">
        <v>3642</v>
      </c>
      <c r="B3298">
        <v>3.0705</v>
      </c>
      <c r="C3298">
        <v>4.3005000000000002E-2</v>
      </c>
      <c r="D3298">
        <v>267</v>
      </c>
      <c r="E3298" t="s">
        <v>3642</v>
      </c>
      <c r="F3298">
        <v>267</v>
      </c>
      <c r="G3298" s="1">
        <v>45193</v>
      </c>
      <c r="H3298" s="6">
        <f t="shared" si="104"/>
        <v>12.114583333333194</v>
      </c>
      <c r="I3298" s="7">
        <f t="shared" si="105"/>
        <v>12.114583333333194</v>
      </c>
    </row>
    <row r="3299" spans="1:9" x14ac:dyDescent="0.2">
      <c r="A3299" t="s">
        <v>3643</v>
      </c>
      <c r="B3299">
        <v>3.0745</v>
      </c>
      <c r="C3299">
        <v>4.3084999999999998E-2</v>
      </c>
      <c r="D3299">
        <v>267</v>
      </c>
      <c r="E3299" t="s">
        <v>3643</v>
      </c>
      <c r="F3299">
        <v>267</v>
      </c>
      <c r="G3299" s="1">
        <v>45193</v>
      </c>
      <c r="H3299" s="6">
        <f t="shared" si="104"/>
        <v>12.12499999999986</v>
      </c>
      <c r="I3299" s="7">
        <f t="shared" si="105"/>
        <v>12.12499999999986</v>
      </c>
    </row>
    <row r="3300" spans="1:9" x14ac:dyDescent="0.2">
      <c r="A3300" t="s">
        <v>3644</v>
      </c>
      <c r="B3300">
        <v>3.0785</v>
      </c>
      <c r="C3300">
        <v>4.3104999999999997E-2</v>
      </c>
      <c r="D3300">
        <v>267</v>
      </c>
      <c r="E3300" t="s">
        <v>3644</v>
      </c>
      <c r="F3300">
        <v>267</v>
      </c>
      <c r="G3300" s="1">
        <v>45193</v>
      </c>
      <c r="H3300" s="6">
        <f t="shared" si="104"/>
        <v>12.135416666666526</v>
      </c>
      <c r="I3300" s="7">
        <f t="shared" si="105"/>
        <v>12.135416666666526</v>
      </c>
    </row>
    <row r="3301" spans="1:9" x14ac:dyDescent="0.2">
      <c r="A3301" t="s">
        <v>3645</v>
      </c>
      <c r="B3301">
        <v>3.09</v>
      </c>
      <c r="C3301">
        <v>4.3279999999999999E-2</v>
      </c>
      <c r="D3301">
        <v>267</v>
      </c>
      <c r="E3301" t="s">
        <v>3645</v>
      </c>
      <c r="F3301">
        <v>267</v>
      </c>
      <c r="G3301" s="1">
        <v>45193</v>
      </c>
      <c r="H3301" s="6">
        <f t="shared" si="104"/>
        <v>12.145833333333192</v>
      </c>
      <c r="I3301" s="7">
        <f t="shared" si="105"/>
        <v>12.145833333333192</v>
      </c>
    </row>
    <row r="3302" spans="1:9" x14ac:dyDescent="0.2">
      <c r="A3302" t="s">
        <v>3646</v>
      </c>
      <c r="B3302">
        <v>3.0815000000000001</v>
      </c>
      <c r="C3302">
        <v>4.3159999999999997E-2</v>
      </c>
      <c r="D3302">
        <v>267</v>
      </c>
      <c r="E3302" t="s">
        <v>3646</v>
      </c>
      <c r="F3302">
        <v>267</v>
      </c>
      <c r="G3302" s="1">
        <v>45193</v>
      </c>
      <c r="H3302" s="6">
        <f t="shared" si="104"/>
        <v>12.156249999999858</v>
      </c>
      <c r="I3302" s="7">
        <f t="shared" si="105"/>
        <v>12.156249999999858</v>
      </c>
    </row>
    <row r="3303" spans="1:9" x14ac:dyDescent="0.2">
      <c r="A3303" t="s">
        <v>3647</v>
      </c>
      <c r="B3303">
        <v>3.0985</v>
      </c>
      <c r="C3303">
        <v>4.3395000000000003E-2</v>
      </c>
      <c r="D3303">
        <v>267</v>
      </c>
      <c r="E3303" t="s">
        <v>3647</v>
      </c>
      <c r="F3303">
        <v>267</v>
      </c>
      <c r="G3303" s="1">
        <v>45193</v>
      </c>
      <c r="H3303" s="6">
        <f t="shared" si="104"/>
        <v>12.166666666666524</v>
      </c>
      <c r="I3303" s="7">
        <f t="shared" si="105"/>
        <v>12.166666666666524</v>
      </c>
    </row>
    <row r="3304" spans="1:9" x14ac:dyDescent="0.2">
      <c r="A3304" t="s">
        <v>3648</v>
      </c>
      <c r="B3304">
        <v>3.1345000000000001</v>
      </c>
      <c r="C3304">
        <v>4.3915000000000003E-2</v>
      </c>
      <c r="D3304">
        <v>267</v>
      </c>
      <c r="E3304" t="s">
        <v>3648</v>
      </c>
      <c r="F3304">
        <v>267</v>
      </c>
      <c r="G3304" s="1">
        <v>45193</v>
      </c>
      <c r="H3304" s="6">
        <f t="shared" si="104"/>
        <v>12.17708333333319</v>
      </c>
      <c r="I3304" s="7">
        <f t="shared" si="105"/>
        <v>12.17708333333319</v>
      </c>
    </row>
    <row r="3305" spans="1:9" x14ac:dyDescent="0.2">
      <c r="A3305" t="s">
        <v>3649</v>
      </c>
      <c r="B3305">
        <v>3.1219999999999999</v>
      </c>
      <c r="C3305">
        <v>4.3729999999999998E-2</v>
      </c>
      <c r="D3305">
        <v>267</v>
      </c>
      <c r="E3305" t="s">
        <v>3649</v>
      </c>
      <c r="F3305">
        <v>267</v>
      </c>
      <c r="G3305" s="1">
        <v>45193</v>
      </c>
      <c r="H3305" s="6">
        <f t="shared" si="104"/>
        <v>12.187499999999856</v>
      </c>
      <c r="I3305" s="7">
        <f t="shared" si="105"/>
        <v>12.187499999999856</v>
      </c>
    </row>
    <row r="3306" spans="1:9" x14ac:dyDescent="0.2">
      <c r="A3306" t="s">
        <v>3650</v>
      </c>
      <c r="B3306">
        <v>3.1095000000000002</v>
      </c>
      <c r="C3306" s="2" t="s">
        <v>3651</v>
      </c>
      <c r="D3306">
        <v>267</v>
      </c>
      <c r="E3306" t="s">
        <v>3650</v>
      </c>
      <c r="F3306">
        <v>267</v>
      </c>
      <c r="G3306" s="1">
        <v>45193</v>
      </c>
      <c r="H3306" s="6">
        <f t="shared" si="104"/>
        <v>12.197916666666522</v>
      </c>
      <c r="I3306" s="7">
        <f t="shared" si="105"/>
        <v>12.197916666666522</v>
      </c>
    </row>
    <row r="3307" spans="1:9" x14ac:dyDescent="0.2">
      <c r="A3307" t="s">
        <v>3652</v>
      </c>
      <c r="B3307">
        <v>3.1080000000000001</v>
      </c>
      <c r="C3307">
        <v>4.3540000000000002E-2</v>
      </c>
      <c r="D3307">
        <v>267</v>
      </c>
      <c r="E3307" t="s">
        <v>3652</v>
      </c>
      <c r="F3307">
        <v>267</v>
      </c>
      <c r="G3307" s="1">
        <v>45193</v>
      </c>
      <c r="H3307" s="6">
        <f t="shared" si="104"/>
        <v>12.208333333333188</v>
      </c>
      <c r="I3307" s="7">
        <f t="shared" si="105"/>
        <v>12.208333333333188</v>
      </c>
    </row>
    <row r="3308" spans="1:9" x14ac:dyDescent="0.2">
      <c r="A3308" t="s">
        <v>3653</v>
      </c>
      <c r="B3308">
        <v>3.101</v>
      </c>
      <c r="C3308">
        <v>4.3430000000000003E-2</v>
      </c>
      <c r="D3308">
        <v>267</v>
      </c>
      <c r="E3308" t="s">
        <v>3653</v>
      </c>
      <c r="F3308">
        <v>267</v>
      </c>
      <c r="G3308" s="1">
        <v>45193</v>
      </c>
      <c r="H3308" s="6">
        <f t="shared" si="104"/>
        <v>12.218749999999854</v>
      </c>
      <c r="I3308" s="7">
        <f t="shared" si="105"/>
        <v>12.218749999999854</v>
      </c>
    </row>
    <row r="3309" spans="1:9" x14ac:dyDescent="0.2">
      <c r="A3309" t="s">
        <v>3654</v>
      </c>
      <c r="B3309">
        <v>3.1044999999999998</v>
      </c>
      <c r="C3309">
        <v>4.3494999999999999E-2</v>
      </c>
      <c r="D3309">
        <v>267</v>
      </c>
      <c r="E3309" t="s">
        <v>3654</v>
      </c>
      <c r="F3309">
        <v>267</v>
      </c>
      <c r="G3309" s="1">
        <v>45193</v>
      </c>
      <c r="H3309" s="6">
        <f t="shared" si="104"/>
        <v>12.22916666666652</v>
      </c>
      <c r="I3309" s="7">
        <f t="shared" si="105"/>
        <v>12.22916666666652</v>
      </c>
    </row>
    <row r="3310" spans="1:9" x14ac:dyDescent="0.2">
      <c r="A3310" t="s">
        <v>3655</v>
      </c>
      <c r="B3310">
        <v>3.1034999999999999</v>
      </c>
      <c r="C3310">
        <v>4.3475E-2</v>
      </c>
      <c r="D3310">
        <v>267</v>
      </c>
      <c r="E3310" t="s">
        <v>3655</v>
      </c>
      <c r="F3310">
        <v>267</v>
      </c>
      <c r="G3310" s="1">
        <v>45193</v>
      </c>
      <c r="H3310" s="6">
        <f t="shared" si="104"/>
        <v>12.239583333333186</v>
      </c>
      <c r="I3310" s="7">
        <f t="shared" si="105"/>
        <v>12.239583333333186</v>
      </c>
    </row>
    <row r="3311" spans="1:9" x14ac:dyDescent="0.2">
      <c r="A3311" t="s">
        <v>3656</v>
      </c>
      <c r="B3311">
        <v>3.0804999999999998</v>
      </c>
      <c r="C3311">
        <v>4.3135E-2</v>
      </c>
      <c r="D3311">
        <v>267</v>
      </c>
      <c r="E3311" t="s">
        <v>3656</v>
      </c>
      <c r="F3311">
        <v>267</v>
      </c>
      <c r="G3311" s="1">
        <v>45193</v>
      </c>
      <c r="H3311" s="6">
        <f t="shared" si="104"/>
        <v>12.249999999999853</v>
      </c>
      <c r="I3311" s="7">
        <f t="shared" si="105"/>
        <v>12.249999999999853</v>
      </c>
    </row>
    <row r="3312" spans="1:9" x14ac:dyDescent="0.2">
      <c r="A3312" t="s">
        <v>3657</v>
      </c>
      <c r="B3312">
        <v>3.0594999999999999</v>
      </c>
      <c r="C3312">
        <v>4.2865E-2</v>
      </c>
      <c r="D3312">
        <v>267</v>
      </c>
      <c r="E3312" t="s">
        <v>3657</v>
      </c>
      <c r="F3312">
        <v>267</v>
      </c>
      <c r="G3312" s="1">
        <v>45193</v>
      </c>
      <c r="H3312" s="6">
        <f t="shared" si="104"/>
        <v>12.260416666666519</v>
      </c>
      <c r="I3312" s="7">
        <f t="shared" si="105"/>
        <v>12.260416666666519</v>
      </c>
    </row>
    <row r="3313" spans="1:9" x14ac:dyDescent="0.2">
      <c r="A3313" t="s">
        <v>3658</v>
      </c>
      <c r="B3313">
        <v>3.09</v>
      </c>
      <c r="C3313">
        <v>4.3249999999999997E-2</v>
      </c>
      <c r="D3313">
        <v>267</v>
      </c>
      <c r="E3313" t="s">
        <v>3658</v>
      </c>
      <c r="F3313">
        <v>267</v>
      </c>
      <c r="G3313" s="1">
        <v>45193</v>
      </c>
      <c r="H3313" s="6">
        <f t="shared" si="104"/>
        <v>12.270833333333185</v>
      </c>
      <c r="I3313" s="7">
        <f t="shared" si="105"/>
        <v>12.270833333333185</v>
      </c>
    </row>
    <row r="3314" spans="1:9" x14ac:dyDescent="0.2">
      <c r="A3314" t="s">
        <v>3659</v>
      </c>
      <c r="B3314" s="2" t="s">
        <v>3660</v>
      </c>
      <c r="C3314" s="2" t="s">
        <v>3661</v>
      </c>
      <c r="D3314">
        <v>267</v>
      </c>
      <c r="E3314" t="s">
        <v>3659</v>
      </c>
      <c r="F3314">
        <v>267</v>
      </c>
      <c r="G3314" s="1">
        <v>45193</v>
      </c>
      <c r="H3314" s="6">
        <f t="shared" si="104"/>
        <v>12.281249999999851</v>
      </c>
      <c r="I3314" s="7">
        <f t="shared" si="105"/>
        <v>12.281249999999851</v>
      </c>
    </row>
    <row r="3315" spans="1:9" x14ac:dyDescent="0.2">
      <c r="A3315" t="s">
        <v>3662</v>
      </c>
      <c r="B3315">
        <v>3.0674999999999999</v>
      </c>
      <c r="C3315">
        <v>4.2985000000000002E-2</v>
      </c>
      <c r="D3315">
        <v>267</v>
      </c>
      <c r="E3315" t="s">
        <v>3662</v>
      </c>
      <c r="F3315">
        <v>267</v>
      </c>
      <c r="G3315" s="1">
        <v>45193</v>
      </c>
      <c r="H3315" s="6">
        <f t="shared" si="104"/>
        <v>12.291666666666517</v>
      </c>
      <c r="I3315" s="7">
        <f t="shared" si="105"/>
        <v>12.291666666666517</v>
      </c>
    </row>
    <row r="3316" spans="1:9" x14ac:dyDescent="0.2">
      <c r="A3316" t="s">
        <v>3663</v>
      </c>
      <c r="B3316" s="2" t="s">
        <v>3664</v>
      </c>
      <c r="C3316">
        <v>4.3270000000000003E-2</v>
      </c>
      <c r="D3316">
        <v>267</v>
      </c>
      <c r="E3316" t="s">
        <v>3663</v>
      </c>
      <c r="F3316">
        <v>267</v>
      </c>
      <c r="G3316" s="1">
        <v>45193</v>
      </c>
      <c r="H3316" s="6">
        <f t="shared" si="104"/>
        <v>12.302083333333183</v>
      </c>
      <c r="I3316" s="7">
        <f t="shared" si="105"/>
        <v>12.302083333333183</v>
      </c>
    </row>
    <row r="3317" spans="1:9" x14ac:dyDescent="0.2">
      <c r="A3317" t="s">
        <v>3665</v>
      </c>
      <c r="B3317">
        <v>3.0914999999999999</v>
      </c>
      <c r="C3317">
        <v>4.3310000000000001E-2</v>
      </c>
      <c r="D3317">
        <v>267</v>
      </c>
      <c r="E3317" t="s">
        <v>3665</v>
      </c>
      <c r="F3317">
        <v>267</v>
      </c>
      <c r="G3317" s="1">
        <v>45193</v>
      </c>
      <c r="H3317" s="6">
        <f t="shared" si="104"/>
        <v>12.312499999999849</v>
      </c>
      <c r="I3317" s="7">
        <f t="shared" si="105"/>
        <v>12.312499999999849</v>
      </c>
    </row>
    <row r="3318" spans="1:9" x14ac:dyDescent="0.2">
      <c r="A3318" t="s">
        <v>3666</v>
      </c>
      <c r="B3318">
        <v>3.077</v>
      </c>
      <c r="C3318">
        <v>4.3095000000000001E-2</v>
      </c>
      <c r="D3318">
        <v>267</v>
      </c>
      <c r="E3318" t="s">
        <v>3666</v>
      </c>
      <c r="F3318">
        <v>267</v>
      </c>
      <c r="G3318" s="1">
        <v>45193</v>
      </c>
      <c r="H3318" s="6">
        <f t="shared" si="104"/>
        <v>12.322916666666515</v>
      </c>
      <c r="I3318" s="7">
        <f t="shared" si="105"/>
        <v>12.322916666666515</v>
      </c>
    </row>
    <row r="3319" spans="1:9" x14ac:dyDescent="0.2">
      <c r="A3319" t="s">
        <v>3667</v>
      </c>
      <c r="B3319">
        <v>3.0665</v>
      </c>
      <c r="C3319">
        <v>4.2944999999999997E-2</v>
      </c>
      <c r="D3319">
        <v>267</v>
      </c>
      <c r="E3319" t="s">
        <v>3667</v>
      </c>
      <c r="F3319">
        <v>267</v>
      </c>
      <c r="G3319" s="1">
        <v>45193</v>
      </c>
      <c r="H3319" s="6">
        <f t="shared" si="104"/>
        <v>12.333333333333181</v>
      </c>
      <c r="I3319" s="7">
        <f t="shared" si="105"/>
        <v>12.333333333333181</v>
      </c>
    </row>
    <row r="3320" spans="1:9" x14ac:dyDescent="0.2">
      <c r="A3320" t="s">
        <v>3668</v>
      </c>
      <c r="B3320">
        <v>3.081</v>
      </c>
      <c r="C3320">
        <v>4.3159999999999997E-2</v>
      </c>
      <c r="D3320">
        <v>267</v>
      </c>
      <c r="E3320" t="s">
        <v>3668</v>
      </c>
      <c r="F3320">
        <v>267</v>
      </c>
      <c r="G3320" s="1">
        <v>45193</v>
      </c>
      <c r="H3320" s="6">
        <f t="shared" si="104"/>
        <v>12.343749999999847</v>
      </c>
      <c r="I3320" s="7">
        <f t="shared" si="105"/>
        <v>12.343749999999847</v>
      </c>
    </row>
    <row r="3321" spans="1:9" x14ac:dyDescent="0.2">
      <c r="A3321" t="s">
        <v>3669</v>
      </c>
      <c r="B3321">
        <v>3.0634999999999999</v>
      </c>
      <c r="C3321">
        <v>4.292E-2</v>
      </c>
      <c r="D3321">
        <v>267</v>
      </c>
      <c r="E3321" t="s">
        <v>3669</v>
      </c>
      <c r="F3321">
        <v>267</v>
      </c>
      <c r="G3321" s="1">
        <v>45193</v>
      </c>
      <c r="H3321" s="6">
        <f t="shared" si="104"/>
        <v>12.354166666666513</v>
      </c>
      <c r="I3321" s="7">
        <f t="shared" si="105"/>
        <v>12.354166666666513</v>
      </c>
    </row>
    <row r="3322" spans="1:9" x14ac:dyDescent="0.2">
      <c r="A3322" t="s">
        <v>3670</v>
      </c>
      <c r="B3322">
        <v>3.0825</v>
      </c>
      <c r="C3322">
        <v>4.3174999999999998E-2</v>
      </c>
      <c r="D3322">
        <v>267</v>
      </c>
      <c r="E3322" t="s">
        <v>3670</v>
      </c>
      <c r="F3322">
        <v>267</v>
      </c>
      <c r="G3322" s="1">
        <v>45193</v>
      </c>
      <c r="H3322" s="6">
        <f t="shared" si="104"/>
        <v>12.364583333333179</v>
      </c>
      <c r="I3322" s="7">
        <f t="shared" si="105"/>
        <v>12.364583333333179</v>
      </c>
    </row>
    <row r="3323" spans="1:9" x14ac:dyDescent="0.2">
      <c r="A3323" t="s">
        <v>3671</v>
      </c>
      <c r="B3323">
        <v>3.0649999999999999</v>
      </c>
      <c r="C3323" s="2" t="s">
        <v>3672</v>
      </c>
      <c r="D3323">
        <v>267</v>
      </c>
      <c r="E3323" t="s">
        <v>3671</v>
      </c>
      <c r="F3323">
        <v>267</v>
      </c>
      <c r="G3323" s="1">
        <v>45193</v>
      </c>
      <c r="H3323" s="6">
        <f t="shared" si="104"/>
        <v>12.374999999999845</v>
      </c>
      <c r="I3323" s="7">
        <f t="shared" si="105"/>
        <v>12.374999999999845</v>
      </c>
    </row>
    <row r="3324" spans="1:9" x14ac:dyDescent="0.2">
      <c r="A3324" t="s">
        <v>3673</v>
      </c>
      <c r="B3324">
        <v>3.0794999999999999</v>
      </c>
      <c r="C3324">
        <v>4.3150000000000001E-2</v>
      </c>
      <c r="D3324">
        <v>267</v>
      </c>
      <c r="E3324" t="s">
        <v>3673</v>
      </c>
      <c r="F3324">
        <v>267</v>
      </c>
      <c r="G3324" s="1">
        <v>45193</v>
      </c>
      <c r="H3324" s="6">
        <f t="shared" si="104"/>
        <v>12.385416666666512</v>
      </c>
      <c r="I3324" s="7">
        <f t="shared" si="105"/>
        <v>12.385416666666512</v>
      </c>
    </row>
    <row r="3325" spans="1:9" x14ac:dyDescent="0.2">
      <c r="A3325" t="s">
        <v>3674</v>
      </c>
      <c r="B3325">
        <v>3.056</v>
      </c>
      <c r="C3325">
        <v>4.283E-2</v>
      </c>
      <c r="D3325">
        <v>267</v>
      </c>
      <c r="E3325" t="s">
        <v>3674</v>
      </c>
      <c r="F3325">
        <v>267</v>
      </c>
      <c r="G3325" s="1">
        <v>45193</v>
      </c>
      <c r="H3325" s="6">
        <f t="shared" si="104"/>
        <v>12.395833333333178</v>
      </c>
      <c r="I3325" s="7">
        <f t="shared" si="105"/>
        <v>12.395833333333178</v>
      </c>
    </row>
    <row r="3326" spans="1:9" x14ac:dyDescent="0.2">
      <c r="A3326" t="s">
        <v>3675</v>
      </c>
      <c r="B3326">
        <v>3.0609999999999999</v>
      </c>
      <c r="C3326">
        <v>4.2875000000000003E-2</v>
      </c>
      <c r="D3326">
        <v>267</v>
      </c>
      <c r="E3326" t="s">
        <v>3675</v>
      </c>
      <c r="F3326">
        <v>267</v>
      </c>
      <c r="G3326" s="1">
        <v>45193</v>
      </c>
      <c r="H3326" s="6">
        <f t="shared" si="104"/>
        <v>12.406249999999844</v>
      </c>
      <c r="I3326" s="7">
        <f t="shared" si="105"/>
        <v>12.406249999999844</v>
      </c>
    </row>
    <row r="3327" spans="1:9" x14ac:dyDescent="0.2">
      <c r="A3327" t="s">
        <v>3676</v>
      </c>
      <c r="B3327">
        <v>3.0169999999999999</v>
      </c>
      <c r="C3327">
        <v>4.2259999999999999E-2</v>
      </c>
      <c r="D3327">
        <v>267</v>
      </c>
      <c r="E3327" t="s">
        <v>3676</v>
      </c>
      <c r="F3327">
        <v>267</v>
      </c>
      <c r="G3327" s="1">
        <v>45193</v>
      </c>
      <c r="H3327" s="6">
        <f t="shared" si="104"/>
        <v>12.41666666666651</v>
      </c>
      <c r="I3327" s="7">
        <f t="shared" si="105"/>
        <v>12.41666666666651</v>
      </c>
    </row>
    <row r="3328" spans="1:9" x14ac:dyDescent="0.2">
      <c r="A3328" t="s">
        <v>3677</v>
      </c>
      <c r="B3328">
        <v>3.04</v>
      </c>
      <c r="C3328">
        <v>4.258E-2</v>
      </c>
      <c r="D3328">
        <v>267</v>
      </c>
      <c r="E3328" t="s">
        <v>3677</v>
      </c>
      <c r="F3328">
        <v>267</v>
      </c>
      <c r="G3328" s="1">
        <v>45193</v>
      </c>
      <c r="H3328" s="6">
        <f t="shared" si="104"/>
        <v>12.427083333333176</v>
      </c>
      <c r="I3328" s="7">
        <f t="shared" si="105"/>
        <v>12.427083333333176</v>
      </c>
    </row>
    <row r="3329" spans="1:9" x14ac:dyDescent="0.2">
      <c r="A3329" t="s">
        <v>3678</v>
      </c>
      <c r="B3329" s="2" t="s">
        <v>3679</v>
      </c>
      <c r="C3329">
        <v>4.2290000000000001E-2</v>
      </c>
      <c r="D3329">
        <v>267</v>
      </c>
      <c r="E3329" t="s">
        <v>3678</v>
      </c>
      <c r="F3329">
        <v>267</v>
      </c>
      <c r="G3329" s="1">
        <v>45193</v>
      </c>
      <c r="H3329" s="6">
        <f t="shared" si="104"/>
        <v>12.437499999999842</v>
      </c>
      <c r="I3329" s="7">
        <f t="shared" si="105"/>
        <v>12.437499999999842</v>
      </c>
    </row>
    <row r="3330" spans="1:9" x14ac:dyDescent="0.2">
      <c r="A3330" t="s">
        <v>3680</v>
      </c>
      <c r="B3330">
        <v>3.0350000000000001</v>
      </c>
      <c r="C3330">
        <v>4.2525E-2</v>
      </c>
      <c r="D3330">
        <v>267</v>
      </c>
      <c r="E3330" t="s">
        <v>3680</v>
      </c>
      <c r="F3330">
        <v>267</v>
      </c>
      <c r="G3330" s="1">
        <v>45193</v>
      </c>
      <c r="H3330" s="6">
        <f t="shared" si="104"/>
        <v>12.447916666666508</v>
      </c>
      <c r="I3330" s="7">
        <f t="shared" si="105"/>
        <v>12.447916666666508</v>
      </c>
    </row>
    <row r="3331" spans="1:9" x14ac:dyDescent="0.2">
      <c r="A3331" t="s">
        <v>3681</v>
      </c>
      <c r="B3331">
        <v>3.0329999999999999</v>
      </c>
      <c r="C3331" s="2" t="s">
        <v>3682</v>
      </c>
      <c r="D3331">
        <v>267</v>
      </c>
      <c r="E3331" t="s">
        <v>3681</v>
      </c>
      <c r="F3331">
        <v>267</v>
      </c>
      <c r="G3331" s="1">
        <v>45193</v>
      </c>
      <c r="H3331" s="6">
        <f t="shared" si="104"/>
        <v>12.458333333333174</v>
      </c>
      <c r="I3331" s="7">
        <f t="shared" si="105"/>
        <v>12.458333333333174</v>
      </c>
    </row>
    <row r="3332" spans="1:9" x14ac:dyDescent="0.2">
      <c r="A3332" t="s">
        <v>3683</v>
      </c>
      <c r="B3332">
        <v>3.0024999999999999</v>
      </c>
      <c r="C3332">
        <v>4.2064999999999998E-2</v>
      </c>
      <c r="D3332">
        <v>267</v>
      </c>
      <c r="E3332" t="s">
        <v>3683</v>
      </c>
      <c r="F3332">
        <v>267</v>
      </c>
      <c r="G3332" s="1">
        <v>45193</v>
      </c>
      <c r="H3332" s="6">
        <f t="shared" si="104"/>
        <v>12.46874999999984</v>
      </c>
      <c r="I3332" s="7">
        <f t="shared" si="105"/>
        <v>12.46874999999984</v>
      </c>
    </row>
    <row r="3333" spans="1:9" x14ac:dyDescent="0.2">
      <c r="A3333" t="s">
        <v>3684</v>
      </c>
      <c r="B3333">
        <v>3.0034999999999998</v>
      </c>
      <c r="C3333">
        <v>4.2064999999999998E-2</v>
      </c>
      <c r="D3333">
        <v>267</v>
      </c>
      <c r="E3333" t="s">
        <v>3684</v>
      </c>
      <c r="F3333">
        <v>267</v>
      </c>
      <c r="G3333" s="1">
        <v>45193</v>
      </c>
      <c r="H3333" s="6">
        <f t="shared" si="104"/>
        <v>12.479166666666506</v>
      </c>
      <c r="I3333" s="7">
        <f t="shared" si="105"/>
        <v>12.479166666666506</v>
      </c>
    </row>
    <row r="3334" spans="1:9" x14ac:dyDescent="0.2">
      <c r="A3334" t="s">
        <v>3685</v>
      </c>
      <c r="B3334">
        <v>3.0070000000000001</v>
      </c>
      <c r="C3334">
        <v>4.2119999999999998E-2</v>
      </c>
      <c r="D3334">
        <v>267</v>
      </c>
      <c r="E3334" t="s">
        <v>3685</v>
      </c>
      <c r="F3334">
        <v>267</v>
      </c>
      <c r="G3334" s="1">
        <v>45193</v>
      </c>
      <c r="H3334" s="6">
        <f t="shared" si="104"/>
        <v>12.489583333333172</v>
      </c>
      <c r="I3334" s="7">
        <f t="shared" si="105"/>
        <v>12.489583333333172</v>
      </c>
    </row>
    <row r="3335" spans="1:9" x14ac:dyDescent="0.2">
      <c r="A3335" t="s">
        <v>3686</v>
      </c>
      <c r="B3335">
        <v>3.0095000000000001</v>
      </c>
      <c r="C3335">
        <v>4.215E-2</v>
      </c>
      <c r="D3335">
        <v>267</v>
      </c>
      <c r="E3335" t="s">
        <v>3686</v>
      </c>
      <c r="F3335">
        <v>267</v>
      </c>
      <c r="G3335" s="1">
        <v>45193</v>
      </c>
      <c r="H3335" s="6">
        <f t="shared" si="104"/>
        <v>12.499999999999838</v>
      </c>
      <c r="I3335" s="7">
        <f t="shared" si="105"/>
        <v>12.499999999999838</v>
      </c>
    </row>
    <row r="3336" spans="1:9" x14ac:dyDescent="0.2">
      <c r="A3336" t="s">
        <v>3687</v>
      </c>
      <c r="B3336">
        <v>3.0005000000000002</v>
      </c>
      <c r="C3336" s="2" t="s">
        <v>3688</v>
      </c>
      <c r="D3336">
        <v>267</v>
      </c>
      <c r="E3336" t="s">
        <v>3687</v>
      </c>
      <c r="F3336">
        <v>267</v>
      </c>
      <c r="G3336" s="1">
        <v>45193</v>
      </c>
      <c r="H3336" s="6">
        <f t="shared" si="104"/>
        <v>12.510416666666504</v>
      </c>
      <c r="I3336" s="7">
        <f t="shared" si="105"/>
        <v>12.510416666666504</v>
      </c>
    </row>
    <row r="3337" spans="1:9" x14ac:dyDescent="0.2">
      <c r="A3337" t="s">
        <v>3689</v>
      </c>
      <c r="B3337">
        <v>3.008</v>
      </c>
      <c r="C3337">
        <v>4.2139999999999997E-2</v>
      </c>
      <c r="D3337">
        <v>267</v>
      </c>
      <c r="E3337" t="s">
        <v>3689</v>
      </c>
      <c r="F3337">
        <v>267</v>
      </c>
      <c r="G3337" s="1">
        <v>45193</v>
      </c>
      <c r="H3337" s="6">
        <f t="shared" si="104"/>
        <v>12.520833333333171</v>
      </c>
      <c r="I3337" s="7">
        <f t="shared" si="105"/>
        <v>12.520833333333171</v>
      </c>
    </row>
    <row r="3338" spans="1:9" x14ac:dyDescent="0.2">
      <c r="A3338" t="s">
        <v>3690</v>
      </c>
      <c r="B3338">
        <v>2.9765000000000001</v>
      </c>
      <c r="C3338">
        <v>4.1704999999999999E-2</v>
      </c>
      <c r="D3338">
        <v>267</v>
      </c>
      <c r="E3338" t="s">
        <v>3690</v>
      </c>
      <c r="F3338">
        <v>267</v>
      </c>
      <c r="G3338" s="1">
        <v>45193</v>
      </c>
      <c r="H3338" s="6">
        <f t="shared" si="104"/>
        <v>12.531249999999837</v>
      </c>
      <c r="I3338" s="7">
        <f t="shared" si="105"/>
        <v>12.531249999999837</v>
      </c>
    </row>
    <row r="3339" spans="1:9" x14ac:dyDescent="0.2">
      <c r="A3339" t="s">
        <v>3691</v>
      </c>
      <c r="B3339">
        <v>2.9910000000000001</v>
      </c>
      <c r="C3339">
        <v>4.1884999999999999E-2</v>
      </c>
      <c r="D3339">
        <v>267</v>
      </c>
      <c r="E3339" t="s">
        <v>3691</v>
      </c>
      <c r="F3339">
        <v>267</v>
      </c>
      <c r="G3339" s="1">
        <v>45193</v>
      </c>
      <c r="H3339" s="6">
        <f t="shared" si="104"/>
        <v>12.541666666666503</v>
      </c>
      <c r="I3339" s="7">
        <f t="shared" si="105"/>
        <v>12.541666666666503</v>
      </c>
    </row>
    <row r="3340" spans="1:9" x14ac:dyDescent="0.2">
      <c r="A3340" t="s">
        <v>3692</v>
      </c>
      <c r="B3340">
        <v>2.9689999999999999</v>
      </c>
      <c r="C3340">
        <v>4.1599999999999998E-2</v>
      </c>
      <c r="D3340">
        <v>267</v>
      </c>
      <c r="E3340" t="s">
        <v>3692</v>
      </c>
      <c r="F3340">
        <v>267</v>
      </c>
      <c r="G3340" s="1">
        <v>45193</v>
      </c>
      <c r="H3340" s="6">
        <f t="shared" si="104"/>
        <v>12.552083333333169</v>
      </c>
      <c r="I3340" s="7">
        <f t="shared" si="105"/>
        <v>12.552083333333169</v>
      </c>
    </row>
    <row r="3341" spans="1:9" x14ac:dyDescent="0.2">
      <c r="A3341" t="s">
        <v>3693</v>
      </c>
      <c r="B3341">
        <v>2.9554999999999998</v>
      </c>
      <c r="C3341">
        <v>4.1390000000000003E-2</v>
      </c>
      <c r="D3341">
        <v>267</v>
      </c>
      <c r="E3341" t="s">
        <v>3693</v>
      </c>
      <c r="F3341">
        <v>267</v>
      </c>
      <c r="G3341" s="1">
        <v>45193</v>
      </c>
      <c r="H3341" s="6">
        <f t="shared" si="104"/>
        <v>12.562499999999835</v>
      </c>
      <c r="I3341" s="7">
        <f t="shared" si="105"/>
        <v>12.562499999999835</v>
      </c>
    </row>
    <row r="3342" spans="1:9" x14ac:dyDescent="0.2">
      <c r="A3342" t="s">
        <v>3694</v>
      </c>
      <c r="B3342">
        <v>2.9954999999999998</v>
      </c>
      <c r="C3342">
        <v>4.1950000000000001E-2</v>
      </c>
      <c r="D3342">
        <v>267</v>
      </c>
      <c r="E3342" t="s">
        <v>3694</v>
      </c>
      <c r="F3342">
        <v>267</v>
      </c>
      <c r="G3342" s="1">
        <v>45193</v>
      </c>
      <c r="H3342" s="6">
        <f t="shared" si="104"/>
        <v>12.572916666666501</v>
      </c>
      <c r="I3342" s="7">
        <f t="shared" si="105"/>
        <v>12.572916666666501</v>
      </c>
    </row>
    <row r="3343" spans="1:9" x14ac:dyDescent="0.2">
      <c r="A3343" t="s">
        <v>3695</v>
      </c>
      <c r="B3343">
        <v>2.9769999999999999</v>
      </c>
      <c r="C3343">
        <v>4.1685E-2</v>
      </c>
      <c r="D3343">
        <v>267</v>
      </c>
      <c r="E3343" t="s">
        <v>3695</v>
      </c>
      <c r="F3343">
        <v>267</v>
      </c>
      <c r="G3343" s="1">
        <v>45193</v>
      </c>
      <c r="H3343" s="6">
        <f t="shared" si="104"/>
        <v>12.583333333333167</v>
      </c>
      <c r="I3343" s="7">
        <f t="shared" si="105"/>
        <v>12.583333333333167</v>
      </c>
    </row>
    <row r="3344" spans="1:9" x14ac:dyDescent="0.2">
      <c r="A3344" t="s">
        <v>3696</v>
      </c>
      <c r="B3344">
        <v>2.9670000000000001</v>
      </c>
      <c r="C3344">
        <v>4.1564999999999998E-2</v>
      </c>
      <c r="D3344">
        <v>267</v>
      </c>
      <c r="E3344" t="s">
        <v>3696</v>
      </c>
      <c r="F3344">
        <v>267</v>
      </c>
      <c r="G3344" s="1">
        <v>45193</v>
      </c>
      <c r="H3344" s="6">
        <f t="shared" si="104"/>
        <v>12.593749999999833</v>
      </c>
      <c r="I3344" s="7">
        <f t="shared" si="105"/>
        <v>12.593749999999833</v>
      </c>
    </row>
    <row r="3345" spans="1:9" x14ac:dyDescent="0.2">
      <c r="A3345" t="s">
        <v>3697</v>
      </c>
      <c r="B3345">
        <v>2.9805000000000001</v>
      </c>
      <c r="C3345">
        <v>4.1750000000000002E-2</v>
      </c>
      <c r="D3345">
        <v>267</v>
      </c>
      <c r="E3345" t="s">
        <v>3697</v>
      </c>
      <c r="F3345">
        <v>267</v>
      </c>
      <c r="G3345" s="1">
        <v>45193</v>
      </c>
      <c r="H3345" s="6">
        <f t="shared" si="104"/>
        <v>12.604166666666499</v>
      </c>
      <c r="I3345" s="7">
        <f t="shared" si="105"/>
        <v>12.604166666666499</v>
      </c>
    </row>
    <row r="3346" spans="1:9" x14ac:dyDescent="0.2">
      <c r="A3346" t="s">
        <v>3698</v>
      </c>
      <c r="B3346">
        <v>2.9504999999999999</v>
      </c>
      <c r="C3346">
        <v>4.1314999999999998E-2</v>
      </c>
      <c r="D3346">
        <v>267</v>
      </c>
      <c r="E3346" t="s">
        <v>3698</v>
      </c>
      <c r="F3346">
        <v>267</v>
      </c>
      <c r="G3346" s="1">
        <v>45193</v>
      </c>
      <c r="H3346" s="6">
        <f t="shared" si="104"/>
        <v>12.614583333333165</v>
      </c>
      <c r="I3346" s="7">
        <f t="shared" si="105"/>
        <v>12.614583333333165</v>
      </c>
    </row>
    <row r="3347" spans="1:9" x14ac:dyDescent="0.2">
      <c r="A3347" t="s">
        <v>3699</v>
      </c>
      <c r="B3347">
        <v>2.9550000000000001</v>
      </c>
      <c r="C3347">
        <v>4.1375000000000002E-2</v>
      </c>
      <c r="D3347">
        <v>267</v>
      </c>
      <c r="E3347" t="s">
        <v>3699</v>
      </c>
      <c r="F3347">
        <v>267</v>
      </c>
      <c r="G3347" s="1">
        <v>45193</v>
      </c>
      <c r="H3347" s="6">
        <f t="shared" si="104"/>
        <v>12.624999999999831</v>
      </c>
      <c r="I3347" s="7">
        <f t="shared" si="105"/>
        <v>12.624999999999831</v>
      </c>
    </row>
    <row r="3348" spans="1:9" x14ac:dyDescent="0.2">
      <c r="A3348" t="s">
        <v>3700</v>
      </c>
      <c r="B3348" s="2" t="s">
        <v>3701</v>
      </c>
      <c r="C3348">
        <v>4.1154999999999997E-2</v>
      </c>
      <c r="D3348">
        <v>267</v>
      </c>
      <c r="E3348" t="s">
        <v>3700</v>
      </c>
      <c r="F3348">
        <v>267</v>
      </c>
      <c r="G3348" s="1">
        <v>45193</v>
      </c>
      <c r="H3348" s="6">
        <f t="shared" si="104"/>
        <v>12.635416666666497</v>
      </c>
      <c r="I3348" s="7">
        <f t="shared" si="105"/>
        <v>12.635416666666497</v>
      </c>
    </row>
    <row r="3349" spans="1:9" x14ac:dyDescent="0.2">
      <c r="A3349" t="s">
        <v>3702</v>
      </c>
      <c r="B3349">
        <v>2.9470000000000001</v>
      </c>
      <c r="C3349">
        <v>4.1279999999999997E-2</v>
      </c>
      <c r="D3349">
        <v>267</v>
      </c>
      <c r="E3349" t="s">
        <v>3702</v>
      </c>
      <c r="F3349">
        <v>267</v>
      </c>
      <c r="G3349" s="1">
        <v>45193</v>
      </c>
      <c r="H3349" s="6">
        <f t="shared" si="104"/>
        <v>12.645833333333163</v>
      </c>
      <c r="I3349" s="7">
        <f t="shared" si="105"/>
        <v>12.645833333333163</v>
      </c>
    </row>
    <row r="3350" spans="1:9" x14ac:dyDescent="0.2">
      <c r="A3350" t="s">
        <v>3703</v>
      </c>
      <c r="B3350">
        <v>2.9405000000000001</v>
      </c>
      <c r="C3350">
        <v>4.1195000000000002E-2</v>
      </c>
      <c r="D3350">
        <v>268</v>
      </c>
      <c r="E3350" t="s">
        <v>3703</v>
      </c>
      <c r="F3350">
        <v>267</v>
      </c>
      <c r="G3350" s="1">
        <v>45193</v>
      </c>
      <c r="H3350" s="6">
        <f t="shared" si="104"/>
        <v>12.656249999999829</v>
      </c>
      <c r="I3350" s="7">
        <f t="shared" si="105"/>
        <v>12.656249999999829</v>
      </c>
    </row>
    <row r="3351" spans="1:9" x14ac:dyDescent="0.2">
      <c r="A3351" t="s">
        <v>3704</v>
      </c>
      <c r="B3351">
        <v>2.9089999999999998</v>
      </c>
      <c r="C3351">
        <v>4.0750000000000001E-2</v>
      </c>
      <c r="D3351">
        <v>268</v>
      </c>
      <c r="E3351" t="s">
        <v>3704</v>
      </c>
      <c r="F3351">
        <v>267</v>
      </c>
      <c r="G3351" s="1">
        <v>45193</v>
      </c>
      <c r="H3351" s="6">
        <f t="shared" si="104"/>
        <v>12.666666666666496</v>
      </c>
      <c r="I3351" s="7">
        <f t="shared" si="105"/>
        <v>12.666666666666496</v>
      </c>
    </row>
    <row r="3352" spans="1:9" x14ac:dyDescent="0.2">
      <c r="A3352" t="s">
        <v>3705</v>
      </c>
      <c r="B3352">
        <v>2.9180000000000001</v>
      </c>
      <c r="C3352">
        <v>4.086E-2</v>
      </c>
      <c r="D3352">
        <v>268</v>
      </c>
      <c r="E3352" t="s">
        <v>3705</v>
      </c>
      <c r="F3352">
        <v>267</v>
      </c>
      <c r="G3352" s="1">
        <v>45193</v>
      </c>
      <c r="H3352" s="6">
        <f t="shared" si="104"/>
        <v>12.677083333333162</v>
      </c>
      <c r="I3352" s="7">
        <f t="shared" si="105"/>
        <v>12.677083333333162</v>
      </c>
    </row>
    <row r="3353" spans="1:9" x14ac:dyDescent="0.2">
      <c r="A3353" t="s">
        <v>3706</v>
      </c>
      <c r="B3353">
        <v>2.9384999999999999</v>
      </c>
      <c r="C3353">
        <v>4.1149999999999999E-2</v>
      </c>
      <c r="D3353">
        <v>268</v>
      </c>
      <c r="E3353" t="s">
        <v>3706</v>
      </c>
      <c r="F3353">
        <v>267</v>
      </c>
      <c r="G3353" s="1">
        <v>45193</v>
      </c>
      <c r="H3353" s="6">
        <f t="shared" si="104"/>
        <v>12.687499999999828</v>
      </c>
      <c r="I3353" s="7">
        <f t="shared" si="105"/>
        <v>12.687499999999828</v>
      </c>
    </row>
    <row r="3354" spans="1:9" x14ac:dyDescent="0.2">
      <c r="A3354" t="s">
        <v>3707</v>
      </c>
      <c r="B3354">
        <v>2.9430000000000001</v>
      </c>
      <c r="C3354">
        <v>4.1209999999999997E-2</v>
      </c>
      <c r="D3354">
        <v>268</v>
      </c>
      <c r="E3354" t="s">
        <v>3707</v>
      </c>
      <c r="F3354">
        <v>267</v>
      </c>
      <c r="G3354" s="1">
        <v>45193</v>
      </c>
      <c r="H3354" s="6">
        <f t="shared" si="104"/>
        <v>12.697916666666494</v>
      </c>
      <c r="I3354" s="7">
        <f t="shared" si="105"/>
        <v>12.697916666666494</v>
      </c>
    </row>
    <row r="3355" spans="1:9" x14ac:dyDescent="0.2">
      <c r="A3355" t="s">
        <v>3708</v>
      </c>
      <c r="B3355">
        <v>2.9045000000000001</v>
      </c>
      <c r="C3355">
        <v>4.0684999999999999E-2</v>
      </c>
      <c r="D3355">
        <v>268</v>
      </c>
      <c r="E3355" t="s">
        <v>3708</v>
      </c>
      <c r="F3355">
        <v>267</v>
      </c>
      <c r="G3355" s="1">
        <v>45193</v>
      </c>
      <c r="H3355" s="6">
        <f t="shared" si="104"/>
        <v>12.70833333333316</v>
      </c>
      <c r="I3355" s="7">
        <f t="shared" si="105"/>
        <v>12.70833333333316</v>
      </c>
    </row>
    <row r="3356" spans="1:9" x14ac:dyDescent="0.2">
      <c r="A3356" t="s">
        <v>3709</v>
      </c>
      <c r="B3356">
        <v>2.8995000000000002</v>
      </c>
      <c r="C3356">
        <v>4.0620000000000003E-2</v>
      </c>
      <c r="D3356">
        <v>268</v>
      </c>
      <c r="E3356" t="s">
        <v>3709</v>
      </c>
      <c r="F3356">
        <v>267</v>
      </c>
      <c r="G3356" s="1">
        <v>45193</v>
      </c>
      <c r="H3356" s="6">
        <f t="shared" ref="H3356:H3419" si="106">H3355+$K$1</f>
        <v>12.718749999999826</v>
      </c>
      <c r="I3356" s="7">
        <f t="shared" ref="I3356:I3419" si="107">I3355+$K$1</f>
        <v>12.718749999999826</v>
      </c>
    </row>
    <row r="3357" spans="1:9" x14ac:dyDescent="0.2">
      <c r="A3357" t="s">
        <v>3710</v>
      </c>
      <c r="B3357">
        <v>2.9285000000000001</v>
      </c>
      <c r="C3357">
        <v>4.1015000000000003E-2</v>
      </c>
      <c r="D3357">
        <v>268</v>
      </c>
      <c r="E3357" t="s">
        <v>3710</v>
      </c>
      <c r="F3357">
        <v>267</v>
      </c>
      <c r="G3357" s="1">
        <v>45193</v>
      </c>
      <c r="H3357" s="6">
        <f t="shared" si="106"/>
        <v>12.729166666666492</v>
      </c>
      <c r="I3357" s="7">
        <f t="shared" si="107"/>
        <v>12.729166666666492</v>
      </c>
    </row>
    <row r="3358" spans="1:9" x14ac:dyDescent="0.2">
      <c r="A3358" t="s">
        <v>3711</v>
      </c>
      <c r="B3358">
        <v>2.9095</v>
      </c>
      <c r="C3358">
        <v>4.0750000000000001E-2</v>
      </c>
      <c r="D3358">
        <v>268</v>
      </c>
      <c r="E3358" t="s">
        <v>3711</v>
      </c>
      <c r="F3358">
        <v>267</v>
      </c>
      <c r="G3358" s="1">
        <v>45193</v>
      </c>
      <c r="H3358" s="6">
        <f t="shared" si="106"/>
        <v>12.739583333333158</v>
      </c>
      <c r="I3358" s="7">
        <f t="shared" si="107"/>
        <v>12.739583333333158</v>
      </c>
    </row>
    <row r="3359" spans="1:9" x14ac:dyDescent="0.2">
      <c r="A3359" t="s">
        <v>3712</v>
      </c>
      <c r="B3359">
        <v>2.9340000000000002</v>
      </c>
      <c r="C3359">
        <v>4.1099999999999998E-2</v>
      </c>
      <c r="D3359">
        <v>268</v>
      </c>
      <c r="E3359" t="s">
        <v>3712</v>
      </c>
      <c r="F3359">
        <v>267</v>
      </c>
      <c r="G3359" s="1">
        <v>45193</v>
      </c>
      <c r="H3359" s="6">
        <f t="shared" si="106"/>
        <v>12.749999999999824</v>
      </c>
      <c r="I3359" s="7">
        <f t="shared" si="107"/>
        <v>12.749999999999824</v>
      </c>
    </row>
    <row r="3360" spans="1:9" x14ac:dyDescent="0.2">
      <c r="A3360" t="s">
        <v>3713</v>
      </c>
      <c r="B3360">
        <v>2.915</v>
      </c>
      <c r="C3360" s="2" t="s">
        <v>3714</v>
      </c>
      <c r="D3360">
        <v>268</v>
      </c>
      <c r="E3360" t="s">
        <v>3713</v>
      </c>
      <c r="F3360">
        <v>267</v>
      </c>
      <c r="G3360" s="1">
        <v>45193</v>
      </c>
      <c r="H3360" s="6">
        <f t="shared" si="106"/>
        <v>12.76041666666649</v>
      </c>
      <c r="I3360" s="7">
        <f t="shared" si="107"/>
        <v>12.76041666666649</v>
      </c>
    </row>
    <row r="3361" spans="1:9" x14ac:dyDescent="0.2">
      <c r="A3361" t="s">
        <v>3715</v>
      </c>
      <c r="B3361" s="2" t="s">
        <v>3716</v>
      </c>
      <c r="C3361">
        <v>4.1314999999999998E-2</v>
      </c>
      <c r="D3361">
        <v>268</v>
      </c>
      <c r="E3361" t="s">
        <v>3715</v>
      </c>
      <c r="F3361">
        <v>267</v>
      </c>
      <c r="G3361" s="1">
        <v>45193</v>
      </c>
      <c r="H3361" s="6">
        <f t="shared" si="106"/>
        <v>12.770833333333156</v>
      </c>
      <c r="I3361" s="7">
        <f t="shared" si="107"/>
        <v>12.770833333333156</v>
      </c>
    </row>
    <row r="3362" spans="1:9" x14ac:dyDescent="0.2">
      <c r="A3362" t="s">
        <v>3717</v>
      </c>
      <c r="B3362">
        <v>2.9264999999999999</v>
      </c>
      <c r="C3362">
        <v>4.1005E-2</v>
      </c>
      <c r="D3362">
        <v>268</v>
      </c>
      <c r="E3362" t="s">
        <v>3717</v>
      </c>
      <c r="F3362">
        <v>267</v>
      </c>
      <c r="G3362" s="1">
        <v>45193</v>
      </c>
      <c r="H3362" s="6">
        <f t="shared" si="106"/>
        <v>12.781249999999822</v>
      </c>
      <c r="I3362" s="7">
        <f t="shared" si="107"/>
        <v>12.781249999999822</v>
      </c>
    </row>
    <row r="3363" spans="1:9" x14ac:dyDescent="0.2">
      <c r="A3363" t="s">
        <v>3718</v>
      </c>
      <c r="B3363">
        <v>2.9089999999999998</v>
      </c>
      <c r="C3363">
        <v>4.0755E-2</v>
      </c>
      <c r="D3363">
        <v>268</v>
      </c>
      <c r="E3363" t="s">
        <v>3718</v>
      </c>
      <c r="F3363">
        <v>267</v>
      </c>
      <c r="G3363" s="1">
        <v>45193</v>
      </c>
      <c r="H3363" s="6">
        <f t="shared" si="106"/>
        <v>12.791666666666488</v>
      </c>
      <c r="I3363" s="7">
        <f t="shared" si="107"/>
        <v>12.791666666666488</v>
      </c>
    </row>
    <row r="3364" spans="1:9" x14ac:dyDescent="0.2">
      <c r="A3364" t="s">
        <v>3719</v>
      </c>
      <c r="B3364">
        <v>2.9565000000000001</v>
      </c>
      <c r="C3364">
        <v>4.1424999999999997E-2</v>
      </c>
      <c r="D3364">
        <v>268</v>
      </c>
      <c r="E3364" t="s">
        <v>3719</v>
      </c>
      <c r="F3364">
        <v>267</v>
      </c>
      <c r="G3364" s="1">
        <v>45193</v>
      </c>
      <c r="H3364" s="6">
        <f t="shared" si="106"/>
        <v>12.802083333333155</v>
      </c>
      <c r="I3364" s="7">
        <f t="shared" si="107"/>
        <v>12.802083333333155</v>
      </c>
    </row>
    <row r="3365" spans="1:9" x14ac:dyDescent="0.2">
      <c r="A3365" t="s">
        <v>3720</v>
      </c>
      <c r="B3365">
        <v>2.9359999999999999</v>
      </c>
      <c r="C3365">
        <v>4.1114999999999999E-2</v>
      </c>
      <c r="D3365">
        <v>268</v>
      </c>
      <c r="E3365" t="s">
        <v>3720</v>
      </c>
      <c r="F3365">
        <v>267</v>
      </c>
      <c r="G3365" s="1">
        <v>45193</v>
      </c>
      <c r="H3365" s="6">
        <f t="shared" si="106"/>
        <v>12.812499999999821</v>
      </c>
      <c r="I3365" s="7">
        <f t="shared" si="107"/>
        <v>12.812499999999821</v>
      </c>
    </row>
    <row r="3366" spans="1:9" x14ac:dyDescent="0.2">
      <c r="A3366" t="s">
        <v>3721</v>
      </c>
      <c r="B3366">
        <v>2.948</v>
      </c>
      <c r="C3366">
        <v>4.129E-2</v>
      </c>
      <c r="D3366">
        <v>268</v>
      </c>
      <c r="E3366" t="s">
        <v>3721</v>
      </c>
      <c r="F3366">
        <v>267</v>
      </c>
      <c r="G3366" s="1">
        <v>45193</v>
      </c>
      <c r="H3366" s="6">
        <f t="shared" si="106"/>
        <v>12.822916666666487</v>
      </c>
      <c r="I3366" s="7">
        <f t="shared" si="107"/>
        <v>12.822916666666487</v>
      </c>
    </row>
    <row r="3367" spans="1:9" x14ac:dyDescent="0.2">
      <c r="A3367" t="s">
        <v>3722</v>
      </c>
      <c r="B3367">
        <v>2.948</v>
      </c>
      <c r="C3367">
        <v>4.1285000000000002E-2</v>
      </c>
      <c r="D3367">
        <v>268</v>
      </c>
      <c r="E3367" t="s">
        <v>3722</v>
      </c>
      <c r="F3367">
        <v>267</v>
      </c>
      <c r="G3367" s="1">
        <v>45193</v>
      </c>
      <c r="H3367" s="6">
        <f t="shared" si="106"/>
        <v>12.833333333333153</v>
      </c>
      <c r="I3367" s="7">
        <f t="shared" si="107"/>
        <v>12.833333333333153</v>
      </c>
    </row>
    <row r="3368" spans="1:9" x14ac:dyDescent="0.2">
      <c r="A3368" t="s">
        <v>3723</v>
      </c>
      <c r="B3368">
        <v>2.9430000000000001</v>
      </c>
      <c r="C3368">
        <v>4.1235000000000001E-2</v>
      </c>
      <c r="D3368">
        <v>268</v>
      </c>
      <c r="E3368" t="s">
        <v>3723</v>
      </c>
      <c r="F3368">
        <v>267</v>
      </c>
      <c r="G3368" s="1">
        <v>45193</v>
      </c>
      <c r="H3368" s="6">
        <f t="shared" si="106"/>
        <v>12.843749999999819</v>
      </c>
      <c r="I3368" s="7">
        <f t="shared" si="107"/>
        <v>12.843749999999819</v>
      </c>
    </row>
    <row r="3369" spans="1:9" x14ac:dyDescent="0.2">
      <c r="A3369" t="s">
        <v>3724</v>
      </c>
      <c r="B3369">
        <v>2.919</v>
      </c>
      <c r="C3369">
        <v>4.0895000000000001E-2</v>
      </c>
      <c r="D3369">
        <v>268</v>
      </c>
      <c r="E3369" t="s">
        <v>3724</v>
      </c>
      <c r="F3369">
        <v>267</v>
      </c>
      <c r="G3369" s="1">
        <v>45193</v>
      </c>
      <c r="H3369" s="6">
        <f t="shared" si="106"/>
        <v>12.854166666666485</v>
      </c>
      <c r="I3369" s="7">
        <f t="shared" si="107"/>
        <v>12.854166666666485</v>
      </c>
    </row>
    <row r="3370" spans="1:9" x14ac:dyDescent="0.2">
      <c r="A3370" t="s">
        <v>3725</v>
      </c>
      <c r="B3370">
        <v>2.9264999999999999</v>
      </c>
      <c r="C3370">
        <v>4.0969999999999999E-2</v>
      </c>
      <c r="D3370">
        <v>268</v>
      </c>
      <c r="E3370" t="s">
        <v>3725</v>
      </c>
      <c r="F3370">
        <v>267</v>
      </c>
      <c r="G3370" s="1">
        <v>45193</v>
      </c>
      <c r="H3370" s="6">
        <f t="shared" si="106"/>
        <v>12.864583333333151</v>
      </c>
      <c r="I3370" s="7">
        <f t="shared" si="107"/>
        <v>12.864583333333151</v>
      </c>
    </row>
    <row r="3371" spans="1:9" x14ac:dyDescent="0.2">
      <c r="A3371" t="s">
        <v>3726</v>
      </c>
      <c r="B3371">
        <v>2.9369999999999998</v>
      </c>
      <c r="C3371">
        <v>4.1149999999999999E-2</v>
      </c>
      <c r="D3371">
        <v>268</v>
      </c>
      <c r="E3371" t="s">
        <v>3726</v>
      </c>
      <c r="F3371">
        <v>267</v>
      </c>
      <c r="G3371" s="1">
        <v>45193</v>
      </c>
      <c r="H3371" s="6">
        <f t="shared" si="106"/>
        <v>12.874999999999817</v>
      </c>
      <c r="I3371" s="7">
        <f t="shared" si="107"/>
        <v>12.874999999999817</v>
      </c>
    </row>
    <row r="3372" spans="1:9" x14ac:dyDescent="0.2">
      <c r="A3372" t="s">
        <v>3727</v>
      </c>
      <c r="B3372">
        <v>2.9304999999999999</v>
      </c>
      <c r="C3372">
        <v>4.1044999999999998E-2</v>
      </c>
      <c r="D3372">
        <v>268</v>
      </c>
      <c r="E3372" t="s">
        <v>3727</v>
      </c>
      <c r="F3372">
        <v>267</v>
      </c>
      <c r="G3372" s="1">
        <v>45193</v>
      </c>
      <c r="H3372" s="6">
        <f t="shared" si="106"/>
        <v>12.885416666666483</v>
      </c>
      <c r="I3372" s="7">
        <f t="shared" si="107"/>
        <v>12.885416666666483</v>
      </c>
    </row>
    <row r="3373" spans="1:9" x14ac:dyDescent="0.2">
      <c r="A3373" t="s">
        <v>3728</v>
      </c>
      <c r="B3373">
        <v>2.9235000000000002</v>
      </c>
      <c r="C3373">
        <v>4.0945000000000002E-2</v>
      </c>
      <c r="D3373">
        <v>268</v>
      </c>
      <c r="E3373" t="s">
        <v>3728</v>
      </c>
      <c r="F3373">
        <v>267</v>
      </c>
      <c r="G3373" s="1">
        <v>45193</v>
      </c>
      <c r="H3373" s="6">
        <f t="shared" si="106"/>
        <v>12.895833333333149</v>
      </c>
      <c r="I3373" s="7">
        <f t="shared" si="107"/>
        <v>12.895833333333149</v>
      </c>
    </row>
    <row r="3374" spans="1:9" x14ac:dyDescent="0.2">
      <c r="A3374" t="s">
        <v>3729</v>
      </c>
      <c r="B3374">
        <v>2.9239999999999999</v>
      </c>
      <c r="C3374">
        <v>4.0954999999999998E-2</v>
      </c>
      <c r="D3374">
        <v>268</v>
      </c>
      <c r="E3374" t="s">
        <v>3729</v>
      </c>
      <c r="F3374">
        <v>268</v>
      </c>
      <c r="G3374" s="1">
        <v>45194</v>
      </c>
      <c r="H3374" s="6">
        <f t="shared" si="106"/>
        <v>12.906249999999815</v>
      </c>
      <c r="I3374" s="7">
        <f t="shared" si="107"/>
        <v>12.906249999999815</v>
      </c>
    </row>
    <row r="3375" spans="1:9" x14ac:dyDescent="0.2">
      <c r="A3375" t="s">
        <v>3730</v>
      </c>
      <c r="B3375">
        <v>2.9325000000000001</v>
      </c>
      <c r="C3375">
        <v>4.1070000000000002E-2</v>
      </c>
      <c r="D3375">
        <v>268</v>
      </c>
      <c r="E3375" t="s">
        <v>3730</v>
      </c>
      <c r="F3375">
        <v>268</v>
      </c>
      <c r="G3375" s="1">
        <v>45194</v>
      </c>
      <c r="H3375" s="6">
        <f t="shared" si="106"/>
        <v>12.916666666666481</v>
      </c>
      <c r="I3375" s="7">
        <f t="shared" si="107"/>
        <v>12.916666666666481</v>
      </c>
    </row>
    <row r="3376" spans="1:9" x14ac:dyDescent="0.2">
      <c r="A3376" t="s">
        <v>3731</v>
      </c>
      <c r="B3376">
        <v>2.9470000000000001</v>
      </c>
      <c r="C3376">
        <v>4.1265000000000003E-2</v>
      </c>
      <c r="D3376">
        <v>268</v>
      </c>
      <c r="E3376" t="s">
        <v>3731</v>
      </c>
      <c r="F3376">
        <v>268</v>
      </c>
      <c r="G3376" s="1">
        <v>45194</v>
      </c>
      <c r="H3376" s="6">
        <f t="shared" si="106"/>
        <v>12.927083333333147</v>
      </c>
      <c r="I3376" s="7">
        <f t="shared" si="107"/>
        <v>12.927083333333147</v>
      </c>
    </row>
    <row r="3377" spans="1:9" x14ac:dyDescent="0.2">
      <c r="A3377" t="s">
        <v>3732</v>
      </c>
      <c r="B3377">
        <v>2.9325000000000001</v>
      </c>
      <c r="C3377">
        <v>4.1090000000000002E-2</v>
      </c>
      <c r="D3377">
        <v>268</v>
      </c>
      <c r="E3377" t="s">
        <v>3732</v>
      </c>
      <c r="F3377">
        <v>268</v>
      </c>
      <c r="G3377" s="1">
        <v>45194</v>
      </c>
      <c r="H3377" s="6">
        <f t="shared" si="106"/>
        <v>12.937499999999813</v>
      </c>
      <c r="I3377" s="7">
        <f t="shared" si="107"/>
        <v>12.937499999999813</v>
      </c>
    </row>
    <row r="3378" spans="1:9" x14ac:dyDescent="0.2">
      <c r="A3378" t="s">
        <v>3733</v>
      </c>
      <c r="B3378">
        <v>2.9209999999999998</v>
      </c>
      <c r="C3378">
        <v>4.0899999999999999E-2</v>
      </c>
      <c r="D3378">
        <v>268</v>
      </c>
      <c r="E3378" t="s">
        <v>3733</v>
      </c>
      <c r="F3378">
        <v>268</v>
      </c>
      <c r="G3378" s="1">
        <v>45194</v>
      </c>
      <c r="H3378" s="6">
        <f t="shared" si="106"/>
        <v>12.94791666666648</v>
      </c>
      <c r="I3378" s="7">
        <f t="shared" si="107"/>
        <v>12.94791666666648</v>
      </c>
    </row>
    <row r="3379" spans="1:9" x14ac:dyDescent="0.2">
      <c r="A3379" t="s">
        <v>3734</v>
      </c>
      <c r="B3379">
        <v>2.927</v>
      </c>
      <c r="C3379">
        <v>4.1005E-2</v>
      </c>
      <c r="D3379">
        <v>268</v>
      </c>
      <c r="E3379" t="s">
        <v>3734</v>
      </c>
      <c r="F3379">
        <v>268</v>
      </c>
      <c r="G3379" s="1">
        <v>45194</v>
      </c>
      <c r="H3379" s="6">
        <f t="shared" si="106"/>
        <v>12.958333333333146</v>
      </c>
      <c r="I3379" s="7">
        <f t="shared" si="107"/>
        <v>12.958333333333146</v>
      </c>
    </row>
    <row r="3380" spans="1:9" x14ac:dyDescent="0.2">
      <c r="A3380" t="s">
        <v>3735</v>
      </c>
      <c r="B3380">
        <v>2.9180000000000001</v>
      </c>
      <c r="C3380">
        <v>4.088E-2</v>
      </c>
      <c r="D3380">
        <v>268</v>
      </c>
      <c r="E3380" t="s">
        <v>3735</v>
      </c>
      <c r="F3380">
        <v>268</v>
      </c>
      <c r="G3380" s="1">
        <v>45194</v>
      </c>
      <c r="H3380" s="6">
        <f t="shared" si="106"/>
        <v>12.968749999999812</v>
      </c>
      <c r="I3380" s="7">
        <f t="shared" si="107"/>
        <v>12.968749999999812</v>
      </c>
    </row>
    <row r="3381" spans="1:9" x14ac:dyDescent="0.2">
      <c r="A3381" t="s">
        <v>3736</v>
      </c>
      <c r="B3381" s="2" t="s">
        <v>3737</v>
      </c>
      <c r="C3381">
        <v>4.1230000000000003E-2</v>
      </c>
      <c r="D3381">
        <v>268</v>
      </c>
      <c r="E3381" t="s">
        <v>3736</v>
      </c>
      <c r="F3381">
        <v>268</v>
      </c>
      <c r="G3381" s="1">
        <v>45194</v>
      </c>
      <c r="H3381" s="6">
        <f t="shared" si="106"/>
        <v>12.979166666666478</v>
      </c>
      <c r="I3381" s="7">
        <f t="shared" si="107"/>
        <v>12.979166666666478</v>
      </c>
    </row>
    <row r="3382" spans="1:9" x14ac:dyDescent="0.2">
      <c r="A3382" t="s">
        <v>3738</v>
      </c>
      <c r="B3382">
        <v>2.9569999999999999</v>
      </c>
      <c r="C3382">
        <v>4.1419999999999998E-2</v>
      </c>
      <c r="D3382">
        <v>268</v>
      </c>
      <c r="E3382" t="s">
        <v>3738</v>
      </c>
      <c r="F3382">
        <v>268</v>
      </c>
      <c r="G3382" s="1">
        <v>45194</v>
      </c>
      <c r="H3382" s="6">
        <f t="shared" si="106"/>
        <v>12.989583333333144</v>
      </c>
      <c r="I3382" s="7">
        <f t="shared" si="107"/>
        <v>12.989583333333144</v>
      </c>
    </row>
    <row r="3383" spans="1:9" x14ac:dyDescent="0.2">
      <c r="A3383" t="s">
        <v>3739</v>
      </c>
      <c r="B3383">
        <v>2.95</v>
      </c>
      <c r="C3383">
        <v>4.1294999999999998E-2</v>
      </c>
      <c r="D3383">
        <v>268</v>
      </c>
      <c r="E3383" t="s">
        <v>3739</v>
      </c>
      <c r="F3383">
        <v>268</v>
      </c>
      <c r="G3383" s="1">
        <v>45194</v>
      </c>
      <c r="H3383" s="6">
        <f t="shared" si="106"/>
        <v>12.99999999999981</v>
      </c>
      <c r="I3383" s="7">
        <f t="shared" si="107"/>
        <v>12.99999999999981</v>
      </c>
    </row>
    <row r="3384" spans="1:9" x14ac:dyDescent="0.2">
      <c r="A3384" t="s">
        <v>3740</v>
      </c>
      <c r="B3384">
        <v>2.944</v>
      </c>
      <c r="C3384">
        <v>4.1239999999999999E-2</v>
      </c>
      <c r="D3384">
        <v>268</v>
      </c>
      <c r="E3384" t="s">
        <v>3740</v>
      </c>
      <c r="F3384">
        <v>268</v>
      </c>
      <c r="G3384" s="1">
        <v>45194</v>
      </c>
      <c r="H3384" s="6">
        <f t="shared" si="106"/>
        <v>13.010416666666476</v>
      </c>
      <c r="I3384" s="7">
        <f t="shared" si="107"/>
        <v>13.010416666666476</v>
      </c>
    </row>
    <row r="3385" spans="1:9" x14ac:dyDescent="0.2">
      <c r="A3385" t="s">
        <v>3741</v>
      </c>
      <c r="B3385">
        <v>2.9369999999999998</v>
      </c>
      <c r="C3385">
        <v>4.1154999999999997E-2</v>
      </c>
      <c r="D3385">
        <v>268</v>
      </c>
      <c r="E3385" t="s">
        <v>3741</v>
      </c>
      <c r="F3385">
        <v>268</v>
      </c>
      <c r="G3385" s="1">
        <v>45194</v>
      </c>
      <c r="H3385" s="6">
        <f t="shared" si="106"/>
        <v>13.020833333333142</v>
      </c>
      <c r="I3385" s="7">
        <f t="shared" si="107"/>
        <v>13.020833333333142</v>
      </c>
    </row>
    <row r="3386" spans="1:9" x14ac:dyDescent="0.2">
      <c r="A3386" t="s">
        <v>3742</v>
      </c>
      <c r="B3386">
        <v>2.9544999999999999</v>
      </c>
      <c r="C3386" s="2" t="s">
        <v>3743</v>
      </c>
      <c r="D3386">
        <v>268</v>
      </c>
      <c r="E3386" t="s">
        <v>3742</v>
      </c>
      <c r="F3386">
        <v>268</v>
      </c>
      <c r="G3386" s="1">
        <v>45194</v>
      </c>
      <c r="H3386" s="6">
        <f t="shared" si="106"/>
        <v>13.031249999999808</v>
      </c>
      <c r="I3386" s="7">
        <f t="shared" si="107"/>
        <v>13.031249999999808</v>
      </c>
    </row>
    <row r="3387" spans="1:9" x14ac:dyDescent="0.2">
      <c r="A3387" t="s">
        <v>3744</v>
      </c>
      <c r="B3387">
        <v>2.9434999999999998</v>
      </c>
      <c r="C3387">
        <v>4.1235000000000001E-2</v>
      </c>
      <c r="D3387">
        <v>268</v>
      </c>
      <c r="E3387" t="s">
        <v>3744</v>
      </c>
      <c r="F3387">
        <v>268</v>
      </c>
      <c r="G3387" s="1">
        <v>45194</v>
      </c>
      <c r="H3387" s="6">
        <f t="shared" si="106"/>
        <v>13.041666666666474</v>
      </c>
      <c r="I3387" s="7">
        <f t="shared" si="107"/>
        <v>13.041666666666474</v>
      </c>
    </row>
    <row r="3388" spans="1:9" x14ac:dyDescent="0.2">
      <c r="A3388" t="s">
        <v>3745</v>
      </c>
      <c r="B3388">
        <v>2.948</v>
      </c>
      <c r="C3388">
        <v>4.1285000000000002E-2</v>
      </c>
      <c r="D3388">
        <v>268</v>
      </c>
      <c r="E3388" t="s">
        <v>3745</v>
      </c>
      <c r="F3388">
        <v>268</v>
      </c>
      <c r="G3388" s="1">
        <v>45194</v>
      </c>
      <c r="H3388" s="6">
        <f t="shared" si="106"/>
        <v>13.05208333333314</v>
      </c>
      <c r="I3388" s="7">
        <f t="shared" si="107"/>
        <v>13.05208333333314</v>
      </c>
    </row>
    <row r="3389" spans="1:9" x14ac:dyDescent="0.2">
      <c r="A3389" t="s">
        <v>3746</v>
      </c>
      <c r="B3389">
        <v>2.9780000000000002</v>
      </c>
      <c r="C3389">
        <v>4.1724999999999998E-2</v>
      </c>
      <c r="D3389">
        <v>268</v>
      </c>
      <c r="E3389" t="s">
        <v>3746</v>
      </c>
      <c r="F3389">
        <v>268</v>
      </c>
      <c r="G3389" s="1">
        <v>45194</v>
      </c>
      <c r="H3389" s="6">
        <f t="shared" si="106"/>
        <v>13.062499999999806</v>
      </c>
      <c r="I3389" s="7">
        <f t="shared" si="107"/>
        <v>13.062499999999806</v>
      </c>
    </row>
    <row r="3390" spans="1:9" x14ac:dyDescent="0.2">
      <c r="A3390" t="s">
        <v>3747</v>
      </c>
      <c r="B3390">
        <v>2.9329999999999998</v>
      </c>
      <c r="C3390">
        <v>4.1090000000000002E-2</v>
      </c>
      <c r="D3390">
        <v>268</v>
      </c>
      <c r="E3390" t="s">
        <v>3747</v>
      </c>
      <c r="F3390">
        <v>268</v>
      </c>
      <c r="G3390" s="1">
        <v>45194</v>
      </c>
      <c r="H3390" s="6">
        <f t="shared" si="106"/>
        <v>13.072916666666472</v>
      </c>
      <c r="I3390" s="7">
        <f t="shared" si="107"/>
        <v>13.072916666666472</v>
      </c>
    </row>
    <row r="3391" spans="1:9" x14ac:dyDescent="0.2">
      <c r="A3391" t="s">
        <v>3748</v>
      </c>
      <c r="B3391">
        <v>2.9514999999999998</v>
      </c>
      <c r="C3391">
        <v>4.1349999999999998E-2</v>
      </c>
      <c r="D3391">
        <v>268</v>
      </c>
      <c r="E3391" t="s">
        <v>3748</v>
      </c>
      <c r="F3391">
        <v>268</v>
      </c>
      <c r="G3391" s="1">
        <v>45194</v>
      </c>
      <c r="H3391" s="6">
        <f t="shared" si="106"/>
        <v>13.083333333333139</v>
      </c>
      <c r="I3391" s="7">
        <f t="shared" si="107"/>
        <v>13.083333333333139</v>
      </c>
    </row>
    <row r="3392" spans="1:9" x14ac:dyDescent="0.2">
      <c r="A3392" t="s">
        <v>3749</v>
      </c>
      <c r="B3392">
        <v>2.9725000000000001</v>
      </c>
      <c r="C3392">
        <v>4.1645000000000001E-2</v>
      </c>
      <c r="D3392">
        <v>268</v>
      </c>
      <c r="E3392" t="s">
        <v>3749</v>
      </c>
      <c r="F3392">
        <v>268</v>
      </c>
      <c r="G3392" s="1">
        <v>45194</v>
      </c>
      <c r="H3392" s="6">
        <f t="shared" si="106"/>
        <v>13.093749999999805</v>
      </c>
      <c r="I3392" s="7">
        <f t="shared" si="107"/>
        <v>13.093749999999805</v>
      </c>
    </row>
    <row r="3393" spans="1:9" x14ac:dyDescent="0.2">
      <c r="A3393" t="s">
        <v>3750</v>
      </c>
      <c r="B3393">
        <v>2.9565000000000001</v>
      </c>
      <c r="C3393">
        <v>4.1404999999999997E-2</v>
      </c>
      <c r="D3393">
        <v>268</v>
      </c>
      <c r="E3393" t="s">
        <v>3750</v>
      </c>
      <c r="F3393">
        <v>268</v>
      </c>
      <c r="G3393" s="1">
        <v>45194</v>
      </c>
      <c r="H3393" s="6">
        <f t="shared" si="106"/>
        <v>13.104166666666471</v>
      </c>
      <c r="I3393" s="7">
        <f t="shared" si="107"/>
        <v>13.104166666666471</v>
      </c>
    </row>
    <row r="3394" spans="1:9" x14ac:dyDescent="0.2">
      <c r="A3394" t="s">
        <v>3751</v>
      </c>
      <c r="B3394">
        <v>2.9470000000000001</v>
      </c>
      <c r="C3394">
        <v>4.1274999999999999E-2</v>
      </c>
      <c r="D3394">
        <v>268</v>
      </c>
      <c r="E3394" t="s">
        <v>3751</v>
      </c>
      <c r="F3394">
        <v>268</v>
      </c>
      <c r="G3394" s="1">
        <v>45194</v>
      </c>
      <c r="H3394" s="6">
        <f t="shared" si="106"/>
        <v>13.114583333333137</v>
      </c>
      <c r="I3394" s="7">
        <f t="shared" si="107"/>
        <v>13.114583333333137</v>
      </c>
    </row>
    <row r="3395" spans="1:9" x14ac:dyDescent="0.2">
      <c r="A3395" t="s">
        <v>3752</v>
      </c>
      <c r="B3395">
        <v>2.9495</v>
      </c>
      <c r="C3395">
        <v>4.1314999999999998E-2</v>
      </c>
      <c r="D3395">
        <v>268</v>
      </c>
      <c r="E3395" t="s">
        <v>3752</v>
      </c>
      <c r="F3395">
        <v>268</v>
      </c>
      <c r="G3395" s="1">
        <v>45194</v>
      </c>
      <c r="H3395" s="6">
        <f t="shared" si="106"/>
        <v>13.124999999999803</v>
      </c>
      <c r="I3395" s="7">
        <f t="shared" si="107"/>
        <v>13.124999999999803</v>
      </c>
    </row>
    <row r="3396" spans="1:9" x14ac:dyDescent="0.2">
      <c r="A3396" t="s">
        <v>3753</v>
      </c>
      <c r="B3396" s="2" t="s">
        <v>3754</v>
      </c>
      <c r="C3396">
        <v>4.1605000000000003E-2</v>
      </c>
      <c r="D3396">
        <v>268</v>
      </c>
      <c r="E3396" t="s">
        <v>3753</v>
      </c>
      <c r="F3396">
        <v>268</v>
      </c>
      <c r="G3396" s="1">
        <v>45194</v>
      </c>
      <c r="H3396" s="6">
        <f t="shared" si="106"/>
        <v>13.135416666666469</v>
      </c>
      <c r="I3396" s="7">
        <f t="shared" si="107"/>
        <v>13.135416666666469</v>
      </c>
    </row>
    <row r="3397" spans="1:9" x14ac:dyDescent="0.2">
      <c r="A3397" t="s">
        <v>3755</v>
      </c>
      <c r="B3397">
        <v>2.972</v>
      </c>
      <c r="C3397">
        <v>4.1614999999999999E-2</v>
      </c>
      <c r="D3397">
        <v>268</v>
      </c>
      <c r="E3397" t="s">
        <v>3755</v>
      </c>
      <c r="F3397">
        <v>268</v>
      </c>
      <c r="G3397" s="1">
        <v>45194</v>
      </c>
      <c r="H3397" s="6">
        <f t="shared" si="106"/>
        <v>13.145833333333135</v>
      </c>
      <c r="I3397" s="7">
        <f t="shared" si="107"/>
        <v>13.145833333333135</v>
      </c>
    </row>
    <row r="3398" spans="1:9" x14ac:dyDescent="0.2">
      <c r="A3398" t="s">
        <v>3756</v>
      </c>
      <c r="B3398">
        <v>3.0205000000000002</v>
      </c>
      <c r="C3398">
        <v>4.231E-2</v>
      </c>
      <c r="D3398">
        <v>268</v>
      </c>
      <c r="E3398" t="s">
        <v>3756</v>
      </c>
      <c r="F3398">
        <v>268</v>
      </c>
      <c r="G3398" s="1">
        <v>45194</v>
      </c>
      <c r="H3398" s="6">
        <f t="shared" si="106"/>
        <v>13.156249999999801</v>
      </c>
      <c r="I3398" s="7">
        <f t="shared" si="107"/>
        <v>13.156249999999801</v>
      </c>
    </row>
    <row r="3399" spans="1:9" x14ac:dyDescent="0.2">
      <c r="A3399" t="s">
        <v>3757</v>
      </c>
      <c r="B3399">
        <v>3.012</v>
      </c>
      <c r="C3399">
        <v>4.2200000000000001E-2</v>
      </c>
      <c r="D3399">
        <v>268</v>
      </c>
      <c r="E3399" t="s">
        <v>3757</v>
      </c>
      <c r="F3399">
        <v>268</v>
      </c>
      <c r="G3399" s="1">
        <v>45194</v>
      </c>
      <c r="H3399" s="6">
        <f t="shared" si="106"/>
        <v>13.166666666666467</v>
      </c>
      <c r="I3399" s="7">
        <f t="shared" si="107"/>
        <v>13.166666666666467</v>
      </c>
    </row>
    <row r="3400" spans="1:9" x14ac:dyDescent="0.2">
      <c r="A3400" t="s">
        <v>3758</v>
      </c>
      <c r="B3400" s="2" t="s">
        <v>3759</v>
      </c>
      <c r="C3400">
        <v>4.1924999999999997E-2</v>
      </c>
      <c r="D3400">
        <v>268</v>
      </c>
      <c r="E3400" t="s">
        <v>3758</v>
      </c>
      <c r="F3400">
        <v>268</v>
      </c>
      <c r="G3400" s="1">
        <v>45194</v>
      </c>
      <c r="H3400" s="6">
        <f t="shared" si="106"/>
        <v>13.177083333333133</v>
      </c>
      <c r="I3400" s="7">
        <f t="shared" si="107"/>
        <v>13.177083333333133</v>
      </c>
    </row>
    <row r="3401" spans="1:9" x14ac:dyDescent="0.2">
      <c r="A3401" t="s">
        <v>3760</v>
      </c>
      <c r="B3401">
        <v>3.012</v>
      </c>
      <c r="C3401">
        <v>4.2195000000000003E-2</v>
      </c>
      <c r="D3401">
        <v>268</v>
      </c>
      <c r="E3401" t="s">
        <v>3760</v>
      </c>
      <c r="F3401">
        <v>268</v>
      </c>
      <c r="G3401" s="1">
        <v>45194</v>
      </c>
      <c r="H3401" s="6">
        <f t="shared" si="106"/>
        <v>13.187499999999799</v>
      </c>
      <c r="I3401" s="7">
        <f t="shared" si="107"/>
        <v>13.187499999999799</v>
      </c>
    </row>
    <row r="3402" spans="1:9" x14ac:dyDescent="0.2">
      <c r="A3402" t="s">
        <v>3761</v>
      </c>
      <c r="B3402">
        <v>3.0169999999999999</v>
      </c>
      <c r="C3402">
        <v>4.2264999999999997E-2</v>
      </c>
      <c r="D3402">
        <v>268</v>
      </c>
      <c r="E3402" t="s">
        <v>3761</v>
      </c>
      <c r="F3402">
        <v>268</v>
      </c>
      <c r="G3402" s="1">
        <v>45194</v>
      </c>
      <c r="H3402" s="6">
        <f t="shared" si="106"/>
        <v>13.197916666666465</v>
      </c>
      <c r="I3402" s="7">
        <f t="shared" si="107"/>
        <v>13.197916666666465</v>
      </c>
    </row>
    <row r="3403" spans="1:9" x14ac:dyDescent="0.2">
      <c r="A3403" t="s">
        <v>3762</v>
      </c>
      <c r="B3403">
        <v>3.008</v>
      </c>
      <c r="C3403">
        <v>4.2139999999999997E-2</v>
      </c>
      <c r="D3403">
        <v>268</v>
      </c>
      <c r="E3403" t="s">
        <v>3762</v>
      </c>
      <c r="F3403">
        <v>268</v>
      </c>
      <c r="G3403" s="1">
        <v>45194</v>
      </c>
      <c r="H3403" s="6">
        <f t="shared" si="106"/>
        <v>13.208333333333131</v>
      </c>
      <c r="I3403" s="7">
        <f t="shared" si="107"/>
        <v>13.208333333333131</v>
      </c>
    </row>
    <row r="3404" spans="1:9" x14ac:dyDescent="0.2">
      <c r="A3404" t="s">
        <v>3763</v>
      </c>
      <c r="B3404">
        <v>3.0129999999999999</v>
      </c>
      <c r="C3404">
        <v>4.2209999999999998E-2</v>
      </c>
      <c r="D3404">
        <v>268</v>
      </c>
      <c r="E3404" t="s">
        <v>3763</v>
      </c>
      <c r="F3404">
        <v>268</v>
      </c>
      <c r="G3404" s="1">
        <v>45194</v>
      </c>
      <c r="H3404" s="6">
        <f t="shared" si="106"/>
        <v>13.218749999999797</v>
      </c>
      <c r="I3404" s="7">
        <f t="shared" si="107"/>
        <v>13.218749999999797</v>
      </c>
    </row>
    <row r="3405" spans="1:9" x14ac:dyDescent="0.2">
      <c r="A3405" t="s">
        <v>3764</v>
      </c>
      <c r="B3405">
        <v>2.9864999999999999</v>
      </c>
      <c r="C3405">
        <v>4.1834999999999997E-2</v>
      </c>
      <c r="D3405">
        <v>268</v>
      </c>
      <c r="E3405" t="s">
        <v>3764</v>
      </c>
      <c r="F3405">
        <v>268</v>
      </c>
      <c r="G3405" s="1">
        <v>45194</v>
      </c>
      <c r="H3405" s="6">
        <f t="shared" si="106"/>
        <v>13.229166666666464</v>
      </c>
      <c r="I3405" s="7">
        <f t="shared" si="107"/>
        <v>13.229166666666464</v>
      </c>
    </row>
    <row r="3406" spans="1:9" x14ac:dyDescent="0.2">
      <c r="A3406" t="s">
        <v>3765</v>
      </c>
      <c r="B3406">
        <v>3.0024999999999999</v>
      </c>
      <c r="C3406">
        <v>4.2075000000000001E-2</v>
      </c>
      <c r="D3406">
        <v>268</v>
      </c>
      <c r="E3406" t="s">
        <v>3765</v>
      </c>
      <c r="F3406">
        <v>268</v>
      </c>
      <c r="G3406" s="1">
        <v>45194</v>
      </c>
      <c r="H3406" s="6">
        <f t="shared" si="106"/>
        <v>13.23958333333313</v>
      </c>
      <c r="I3406" s="7">
        <f t="shared" si="107"/>
        <v>13.23958333333313</v>
      </c>
    </row>
    <row r="3407" spans="1:9" x14ac:dyDescent="0.2">
      <c r="A3407" t="s">
        <v>3766</v>
      </c>
      <c r="B3407">
        <v>2.9929999999999999</v>
      </c>
      <c r="C3407">
        <v>4.1915000000000001E-2</v>
      </c>
      <c r="D3407">
        <v>268</v>
      </c>
      <c r="E3407" t="s">
        <v>3766</v>
      </c>
      <c r="F3407">
        <v>268</v>
      </c>
      <c r="G3407" s="1">
        <v>45194</v>
      </c>
      <c r="H3407" s="6">
        <f t="shared" si="106"/>
        <v>13.249999999999796</v>
      </c>
      <c r="I3407" s="7">
        <f t="shared" si="107"/>
        <v>13.249999999999796</v>
      </c>
    </row>
    <row r="3408" spans="1:9" x14ac:dyDescent="0.2">
      <c r="A3408" t="s">
        <v>3767</v>
      </c>
      <c r="B3408">
        <v>2.9929999999999999</v>
      </c>
      <c r="C3408">
        <v>4.1910000000000003E-2</v>
      </c>
      <c r="D3408">
        <v>268</v>
      </c>
      <c r="E3408" t="s">
        <v>3767</v>
      </c>
      <c r="F3408">
        <v>268</v>
      </c>
      <c r="G3408" s="1">
        <v>45194</v>
      </c>
      <c r="H3408" s="6">
        <f t="shared" si="106"/>
        <v>13.260416666666462</v>
      </c>
      <c r="I3408" s="7">
        <f t="shared" si="107"/>
        <v>13.260416666666462</v>
      </c>
    </row>
    <row r="3409" spans="1:9" x14ac:dyDescent="0.2">
      <c r="A3409" t="s">
        <v>3768</v>
      </c>
      <c r="B3409">
        <v>2.976</v>
      </c>
      <c r="C3409">
        <v>4.1700000000000001E-2</v>
      </c>
      <c r="D3409">
        <v>268</v>
      </c>
      <c r="E3409" t="s">
        <v>3768</v>
      </c>
      <c r="F3409">
        <v>268</v>
      </c>
      <c r="G3409" s="1">
        <v>45194</v>
      </c>
      <c r="H3409" s="6">
        <f t="shared" si="106"/>
        <v>13.270833333333128</v>
      </c>
      <c r="I3409" s="7">
        <f t="shared" si="107"/>
        <v>13.270833333333128</v>
      </c>
    </row>
    <row r="3410" spans="1:9" x14ac:dyDescent="0.2">
      <c r="A3410" t="s">
        <v>3769</v>
      </c>
      <c r="B3410">
        <v>2.9849999999999999</v>
      </c>
      <c r="C3410">
        <v>4.181E-2</v>
      </c>
      <c r="D3410">
        <v>268</v>
      </c>
      <c r="E3410" t="s">
        <v>3769</v>
      </c>
      <c r="F3410">
        <v>268</v>
      </c>
      <c r="G3410" s="1">
        <v>45194</v>
      </c>
      <c r="H3410" s="6">
        <f t="shared" si="106"/>
        <v>13.281249999999794</v>
      </c>
      <c r="I3410" s="7">
        <f t="shared" si="107"/>
        <v>13.281249999999794</v>
      </c>
    </row>
    <row r="3411" spans="1:9" x14ac:dyDescent="0.2">
      <c r="A3411" t="s">
        <v>3770</v>
      </c>
      <c r="B3411">
        <v>3.0030000000000001</v>
      </c>
      <c r="C3411">
        <v>4.2064999999999998E-2</v>
      </c>
      <c r="D3411">
        <v>268</v>
      </c>
      <c r="E3411" t="s">
        <v>3770</v>
      </c>
      <c r="F3411">
        <v>268</v>
      </c>
      <c r="G3411" s="1">
        <v>45194</v>
      </c>
      <c r="H3411" s="6">
        <f t="shared" si="106"/>
        <v>13.29166666666646</v>
      </c>
      <c r="I3411" s="7">
        <f t="shared" si="107"/>
        <v>13.29166666666646</v>
      </c>
    </row>
    <row r="3412" spans="1:9" x14ac:dyDescent="0.2">
      <c r="A3412" t="s">
        <v>3771</v>
      </c>
      <c r="B3412">
        <v>2.9910000000000001</v>
      </c>
      <c r="C3412">
        <v>4.1889999999999997E-2</v>
      </c>
      <c r="D3412">
        <v>268</v>
      </c>
      <c r="E3412" t="s">
        <v>3771</v>
      </c>
      <c r="F3412">
        <v>268</v>
      </c>
      <c r="G3412" s="1">
        <v>45194</v>
      </c>
      <c r="H3412" s="6">
        <f t="shared" si="106"/>
        <v>13.302083333333126</v>
      </c>
      <c r="I3412" s="7">
        <f t="shared" si="107"/>
        <v>13.302083333333126</v>
      </c>
    </row>
    <row r="3413" spans="1:9" x14ac:dyDescent="0.2">
      <c r="A3413" t="s">
        <v>3772</v>
      </c>
      <c r="B3413">
        <v>2.9815</v>
      </c>
      <c r="C3413" s="2" t="s">
        <v>3773</v>
      </c>
      <c r="D3413">
        <v>268</v>
      </c>
      <c r="E3413" t="s">
        <v>3772</v>
      </c>
      <c r="F3413">
        <v>268</v>
      </c>
      <c r="G3413" s="1">
        <v>45194</v>
      </c>
      <c r="H3413" s="6">
        <f t="shared" si="106"/>
        <v>13.312499999999792</v>
      </c>
      <c r="I3413" s="7">
        <f t="shared" si="107"/>
        <v>13.312499999999792</v>
      </c>
    </row>
    <row r="3414" spans="1:9" x14ac:dyDescent="0.2">
      <c r="A3414" t="s">
        <v>3774</v>
      </c>
      <c r="B3414">
        <v>2.9870000000000001</v>
      </c>
      <c r="C3414">
        <v>4.1849999999999998E-2</v>
      </c>
      <c r="D3414">
        <v>268</v>
      </c>
      <c r="E3414" t="s">
        <v>3774</v>
      </c>
      <c r="F3414">
        <v>268</v>
      </c>
      <c r="G3414" s="1">
        <v>45194</v>
      </c>
      <c r="H3414" s="6">
        <f t="shared" si="106"/>
        <v>13.322916666666458</v>
      </c>
      <c r="I3414" s="7">
        <f t="shared" si="107"/>
        <v>13.322916666666458</v>
      </c>
    </row>
    <row r="3415" spans="1:9" x14ac:dyDescent="0.2">
      <c r="A3415" t="s">
        <v>3775</v>
      </c>
      <c r="B3415">
        <v>2.992</v>
      </c>
      <c r="C3415">
        <v>4.1910000000000003E-2</v>
      </c>
      <c r="D3415">
        <v>268</v>
      </c>
      <c r="E3415" t="s">
        <v>3775</v>
      </c>
      <c r="F3415">
        <v>268</v>
      </c>
      <c r="G3415" s="1">
        <v>45194</v>
      </c>
      <c r="H3415" s="6">
        <f t="shared" si="106"/>
        <v>13.333333333333124</v>
      </c>
      <c r="I3415" s="7">
        <f t="shared" si="107"/>
        <v>13.333333333333124</v>
      </c>
    </row>
    <row r="3416" spans="1:9" x14ac:dyDescent="0.2">
      <c r="A3416" t="s">
        <v>3776</v>
      </c>
      <c r="B3416">
        <v>2.9769999999999999</v>
      </c>
      <c r="C3416">
        <v>4.1704999999999999E-2</v>
      </c>
      <c r="D3416">
        <v>268</v>
      </c>
      <c r="E3416" t="s">
        <v>3776</v>
      </c>
      <c r="F3416">
        <v>268</v>
      </c>
      <c r="G3416" s="1">
        <v>45194</v>
      </c>
      <c r="H3416" s="6">
        <f t="shared" si="106"/>
        <v>13.34374999999979</v>
      </c>
      <c r="I3416" s="7">
        <f t="shared" si="107"/>
        <v>13.34374999999979</v>
      </c>
    </row>
    <row r="3417" spans="1:9" x14ac:dyDescent="0.2">
      <c r="A3417" t="s">
        <v>3777</v>
      </c>
      <c r="B3417">
        <v>2.97</v>
      </c>
      <c r="C3417">
        <v>4.1579999999999999E-2</v>
      </c>
      <c r="D3417">
        <v>268</v>
      </c>
      <c r="E3417" t="s">
        <v>3777</v>
      </c>
      <c r="F3417">
        <v>268</v>
      </c>
      <c r="G3417" s="1">
        <v>45194</v>
      </c>
      <c r="H3417" s="6">
        <f t="shared" si="106"/>
        <v>13.354166666666456</v>
      </c>
      <c r="I3417" s="7">
        <f t="shared" si="107"/>
        <v>13.354166666666456</v>
      </c>
    </row>
    <row r="3418" spans="1:9" x14ac:dyDescent="0.2">
      <c r="A3418" t="s">
        <v>3778</v>
      </c>
      <c r="B3418">
        <v>2.972</v>
      </c>
      <c r="C3418">
        <v>4.163E-2</v>
      </c>
      <c r="D3418">
        <v>268</v>
      </c>
      <c r="E3418" t="s">
        <v>3778</v>
      </c>
      <c r="F3418">
        <v>268</v>
      </c>
      <c r="G3418" s="1">
        <v>45194</v>
      </c>
      <c r="H3418" s="6">
        <f t="shared" si="106"/>
        <v>13.364583333333123</v>
      </c>
      <c r="I3418" s="7">
        <f t="shared" si="107"/>
        <v>13.364583333333123</v>
      </c>
    </row>
    <row r="3419" spans="1:9" x14ac:dyDescent="0.2">
      <c r="A3419" t="s">
        <v>3779</v>
      </c>
      <c r="B3419">
        <v>2.968</v>
      </c>
      <c r="C3419">
        <v>4.1555000000000002E-2</v>
      </c>
      <c r="D3419">
        <v>268</v>
      </c>
      <c r="E3419" t="s">
        <v>3779</v>
      </c>
      <c r="F3419">
        <v>268</v>
      </c>
      <c r="G3419" s="1">
        <v>45194</v>
      </c>
      <c r="H3419" s="6">
        <f t="shared" si="106"/>
        <v>13.374999999999789</v>
      </c>
      <c r="I3419" s="7">
        <f t="shared" si="107"/>
        <v>13.374999999999789</v>
      </c>
    </row>
    <row r="3420" spans="1:9" x14ac:dyDescent="0.2">
      <c r="A3420" t="s">
        <v>3780</v>
      </c>
      <c r="B3420">
        <v>2.9809999999999999</v>
      </c>
      <c r="C3420">
        <v>4.1759999999999999E-2</v>
      </c>
      <c r="D3420">
        <v>268</v>
      </c>
      <c r="E3420" t="s">
        <v>3780</v>
      </c>
      <c r="F3420">
        <v>268</v>
      </c>
      <c r="G3420" s="1">
        <v>45194</v>
      </c>
      <c r="H3420" s="6">
        <f t="shared" ref="H3420:H3483" si="108">H3419+$K$1</f>
        <v>13.385416666666455</v>
      </c>
      <c r="I3420" s="7">
        <f t="shared" ref="I3420:I3483" si="109">I3419+$K$1</f>
        <v>13.385416666666455</v>
      </c>
    </row>
    <row r="3421" spans="1:9" x14ac:dyDescent="0.2">
      <c r="A3421" t="s">
        <v>3781</v>
      </c>
      <c r="B3421">
        <v>2.9914999999999998</v>
      </c>
      <c r="C3421">
        <v>4.1895000000000002E-2</v>
      </c>
      <c r="D3421">
        <v>268</v>
      </c>
      <c r="E3421" t="s">
        <v>3781</v>
      </c>
      <c r="F3421">
        <v>268</v>
      </c>
      <c r="G3421" s="1">
        <v>45194</v>
      </c>
      <c r="H3421" s="6">
        <f t="shared" si="108"/>
        <v>13.395833333333121</v>
      </c>
      <c r="I3421" s="7">
        <f t="shared" si="109"/>
        <v>13.395833333333121</v>
      </c>
    </row>
    <row r="3422" spans="1:9" x14ac:dyDescent="0.2">
      <c r="A3422" t="s">
        <v>3782</v>
      </c>
      <c r="B3422">
        <v>2.96</v>
      </c>
      <c r="C3422">
        <v>4.1465000000000002E-2</v>
      </c>
      <c r="D3422">
        <v>268</v>
      </c>
      <c r="E3422" t="s">
        <v>3782</v>
      </c>
      <c r="F3422">
        <v>268</v>
      </c>
      <c r="G3422" s="1">
        <v>45194</v>
      </c>
      <c r="H3422" s="6">
        <f t="shared" si="108"/>
        <v>13.406249999999787</v>
      </c>
      <c r="I3422" s="7">
        <f t="shared" si="109"/>
        <v>13.406249999999787</v>
      </c>
    </row>
    <row r="3423" spans="1:9" x14ac:dyDescent="0.2">
      <c r="A3423" t="s">
        <v>3783</v>
      </c>
      <c r="B3423" s="2" t="s">
        <v>3716</v>
      </c>
      <c r="C3423">
        <v>4.1349999999999998E-2</v>
      </c>
      <c r="D3423">
        <v>268</v>
      </c>
      <c r="E3423" t="s">
        <v>3783</v>
      </c>
      <c r="F3423">
        <v>268</v>
      </c>
      <c r="G3423" s="1">
        <v>45194</v>
      </c>
      <c r="H3423" s="6">
        <f t="shared" si="108"/>
        <v>13.416666666666453</v>
      </c>
      <c r="I3423" s="7">
        <f t="shared" si="109"/>
        <v>13.416666666666453</v>
      </c>
    </row>
    <row r="3424" spans="1:9" x14ac:dyDescent="0.2">
      <c r="A3424" t="s">
        <v>3784</v>
      </c>
      <c r="B3424">
        <v>2.9569999999999999</v>
      </c>
      <c r="C3424" s="2" t="s">
        <v>3785</v>
      </c>
      <c r="D3424">
        <v>268</v>
      </c>
      <c r="E3424" t="s">
        <v>3784</v>
      </c>
      <c r="F3424">
        <v>268</v>
      </c>
      <c r="G3424" s="1">
        <v>45194</v>
      </c>
      <c r="H3424" s="6">
        <f t="shared" si="108"/>
        <v>13.427083333333119</v>
      </c>
      <c r="I3424" s="7">
        <f t="shared" si="109"/>
        <v>13.427083333333119</v>
      </c>
    </row>
    <row r="3425" spans="1:9" x14ac:dyDescent="0.2">
      <c r="A3425" t="s">
        <v>3786</v>
      </c>
      <c r="B3425">
        <v>2.9740000000000002</v>
      </c>
      <c r="C3425">
        <v>4.1660000000000003E-2</v>
      </c>
      <c r="D3425">
        <v>268</v>
      </c>
      <c r="E3425" t="s">
        <v>3786</v>
      </c>
      <c r="F3425">
        <v>268</v>
      </c>
      <c r="G3425" s="1">
        <v>45194</v>
      </c>
      <c r="H3425" s="6">
        <f t="shared" si="108"/>
        <v>13.437499999999785</v>
      </c>
      <c r="I3425" s="7">
        <f t="shared" si="109"/>
        <v>13.437499999999785</v>
      </c>
    </row>
    <row r="3426" spans="1:9" x14ac:dyDescent="0.2">
      <c r="A3426" t="s">
        <v>3787</v>
      </c>
      <c r="B3426" s="2" t="s">
        <v>3788</v>
      </c>
      <c r="C3426">
        <v>4.1700000000000001E-2</v>
      </c>
      <c r="D3426">
        <v>268</v>
      </c>
      <c r="E3426" t="s">
        <v>3787</v>
      </c>
      <c r="F3426">
        <v>268</v>
      </c>
      <c r="G3426" s="1">
        <v>45194</v>
      </c>
      <c r="H3426" s="6">
        <f t="shared" si="108"/>
        <v>13.447916666666451</v>
      </c>
      <c r="I3426" s="7">
        <f t="shared" si="109"/>
        <v>13.447916666666451</v>
      </c>
    </row>
    <row r="3427" spans="1:9" x14ac:dyDescent="0.2">
      <c r="A3427" t="s">
        <v>3789</v>
      </c>
      <c r="B3427">
        <v>2.9474999999999998</v>
      </c>
      <c r="C3427">
        <v>4.129E-2</v>
      </c>
      <c r="D3427">
        <v>268</v>
      </c>
      <c r="E3427" t="s">
        <v>3789</v>
      </c>
      <c r="F3427">
        <v>268</v>
      </c>
      <c r="G3427" s="1">
        <v>45194</v>
      </c>
      <c r="H3427" s="6">
        <f t="shared" si="108"/>
        <v>13.458333333333117</v>
      </c>
      <c r="I3427" s="7">
        <f t="shared" si="109"/>
        <v>13.458333333333117</v>
      </c>
    </row>
    <row r="3428" spans="1:9" x14ac:dyDescent="0.2">
      <c r="A3428" t="s">
        <v>3790</v>
      </c>
      <c r="B3428">
        <v>2.9540000000000002</v>
      </c>
      <c r="C3428">
        <v>4.1364999999999999E-2</v>
      </c>
      <c r="D3428">
        <v>268</v>
      </c>
      <c r="E3428" t="s">
        <v>3790</v>
      </c>
      <c r="F3428">
        <v>268</v>
      </c>
      <c r="G3428" s="1">
        <v>45194</v>
      </c>
      <c r="H3428" s="6">
        <f t="shared" si="108"/>
        <v>13.468749999999783</v>
      </c>
      <c r="I3428" s="7">
        <f t="shared" si="109"/>
        <v>13.468749999999783</v>
      </c>
    </row>
    <row r="3429" spans="1:9" x14ac:dyDescent="0.2">
      <c r="A3429" t="s">
        <v>3791</v>
      </c>
      <c r="B3429">
        <v>2.9495</v>
      </c>
      <c r="C3429">
        <v>4.1314999999999998E-2</v>
      </c>
      <c r="D3429">
        <v>268</v>
      </c>
      <c r="E3429" t="s">
        <v>3791</v>
      </c>
      <c r="F3429">
        <v>268</v>
      </c>
      <c r="G3429" s="1">
        <v>45194</v>
      </c>
      <c r="H3429" s="6">
        <f t="shared" si="108"/>
        <v>13.479166666666449</v>
      </c>
      <c r="I3429" s="7">
        <f t="shared" si="109"/>
        <v>13.479166666666449</v>
      </c>
    </row>
    <row r="3430" spans="1:9" x14ac:dyDescent="0.2">
      <c r="A3430" t="s">
        <v>3792</v>
      </c>
      <c r="B3430">
        <v>2.9380000000000002</v>
      </c>
      <c r="C3430">
        <v>4.1149999999999999E-2</v>
      </c>
      <c r="D3430">
        <v>268</v>
      </c>
      <c r="E3430" t="s">
        <v>3792</v>
      </c>
      <c r="F3430">
        <v>268</v>
      </c>
      <c r="G3430" s="1">
        <v>45194</v>
      </c>
      <c r="H3430" s="6">
        <f t="shared" si="108"/>
        <v>13.489583333333115</v>
      </c>
      <c r="I3430" s="7">
        <f t="shared" si="109"/>
        <v>13.489583333333115</v>
      </c>
    </row>
    <row r="3431" spans="1:9" x14ac:dyDescent="0.2">
      <c r="A3431" t="s">
        <v>3793</v>
      </c>
      <c r="B3431" s="2" t="s">
        <v>3794</v>
      </c>
      <c r="C3431">
        <v>4.129E-2</v>
      </c>
      <c r="D3431">
        <v>268</v>
      </c>
      <c r="E3431" t="s">
        <v>3793</v>
      </c>
      <c r="F3431">
        <v>268</v>
      </c>
      <c r="G3431" s="1">
        <v>45194</v>
      </c>
      <c r="H3431" s="6">
        <f t="shared" si="108"/>
        <v>13.499999999999782</v>
      </c>
      <c r="I3431" s="7">
        <f t="shared" si="109"/>
        <v>13.499999999999782</v>
      </c>
    </row>
    <row r="3432" spans="1:9" x14ac:dyDescent="0.2">
      <c r="A3432" t="s">
        <v>3795</v>
      </c>
      <c r="B3432" s="2" t="s">
        <v>3796</v>
      </c>
      <c r="C3432">
        <v>4.1154999999999997E-2</v>
      </c>
      <c r="D3432">
        <v>268</v>
      </c>
      <c r="E3432" t="s">
        <v>3795</v>
      </c>
      <c r="F3432">
        <v>268</v>
      </c>
      <c r="G3432" s="1">
        <v>45194</v>
      </c>
      <c r="H3432" s="6">
        <f t="shared" si="108"/>
        <v>13.510416666666448</v>
      </c>
      <c r="I3432" s="7">
        <f t="shared" si="109"/>
        <v>13.510416666666448</v>
      </c>
    </row>
    <row r="3433" spans="1:9" x14ac:dyDescent="0.2">
      <c r="A3433" t="s">
        <v>3797</v>
      </c>
      <c r="B3433">
        <v>2.9304999999999999</v>
      </c>
      <c r="C3433">
        <v>4.1050000000000003E-2</v>
      </c>
      <c r="D3433">
        <v>268</v>
      </c>
      <c r="E3433" t="s">
        <v>3797</v>
      </c>
      <c r="F3433">
        <v>268</v>
      </c>
      <c r="G3433" s="1">
        <v>45194</v>
      </c>
      <c r="H3433" s="6">
        <f t="shared" si="108"/>
        <v>13.520833333333114</v>
      </c>
      <c r="I3433" s="7">
        <f t="shared" si="109"/>
        <v>13.520833333333114</v>
      </c>
    </row>
    <row r="3434" spans="1:9" x14ac:dyDescent="0.2">
      <c r="A3434" t="s">
        <v>3798</v>
      </c>
      <c r="B3434">
        <v>2.9304999999999999</v>
      </c>
      <c r="C3434">
        <v>4.1059999999999999E-2</v>
      </c>
      <c r="D3434">
        <v>268</v>
      </c>
      <c r="E3434" t="s">
        <v>3798</v>
      </c>
      <c r="F3434">
        <v>268</v>
      </c>
      <c r="G3434" s="1">
        <v>45194</v>
      </c>
      <c r="H3434" s="6">
        <f t="shared" si="108"/>
        <v>13.53124999999978</v>
      </c>
      <c r="I3434" s="7">
        <f t="shared" si="109"/>
        <v>13.53124999999978</v>
      </c>
    </row>
    <row r="3435" spans="1:9" x14ac:dyDescent="0.2">
      <c r="A3435" t="s">
        <v>3799</v>
      </c>
      <c r="B3435">
        <v>2.9584999999999999</v>
      </c>
      <c r="C3435">
        <v>4.1430000000000002E-2</v>
      </c>
      <c r="D3435">
        <v>268</v>
      </c>
      <c r="E3435" t="s">
        <v>3799</v>
      </c>
      <c r="F3435">
        <v>268</v>
      </c>
      <c r="G3435" s="1">
        <v>45194</v>
      </c>
      <c r="H3435" s="6">
        <f t="shared" si="108"/>
        <v>13.541666666666446</v>
      </c>
      <c r="I3435" s="7">
        <f t="shared" si="109"/>
        <v>13.541666666666446</v>
      </c>
    </row>
    <row r="3436" spans="1:9" x14ac:dyDescent="0.2">
      <c r="A3436" t="s">
        <v>3800</v>
      </c>
      <c r="B3436">
        <v>2.96</v>
      </c>
      <c r="C3436">
        <v>4.1454999999999999E-2</v>
      </c>
      <c r="D3436">
        <v>268</v>
      </c>
      <c r="E3436" t="s">
        <v>3800</v>
      </c>
      <c r="F3436">
        <v>268</v>
      </c>
      <c r="G3436" s="1">
        <v>45194</v>
      </c>
      <c r="H3436" s="6">
        <f t="shared" si="108"/>
        <v>13.552083333333112</v>
      </c>
      <c r="I3436" s="7">
        <f t="shared" si="109"/>
        <v>13.552083333333112</v>
      </c>
    </row>
    <row r="3437" spans="1:9" x14ac:dyDescent="0.2">
      <c r="A3437" t="s">
        <v>3801</v>
      </c>
      <c r="B3437">
        <v>2.9409999999999998</v>
      </c>
      <c r="C3437">
        <v>4.1195000000000002E-2</v>
      </c>
      <c r="D3437">
        <v>268</v>
      </c>
      <c r="E3437" t="s">
        <v>3801</v>
      </c>
      <c r="F3437">
        <v>268</v>
      </c>
      <c r="G3437" s="1">
        <v>45194</v>
      </c>
      <c r="H3437" s="6">
        <f t="shared" si="108"/>
        <v>13.562499999999778</v>
      </c>
      <c r="I3437" s="7">
        <f t="shared" si="109"/>
        <v>13.562499999999778</v>
      </c>
    </row>
    <row r="3438" spans="1:9" x14ac:dyDescent="0.2">
      <c r="A3438" t="s">
        <v>3802</v>
      </c>
      <c r="B3438">
        <v>2.931</v>
      </c>
      <c r="C3438">
        <v>4.1044999999999998E-2</v>
      </c>
      <c r="D3438">
        <v>268</v>
      </c>
      <c r="E3438" t="s">
        <v>3802</v>
      </c>
      <c r="F3438">
        <v>268</v>
      </c>
      <c r="G3438" s="1">
        <v>45194</v>
      </c>
      <c r="H3438" s="6">
        <f t="shared" si="108"/>
        <v>13.572916666666444</v>
      </c>
      <c r="I3438" s="7">
        <f t="shared" si="109"/>
        <v>13.572916666666444</v>
      </c>
    </row>
    <row r="3439" spans="1:9" x14ac:dyDescent="0.2">
      <c r="A3439" t="s">
        <v>3803</v>
      </c>
      <c r="B3439">
        <v>2.927</v>
      </c>
      <c r="C3439">
        <v>4.1009999999999998E-2</v>
      </c>
      <c r="D3439">
        <v>268</v>
      </c>
      <c r="E3439" t="s">
        <v>3803</v>
      </c>
      <c r="F3439">
        <v>268</v>
      </c>
      <c r="G3439" s="1">
        <v>45194</v>
      </c>
      <c r="H3439" s="6">
        <f t="shared" si="108"/>
        <v>13.58333333333311</v>
      </c>
      <c r="I3439" s="7">
        <f t="shared" si="109"/>
        <v>13.58333333333311</v>
      </c>
    </row>
    <row r="3440" spans="1:9" x14ac:dyDescent="0.2">
      <c r="A3440" t="s">
        <v>3804</v>
      </c>
      <c r="B3440" s="2" t="s">
        <v>3805</v>
      </c>
      <c r="C3440">
        <v>4.1000000000000002E-2</v>
      </c>
      <c r="D3440">
        <v>268</v>
      </c>
      <c r="E3440" t="s">
        <v>3804</v>
      </c>
      <c r="F3440">
        <v>268</v>
      </c>
      <c r="G3440" s="1">
        <v>45194</v>
      </c>
      <c r="H3440" s="6">
        <f t="shared" si="108"/>
        <v>13.593749999999776</v>
      </c>
      <c r="I3440" s="7">
        <f t="shared" si="109"/>
        <v>13.593749999999776</v>
      </c>
    </row>
    <row r="3441" spans="1:9" x14ac:dyDescent="0.2">
      <c r="A3441" t="s">
        <v>3806</v>
      </c>
      <c r="B3441">
        <v>2.9165000000000001</v>
      </c>
      <c r="C3441" s="2" t="s">
        <v>3807</v>
      </c>
      <c r="D3441">
        <v>268</v>
      </c>
      <c r="E3441" t="s">
        <v>3806</v>
      </c>
      <c r="F3441">
        <v>268</v>
      </c>
      <c r="G3441" s="1">
        <v>45194</v>
      </c>
      <c r="H3441" s="6">
        <f t="shared" si="108"/>
        <v>13.604166666666442</v>
      </c>
      <c r="I3441" s="7">
        <f t="shared" si="109"/>
        <v>13.604166666666442</v>
      </c>
    </row>
    <row r="3442" spans="1:9" x14ac:dyDescent="0.2">
      <c r="A3442" t="s">
        <v>3808</v>
      </c>
      <c r="B3442" s="2" t="s">
        <v>3809</v>
      </c>
      <c r="C3442">
        <v>4.0934999999999999E-2</v>
      </c>
      <c r="D3442">
        <v>268</v>
      </c>
      <c r="E3442" t="s">
        <v>3808</v>
      </c>
      <c r="F3442">
        <v>268</v>
      </c>
      <c r="G3442" s="1">
        <v>45194</v>
      </c>
      <c r="H3442" s="6">
        <f t="shared" si="108"/>
        <v>13.614583333333108</v>
      </c>
      <c r="I3442" s="7">
        <f t="shared" si="109"/>
        <v>13.614583333333108</v>
      </c>
    </row>
    <row r="3443" spans="1:9" x14ac:dyDescent="0.2">
      <c r="A3443" t="s">
        <v>3810</v>
      </c>
      <c r="B3443">
        <v>2.9455</v>
      </c>
      <c r="C3443">
        <v>4.1265000000000003E-2</v>
      </c>
      <c r="D3443">
        <v>268</v>
      </c>
      <c r="E3443" t="s">
        <v>3810</v>
      </c>
      <c r="F3443">
        <v>268</v>
      </c>
      <c r="G3443" s="1">
        <v>45194</v>
      </c>
      <c r="H3443" s="6">
        <f t="shared" si="108"/>
        <v>13.624999999999774</v>
      </c>
      <c r="I3443" s="7">
        <f t="shared" si="109"/>
        <v>13.624999999999774</v>
      </c>
    </row>
    <row r="3444" spans="1:9" x14ac:dyDescent="0.2">
      <c r="A3444" t="s">
        <v>3811</v>
      </c>
      <c r="B3444">
        <v>2.9285000000000001</v>
      </c>
      <c r="C3444">
        <v>4.1024999999999999E-2</v>
      </c>
      <c r="D3444">
        <v>268</v>
      </c>
      <c r="E3444" t="s">
        <v>3811</v>
      </c>
      <c r="F3444">
        <v>268</v>
      </c>
      <c r="G3444" s="1">
        <v>45194</v>
      </c>
      <c r="H3444" s="6">
        <f t="shared" si="108"/>
        <v>13.63541666666644</v>
      </c>
      <c r="I3444" s="7">
        <f t="shared" si="109"/>
        <v>13.63541666666644</v>
      </c>
    </row>
    <row r="3445" spans="1:9" x14ac:dyDescent="0.2">
      <c r="A3445" t="s">
        <v>3812</v>
      </c>
      <c r="B3445">
        <v>2.8969999999999998</v>
      </c>
      <c r="C3445">
        <v>4.0579999999999998E-2</v>
      </c>
      <c r="D3445">
        <v>268</v>
      </c>
      <c r="E3445" t="s">
        <v>3812</v>
      </c>
      <c r="F3445">
        <v>268</v>
      </c>
      <c r="G3445" s="1">
        <v>45194</v>
      </c>
      <c r="H3445" s="6">
        <f t="shared" si="108"/>
        <v>13.645833333333107</v>
      </c>
      <c r="I3445" s="7">
        <f t="shared" si="109"/>
        <v>13.645833333333107</v>
      </c>
    </row>
    <row r="3446" spans="1:9" x14ac:dyDescent="0.2">
      <c r="A3446" t="s">
        <v>3813</v>
      </c>
      <c r="B3446">
        <v>2.907</v>
      </c>
      <c r="C3446">
        <v>4.0719999999999999E-2</v>
      </c>
      <c r="D3446">
        <v>269</v>
      </c>
      <c r="E3446" t="s">
        <v>3813</v>
      </c>
      <c r="F3446">
        <v>268</v>
      </c>
      <c r="G3446" s="1">
        <v>45194</v>
      </c>
      <c r="H3446" s="6">
        <f t="shared" si="108"/>
        <v>13.656249999999773</v>
      </c>
      <c r="I3446" s="7">
        <f t="shared" si="109"/>
        <v>13.656249999999773</v>
      </c>
    </row>
    <row r="3447" spans="1:9" x14ac:dyDescent="0.2">
      <c r="A3447" t="s">
        <v>3814</v>
      </c>
      <c r="B3447">
        <v>2.9045000000000001</v>
      </c>
      <c r="C3447">
        <v>4.0689999999999997E-2</v>
      </c>
      <c r="D3447">
        <v>269</v>
      </c>
      <c r="E3447" t="s">
        <v>3814</v>
      </c>
      <c r="F3447">
        <v>268</v>
      </c>
      <c r="G3447" s="1">
        <v>45194</v>
      </c>
      <c r="H3447" s="6">
        <f t="shared" si="108"/>
        <v>13.666666666666439</v>
      </c>
      <c r="I3447" s="7">
        <f t="shared" si="109"/>
        <v>13.666666666666439</v>
      </c>
    </row>
    <row r="3448" spans="1:9" x14ac:dyDescent="0.2">
      <c r="A3448" t="s">
        <v>3815</v>
      </c>
      <c r="B3448">
        <v>2.8965000000000001</v>
      </c>
      <c r="C3448">
        <v>4.0575E-2</v>
      </c>
      <c r="D3448">
        <v>269</v>
      </c>
      <c r="E3448" t="s">
        <v>3815</v>
      </c>
      <c r="F3448">
        <v>268</v>
      </c>
      <c r="G3448" s="1">
        <v>45194</v>
      </c>
      <c r="H3448" s="6">
        <f t="shared" si="108"/>
        <v>13.677083333333105</v>
      </c>
      <c r="I3448" s="7">
        <f t="shared" si="109"/>
        <v>13.677083333333105</v>
      </c>
    </row>
    <row r="3449" spans="1:9" x14ac:dyDescent="0.2">
      <c r="A3449" t="s">
        <v>3816</v>
      </c>
      <c r="B3449">
        <v>2.8679999999999999</v>
      </c>
      <c r="C3449">
        <v>4.0160000000000001E-2</v>
      </c>
      <c r="D3449">
        <v>269</v>
      </c>
      <c r="E3449" t="s">
        <v>3816</v>
      </c>
      <c r="F3449">
        <v>268</v>
      </c>
      <c r="G3449" s="1">
        <v>45194</v>
      </c>
      <c r="H3449" s="6">
        <f t="shared" si="108"/>
        <v>13.687499999999771</v>
      </c>
      <c r="I3449" s="7">
        <f t="shared" si="109"/>
        <v>13.687499999999771</v>
      </c>
    </row>
    <row r="3450" spans="1:9" x14ac:dyDescent="0.2">
      <c r="A3450" t="s">
        <v>3817</v>
      </c>
      <c r="B3450">
        <v>2.9079999999999999</v>
      </c>
      <c r="C3450">
        <v>4.0750000000000001E-2</v>
      </c>
      <c r="D3450">
        <v>269</v>
      </c>
      <c r="E3450" t="s">
        <v>3817</v>
      </c>
      <c r="F3450">
        <v>268</v>
      </c>
      <c r="G3450" s="1">
        <v>45194</v>
      </c>
      <c r="H3450" s="6">
        <f t="shared" si="108"/>
        <v>13.697916666666437</v>
      </c>
      <c r="I3450" s="7">
        <f t="shared" si="109"/>
        <v>13.697916666666437</v>
      </c>
    </row>
    <row r="3451" spans="1:9" x14ac:dyDescent="0.2">
      <c r="A3451" t="s">
        <v>3818</v>
      </c>
      <c r="B3451">
        <v>2.8719999999999999</v>
      </c>
      <c r="C3451">
        <v>4.0215000000000001E-2</v>
      </c>
      <c r="D3451">
        <v>269</v>
      </c>
      <c r="E3451" t="s">
        <v>3818</v>
      </c>
      <c r="F3451">
        <v>268</v>
      </c>
      <c r="G3451" s="1">
        <v>45194</v>
      </c>
      <c r="H3451" s="6">
        <f t="shared" si="108"/>
        <v>13.708333333333103</v>
      </c>
      <c r="I3451" s="7">
        <f t="shared" si="109"/>
        <v>13.708333333333103</v>
      </c>
    </row>
    <row r="3452" spans="1:9" x14ac:dyDescent="0.2">
      <c r="A3452" t="s">
        <v>3819</v>
      </c>
      <c r="B3452">
        <v>2.8855</v>
      </c>
      <c r="C3452">
        <v>4.0405000000000003E-2</v>
      </c>
      <c r="D3452">
        <v>269</v>
      </c>
      <c r="E3452" t="s">
        <v>3819</v>
      </c>
      <c r="F3452">
        <v>268</v>
      </c>
      <c r="G3452" s="1">
        <v>45194</v>
      </c>
      <c r="H3452" s="6">
        <f t="shared" si="108"/>
        <v>13.718749999999769</v>
      </c>
      <c r="I3452" s="7">
        <f t="shared" si="109"/>
        <v>13.718749999999769</v>
      </c>
    </row>
    <row r="3453" spans="1:9" x14ac:dyDescent="0.2">
      <c r="A3453" t="s">
        <v>3820</v>
      </c>
      <c r="B3453">
        <v>2.8614999999999999</v>
      </c>
      <c r="C3453">
        <v>4.0079999999999998E-2</v>
      </c>
      <c r="D3453">
        <v>269</v>
      </c>
      <c r="E3453" t="s">
        <v>3820</v>
      </c>
      <c r="F3453">
        <v>268</v>
      </c>
      <c r="G3453" s="1">
        <v>45194</v>
      </c>
      <c r="H3453" s="6">
        <f t="shared" si="108"/>
        <v>13.729166666666435</v>
      </c>
      <c r="I3453" s="7">
        <f t="shared" si="109"/>
        <v>13.729166666666435</v>
      </c>
    </row>
    <row r="3454" spans="1:9" x14ac:dyDescent="0.2">
      <c r="A3454" t="s">
        <v>3821</v>
      </c>
      <c r="B3454">
        <v>2.9035000000000002</v>
      </c>
      <c r="C3454">
        <v>4.0665E-2</v>
      </c>
      <c r="D3454">
        <v>269</v>
      </c>
      <c r="E3454" t="s">
        <v>3821</v>
      </c>
      <c r="F3454">
        <v>268</v>
      </c>
      <c r="G3454" s="1">
        <v>45194</v>
      </c>
      <c r="H3454" s="6">
        <f t="shared" si="108"/>
        <v>13.739583333333101</v>
      </c>
      <c r="I3454" s="7">
        <f t="shared" si="109"/>
        <v>13.739583333333101</v>
      </c>
    </row>
    <row r="3455" spans="1:9" x14ac:dyDescent="0.2">
      <c r="A3455" t="s">
        <v>3822</v>
      </c>
      <c r="B3455">
        <v>2.88</v>
      </c>
      <c r="C3455">
        <v>4.0325E-2</v>
      </c>
      <c r="D3455">
        <v>269</v>
      </c>
      <c r="E3455" t="s">
        <v>3822</v>
      </c>
      <c r="F3455">
        <v>268</v>
      </c>
      <c r="G3455" s="1">
        <v>45194</v>
      </c>
      <c r="H3455" s="6">
        <f t="shared" si="108"/>
        <v>13.749999999999767</v>
      </c>
      <c r="I3455" s="7">
        <f t="shared" si="109"/>
        <v>13.749999999999767</v>
      </c>
    </row>
    <row r="3456" spans="1:9" x14ac:dyDescent="0.2">
      <c r="A3456" t="s">
        <v>3823</v>
      </c>
      <c r="B3456">
        <v>2.879</v>
      </c>
      <c r="C3456">
        <v>4.0340000000000001E-2</v>
      </c>
      <c r="D3456">
        <v>269</v>
      </c>
      <c r="E3456" t="s">
        <v>3823</v>
      </c>
      <c r="F3456">
        <v>268</v>
      </c>
      <c r="G3456" s="1">
        <v>45194</v>
      </c>
      <c r="H3456" s="6">
        <f t="shared" si="108"/>
        <v>13.760416666666433</v>
      </c>
      <c r="I3456" s="7">
        <f t="shared" si="109"/>
        <v>13.760416666666433</v>
      </c>
    </row>
    <row r="3457" spans="1:9" x14ac:dyDescent="0.2">
      <c r="A3457" t="s">
        <v>3824</v>
      </c>
      <c r="B3457">
        <v>2.8835000000000002</v>
      </c>
      <c r="C3457">
        <v>4.0390000000000002E-2</v>
      </c>
      <c r="D3457">
        <v>269</v>
      </c>
      <c r="E3457" t="s">
        <v>3824</v>
      </c>
      <c r="F3457">
        <v>268</v>
      </c>
      <c r="G3457" s="1">
        <v>45194</v>
      </c>
      <c r="H3457" s="6">
        <f t="shared" si="108"/>
        <v>13.770833333333099</v>
      </c>
      <c r="I3457" s="7">
        <f t="shared" si="109"/>
        <v>13.770833333333099</v>
      </c>
    </row>
    <row r="3458" spans="1:9" x14ac:dyDescent="0.2">
      <c r="A3458" t="s">
        <v>3825</v>
      </c>
      <c r="B3458">
        <v>2.9020000000000001</v>
      </c>
      <c r="C3458">
        <v>4.0645000000000001E-2</v>
      </c>
      <c r="D3458">
        <v>269</v>
      </c>
      <c r="E3458" t="s">
        <v>3825</v>
      </c>
      <c r="F3458">
        <v>268</v>
      </c>
      <c r="G3458" s="1">
        <v>45194</v>
      </c>
      <c r="H3458" s="6">
        <f t="shared" si="108"/>
        <v>13.781249999999766</v>
      </c>
      <c r="I3458" s="7">
        <f t="shared" si="109"/>
        <v>13.781249999999766</v>
      </c>
    </row>
    <row r="3459" spans="1:9" x14ac:dyDescent="0.2">
      <c r="A3459" t="s">
        <v>3826</v>
      </c>
      <c r="B3459">
        <v>2.9015</v>
      </c>
      <c r="C3459">
        <v>4.0649999999999999E-2</v>
      </c>
      <c r="D3459">
        <v>269</v>
      </c>
      <c r="E3459" t="s">
        <v>3826</v>
      </c>
      <c r="F3459">
        <v>268</v>
      </c>
      <c r="G3459" s="1">
        <v>45194</v>
      </c>
      <c r="H3459" s="6">
        <f t="shared" si="108"/>
        <v>13.791666666666432</v>
      </c>
      <c r="I3459" s="7">
        <f t="shared" si="109"/>
        <v>13.791666666666432</v>
      </c>
    </row>
    <row r="3460" spans="1:9" x14ac:dyDescent="0.2">
      <c r="A3460" t="s">
        <v>3827</v>
      </c>
      <c r="B3460">
        <v>2.9009999999999998</v>
      </c>
      <c r="C3460">
        <v>4.0629999999999999E-2</v>
      </c>
      <c r="D3460">
        <v>269</v>
      </c>
      <c r="E3460" t="s">
        <v>3827</v>
      </c>
      <c r="F3460">
        <v>268</v>
      </c>
      <c r="G3460" s="1">
        <v>45194</v>
      </c>
      <c r="H3460" s="6">
        <f t="shared" si="108"/>
        <v>13.802083333333098</v>
      </c>
      <c r="I3460" s="7">
        <f t="shared" si="109"/>
        <v>13.802083333333098</v>
      </c>
    </row>
    <row r="3461" spans="1:9" x14ac:dyDescent="0.2">
      <c r="A3461" t="s">
        <v>3828</v>
      </c>
      <c r="B3461">
        <v>2.9215</v>
      </c>
      <c r="C3461">
        <v>4.0915E-2</v>
      </c>
      <c r="D3461">
        <v>269</v>
      </c>
      <c r="E3461" t="s">
        <v>3828</v>
      </c>
      <c r="F3461">
        <v>268</v>
      </c>
      <c r="G3461" s="1">
        <v>45194</v>
      </c>
      <c r="H3461" s="6">
        <f t="shared" si="108"/>
        <v>13.812499999999764</v>
      </c>
      <c r="I3461" s="7">
        <f t="shared" si="109"/>
        <v>13.812499999999764</v>
      </c>
    </row>
    <row r="3462" spans="1:9" x14ac:dyDescent="0.2">
      <c r="A3462" t="s">
        <v>3829</v>
      </c>
      <c r="B3462">
        <v>2.9184999999999999</v>
      </c>
      <c r="C3462">
        <v>4.0899999999999999E-2</v>
      </c>
      <c r="D3462">
        <v>269</v>
      </c>
      <c r="E3462" t="s">
        <v>3829</v>
      </c>
      <c r="F3462">
        <v>268</v>
      </c>
      <c r="G3462" s="1">
        <v>45194</v>
      </c>
      <c r="H3462" s="6">
        <f t="shared" si="108"/>
        <v>13.82291666666643</v>
      </c>
      <c r="I3462" s="7">
        <f t="shared" si="109"/>
        <v>13.82291666666643</v>
      </c>
    </row>
    <row r="3463" spans="1:9" x14ac:dyDescent="0.2">
      <c r="A3463" t="s">
        <v>3830</v>
      </c>
      <c r="B3463">
        <v>2.911</v>
      </c>
      <c r="C3463">
        <v>4.0779999999999997E-2</v>
      </c>
      <c r="D3463">
        <v>269</v>
      </c>
      <c r="E3463" t="s">
        <v>3830</v>
      </c>
      <c r="F3463">
        <v>268</v>
      </c>
      <c r="G3463" s="1">
        <v>45194</v>
      </c>
      <c r="H3463" s="6">
        <f t="shared" si="108"/>
        <v>13.833333333333096</v>
      </c>
      <c r="I3463" s="7">
        <f t="shared" si="109"/>
        <v>13.833333333333096</v>
      </c>
    </row>
    <row r="3464" spans="1:9" x14ac:dyDescent="0.2">
      <c r="A3464" t="s">
        <v>3831</v>
      </c>
      <c r="B3464">
        <v>2.8975</v>
      </c>
      <c r="C3464">
        <v>4.0594999999999999E-2</v>
      </c>
      <c r="D3464">
        <v>269</v>
      </c>
      <c r="E3464" t="s">
        <v>3831</v>
      </c>
      <c r="F3464">
        <v>268</v>
      </c>
      <c r="G3464" s="1">
        <v>45194</v>
      </c>
      <c r="H3464" s="6">
        <f t="shared" si="108"/>
        <v>13.843749999999762</v>
      </c>
      <c r="I3464" s="7">
        <f t="shared" si="109"/>
        <v>13.843749999999762</v>
      </c>
    </row>
    <row r="3465" spans="1:9" x14ac:dyDescent="0.2">
      <c r="A3465" t="s">
        <v>3832</v>
      </c>
      <c r="B3465">
        <v>2.91</v>
      </c>
      <c r="C3465">
        <v>4.0770000000000001E-2</v>
      </c>
      <c r="D3465">
        <v>269</v>
      </c>
      <c r="E3465" t="s">
        <v>3832</v>
      </c>
      <c r="F3465">
        <v>268</v>
      </c>
      <c r="G3465" s="1">
        <v>45194</v>
      </c>
      <c r="H3465" s="6">
        <f t="shared" si="108"/>
        <v>13.854166666666428</v>
      </c>
      <c r="I3465" s="7">
        <f t="shared" si="109"/>
        <v>13.854166666666428</v>
      </c>
    </row>
    <row r="3466" spans="1:9" x14ac:dyDescent="0.2">
      <c r="A3466" t="s">
        <v>3833</v>
      </c>
      <c r="B3466">
        <v>2.907</v>
      </c>
      <c r="C3466">
        <v>4.0715000000000001E-2</v>
      </c>
      <c r="D3466">
        <v>269</v>
      </c>
      <c r="E3466" t="s">
        <v>3833</v>
      </c>
      <c r="F3466">
        <v>268</v>
      </c>
      <c r="G3466" s="1">
        <v>45194</v>
      </c>
      <c r="H3466" s="6">
        <f t="shared" si="108"/>
        <v>13.864583333333094</v>
      </c>
      <c r="I3466" s="7">
        <f t="shared" si="109"/>
        <v>13.864583333333094</v>
      </c>
    </row>
    <row r="3467" spans="1:9" x14ac:dyDescent="0.2">
      <c r="A3467" t="s">
        <v>3834</v>
      </c>
      <c r="B3467">
        <v>2.9255</v>
      </c>
      <c r="C3467">
        <v>4.0994999999999997E-2</v>
      </c>
      <c r="D3467">
        <v>269</v>
      </c>
      <c r="E3467" t="s">
        <v>3834</v>
      </c>
      <c r="F3467">
        <v>268</v>
      </c>
      <c r="G3467" s="1">
        <v>45194</v>
      </c>
      <c r="H3467" s="6">
        <f t="shared" si="108"/>
        <v>13.87499999999976</v>
      </c>
      <c r="I3467" s="7">
        <f t="shared" si="109"/>
        <v>13.87499999999976</v>
      </c>
    </row>
    <row r="3468" spans="1:9" x14ac:dyDescent="0.2">
      <c r="A3468" t="s">
        <v>3835</v>
      </c>
      <c r="B3468">
        <v>2.9075000000000002</v>
      </c>
      <c r="C3468">
        <v>4.0710000000000003E-2</v>
      </c>
      <c r="D3468">
        <v>269</v>
      </c>
      <c r="E3468" t="s">
        <v>3835</v>
      </c>
      <c r="F3468">
        <v>268</v>
      </c>
      <c r="G3468" s="1">
        <v>45194</v>
      </c>
      <c r="H3468" s="6">
        <f t="shared" si="108"/>
        <v>13.885416666666426</v>
      </c>
      <c r="I3468" s="7">
        <f t="shared" si="109"/>
        <v>13.885416666666426</v>
      </c>
    </row>
    <row r="3469" spans="1:9" x14ac:dyDescent="0.2">
      <c r="A3469" t="s">
        <v>3836</v>
      </c>
      <c r="B3469">
        <v>2.9239999999999999</v>
      </c>
      <c r="C3469">
        <v>4.0954999999999998E-2</v>
      </c>
      <c r="D3469">
        <v>269</v>
      </c>
      <c r="E3469" t="s">
        <v>3836</v>
      </c>
      <c r="F3469">
        <v>268</v>
      </c>
      <c r="G3469" s="1">
        <v>45194</v>
      </c>
      <c r="H3469" s="6">
        <f t="shared" si="108"/>
        <v>13.895833333333092</v>
      </c>
      <c r="I3469" s="7">
        <f t="shared" si="109"/>
        <v>13.895833333333092</v>
      </c>
    </row>
    <row r="3470" spans="1:9" x14ac:dyDescent="0.2">
      <c r="A3470" t="s">
        <v>3837</v>
      </c>
      <c r="B3470">
        <v>2.9119999999999999</v>
      </c>
      <c r="C3470">
        <v>4.0770000000000001E-2</v>
      </c>
      <c r="D3470">
        <v>269</v>
      </c>
      <c r="E3470" t="s">
        <v>3837</v>
      </c>
      <c r="F3470">
        <v>269</v>
      </c>
      <c r="G3470" s="1">
        <v>45195</v>
      </c>
      <c r="H3470" s="6">
        <f t="shared" si="108"/>
        <v>13.906249999999758</v>
      </c>
      <c r="I3470" s="7">
        <f t="shared" si="109"/>
        <v>13.906249999999758</v>
      </c>
    </row>
    <row r="3471" spans="1:9" x14ac:dyDescent="0.2">
      <c r="A3471" t="s">
        <v>3838</v>
      </c>
      <c r="B3471">
        <v>2.9184999999999999</v>
      </c>
      <c r="C3471">
        <v>4.0875000000000002E-2</v>
      </c>
      <c r="D3471">
        <v>269</v>
      </c>
      <c r="E3471" t="s">
        <v>3838</v>
      </c>
      <c r="F3471">
        <v>269</v>
      </c>
      <c r="G3471" s="1">
        <v>45195</v>
      </c>
      <c r="H3471" s="6">
        <f t="shared" si="108"/>
        <v>13.916666666666424</v>
      </c>
      <c r="I3471" s="7">
        <f t="shared" si="109"/>
        <v>13.916666666666424</v>
      </c>
    </row>
    <row r="3472" spans="1:9" x14ac:dyDescent="0.2">
      <c r="A3472" t="s">
        <v>3839</v>
      </c>
      <c r="B3472">
        <v>2.9035000000000002</v>
      </c>
      <c r="C3472">
        <v>4.0665E-2</v>
      </c>
      <c r="D3472">
        <v>269</v>
      </c>
      <c r="E3472" t="s">
        <v>3839</v>
      </c>
      <c r="F3472">
        <v>269</v>
      </c>
      <c r="G3472" s="1">
        <v>45195</v>
      </c>
      <c r="H3472" s="6">
        <f t="shared" si="108"/>
        <v>13.927083333333091</v>
      </c>
      <c r="I3472" s="7">
        <f t="shared" si="109"/>
        <v>13.927083333333091</v>
      </c>
    </row>
    <row r="3473" spans="1:9" x14ac:dyDescent="0.2">
      <c r="A3473" t="s">
        <v>3840</v>
      </c>
      <c r="B3473">
        <v>2.9159999999999999</v>
      </c>
      <c r="C3473" s="2" t="s">
        <v>3807</v>
      </c>
      <c r="D3473">
        <v>269</v>
      </c>
      <c r="E3473" t="s">
        <v>3840</v>
      </c>
      <c r="F3473">
        <v>269</v>
      </c>
      <c r="G3473" s="1">
        <v>45195</v>
      </c>
      <c r="H3473" s="6">
        <f t="shared" si="108"/>
        <v>13.937499999999757</v>
      </c>
      <c r="I3473" s="7">
        <f t="shared" si="109"/>
        <v>13.937499999999757</v>
      </c>
    </row>
    <row r="3474" spans="1:9" x14ac:dyDescent="0.2">
      <c r="A3474" t="s">
        <v>3841</v>
      </c>
      <c r="B3474">
        <v>2.9079999999999999</v>
      </c>
      <c r="C3474">
        <v>4.0739999999999998E-2</v>
      </c>
      <c r="D3474">
        <v>269</v>
      </c>
      <c r="E3474" t="s">
        <v>3841</v>
      </c>
      <c r="F3474">
        <v>269</v>
      </c>
      <c r="G3474" s="1">
        <v>45195</v>
      </c>
      <c r="H3474" s="6">
        <f t="shared" si="108"/>
        <v>13.947916666666423</v>
      </c>
      <c r="I3474" s="7">
        <f t="shared" si="109"/>
        <v>13.947916666666423</v>
      </c>
    </row>
    <row r="3475" spans="1:9" x14ac:dyDescent="0.2">
      <c r="A3475" t="s">
        <v>3842</v>
      </c>
      <c r="B3475">
        <v>2.9260000000000002</v>
      </c>
      <c r="C3475">
        <v>4.0985000000000001E-2</v>
      </c>
      <c r="D3475">
        <v>269</v>
      </c>
      <c r="E3475" t="s">
        <v>3842</v>
      </c>
      <c r="F3475">
        <v>269</v>
      </c>
      <c r="G3475" s="1">
        <v>45195</v>
      </c>
      <c r="H3475" s="6">
        <f t="shared" si="108"/>
        <v>13.958333333333089</v>
      </c>
      <c r="I3475" s="7">
        <f t="shared" si="109"/>
        <v>13.958333333333089</v>
      </c>
    </row>
    <row r="3476" spans="1:9" x14ac:dyDescent="0.2">
      <c r="A3476" t="s">
        <v>3843</v>
      </c>
      <c r="B3476">
        <v>2.9384999999999999</v>
      </c>
      <c r="C3476">
        <v>4.1154999999999997E-2</v>
      </c>
      <c r="D3476">
        <v>269</v>
      </c>
      <c r="E3476" t="s">
        <v>3843</v>
      </c>
      <c r="F3476">
        <v>269</v>
      </c>
      <c r="G3476" s="1">
        <v>45195</v>
      </c>
      <c r="H3476" s="6">
        <f t="shared" si="108"/>
        <v>13.968749999999755</v>
      </c>
      <c r="I3476" s="7">
        <f t="shared" si="109"/>
        <v>13.968749999999755</v>
      </c>
    </row>
    <row r="3477" spans="1:9" x14ac:dyDescent="0.2">
      <c r="A3477" t="s">
        <v>3844</v>
      </c>
      <c r="B3477">
        <v>2.931</v>
      </c>
      <c r="C3477">
        <v>4.1055000000000001E-2</v>
      </c>
      <c r="D3477">
        <v>269</v>
      </c>
      <c r="E3477" t="s">
        <v>3844</v>
      </c>
      <c r="F3477">
        <v>269</v>
      </c>
      <c r="G3477" s="1">
        <v>45195</v>
      </c>
      <c r="H3477" s="6">
        <f t="shared" si="108"/>
        <v>13.979166666666421</v>
      </c>
      <c r="I3477" s="7">
        <f t="shared" si="109"/>
        <v>13.979166666666421</v>
      </c>
    </row>
    <row r="3478" spans="1:9" x14ac:dyDescent="0.2">
      <c r="A3478" t="s">
        <v>3845</v>
      </c>
      <c r="B3478">
        <v>2.9550000000000001</v>
      </c>
      <c r="C3478">
        <v>4.1395000000000001E-2</v>
      </c>
      <c r="D3478">
        <v>269</v>
      </c>
      <c r="E3478" t="s">
        <v>3845</v>
      </c>
      <c r="F3478">
        <v>269</v>
      </c>
      <c r="G3478" s="1">
        <v>45195</v>
      </c>
      <c r="H3478" s="6">
        <f t="shared" si="108"/>
        <v>13.989583333333087</v>
      </c>
      <c r="I3478" s="7">
        <f t="shared" si="109"/>
        <v>13.989583333333087</v>
      </c>
    </row>
    <row r="3479" spans="1:9" x14ac:dyDescent="0.2">
      <c r="A3479" t="s">
        <v>3846</v>
      </c>
      <c r="B3479">
        <v>2.9430000000000001</v>
      </c>
      <c r="C3479">
        <v>4.1235000000000001E-2</v>
      </c>
      <c r="D3479">
        <v>269</v>
      </c>
      <c r="E3479" t="s">
        <v>3846</v>
      </c>
      <c r="F3479">
        <v>269</v>
      </c>
      <c r="G3479" s="1">
        <v>45195</v>
      </c>
      <c r="H3479" s="6">
        <f t="shared" si="108"/>
        <v>13.999999999999753</v>
      </c>
      <c r="I3479" s="7">
        <f t="shared" si="109"/>
        <v>13.999999999999753</v>
      </c>
    </row>
    <row r="3480" spans="1:9" x14ac:dyDescent="0.2">
      <c r="A3480" t="s">
        <v>3847</v>
      </c>
      <c r="B3480" s="2" t="s">
        <v>3737</v>
      </c>
      <c r="C3480">
        <v>4.1230000000000003E-2</v>
      </c>
      <c r="D3480">
        <v>269</v>
      </c>
      <c r="E3480" t="s">
        <v>3847</v>
      </c>
      <c r="F3480">
        <v>269</v>
      </c>
      <c r="G3480" s="1">
        <v>45195</v>
      </c>
      <c r="H3480" s="6">
        <f t="shared" si="108"/>
        <v>14.010416666666419</v>
      </c>
      <c r="I3480" s="7">
        <f t="shared" si="109"/>
        <v>14.010416666666419</v>
      </c>
    </row>
    <row r="3481" spans="1:9" x14ac:dyDescent="0.2">
      <c r="A3481" t="s">
        <v>3848</v>
      </c>
      <c r="B3481">
        <v>2.9504999999999999</v>
      </c>
      <c r="C3481">
        <v>4.1340000000000002E-2</v>
      </c>
      <c r="D3481">
        <v>269</v>
      </c>
      <c r="E3481" t="s">
        <v>3848</v>
      </c>
      <c r="F3481">
        <v>269</v>
      </c>
      <c r="G3481" s="1">
        <v>45195</v>
      </c>
      <c r="H3481" s="6">
        <f t="shared" si="108"/>
        <v>14.020833333333085</v>
      </c>
      <c r="I3481" s="7">
        <f t="shared" si="109"/>
        <v>14.020833333333085</v>
      </c>
    </row>
    <row r="3482" spans="1:9" x14ac:dyDescent="0.2">
      <c r="A3482" t="s">
        <v>3849</v>
      </c>
      <c r="B3482">
        <v>2.9415</v>
      </c>
      <c r="C3482">
        <v>4.122E-2</v>
      </c>
      <c r="D3482">
        <v>269</v>
      </c>
      <c r="E3482" t="s">
        <v>3849</v>
      </c>
      <c r="F3482">
        <v>269</v>
      </c>
      <c r="G3482" s="1">
        <v>45195</v>
      </c>
      <c r="H3482" s="6">
        <f t="shared" si="108"/>
        <v>14.031249999999751</v>
      </c>
      <c r="I3482" s="7">
        <f t="shared" si="109"/>
        <v>14.031249999999751</v>
      </c>
    </row>
    <row r="3483" spans="1:9" x14ac:dyDescent="0.2">
      <c r="A3483" t="s">
        <v>3850</v>
      </c>
      <c r="B3483">
        <v>2.9335</v>
      </c>
      <c r="C3483">
        <v>4.1105000000000003E-2</v>
      </c>
      <c r="D3483">
        <v>269</v>
      </c>
      <c r="E3483" t="s">
        <v>3850</v>
      </c>
      <c r="F3483">
        <v>269</v>
      </c>
      <c r="G3483" s="1">
        <v>45195</v>
      </c>
      <c r="H3483" s="6">
        <f t="shared" si="108"/>
        <v>14.041666666666417</v>
      </c>
      <c r="I3483" s="7">
        <f t="shared" si="109"/>
        <v>14.041666666666417</v>
      </c>
    </row>
    <row r="3484" spans="1:9" x14ac:dyDescent="0.2">
      <c r="A3484" t="s">
        <v>3851</v>
      </c>
      <c r="B3484">
        <v>2.9474999999999998</v>
      </c>
      <c r="C3484">
        <v>4.1279999999999997E-2</v>
      </c>
      <c r="D3484">
        <v>269</v>
      </c>
      <c r="E3484" t="s">
        <v>3851</v>
      </c>
      <c r="F3484">
        <v>269</v>
      </c>
      <c r="G3484" s="1">
        <v>45195</v>
      </c>
      <c r="H3484" s="6">
        <f t="shared" ref="H3484:H3547" si="110">H3483+$K$1</f>
        <v>14.052083333333083</v>
      </c>
      <c r="I3484" s="7">
        <f t="shared" ref="I3484:I3547" si="111">I3483+$K$1</f>
        <v>14.052083333333083</v>
      </c>
    </row>
    <row r="3485" spans="1:9" x14ac:dyDescent="0.2">
      <c r="A3485" t="s">
        <v>3852</v>
      </c>
      <c r="B3485">
        <v>2.9740000000000002</v>
      </c>
      <c r="C3485">
        <v>4.1654999999999998E-2</v>
      </c>
      <c r="D3485">
        <v>269</v>
      </c>
      <c r="E3485" t="s">
        <v>3852</v>
      </c>
      <c r="F3485">
        <v>269</v>
      </c>
      <c r="G3485" s="1">
        <v>45195</v>
      </c>
      <c r="H3485" s="6">
        <f t="shared" si="110"/>
        <v>14.06249999999975</v>
      </c>
      <c r="I3485" s="7">
        <f t="shared" si="111"/>
        <v>14.06249999999975</v>
      </c>
    </row>
    <row r="3486" spans="1:9" x14ac:dyDescent="0.2">
      <c r="A3486" t="s">
        <v>3853</v>
      </c>
      <c r="B3486">
        <v>2.9464999999999999</v>
      </c>
      <c r="C3486">
        <v>4.1270000000000001E-2</v>
      </c>
      <c r="D3486">
        <v>269</v>
      </c>
      <c r="E3486" t="s">
        <v>3853</v>
      </c>
      <c r="F3486">
        <v>269</v>
      </c>
      <c r="G3486" s="1">
        <v>45195</v>
      </c>
      <c r="H3486" s="6">
        <f t="shared" si="110"/>
        <v>14.072916666666416</v>
      </c>
      <c r="I3486" s="7">
        <f t="shared" si="111"/>
        <v>14.072916666666416</v>
      </c>
    </row>
    <row r="3487" spans="1:9" x14ac:dyDescent="0.2">
      <c r="A3487" t="s">
        <v>3854</v>
      </c>
      <c r="B3487">
        <v>2.9415</v>
      </c>
      <c r="C3487">
        <v>4.1195000000000002E-2</v>
      </c>
      <c r="D3487">
        <v>269</v>
      </c>
      <c r="E3487" t="s">
        <v>3854</v>
      </c>
      <c r="F3487">
        <v>269</v>
      </c>
      <c r="G3487" s="1">
        <v>45195</v>
      </c>
      <c r="H3487" s="6">
        <f t="shared" si="110"/>
        <v>14.083333333333082</v>
      </c>
      <c r="I3487" s="7">
        <f t="shared" si="111"/>
        <v>14.083333333333082</v>
      </c>
    </row>
    <row r="3488" spans="1:9" x14ac:dyDescent="0.2">
      <c r="A3488" t="s">
        <v>3855</v>
      </c>
      <c r="B3488">
        <v>2.9655</v>
      </c>
      <c r="C3488">
        <v>4.1529999999999997E-2</v>
      </c>
      <c r="D3488">
        <v>269</v>
      </c>
      <c r="E3488" t="s">
        <v>3855</v>
      </c>
      <c r="F3488">
        <v>269</v>
      </c>
      <c r="G3488" s="1">
        <v>45195</v>
      </c>
      <c r="H3488" s="6">
        <f t="shared" si="110"/>
        <v>14.093749999999748</v>
      </c>
      <c r="I3488" s="7">
        <f t="shared" si="111"/>
        <v>14.093749999999748</v>
      </c>
    </row>
    <row r="3489" spans="1:9" x14ac:dyDescent="0.2">
      <c r="A3489" t="s">
        <v>3856</v>
      </c>
      <c r="B3489">
        <v>2.9529999999999998</v>
      </c>
      <c r="C3489">
        <v>4.1364999999999999E-2</v>
      </c>
      <c r="D3489">
        <v>269</v>
      </c>
      <c r="E3489" t="s">
        <v>3856</v>
      </c>
      <c r="F3489">
        <v>269</v>
      </c>
      <c r="G3489" s="1">
        <v>45195</v>
      </c>
      <c r="H3489" s="6">
        <f t="shared" si="110"/>
        <v>14.104166666666414</v>
      </c>
      <c r="I3489" s="7">
        <f t="shared" si="111"/>
        <v>14.104166666666414</v>
      </c>
    </row>
    <row r="3490" spans="1:9" x14ac:dyDescent="0.2">
      <c r="A3490" t="s">
        <v>3857</v>
      </c>
      <c r="B3490">
        <v>2.9540000000000002</v>
      </c>
      <c r="C3490">
        <v>4.1375000000000002E-2</v>
      </c>
      <c r="D3490">
        <v>269</v>
      </c>
      <c r="E3490" t="s">
        <v>3857</v>
      </c>
      <c r="F3490">
        <v>269</v>
      </c>
      <c r="G3490" s="1">
        <v>45195</v>
      </c>
      <c r="H3490" s="6">
        <f t="shared" si="110"/>
        <v>14.11458333333308</v>
      </c>
      <c r="I3490" s="7">
        <f t="shared" si="111"/>
        <v>14.11458333333308</v>
      </c>
    </row>
    <row r="3491" spans="1:9" x14ac:dyDescent="0.2">
      <c r="A3491" t="s">
        <v>3858</v>
      </c>
      <c r="B3491">
        <v>2.976</v>
      </c>
      <c r="C3491">
        <v>4.1685E-2</v>
      </c>
      <c r="D3491">
        <v>269</v>
      </c>
      <c r="E3491" t="s">
        <v>3858</v>
      </c>
      <c r="F3491">
        <v>269</v>
      </c>
      <c r="G3491" s="1">
        <v>45195</v>
      </c>
      <c r="H3491" s="6">
        <f t="shared" si="110"/>
        <v>14.124999999999746</v>
      </c>
      <c r="I3491" s="7">
        <f t="shared" si="111"/>
        <v>14.124999999999746</v>
      </c>
    </row>
    <row r="3492" spans="1:9" x14ac:dyDescent="0.2">
      <c r="A3492" t="s">
        <v>3859</v>
      </c>
      <c r="B3492">
        <v>2.9935</v>
      </c>
      <c r="C3492">
        <v>4.1930000000000002E-2</v>
      </c>
      <c r="D3492">
        <v>269</v>
      </c>
      <c r="E3492" t="s">
        <v>3859</v>
      </c>
      <c r="F3492">
        <v>269</v>
      </c>
      <c r="G3492" s="1">
        <v>45195</v>
      </c>
      <c r="H3492" s="6">
        <f t="shared" si="110"/>
        <v>14.135416666666412</v>
      </c>
      <c r="I3492" s="7">
        <f t="shared" si="111"/>
        <v>14.135416666666412</v>
      </c>
    </row>
    <row r="3493" spans="1:9" x14ac:dyDescent="0.2">
      <c r="A3493" t="s">
        <v>3860</v>
      </c>
      <c r="B3493">
        <v>2.9765000000000001</v>
      </c>
      <c r="C3493">
        <v>4.1695000000000003E-2</v>
      </c>
      <c r="D3493">
        <v>269</v>
      </c>
      <c r="E3493" t="s">
        <v>3860</v>
      </c>
      <c r="F3493">
        <v>269</v>
      </c>
      <c r="G3493" s="1">
        <v>45195</v>
      </c>
      <c r="H3493" s="6">
        <f t="shared" si="110"/>
        <v>14.145833333333078</v>
      </c>
      <c r="I3493" s="7">
        <f t="shared" si="111"/>
        <v>14.145833333333078</v>
      </c>
    </row>
    <row r="3494" spans="1:9" x14ac:dyDescent="0.2">
      <c r="A3494" t="s">
        <v>3861</v>
      </c>
      <c r="B3494">
        <v>2.988</v>
      </c>
      <c r="C3494">
        <v>4.1864999999999999E-2</v>
      </c>
      <c r="D3494">
        <v>269</v>
      </c>
      <c r="E3494" t="s">
        <v>3861</v>
      </c>
      <c r="F3494">
        <v>269</v>
      </c>
      <c r="G3494" s="1">
        <v>45195</v>
      </c>
      <c r="H3494" s="6">
        <f t="shared" si="110"/>
        <v>14.156249999999744</v>
      </c>
      <c r="I3494" s="7">
        <f t="shared" si="111"/>
        <v>14.156249999999744</v>
      </c>
    </row>
    <row r="3495" spans="1:9" x14ac:dyDescent="0.2">
      <c r="A3495" t="s">
        <v>3862</v>
      </c>
      <c r="B3495">
        <v>2.9765000000000001</v>
      </c>
      <c r="C3495">
        <v>4.1695000000000003E-2</v>
      </c>
      <c r="D3495">
        <v>269</v>
      </c>
      <c r="E3495" t="s">
        <v>3862</v>
      </c>
      <c r="F3495">
        <v>269</v>
      </c>
      <c r="G3495" s="1">
        <v>45195</v>
      </c>
      <c r="H3495" s="6">
        <f t="shared" si="110"/>
        <v>14.16666666666641</v>
      </c>
      <c r="I3495" s="7">
        <f t="shared" si="111"/>
        <v>14.16666666666641</v>
      </c>
    </row>
    <row r="3496" spans="1:9" x14ac:dyDescent="0.2">
      <c r="A3496" t="s">
        <v>3863</v>
      </c>
      <c r="B3496" s="2" t="s">
        <v>3759</v>
      </c>
      <c r="C3496">
        <v>4.1954999999999999E-2</v>
      </c>
      <c r="D3496">
        <v>269</v>
      </c>
      <c r="E3496" t="s">
        <v>3863</v>
      </c>
      <c r="F3496">
        <v>269</v>
      </c>
      <c r="G3496" s="1">
        <v>45195</v>
      </c>
      <c r="H3496" s="6">
        <f t="shared" si="110"/>
        <v>14.177083333333076</v>
      </c>
      <c r="I3496" s="7">
        <f t="shared" si="111"/>
        <v>14.177083333333076</v>
      </c>
    </row>
    <row r="3497" spans="1:9" x14ac:dyDescent="0.2">
      <c r="A3497" t="s">
        <v>3864</v>
      </c>
      <c r="B3497">
        <v>3.0169999999999999</v>
      </c>
      <c r="C3497">
        <v>4.2259999999999999E-2</v>
      </c>
      <c r="D3497">
        <v>269</v>
      </c>
      <c r="E3497" t="s">
        <v>3864</v>
      </c>
      <c r="F3497">
        <v>269</v>
      </c>
      <c r="G3497" s="1">
        <v>45195</v>
      </c>
      <c r="H3497" s="6">
        <f t="shared" si="110"/>
        <v>14.187499999999742</v>
      </c>
      <c r="I3497" s="7">
        <f t="shared" si="111"/>
        <v>14.187499999999742</v>
      </c>
    </row>
    <row r="3498" spans="1:9" x14ac:dyDescent="0.2">
      <c r="A3498" t="s">
        <v>3865</v>
      </c>
      <c r="B3498">
        <v>3.0219999999999998</v>
      </c>
      <c r="C3498">
        <v>4.2325000000000002E-2</v>
      </c>
      <c r="D3498">
        <v>269</v>
      </c>
      <c r="E3498" t="s">
        <v>3865</v>
      </c>
      <c r="F3498">
        <v>269</v>
      </c>
      <c r="G3498" s="1">
        <v>45195</v>
      </c>
      <c r="H3498" s="6">
        <f t="shared" si="110"/>
        <v>14.197916666666409</v>
      </c>
      <c r="I3498" s="7">
        <f t="shared" si="111"/>
        <v>14.197916666666409</v>
      </c>
    </row>
    <row r="3499" spans="1:9" x14ac:dyDescent="0.2">
      <c r="A3499" t="s">
        <v>3866</v>
      </c>
      <c r="B3499">
        <v>3.0230000000000001</v>
      </c>
      <c r="C3499">
        <v>4.2340000000000003E-2</v>
      </c>
      <c r="D3499">
        <v>269</v>
      </c>
      <c r="E3499" t="s">
        <v>3866</v>
      </c>
      <c r="F3499">
        <v>269</v>
      </c>
      <c r="G3499" s="1">
        <v>45195</v>
      </c>
      <c r="H3499" s="6">
        <f t="shared" si="110"/>
        <v>14.208333333333075</v>
      </c>
      <c r="I3499" s="7">
        <f t="shared" si="111"/>
        <v>14.208333333333075</v>
      </c>
    </row>
    <row r="3500" spans="1:9" x14ac:dyDescent="0.2">
      <c r="A3500" t="s">
        <v>3867</v>
      </c>
      <c r="B3500">
        <v>2.9929999999999999</v>
      </c>
      <c r="C3500">
        <v>4.1924999999999997E-2</v>
      </c>
      <c r="D3500">
        <v>269</v>
      </c>
      <c r="E3500" t="s">
        <v>3867</v>
      </c>
      <c r="F3500">
        <v>269</v>
      </c>
      <c r="G3500" s="1">
        <v>45195</v>
      </c>
      <c r="H3500" s="6">
        <f t="shared" si="110"/>
        <v>14.218749999999741</v>
      </c>
      <c r="I3500" s="7">
        <f t="shared" si="111"/>
        <v>14.218749999999741</v>
      </c>
    </row>
    <row r="3501" spans="1:9" x14ac:dyDescent="0.2">
      <c r="A3501" t="s">
        <v>3868</v>
      </c>
      <c r="B3501">
        <v>2.992</v>
      </c>
      <c r="C3501">
        <v>4.1919999999999999E-2</v>
      </c>
      <c r="D3501">
        <v>269</v>
      </c>
      <c r="E3501" t="s">
        <v>3868</v>
      </c>
      <c r="F3501">
        <v>269</v>
      </c>
      <c r="G3501" s="1">
        <v>45195</v>
      </c>
      <c r="H3501" s="6">
        <f t="shared" si="110"/>
        <v>14.229166666666407</v>
      </c>
      <c r="I3501" s="7">
        <f t="shared" si="111"/>
        <v>14.229166666666407</v>
      </c>
    </row>
    <row r="3502" spans="1:9" x14ac:dyDescent="0.2">
      <c r="A3502" t="s">
        <v>3869</v>
      </c>
      <c r="B3502">
        <v>3.0150000000000001</v>
      </c>
      <c r="C3502">
        <v>4.2255000000000001E-2</v>
      </c>
      <c r="D3502">
        <v>269</v>
      </c>
      <c r="E3502" t="s">
        <v>3869</v>
      </c>
      <c r="F3502">
        <v>269</v>
      </c>
      <c r="G3502" s="1">
        <v>45195</v>
      </c>
      <c r="H3502" s="6">
        <f t="shared" si="110"/>
        <v>14.239583333333073</v>
      </c>
      <c r="I3502" s="7">
        <f t="shared" si="111"/>
        <v>14.239583333333073</v>
      </c>
    </row>
    <row r="3503" spans="1:9" x14ac:dyDescent="0.2">
      <c r="A3503" t="s">
        <v>3870</v>
      </c>
      <c r="B3503">
        <v>2.9845000000000002</v>
      </c>
      <c r="C3503">
        <v>4.1799999999999997E-2</v>
      </c>
      <c r="D3503">
        <v>269</v>
      </c>
      <c r="E3503" t="s">
        <v>3870</v>
      </c>
      <c r="F3503">
        <v>269</v>
      </c>
      <c r="G3503" s="1">
        <v>45195</v>
      </c>
      <c r="H3503" s="6">
        <f t="shared" si="110"/>
        <v>14.249999999999739</v>
      </c>
      <c r="I3503" s="7">
        <f t="shared" si="111"/>
        <v>14.249999999999739</v>
      </c>
    </row>
    <row r="3504" spans="1:9" x14ac:dyDescent="0.2">
      <c r="A3504" t="s">
        <v>3871</v>
      </c>
      <c r="B3504">
        <v>2.9904999999999999</v>
      </c>
      <c r="C3504">
        <v>4.1895000000000002E-2</v>
      </c>
      <c r="D3504">
        <v>269</v>
      </c>
      <c r="E3504" t="s">
        <v>3871</v>
      </c>
      <c r="F3504">
        <v>269</v>
      </c>
      <c r="G3504" s="1">
        <v>45195</v>
      </c>
      <c r="H3504" s="6">
        <f t="shared" si="110"/>
        <v>14.260416666666405</v>
      </c>
      <c r="I3504" s="7">
        <f t="shared" si="111"/>
        <v>14.260416666666405</v>
      </c>
    </row>
    <row r="3505" spans="1:9" x14ac:dyDescent="0.2">
      <c r="A3505" t="s">
        <v>3872</v>
      </c>
      <c r="B3505">
        <v>2.9834999999999998</v>
      </c>
      <c r="C3505">
        <v>4.1790000000000001E-2</v>
      </c>
      <c r="D3505">
        <v>269</v>
      </c>
      <c r="E3505" t="s">
        <v>3872</v>
      </c>
      <c r="F3505">
        <v>269</v>
      </c>
      <c r="G3505" s="1">
        <v>45195</v>
      </c>
      <c r="H3505" s="6">
        <f t="shared" si="110"/>
        <v>14.270833333333071</v>
      </c>
      <c r="I3505" s="7">
        <f t="shared" si="111"/>
        <v>14.270833333333071</v>
      </c>
    </row>
    <row r="3506" spans="1:9" x14ac:dyDescent="0.2">
      <c r="A3506" t="s">
        <v>3873</v>
      </c>
      <c r="B3506">
        <v>2.9470000000000001</v>
      </c>
      <c r="C3506">
        <v>4.1270000000000001E-2</v>
      </c>
      <c r="D3506">
        <v>269</v>
      </c>
      <c r="E3506" t="s">
        <v>3873</v>
      </c>
      <c r="F3506">
        <v>269</v>
      </c>
      <c r="G3506" s="1">
        <v>45195</v>
      </c>
      <c r="H3506" s="6">
        <f t="shared" si="110"/>
        <v>14.281249999999737</v>
      </c>
      <c r="I3506" s="7">
        <f t="shared" si="111"/>
        <v>14.281249999999737</v>
      </c>
    </row>
    <row r="3507" spans="1:9" x14ac:dyDescent="0.2">
      <c r="A3507" t="s">
        <v>3874</v>
      </c>
      <c r="B3507">
        <v>2.972</v>
      </c>
      <c r="C3507">
        <v>4.163E-2</v>
      </c>
      <c r="D3507">
        <v>269</v>
      </c>
      <c r="E3507" t="s">
        <v>3874</v>
      </c>
      <c r="F3507">
        <v>269</v>
      </c>
      <c r="G3507" s="1">
        <v>45195</v>
      </c>
      <c r="H3507" s="6">
        <f t="shared" si="110"/>
        <v>14.291666666666403</v>
      </c>
      <c r="I3507" s="7">
        <f t="shared" si="111"/>
        <v>14.291666666666403</v>
      </c>
    </row>
    <row r="3508" spans="1:9" x14ac:dyDescent="0.2">
      <c r="A3508" t="s">
        <v>3875</v>
      </c>
      <c r="B3508">
        <v>2.976</v>
      </c>
      <c r="C3508">
        <v>4.1689999999999998E-2</v>
      </c>
      <c r="D3508">
        <v>269</v>
      </c>
      <c r="E3508" t="s">
        <v>3875</v>
      </c>
      <c r="F3508">
        <v>269</v>
      </c>
      <c r="G3508" s="1">
        <v>45195</v>
      </c>
      <c r="H3508" s="6">
        <f t="shared" si="110"/>
        <v>14.302083333333069</v>
      </c>
      <c r="I3508" s="7">
        <f t="shared" si="111"/>
        <v>14.302083333333069</v>
      </c>
    </row>
    <row r="3509" spans="1:9" x14ac:dyDescent="0.2">
      <c r="A3509" t="s">
        <v>3876</v>
      </c>
      <c r="B3509">
        <v>2.9935</v>
      </c>
      <c r="C3509">
        <v>4.1904999999999998E-2</v>
      </c>
      <c r="D3509">
        <v>269</v>
      </c>
      <c r="E3509" t="s">
        <v>3876</v>
      </c>
      <c r="F3509">
        <v>269</v>
      </c>
      <c r="G3509" s="1">
        <v>45195</v>
      </c>
      <c r="H3509" s="6">
        <f t="shared" si="110"/>
        <v>14.312499999999735</v>
      </c>
      <c r="I3509" s="7">
        <f t="shared" si="111"/>
        <v>14.312499999999735</v>
      </c>
    </row>
    <row r="3510" spans="1:9" x14ac:dyDescent="0.2">
      <c r="A3510" t="s">
        <v>3877</v>
      </c>
      <c r="B3510">
        <v>2.9664999999999999</v>
      </c>
      <c r="C3510">
        <v>4.1540000000000001E-2</v>
      </c>
      <c r="D3510">
        <v>269</v>
      </c>
      <c r="E3510" t="s">
        <v>3877</v>
      </c>
      <c r="F3510">
        <v>269</v>
      </c>
      <c r="G3510" s="1">
        <v>45195</v>
      </c>
      <c r="H3510" s="6">
        <f t="shared" si="110"/>
        <v>14.322916666666401</v>
      </c>
      <c r="I3510" s="7">
        <f t="shared" si="111"/>
        <v>14.322916666666401</v>
      </c>
    </row>
    <row r="3511" spans="1:9" x14ac:dyDescent="0.2">
      <c r="A3511" t="s">
        <v>3878</v>
      </c>
      <c r="B3511">
        <v>2.9725000000000001</v>
      </c>
      <c r="C3511">
        <v>4.163E-2</v>
      </c>
      <c r="D3511">
        <v>269</v>
      </c>
      <c r="E3511" t="s">
        <v>3878</v>
      </c>
      <c r="F3511">
        <v>269</v>
      </c>
      <c r="G3511" s="1">
        <v>45195</v>
      </c>
      <c r="H3511" s="6">
        <f t="shared" si="110"/>
        <v>14.333333333333067</v>
      </c>
      <c r="I3511" s="7">
        <f t="shared" si="111"/>
        <v>14.333333333333067</v>
      </c>
    </row>
    <row r="3512" spans="1:9" x14ac:dyDescent="0.2">
      <c r="A3512" t="s">
        <v>3879</v>
      </c>
      <c r="B3512">
        <v>2.9994999999999998</v>
      </c>
      <c r="C3512">
        <v>4.2025E-2</v>
      </c>
      <c r="D3512">
        <v>269</v>
      </c>
      <c r="E3512" t="s">
        <v>3879</v>
      </c>
      <c r="F3512">
        <v>269</v>
      </c>
      <c r="G3512" s="1">
        <v>45195</v>
      </c>
      <c r="H3512" s="6">
        <f t="shared" si="110"/>
        <v>14.343749999999734</v>
      </c>
      <c r="I3512" s="7">
        <f t="shared" si="111"/>
        <v>14.343749999999734</v>
      </c>
    </row>
    <row r="3513" spans="1:9" x14ac:dyDescent="0.2">
      <c r="A3513" t="s">
        <v>3880</v>
      </c>
      <c r="B3513">
        <v>2.9765000000000001</v>
      </c>
      <c r="C3513">
        <v>4.1689999999999998E-2</v>
      </c>
      <c r="D3513">
        <v>269</v>
      </c>
      <c r="E3513" t="s">
        <v>3880</v>
      </c>
      <c r="F3513">
        <v>269</v>
      </c>
      <c r="G3513" s="1">
        <v>45195</v>
      </c>
      <c r="H3513" s="6">
        <f t="shared" si="110"/>
        <v>14.3541666666664</v>
      </c>
      <c r="I3513" s="7">
        <f t="shared" si="111"/>
        <v>14.3541666666664</v>
      </c>
    </row>
    <row r="3514" spans="1:9" x14ac:dyDescent="0.2">
      <c r="A3514" t="s">
        <v>3881</v>
      </c>
      <c r="B3514">
        <v>2.956</v>
      </c>
      <c r="C3514">
        <v>4.1384999999999998E-2</v>
      </c>
      <c r="D3514">
        <v>269</v>
      </c>
      <c r="E3514" t="s">
        <v>3881</v>
      </c>
      <c r="F3514">
        <v>269</v>
      </c>
      <c r="G3514" s="1">
        <v>45195</v>
      </c>
      <c r="H3514" s="6">
        <f t="shared" si="110"/>
        <v>14.364583333333066</v>
      </c>
      <c r="I3514" s="7">
        <f t="shared" si="111"/>
        <v>14.364583333333066</v>
      </c>
    </row>
    <row r="3515" spans="1:9" x14ac:dyDescent="0.2">
      <c r="A3515" t="s">
        <v>3882</v>
      </c>
      <c r="B3515" s="2" t="s">
        <v>3883</v>
      </c>
      <c r="C3515">
        <v>4.122E-2</v>
      </c>
      <c r="D3515">
        <v>269</v>
      </c>
      <c r="E3515" t="s">
        <v>3882</v>
      </c>
      <c r="F3515">
        <v>269</v>
      </c>
      <c r="G3515" s="1">
        <v>45195</v>
      </c>
      <c r="H3515" s="6">
        <f t="shared" si="110"/>
        <v>14.374999999999732</v>
      </c>
      <c r="I3515" s="7">
        <f t="shared" si="111"/>
        <v>14.374999999999732</v>
      </c>
    </row>
    <row r="3516" spans="1:9" x14ac:dyDescent="0.2">
      <c r="A3516" t="s">
        <v>3884</v>
      </c>
      <c r="B3516">
        <v>2.9609999999999999</v>
      </c>
      <c r="C3516">
        <v>4.147E-2</v>
      </c>
      <c r="D3516">
        <v>269</v>
      </c>
      <c r="E3516" t="s">
        <v>3884</v>
      </c>
      <c r="F3516">
        <v>269</v>
      </c>
      <c r="G3516" s="1">
        <v>45195</v>
      </c>
      <c r="H3516" s="6">
        <f t="shared" si="110"/>
        <v>14.385416666666398</v>
      </c>
      <c r="I3516" s="7">
        <f t="shared" si="111"/>
        <v>14.385416666666398</v>
      </c>
    </row>
    <row r="3517" spans="1:9" x14ac:dyDescent="0.2">
      <c r="A3517" t="s">
        <v>3885</v>
      </c>
      <c r="B3517">
        <v>2.9485000000000001</v>
      </c>
      <c r="C3517">
        <v>4.129E-2</v>
      </c>
      <c r="D3517">
        <v>269</v>
      </c>
      <c r="E3517" t="s">
        <v>3885</v>
      </c>
      <c r="F3517">
        <v>269</v>
      </c>
      <c r="G3517" s="1">
        <v>45195</v>
      </c>
      <c r="H3517" s="6">
        <f t="shared" si="110"/>
        <v>14.395833333333064</v>
      </c>
      <c r="I3517" s="7">
        <f t="shared" si="111"/>
        <v>14.395833333333064</v>
      </c>
    </row>
    <row r="3518" spans="1:9" x14ac:dyDescent="0.2">
      <c r="A3518" t="s">
        <v>3886</v>
      </c>
      <c r="B3518">
        <v>2.9430000000000001</v>
      </c>
      <c r="C3518">
        <v>4.122E-2</v>
      </c>
      <c r="D3518">
        <v>269</v>
      </c>
      <c r="E3518" t="s">
        <v>3886</v>
      </c>
      <c r="F3518">
        <v>269</v>
      </c>
      <c r="G3518" s="1">
        <v>45195</v>
      </c>
      <c r="H3518" s="6">
        <f t="shared" si="110"/>
        <v>14.40624999999973</v>
      </c>
      <c r="I3518" s="7">
        <f t="shared" si="111"/>
        <v>14.40624999999973</v>
      </c>
    </row>
    <row r="3519" spans="1:9" x14ac:dyDescent="0.2">
      <c r="A3519" t="s">
        <v>3887</v>
      </c>
      <c r="B3519">
        <v>2.9849999999999999</v>
      </c>
      <c r="C3519">
        <v>4.1814999999999998E-2</v>
      </c>
      <c r="D3519">
        <v>269</v>
      </c>
      <c r="E3519" t="s">
        <v>3887</v>
      </c>
      <c r="F3519">
        <v>269</v>
      </c>
      <c r="G3519" s="1">
        <v>45195</v>
      </c>
      <c r="H3519" s="6">
        <f t="shared" si="110"/>
        <v>14.416666666666396</v>
      </c>
      <c r="I3519" s="7">
        <f t="shared" si="111"/>
        <v>14.416666666666396</v>
      </c>
    </row>
    <row r="3520" spans="1:9" x14ac:dyDescent="0.2">
      <c r="A3520" t="s">
        <v>3888</v>
      </c>
      <c r="B3520">
        <v>2.9474999999999998</v>
      </c>
      <c r="C3520">
        <v>4.1305000000000001E-2</v>
      </c>
      <c r="D3520">
        <v>269</v>
      </c>
      <c r="E3520" t="s">
        <v>3888</v>
      </c>
      <c r="F3520">
        <v>269</v>
      </c>
      <c r="G3520" s="1">
        <v>45195</v>
      </c>
      <c r="H3520" s="6">
        <f t="shared" si="110"/>
        <v>14.427083333333062</v>
      </c>
      <c r="I3520" s="7">
        <f t="shared" si="111"/>
        <v>14.427083333333062</v>
      </c>
    </row>
    <row r="3521" spans="1:9" x14ac:dyDescent="0.2">
      <c r="A3521" t="s">
        <v>3889</v>
      </c>
      <c r="B3521">
        <v>3.782</v>
      </c>
      <c r="C3521">
        <v>5.2955000000000002E-2</v>
      </c>
      <c r="D3521">
        <v>269</v>
      </c>
      <c r="E3521" t="s">
        <v>3889</v>
      </c>
      <c r="F3521">
        <v>269</v>
      </c>
      <c r="G3521" s="1">
        <v>45195</v>
      </c>
      <c r="H3521" s="6">
        <f t="shared" si="110"/>
        <v>14.437499999999728</v>
      </c>
      <c r="I3521" s="7">
        <f t="shared" si="111"/>
        <v>14.437499999999728</v>
      </c>
    </row>
    <row r="3522" spans="1:9" x14ac:dyDescent="0.2">
      <c r="A3522" t="s">
        <v>3890</v>
      </c>
      <c r="B3522">
        <v>4.3244999999999996</v>
      </c>
      <c r="C3522">
        <v>6.0569999999999999E-2</v>
      </c>
      <c r="D3522">
        <v>269</v>
      </c>
      <c r="E3522" t="s">
        <v>3890</v>
      </c>
      <c r="F3522">
        <v>269</v>
      </c>
      <c r="G3522" s="1">
        <v>45195</v>
      </c>
      <c r="H3522" s="6">
        <f t="shared" si="110"/>
        <v>14.447916666666394</v>
      </c>
      <c r="I3522" s="7">
        <f t="shared" si="111"/>
        <v>14.447916666666394</v>
      </c>
    </row>
    <row r="3523" spans="1:9" x14ac:dyDescent="0.2">
      <c r="A3523" t="s">
        <v>3891</v>
      </c>
      <c r="B3523">
        <v>4.4329999999999998</v>
      </c>
      <c r="C3523">
        <v>6.2094999999999997E-2</v>
      </c>
      <c r="D3523">
        <v>269</v>
      </c>
      <c r="E3523" t="s">
        <v>3891</v>
      </c>
      <c r="F3523">
        <v>269</v>
      </c>
      <c r="G3523" s="1">
        <v>45195</v>
      </c>
      <c r="H3523" s="6">
        <f t="shared" si="110"/>
        <v>14.45833333333306</v>
      </c>
      <c r="I3523" s="7">
        <f t="shared" si="111"/>
        <v>14.45833333333306</v>
      </c>
    </row>
    <row r="3524" spans="1:9" x14ac:dyDescent="0.2">
      <c r="A3524" t="s">
        <v>3892</v>
      </c>
      <c r="B3524">
        <v>4.4340000000000002</v>
      </c>
      <c r="C3524">
        <v>6.2100000000000002E-2</v>
      </c>
      <c r="D3524">
        <v>269</v>
      </c>
      <c r="E3524" t="s">
        <v>3892</v>
      </c>
      <c r="F3524">
        <v>269</v>
      </c>
      <c r="G3524" s="1">
        <v>45195</v>
      </c>
      <c r="H3524" s="6">
        <f t="shared" si="110"/>
        <v>14.468749999999726</v>
      </c>
      <c r="I3524" s="7">
        <f t="shared" si="111"/>
        <v>14.468749999999726</v>
      </c>
    </row>
    <row r="3525" spans="1:9" x14ac:dyDescent="0.2">
      <c r="A3525" t="s">
        <v>3893</v>
      </c>
      <c r="B3525">
        <v>4.3979999999999997</v>
      </c>
      <c r="C3525">
        <v>6.1600000000000002E-2</v>
      </c>
      <c r="D3525">
        <v>269</v>
      </c>
      <c r="E3525" t="s">
        <v>3893</v>
      </c>
      <c r="F3525">
        <v>269</v>
      </c>
      <c r="G3525" s="1">
        <v>45195</v>
      </c>
      <c r="H3525" s="6">
        <f t="shared" si="110"/>
        <v>14.479166666666393</v>
      </c>
      <c r="I3525" s="7">
        <f t="shared" si="111"/>
        <v>14.479166666666393</v>
      </c>
    </row>
    <row r="3526" spans="1:9" x14ac:dyDescent="0.2">
      <c r="A3526" t="s">
        <v>3894</v>
      </c>
      <c r="B3526">
        <v>4.4225000000000003</v>
      </c>
      <c r="C3526">
        <v>6.1949999999999998E-2</v>
      </c>
      <c r="D3526">
        <v>269</v>
      </c>
      <c r="E3526" t="s">
        <v>3894</v>
      </c>
      <c r="F3526">
        <v>269</v>
      </c>
      <c r="G3526" s="1">
        <v>45195</v>
      </c>
      <c r="H3526" s="6">
        <f t="shared" si="110"/>
        <v>14.489583333333059</v>
      </c>
      <c r="I3526" s="7">
        <f t="shared" si="111"/>
        <v>14.489583333333059</v>
      </c>
    </row>
    <row r="3527" spans="1:9" x14ac:dyDescent="0.2">
      <c r="A3527" t="s">
        <v>3895</v>
      </c>
      <c r="B3527">
        <v>4.4085000000000001</v>
      </c>
      <c r="C3527">
        <v>6.1765E-2</v>
      </c>
      <c r="D3527">
        <v>269</v>
      </c>
      <c r="E3527" t="s">
        <v>3895</v>
      </c>
      <c r="F3527">
        <v>269</v>
      </c>
      <c r="G3527" s="1">
        <v>45195</v>
      </c>
      <c r="H3527" s="6">
        <f t="shared" si="110"/>
        <v>14.499999999999725</v>
      </c>
      <c r="I3527" s="7">
        <f t="shared" si="111"/>
        <v>14.499999999999725</v>
      </c>
    </row>
    <row r="3528" spans="1:9" x14ac:dyDescent="0.2">
      <c r="A3528" t="s">
        <v>3896</v>
      </c>
      <c r="B3528">
        <v>4.4305000000000003</v>
      </c>
      <c r="C3528">
        <v>6.2054999999999999E-2</v>
      </c>
      <c r="D3528">
        <v>269</v>
      </c>
      <c r="E3528" t="s">
        <v>3896</v>
      </c>
      <c r="F3528">
        <v>269</v>
      </c>
      <c r="G3528" s="1">
        <v>45195</v>
      </c>
      <c r="H3528" s="6">
        <f t="shared" si="110"/>
        <v>14.510416666666391</v>
      </c>
      <c r="I3528" s="7">
        <f t="shared" si="111"/>
        <v>14.510416666666391</v>
      </c>
    </row>
    <row r="3529" spans="1:9" x14ac:dyDescent="0.2">
      <c r="A3529" t="s">
        <v>3897</v>
      </c>
      <c r="B3529">
        <v>4.4470000000000001</v>
      </c>
      <c r="C3529">
        <v>6.2285E-2</v>
      </c>
      <c r="D3529">
        <v>269</v>
      </c>
      <c r="E3529" t="s">
        <v>3897</v>
      </c>
      <c r="F3529">
        <v>269</v>
      </c>
      <c r="G3529" s="1">
        <v>45195</v>
      </c>
      <c r="H3529" s="6">
        <f t="shared" si="110"/>
        <v>14.520833333333057</v>
      </c>
      <c r="I3529" s="7">
        <f t="shared" si="111"/>
        <v>14.520833333333057</v>
      </c>
    </row>
    <row r="3530" spans="1:9" x14ac:dyDescent="0.2">
      <c r="A3530" t="s">
        <v>3898</v>
      </c>
      <c r="B3530">
        <v>4.4394999999999998</v>
      </c>
      <c r="C3530">
        <v>6.2210000000000001E-2</v>
      </c>
      <c r="D3530">
        <v>269</v>
      </c>
      <c r="E3530" t="s">
        <v>3898</v>
      </c>
      <c r="F3530">
        <v>269</v>
      </c>
      <c r="G3530" s="1">
        <v>45195</v>
      </c>
      <c r="H3530" s="6">
        <f t="shared" si="110"/>
        <v>14.531249999999723</v>
      </c>
      <c r="I3530" s="7">
        <f t="shared" si="111"/>
        <v>14.531249999999723</v>
      </c>
    </row>
    <row r="3531" spans="1:9" x14ac:dyDescent="0.2">
      <c r="A3531" t="s">
        <v>3899</v>
      </c>
      <c r="B3531">
        <v>4.4725000000000001</v>
      </c>
      <c r="C3531">
        <v>6.2644999999999895E-2</v>
      </c>
      <c r="D3531">
        <v>269</v>
      </c>
      <c r="E3531" t="s">
        <v>3899</v>
      </c>
      <c r="F3531">
        <v>269</v>
      </c>
      <c r="G3531" s="1">
        <v>45195</v>
      </c>
      <c r="H3531" s="6">
        <f t="shared" si="110"/>
        <v>14.541666666666389</v>
      </c>
      <c r="I3531" s="7">
        <f t="shared" si="111"/>
        <v>14.541666666666389</v>
      </c>
    </row>
    <row r="3532" spans="1:9" x14ac:dyDescent="0.2">
      <c r="A3532" t="s">
        <v>3900</v>
      </c>
      <c r="B3532">
        <v>4.4984999999999999</v>
      </c>
      <c r="C3532">
        <v>6.3005000000000005E-2</v>
      </c>
      <c r="D3532">
        <v>269</v>
      </c>
      <c r="E3532" t="s">
        <v>3900</v>
      </c>
      <c r="F3532">
        <v>269</v>
      </c>
      <c r="G3532" s="1">
        <v>45195</v>
      </c>
      <c r="H3532" s="6">
        <f t="shared" si="110"/>
        <v>14.552083333333055</v>
      </c>
      <c r="I3532" s="7">
        <f t="shared" si="111"/>
        <v>14.552083333333055</v>
      </c>
    </row>
    <row r="3533" spans="1:9" x14ac:dyDescent="0.2">
      <c r="A3533" t="s">
        <v>3901</v>
      </c>
      <c r="B3533">
        <v>4.5545</v>
      </c>
      <c r="C3533">
        <v>6.3789999999999999E-2</v>
      </c>
      <c r="D3533">
        <v>269</v>
      </c>
      <c r="E3533" t="s">
        <v>3901</v>
      </c>
      <c r="F3533">
        <v>269</v>
      </c>
      <c r="G3533" s="1">
        <v>45195</v>
      </c>
      <c r="H3533" s="6">
        <f t="shared" si="110"/>
        <v>14.562499999999721</v>
      </c>
      <c r="I3533" s="7">
        <f t="shared" si="111"/>
        <v>14.562499999999721</v>
      </c>
    </row>
    <row r="3534" spans="1:9" x14ac:dyDescent="0.2">
      <c r="A3534" t="s">
        <v>3902</v>
      </c>
      <c r="B3534">
        <v>4.5780000000000003</v>
      </c>
      <c r="C3534">
        <v>6.4119999999999996E-2</v>
      </c>
      <c r="D3534">
        <v>269</v>
      </c>
      <c r="E3534" t="s">
        <v>3902</v>
      </c>
      <c r="F3534">
        <v>269</v>
      </c>
      <c r="G3534" s="1">
        <v>45195</v>
      </c>
      <c r="H3534" s="6">
        <f t="shared" si="110"/>
        <v>14.572916666666387</v>
      </c>
      <c r="I3534" s="7">
        <f t="shared" si="111"/>
        <v>14.572916666666387</v>
      </c>
    </row>
    <row r="3535" spans="1:9" x14ac:dyDescent="0.2">
      <c r="A3535" t="s">
        <v>3903</v>
      </c>
      <c r="B3535">
        <v>4.58</v>
      </c>
      <c r="C3535">
        <v>6.4134999999999998E-2</v>
      </c>
      <c r="D3535">
        <v>269</v>
      </c>
      <c r="E3535" t="s">
        <v>3903</v>
      </c>
      <c r="F3535">
        <v>269</v>
      </c>
      <c r="G3535" s="1">
        <v>45195</v>
      </c>
      <c r="H3535" s="6">
        <f t="shared" si="110"/>
        <v>14.583333333333053</v>
      </c>
      <c r="I3535" s="7">
        <f t="shared" si="111"/>
        <v>14.583333333333053</v>
      </c>
    </row>
    <row r="3536" spans="1:9" x14ac:dyDescent="0.2">
      <c r="A3536" t="s">
        <v>3904</v>
      </c>
      <c r="B3536">
        <v>4.6544999999999996</v>
      </c>
      <c r="C3536">
        <v>6.5184999999999896E-2</v>
      </c>
      <c r="D3536">
        <v>269</v>
      </c>
      <c r="E3536" t="s">
        <v>3904</v>
      </c>
      <c r="F3536">
        <v>269</v>
      </c>
      <c r="G3536" s="1">
        <v>45195</v>
      </c>
      <c r="H3536" s="6">
        <f t="shared" si="110"/>
        <v>14.593749999999719</v>
      </c>
      <c r="I3536" s="7">
        <f t="shared" si="111"/>
        <v>14.593749999999719</v>
      </c>
    </row>
    <row r="3537" spans="1:9" x14ac:dyDescent="0.2">
      <c r="A3537" t="s">
        <v>3905</v>
      </c>
      <c r="B3537">
        <v>4.7035</v>
      </c>
      <c r="C3537">
        <v>6.5865000000000007E-2</v>
      </c>
      <c r="D3537">
        <v>269</v>
      </c>
      <c r="E3537" t="s">
        <v>3905</v>
      </c>
      <c r="F3537">
        <v>269</v>
      </c>
      <c r="G3537" s="1">
        <v>45195</v>
      </c>
      <c r="H3537" s="6">
        <f t="shared" si="110"/>
        <v>14.604166666666385</v>
      </c>
      <c r="I3537" s="7">
        <f t="shared" si="111"/>
        <v>14.604166666666385</v>
      </c>
    </row>
    <row r="3538" spans="1:9" x14ac:dyDescent="0.2">
      <c r="A3538" t="s">
        <v>3906</v>
      </c>
      <c r="B3538">
        <v>4.7074999999999996</v>
      </c>
      <c r="C3538">
        <v>6.5939999999999999E-2</v>
      </c>
      <c r="D3538">
        <v>270</v>
      </c>
      <c r="E3538" t="s">
        <v>3906</v>
      </c>
      <c r="F3538">
        <v>269</v>
      </c>
      <c r="G3538" s="1">
        <v>45195</v>
      </c>
      <c r="H3538" s="6">
        <f t="shared" si="110"/>
        <v>14.614583333333051</v>
      </c>
      <c r="I3538" s="7">
        <f t="shared" si="111"/>
        <v>14.614583333333051</v>
      </c>
    </row>
    <row r="3539" spans="1:9" x14ac:dyDescent="0.2">
      <c r="A3539" t="s">
        <v>3907</v>
      </c>
      <c r="B3539">
        <v>4.7279999999999998</v>
      </c>
      <c r="C3539">
        <v>6.6214999999999996E-2</v>
      </c>
      <c r="D3539">
        <v>270</v>
      </c>
      <c r="E3539" t="s">
        <v>3907</v>
      </c>
      <c r="F3539">
        <v>269</v>
      </c>
      <c r="G3539" s="1">
        <v>45195</v>
      </c>
      <c r="H3539" s="6">
        <f t="shared" si="110"/>
        <v>14.624999999999718</v>
      </c>
      <c r="I3539" s="7">
        <f t="shared" si="111"/>
        <v>14.624999999999718</v>
      </c>
    </row>
    <row r="3540" spans="1:9" x14ac:dyDescent="0.2">
      <c r="A3540" t="s">
        <v>3908</v>
      </c>
      <c r="B3540">
        <v>4.782</v>
      </c>
      <c r="C3540">
        <v>6.6985000000000003E-2</v>
      </c>
      <c r="D3540">
        <v>270</v>
      </c>
      <c r="E3540" t="s">
        <v>3908</v>
      </c>
      <c r="F3540">
        <v>269</v>
      </c>
      <c r="G3540" s="1">
        <v>45195</v>
      </c>
      <c r="H3540" s="6">
        <f t="shared" si="110"/>
        <v>14.635416666666384</v>
      </c>
      <c r="I3540" s="7">
        <f t="shared" si="111"/>
        <v>14.635416666666384</v>
      </c>
    </row>
    <row r="3541" spans="1:9" x14ac:dyDescent="0.2">
      <c r="A3541" t="s">
        <v>3909</v>
      </c>
      <c r="B3541">
        <v>4.8014999999999999</v>
      </c>
      <c r="C3541">
        <v>6.7239999999999994E-2</v>
      </c>
      <c r="D3541">
        <v>270</v>
      </c>
      <c r="E3541" t="s">
        <v>3909</v>
      </c>
      <c r="F3541">
        <v>269</v>
      </c>
      <c r="G3541" s="1">
        <v>45195</v>
      </c>
      <c r="H3541" s="6">
        <f t="shared" si="110"/>
        <v>14.64583333333305</v>
      </c>
      <c r="I3541" s="7">
        <f t="shared" si="111"/>
        <v>14.64583333333305</v>
      </c>
    </row>
    <row r="3542" spans="1:9" x14ac:dyDescent="0.2">
      <c r="A3542" t="s">
        <v>3910</v>
      </c>
      <c r="B3542">
        <v>4.8155000000000001</v>
      </c>
      <c r="C3542">
        <v>6.7424999999999999E-2</v>
      </c>
      <c r="D3542">
        <v>270</v>
      </c>
      <c r="E3542" t="s">
        <v>3910</v>
      </c>
      <c r="F3542">
        <v>269</v>
      </c>
      <c r="G3542" s="1">
        <v>45195</v>
      </c>
      <c r="H3542" s="6">
        <f t="shared" si="110"/>
        <v>14.656249999999716</v>
      </c>
      <c r="I3542" s="7">
        <f t="shared" si="111"/>
        <v>14.656249999999716</v>
      </c>
    </row>
    <row r="3543" spans="1:9" x14ac:dyDescent="0.2">
      <c r="A3543" t="s">
        <v>3911</v>
      </c>
      <c r="B3543">
        <v>4.8304999999999998</v>
      </c>
      <c r="C3543">
        <v>6.7654999999999896E-2</v>
      </c>
      <c r="D3543">
        <v>270</v>
      </c>
      <c r="E3543" t="s">
        <v>3911</v>
      </c>
      <c r="F3543">
        <v>269</v>
      </c>
      <c r="G3543" s="1">
        <v>45195</v>
      </c>
      <c r="H3543" s="6">
        <f t="shared" si="110"/>
        <v>14.666666666666382</v>
      </c>
      <c r="I3543" s="7">
        <f t="shared" si="111"/>
        <v>14.666666666666382</v>
      </c>
    </row>
    <row r="3544" spans="1:9" x14ac:dyDescent="0.2">
      <c r="A3544" t="s">
        <v>3912</v>
      </c>
      <c r="B3544">
        <v>4.8825000000000003</v>
      </c>
      <c r="C3544">
        <v>6.8394999999999997E-2</v>
      </c>
      <c r="D3544">
        <v>270</v>
      </c>
      <c r="E3544" t="s">
        <v>3912</v>
      </c>
      <c r="F3544">
        <v>269</v>
      </c>
      <c r="G3544" s="1">
        <v>45195</v>
      </c>
      <c r="H3544" s="6">
        <f t="shared" si="110"/>
        <v>14.677083333333048</v>
      </c>
      <c r="I3544" s="7">
        <f t="shared" si="111"/>
        <v>14.677083333333048</v>
      </c>
    </row>
    <row r="3545" spans="1:9" x14ac:dyDescent="0.2">
      <c r="A3545" t="s">
        <v>3913</v>
      </c>
      <c r="B3545" s="2" t="s">
        <v>3914</v>
      </c>
      <c r="C3545">
        <v>6.8335000000000007E-2</v>
      </c>
      <c r="D3545">
        <v>270</v>
      </c>
      <c r="E3545" t="s">
        <v>3913</v>
      </c>
      <c r="F3545">
        <v>269</v>
      </c>
      <c r="G3545" s="1">
        <v>45195</v>
      </c>
      <c r="H3545" s="6">
        <f t="shared" si="110"/>
        <v>14.687499999999714</v>
      </c>
      <c r="I3545" s="7">
        <f t="shared" si="111"/>
        <v>14.687499999999714</v>
      </c>
    </row>
    <row r="3546" spans="1:9" x14ac:dyDescent="0.2">
      <c r="A3546" t="s">
        <v>3915</v>
      </c>
      <c r="B3546">
        <v>4.9009999999999998</v>
      </c>
      <c r="C3546">
        <v>6.8650000000000003E-2</v>
      </c>
      <c r="D3546">
        <v>270</v>
      </c>
      <c r="E3546" t="s">
        <v>3915</v>
      </c>
      <c r="F3546">
        <v>269</v>
      </c>
      <c r="G3546" s="1">
        <v>45195</v>
      </c>
      <c r="H3546" s="6">
        <f t="shared" si="110"/>
        <v>14.69791666666638</v>
      </c>
      <c r="I3546" s="7">
        <f t="shared" si="111"/>
        <v>14.69791666666638</v>
      </c>
    </row>
    <row r="3547" spans="1:9" x14ac:dyDescent="0.2">
      <c r="A3547" t="s">
        <v>3916</v>
      </c>
      <c r="B3547" s="2" t="s">
        <v>3917</v>
      </c>
      <c r="C3547">
        <v>6.8675E-2</v>
      </c>
      <c r="D3547">
        <v>270</v>
      </c>
      <c r="E3547" t="s">
        <v>3916</v>
      </c>
      <c r="F3547">
        <v>269</v>
      </c>
      <c r="G3547" s="1">
        <v>45195</v>
      </c>
      <c r="H3547" s="6">
        <f t="shared" si="110"/>
        <v>14.708333333333046</v>
      </c>
      <c r="I3547" s="7">
        <f t="shared" si="111"/>
        <v>14.708333333333046</v>
      </c>
    </row>
    <row r="3548" spans="1:9" x14ac:dyDescent="0.2">
      <c r="A3548" t="s">
        <v>3918</v>
      </c>
      <c r="B3548">
        <v>4.9290000000000003</v>
      </c>
      <c r="C3548">
        <v>6.905E-2</v>
      </c>
      <c r="D3548">
        <v>270</v>
      </c>
      <c r="E3548" t="s">
        <v>3918</v>
      </c>
      <c r="F3548">
        <v>269</v>
      </c>
      <c r="G3548" s="1">
        <v>45195</v>
      </c>
      <c r="H3548" s="6">
        <f t="shared" ref="H3548:H3611" si="112">H3547+$K$1</f>
        <v>14.718749999999712</v>
      </c>
      <c r="I3548" s="7">
        <f t="shared" ref="I3548:I3611" si="113">I3547+$K$1</f>
        <v>14.718749999999712</v>
      </c>
    </row>
    <row r="3549" spans="1:9" x14ac:dyDescent="0.2">
      <c r="A3549" t="s">
        <v>3919</v>
      </c>
      <c r="B3549">
        <v>4.984</v>
      </c>
      <c r="C3549">
        <v>6.9785E-2</v>
      </c>
      <c r="D3549">
        <v>270</v>
      </c>
      <c r="E3549" t="s">
        <v>3919</v>
      </c>
      <c r="F3549">
        <v>269</v>
      </c>
      <c r="G3549" s="1">
        <v>45195</v>
      </c>
      <c r="H3549" s="6">
        <f t="shared" si="112"/>
        <v>14.729166666666378</v>
      </c>
      <c r="I3549" s="7">
        <f t="shared" si="113"/>
        <v>14.729166666666378</v>
      </c>
    </row>
    <row r="3550" spans="1:9" x14ac:dyDescent="0.2">
      <c r="A3550" t="s">
        <v>3920</v>
      </c>
      <c r="B3550">
        <v>5.0140000000000002</v>
      </c>
      <c r="C3550">
        <v>7.0215E-2</v>
      </c>
      <c r="D3550">
        <v>270</v>
      </c>
      <c r="E3550" t="s">
        <v>3920</v>
      </c>
      <c r="F3550">
        <v>269</v>
      </c>
      <c r="G3550" s="1">
        <v>45195</v>
      </c>
      <c r="H3550" s="6">
        <f t="shared" si="112"/>
        <v>14.739583333333044</v>
      </c>
      <c r="I3550" s="7">
        <f t="shared" si="113"/>
        <v>14.739583333333044</v>
      </c>
    </row>
    <row r="3551" spans="1:9" x14ac:dyDescent="0.2">
      <c r="A3551" t="s">
        <v>3921</v>
      </c>
      <c r="B3551">
        <v>5.0095000000000001</v>
      </c>
      <c r="C3551">
        <v>7.0179999999999895E-2</v>
      </c>
      <c r="D3551">
        <v>270</v>
      </c>
      <c r="E3551" t="s">
        <v>3921</v>
      </c>
      <c r="F3551">
        <v>269</v>
      </c>
      <c r="G3551" s="1">
        <v>45195</v>
      </c>
      <c r="H3551" s="6">
        <f t="shared" si="112"/>
        <v>14.74999999999971</v>
      </c>
      <c r="I3551" s="7">
        <f t="shared" si="113"/>
        <v>14.74999999999971</v>
      </c>
    </row>
    <row r="3552" spans="1:9" x14ac:dyDescent="0.2">
      <c r="A3552" t="s">
        <v>3922</v>
      </c>
      <c r="B3552">
        <v>5.0404999999999998</v>
      </c>
      <c r="C3552">
        <v>7.0605000000000001E-2</v>
      </c>
      <c r="D3552">
        <v>270</v>
      </c>
      <c r="E3552" t="s">
        <v>3922</v>
      </c>
      <c r="F3552">
        <v>269</v>
      </c>
      <c r="G3552" s="1">
        <v>45195</v>
      </c>
      <c r="H3552" s="6">
        <f t="shared" si="112"/>
        <v>14.760416666666377</v>
      </c>
      <c r="I3552" s="7">
        <f t="shared" si="113"/>
        <v>14.760416666666377</v>
      </c>
    </row>
    <row r="3553" spans="1:9" x14ac:dyDescent="0.2">
      <c r="A3553" t="s">
        <v>3923</v>
      </c>
      <c r="B3553">
        <v>5.0659999999999998</v>
      </c>
      <c r="C3553">
        <v>7.0934999999999998E-2</v>
      </c>
      <c r="D3553">
        <v>270</v>
      </c>
      <c r="E3553" t="s">
        <v>3923</v>
      </c>
      <c r="F3553">
        <v>269</v>
      </c>
      <c r="G3553" s="1">
        <v>45195</v>
      </c>
      <c r="H3553" s="6">
        <f t="shared" si="112"/>
        <v>14.770833333333043</v>
      </c>
      <c r="I3553" s="7">
        <f t="shared" si="113"/>
        <v>14.770833333333043</v>
      </c>
    </row>
    <row r="3554" spans="1:9" x14ac:dyDescent="0.2">
      <c r="A3554" t="s">
        <v>3924</v>
      </c>
      <c r="B3554">
        <v>5.0860000000000003</v>
      </c>
      <c r="C3554">
        <v>7.1245000000000003E-2</v>
      </c>
      <c r="D3554">
        <v>270</v>
      </c>
      <c r="E3554" t="s">
        <v>3924</v>
      </c>
      <c r="F3554">
        <v>269</v>
      </c>
      <c r="G3554" s="1">
        <v>45195</v>
      </c>
      <c r="H3554" s="6">
        <f t="shared" si="112"/>
        <v>14.781249999999709</v>
      </c>
      <c r="I3554" s="7">
        <f t="shared" si="113"/>
        <v>14.781249999999709</v>
      </c>
    </row>
    <row r="3555" spans="1:9" x14ac:dyDescent="0.2">
      <c r="A3555" t="s">
        <v>3925</v>
      </c>
      <c r="B3555">
        <v>5.093</v>
      </c>
      <c r="C3555">
        <v>7.1345000000000006E-2</v>
      </c>
      <c r="D3555">
        <v>270</v>
      </c>
      <c r="E3555" t="s">
        <v>3925</v>
      </c>
      <c r="F3555">
        <v>269</v>
      </c>
      <c r="G3555" s="1">
        <v>45195</v>
      </c>
      <c r="H3555" s="6">
        <f t="shared" si="112"/>
        <v>14.791666666666375</v>
      </c>
      <c r="I3555" s="7">
        <f t="shared" si="113"/>
        <v>14.791666666666375</v>
      </c>
    </row>
    <row r="3556" spans="1:9" x14ac:dyDescent="0.2">
      <c r="A3556" t="s">
        <v>3926</v>
      </c>
      <c r="B3556">
        <v>5.1310000000000002</v>
      </c>
      <c r="C3556">
        <v>7.1855000000000002E-2</v>
      </c>
      <c r="D3556">
        <v>270</v>
      </c>
      <c r="E3556" t="s">
        <v>3926</v>
      </c>
      <c r="F3556">
        <v>269</v>
      </c>
      <c r="G3556" s="1">
        <v>45195</v>
      </c>
      <c r="H3556" s="6">
        <f t="shared" si="112"/>
        <v>14.802083333333041</v>
      </c>
      <c r="I3556" s="7">
        <f t="shared" si="113"/>
        <v>14.802083333333041</v>
      </c>
    </row>
    <row r="3557" spans="1:9" x14ac:dyDescent="0.2">
      <c r="A3557" t="s">
        <v>3927</v>
      </c>
      <c r="B3557">
        <v>5.1455000000000002</v>
      </c>
      <c r="C3557">
        <v>7.2065000000000004E-2</v>
      </c>
      <c r="D3557">
        <v>270</v>
      </c>
      <c r="E3557" t="s">
        <v>3927</v>
      </c>
      <c r="F3557">
        <v>269</v>
      </c>
      <c r="G3557" s="1">
        <v>45195</v>
      </c>
      <c r="H3557" s="6">
        <f t="shared" si="112"/>
        <v>14.812499999999707</v>
      </c>
      <c r="I3557" s="7">
        <f t="shared" si="113"/>
        <v>14.812499999999707</v>
      </c>
    </row>
    <row r="3558" spans="1:9" x14ac:dyDescent="0.2">
      <c r="A3558" t="s">
        <v>3928</v>
      </c>
      <c r="B3558">
        <v>5.1725000000000003</v>
      </c>
      <c r="C3558">
        <v>7.2444999999999996E-2</v>
      </c>
      <c r="D3558">
        <v>270</v>
      </c>
      <c r="E3558" t="s">
        <v>3928</v>
      </c>
      <c r="F3558">
        <v>269</v>
      </c>
      <c r="G3558" s="1">
        <v>45195</v>
      </c>
      <c r="H3558" s="6">
        <f t="shared" si="112"/>
        <v>14.822916666666373</v>
      </c>
      <c r="I3558" s="7">
        <f t="shared" si="113"/>
        <v>14.822916666666373</v>
      </c>
    </row>
    <row r="3559" spans="1:9" x14ac:dyDescent="0.2">
      <c r="A3559" t="s">
        <v>3929</v>
      </c>
      <c r="B3559">
        <v>5.2394999999999996</v>
      </c>
      <c r="C3559">
        <v>7.3400000000000007E-2</v>
      </c>
      <c r="D3559">
        <v>270</v>
      </c>
      <c r="E3559" t="s">
        <v>3929</v>
      </c>
      <c r="F3559">
        <v>269</v>
      </c>
      <c r="G3559" s="1">
        <v>45195</v>
      </c>
      <c r="H3559" s="6">
        <f t="shared" si="112"/>
        <v>14.833333333333039</v>
      </c>
      <c r="I3559" s="7">
        <f t="shared" si="113"/>
        <v>14.833333333333039</v>
      </c>
    </row>
    <row r="3560" spans="1:9" x14ac:dyDescent="0.2">
      <c r="A3560" t="s">
        <v>3930</v>
      </c>
      <c r="B3560">
        <v>5.242</v>
      </c>
      <c r="C3560">
        <v>7.3429999999999995E-2</v>
      </c>
      <c r="D3560">
        <v>270</v>
      </c>
      <c r="E3560" t="s">
        <v>3930</v>
      </c>
      <c r="F3560">
        <v>269</v>
      </c>
      <c r="G3560" s="1">
        <v>45195</v>
      </c>
      <c r="H3560" s="6">
        <f t="shared" si="112"/>
        <v>14.843749999999705</v>
      </c>
      <c r="I3560" s="7">
        <f t="shared" si="113"/>
        <v>14.843749999999705</v>
      </c>
    </row>
    <row r="3561" spans="1:9" x14ac:dyDescent="0.2">
      <c r="A3561" t="s">
        <v>3931</v>
      </c>
      <c r="B3561">
        <v>5.2234999999999996</v>
      </c>
      <c r="C3561">
        <v>7.3160000000000003E-2</v>
      </c>
      <c r="D3561">
        <v>270</v>
      </c>
      <c r="E3561" t="s">
        <v>3931</v>
      </c>
      <c r="F3561">
        <v>269</v>
      </c>
      <c r="G3561" s="1">
        <v>45195</v>
      </c>
      <c r="H3561" s="6">
        <f t="shared" si="112"/>
        <v>14.854166666666371</v>
      </c>
      <c r="I3561" s="7">
        <f t="shared" si="113"/>
        <v>14.854166666666371</v>
      </c>
    </row>
    <row r="3562" spans="1:9" x14ac:dyDescent="0.2">
      <c r="A3562" t="s">
        <v>3932</v>
      </c>
      <c r="B3562">
        <v>5.258</v>
      </c>
      <c r="C3562">
        <v>7.3649999999999993E-2</v>
      </c>
      <c r="D3562">
        <v>270</v>
      </c>
      <c r="E3562" t="s">
        <v>3932</v>
      </c>
      <c r="F3562">
        <v>270</v>
      </c>
      <c r="G3562" s="1">
        <v>45196</v>
      </c>
      <c r="H3562" s="6">
        <f t="shared" si="112"/>
        <v>14.864583333333037</v>
      </c>
      <c r="I3562" s="7">
        <f t="shared" si="113"/>
        <v>14.864583333333037</v>
      </c>
    </row>
    <row r="3563" spans="1:9" x14ac:dyDescent="0.2">
      <c r="A3563" t="s">
        <v>3933</v>
      </c>
      <c r="B3563">
        <v>5.2515000000000001</v>
      </c>
      <c r="C3563">
        <v>7.3550000000000004E-2</v>
      </c>
      <c r="D3563">
        <v>270</v>
      </c>
      <c r="E3563" t="s">
        <v>3933</v>
      </c>
      <c r="F3563">
        <v>270</v>
      </c>
      <c r="G3563" s="1">
        <v>45196</v>
      </c>
      <c r="H3563" s="6">
        <f t="shared" si="112"/>
        <v>14.874999999999703</v>
      </c>
      <c r="I3563" s="7">
        <f t="shared" si="113"/>
        <v>14.874999999999703</v>
      </c>
    </row>
    <row r="3564" spans="1:9" x14ac:dyDescent="0.2">
      <c r="A3564" t="s">
        <v>3934</v>
      </c>
      <c r="B3564">
        <v>5.2629999999999999</v>
      </c>
      <c r="C3564">
        <v>7.3719999999999994E-2</v>
      </c>
      <c r="D3564">
        <v>270</v>
      </c>
      <c r="E3564" t="s">
        <v>3934</v>
      </c>
      <c r="F3564">
        <v>270</v>
      </c>
      <c r="G3564" s="1">
        <v>45196</v>
      </c>
      <c r="H3564" s="6">
        <f t="shared" si="112"/>
        <v>14.885416666666369</v>
      </c>
      <c r="I3564" s="7">
        <f t="shared" si="113"/>
        <v>14.885416666666369</v>
      </c>
    </row>
    <row r="3565" spans="1:9" x14ac:dyDescent="0.2">
      <c r="A3565" t="s">
        <v>3935</v>
      </c>
      <c r="B3565">
        <v>5.2445000000000004</v>
      </c>
      <c r="C3565">
        <v>7.3459999999999998E-2</v>
      </c>
      <c r="D3565">
        <v>270</v>
      </c>
      <c r="E3565" t="s">
        <v>3935</v>
      </c>
      <c r="F3565">
        <v>270</v>
      </c>
      <c r="G3565" s="1">
        <v>45196</v>
      </c>
      <c r="H3565" s="6">
        <f t="shared" si="112"/>
        <v>14.895833333333035</v>
      </c>
      <c r="I3565" s="7">
        <f t="shared" si="113"/>
        <v>14.895833333333035</v>
      </c>
    </row>
    <row r="3566" spans="1:9" x14ac:dyDescent="0.2">
      <c r="A3566" t="s">
        <v>3936</v>
      </c>
      <c r="B3566" s="2" t="s">
        <v>3937</v>
      </c>
      <c r="C3566">
        <v>7.3609999999999995E-2</v>
      </c>
      <c r="D3566">
        <v>270</v>
      </c>
      <c r="E3566" t="s">
        <v>3936</v>
      </c>
      <c r="F3566">
        <v>270</v>
      </c>
      <c r="G3566" s="1">
        <v>45196</v>
      </c>
      <c r="H3566" s="6">
        <f t="shared" si="112"/>
        <v>14.906249999999702</v>
      </c>
      <c r="I3566" s="7">
        <f t="shared" si="113"/>
        <v>14.906249999999702</v>
      </c>
    </row>
    <row r="3567" spans="1:9" x14ac:dyDescent="0.2">
      <c r="A3567" t="s">
        <v>3938</v>
      </c>
      <c r="B3567">
        <v>5.2234999999999996</v>
      </c>
      <c r="C3567">
        <v>7.3175000000000004E-2</v>
      </c>
      <c r="D3567">
        <v>270</v>
      </c>
      <c r="E3567" t="s">
        <v>3938</v>
      </c>
      <c r="F3567">
        <v>270</v>
      </c>
      <c r="G3567" s="1">
        <v>45196</v>
      </c>
      <c r="H3567" s="6">
        <f t="shared" si="112"/>
        <v>14.916666666666368</v>
      </c>
      <c r="I3567" s="7">
        <f t="shared" si="113"/>
        <v>14.916666666666368</v>
      </c>
    </row>
    <row r="3568" spans="1:9" x14ac:dyDescent="0.2">
      <c r="A3568" t="s">
        <v>3939</v>
      </c>
      <c r="B3568">
        <v>5.2439999999999998</v>
      </c>
      <c r="C3568">
        <v>7.3440000000000005E-2</v>
      </c>
      <c r="D3568">
        <v>270</v>
      </c>
      <c r="E3568" t="s">
        <v>3939</v>
      </c>
      <c r="F3568">
        <v>270</v>
      </c>
      <c r="G3568" s="1">
        <v>45196</v>
      </c>
      <c r="H3568" s="6">
        <f t="shared" si="112"/>
        <v>14.927083333333034</v>
      </c>
      <c r="I3568" s="7">
        <f t="shared" si="113"/>
        <v>14.927083333333034</v>
      </c>
    </row>
    <row r="3569" spans="1:9" x14ac:dyDescent="0.2">
      <c r="A3569" t="s">
        <v>3940</v>
      </c>
      <c r="B3569">
        <v>5.2439999999999998</v>
      </c>
      <c r="C3569">
        <v>7.3454999999999895E-2</v>
      </c>
      <c r="D3569">
        <v>270</v>
      </c>
      <c r="E3569" t="s">
        <v>3940</v>
      </c>
      <c r="F3569">
        <v>270</v>
      </c>
      <c r="G3569" s="1">
        <v>45196</v>
      </c>
      <c r="H3569" s="6">
        <f t="shared" si="112"/>
        <v>14.9374999999997</v>
      </c>
      <c r="I3569" s="7">
        <f t="shared" si="113"/>
        <v>14.9374999999997</v>
      </c>
    </row>
    <row r="3570" spans="1:9" x14ac:dyDescent="0.2">
      <c r="A3570" t="s">
        <v>3941</v>
      </c>
      <c r="B3570">
        <v>5.2329999999999997</v>
      </c>
      <c r="C3570">
        <v>7.3294999999999999E-2</v>
      </c>
      <c r="D3570">
        <v>270</v>
      </c>
      <c r="E3570" t="s">
        <v>3941</v>
      </c>
      <c r="F3570">
        <v>270</v>
      </c>
      <c r="G3570" s="1">
        <v>45196</v>
      </c>
      <c r="H3570" s="6">
        <f t="shared" si="112"/>
        <v>14.947916666666366</v>
      </c>
      <c r="I3570" s="7">
        <f t="shared" si="113"/>
        <v>14.947916666666366</v>
      </c>
    </row>
    <row r="3571" spans="1:9" x14ac:dyDescent="0.2">
      <c r="A3571" t="s">
        <v>3942</v>
      </c>
      <c r="B3571">
        <v>5.2670000000000003</v>
      </c>
      <c r="C3571">
        <v>7.3770000000000002E-2</v>
      </c>
      <c r="D3571">
        <v>270</v>
      </c>
      <c r="E3571" t="s">
        <v>3942</v>
      </c>
      <c r="F3571">
        <v>270</v>
      </c>
      <c r="G3571" s="1">
        <v>45196</v>
      </c>
      <c r="H3571" s="6">
        <f t="shared" si="112"/>
        <v>14.958333333333032</v>
      </c>
      <c r="I3571" s="7">
        <f t="shared" si="113"/>
        <v>14.958333333333032</v>
      </c>
    </row>
    <row r="3572" spans="1:9" x14ac:dyDescent="0.2">
      <c r="A3572" t="s">
        <v>3943</v>
      </c>
      <c r="B3572">
        <v>5.2750000000000004</v>
      </c>
      <c r="C3572">
        <v>7.3885000000000006E-2</v>
      </c>
      <c r="D3572">
        <v>270</v>
      </c>
      <c r="E3572" t="s">
        <v>3943</v>
      </c>
      <c r="F3572">
        <v>270</v>
      </c>
      <c r="G3572" s="1">
        <v>45196</v>
      </c>
      <c r="H3572" s="6">
        <f t="shared" si="112"/>
        <v>14.968749999999698</v>
      </c>
      <c r="I3572" s="7">
        <f t="shared" si="113"/>
        <v>14.968749999999698</v>
      </c>
    </row>
    <row r="3573" spans="1:9" x14ac:dyDescent="0.2">
      <c r="A3573" t="s">
        <v>3944</v>
      </c>
      <c r="B3573" s="2" t="s">
        <v>3945</v>
      </c>
      <c r="C3573">
        <v>7.3685E-2</v>
      </c>
      <c r="D3573">
        <v>270</v>
      </c>
      <c r="E3573" t="s">
        <v>3944</v>
      </c>
      <c r="F3573">
        <v>270</v>
      </c>
      <c r="G3573" s="1">
        <v>45196</v>
      </c>
      <c r="H3573" s="6">
        <f t="shared" si="112"/>
        <v>14.979166666666364</v>
      </c>
      <c r="I3573" s="7">
        <f t="shared" si="113"/>
        <v>14.979166666666364</v>
      </c>
    </row>
    <row r="3574" spans="1:9" x14ac:dyDescent="0.2">
      <c r="A3574" t="s">
        <v>3946</v>
      </c>
      <c r="B3574">
        <v>5.2495000000000003</v>
      </c>
      <c r="C3574">
        <v>7.3539999999999994E-2</v>
      </c>
      <c r="D3574">
        <v>270</v>
      </c>
      <c r="E3574" t="s">
        <v>3946</v>
      </c>
      <c r="F3574">
        <v>270</v>
      </c>
      <c r="G3574" s="1">
        <v>45196</v>
      </c>
      <c r="H3574" s="6">
        <f t="shared" si="112"/>
        <v>14.98958333333303</v>
      </c>
      <c r="I3574" s="7">
        <f t="shared" si="113"/>
        <v>14.98958333333303</v>
      </c>
    </row>
    <row r="3575" spans="1:9" x14ac:dyDescent="0.2">
      <c r="A3575" t="s">
        <v>3947</v>
      </c>
      <c r="B3575">
        <v>5.2510000000000003</v>
      </c>
      <c r="C3575">
        <v>7.356E-2</v>
      </c>
      <c r="D3575">
        <v>270</v>
      </c>
      <c r="E3575" t="s">
        <v>3947</v>
      </c>
      <c r="F3575">
        <v>270</v>
      </c>
      <c r="G3575" s="1">
        <v>45196</v>
      </c>
      <c r="H3575" s="6">
        <f t="shared" si="112"/>
        <v>14.999999999999696</v>
      </c>
      <c r="I3575" s="7">
        <f t="shared" si="113"/>
        <v>14.999999999999696</v>
      </c>
    </row>
    <row r="3576" spans="1:9" x14ac:dyDescent="0.2">
      <c r="A3576" t="s">
        <v>3948</v>
      </c>
      <c r="B3576">
        <v>5.2454999999999998</v>
      </c>
      <c r="C3576">
        <v>7.3459999999999998E-2</v>
      </c>
      <c r="D3576">
        <v>270</v>
      </c>
      <c r="E3576" t="s">
        <v>3948</v>
      </c>
      <c r="F3576">
        <v>270</v>
      </c>
      <c r="G3576" s="1">
        <v>45196</v>
      </c>
      <c r="H3576" s="6">
        <f t="shared" si="112"/>
        <v>15.010416666666362</v>
      </c>
      <c r="I3576" s="7">
        <f t="shared" si="113"/>
        <v>15.010416666666362</v>
      </c>
    </row>
    <row r="3577" spans="1:9" x14ac:dyDescent="0.2">
      <c r="A3577" t="s">
        <v>3949</v>
      </c>
      <c r="B3577">
        <v>5.2195</v>
      </c>
      <c r="C3577">
        <v>7.3109999999999994E-2</v>
      </c>
      <c r="D3577">
        <v>270</v>
      </c>
      <c r="E3577" t="s">
        <v>3949</v>
      </c>
      <c r="F3577">
        <v>270</v>
      </c>
      <c r="G3577" s="1">
        <v>45196</v>
      </c>
      <c r="H3577" s="6">
        <f t="shared" si="112"/>
        <v>15.020833333333028</v>
      </c>
      <c r="I3577" s="7">
        <f t="shared" si="113"/>
        <v>15.020833333333028</v>
      </c>
    </row>
    <row r="3578" spans="1:9" x14ac:dyDescent="0.2">
      <c r="A3578" t="s">
        <v>3950</v>
      </c>
      <c r="B3578">
        <v>5.2480000000000002</v>
      </c>
      <c r="C3578">
        <v>7.3510000000000006E-2</v>
      </c>
      <c r="D3578">
        <v>270</v>
      </c>
      <c r="E3578" t="s">
        <v>3950</v>
      </c>
      <c r="F3578">
        <v>270</v>
      </c>
      <c r="G3578" s="1">
        <v>45196</v>
      </c>
      <c r="H3578" s="6">
        <f t="shared" si="112"/>
        <v>15.031249999999694</v>
      </c>
      <c r="I3578" s="7">
        <f t="shared" si="113"/>
        <v>15.031249999999694</v>
      </c>
    </row>
    <row r="3579" spans="1:9" x14ac:dyDescent="0.2">
      <c r="A3579" t="s">
        <v>3951</v>
      </c>
      <c r="B3579">
        <v>5.2355</v>
      </c>
      <c r="C3579">
        <v>7.3330000000000006E-2</v>
      </c>
      <c r="D3579">
        <v>270</v>
      </c>
      <c r="E3579" t="s">
        <v>3951</v>
      </c>
      <c r="F3579">
        <v>270</v>
      </c>
      <c r="G3579" s="1">
        <v>45196</v>
      </c>
      <c r="H3579" s="6">
        <f t="shared" si="112"/>
        <v>15.041666666666361</v>
      </c>
      <c r="I3579" s="7">
        <f t="shared" si="113"/>
        <v>15.041666666666361</v>
      </c>
    </row>
    <row r="3580" spans="1:9" x14ac:dyDescent="0.2">
      <c r="A3580" t="s">
        <v>3952</v>
      </c>
      <c r="B3580">
        <v>5.1980000000000004</v>
      </c>
      <c r="C3580">
        <v>7.2815000000000005E-2</v>
      </c>
      <c r="D3580">
        <v>270</v>
      </c>
      <c r="E3580" t="s">
        <v>3952</v>
      </c>
      <c r="F3580">
        <v>270</v>
      </c>
      <c r="G3580" s="1">
        <v>45196</v>
      </c>
      <c r="H3580" s="6">
        <f t="shared" si="112"/>
        <v>15.052083333333027</v>
      </c>
      <c r="I3580" s="7">
        <f t="shared" si="113"/>
        <v>15.052083333333027</v>
      </c>
    </row>
    <row r="3581" spans="1:9" x14ac:dyDescent="0.2">
      <c r="A3581" t="s">
        <v>3953</v>
      </c>
      <c r="B3581">
        <v>5.2134999999999998</v>
      </c>
      <c r="C3581">
        <v>7.3025000000000007E-2</v>
      </c>
      <c r="D3581">
        <v>270</v>
      </c>
      <c r="E3581" t="s">
        <v>3953</v>
      </c>
      <c r="F3581">
        <v>270</v>
      </c>
      <c r="G3581" s="1">
        <v>45196</v>
      </c>
      <c r="H3581" s="6">
        <f t="shared" si="112"/>
        <v>15.062499999999693</v>
      </c>
      <c r="I3581" s="7">
        <f t="shared" si="113"/>
        <v>15.062499999999693</v>
      </c>
    </row>
    <row r="3582" spans="1:9" x14ac:dyDescent="0.2">
      <c r="A3582" t="s">
        <v>3954</v>
      </c>
      <c r="B3582">
        <v>5.2164999999999999</v>
      </c>
      <c r="C3582">
        <v>7.3069999999999996E-2</v>
      </c>
      <c r="D3582">
        <v>270</v>
      </c>
      <c r="E3582" t="s">
        <v>3954</v>
      </c>
      <c r="F3582">
        <v>270</v>
      </c>
      <c r="G3582" s="1">
        <v>45196</v>
      </c>
      <c r="H3582" s="6">
        <f t="shared" si="112"/>
        <v>15.072916666666359</v>
      </c>
      <c r="I3582" s="7">
        <f t="shared" si="113"/>
        <v>15.072916666666359</v>
      </c>
    </row>
    <row r="3583" spans="1:9" x14ac:dyDescent="0.2">
      <c r="A3583" t="s">
        <v>3955</v>
      </c>
      <c r="B3583">
        <v>5.2240000000000002</v>
      </c>
      <c r="C3583">
        <v>7.3160000000000003E-2</v>
      </c>
      <c r="D3583">
        <v>270</v>
      </c>
      <c r="E3583" t="s">
        <v>3955</v>
      </c>
      <c r="F3583">
        <v>270</v>
      </c>
      <c r="G3583" s="1">
        <v>45196</v>
      </c>
      <c r="H3583" s="6">
        <f t="shared" si="112"/>
        <v>15.083333333333025</v>
      </c>
      <c r="I3583" s="7">
        <f t="shared" si="113"/>
        <v>15.083333333333025</v>
      </c>
    </row>
    <row r="3584" spans="1:9" x14ac:dyDescent="0.2">
      <c r="A3584" t="s">
        <v>3956</v>
      </c>
      <c r="B3584">
        <v>5.2255000000000003</v>
      </c>
      <c r="C3584">
        <v>7.3190000000000005E-2</v>
      </c>
      <c r="D3584">
        <v>270</v>
      </c>
      <c r="E3584" t="s">
        <v>3956</v>
      </c>
      <c r="F3584">
        <v>270</v>
      </c>
      <c r="G3584" s="1">
        <v>45196</v>
      </c>
      <c r="H3584" s="6">
        <f t="shared" si="112"/>
        <v>15.093749999999691</v>
      </c>
      <c r="I3584" s="7">
        <f t="shared" si="113"/>
        <v>15.093749999999691</v>
      </c>
    </row>
    <row r="3585" spans="1:9" x14ac:dyDescent="0.2">
      <c r="A3585" t="s">
        <v>3957</v>
      </c>
      <c r="B3585">
        <v>5.2244999999999999</v>
      </c>
      <c r="C3585">
        <v>7.3164999999999994E-2</v>
      </c>
      <c r="D3585">
        <v>270</v>
      </c>
      <c r="E3585" t="s">
        <v>3957</v>
      </c>
      <c r="F3585">
        <v>270</v>
      </c>
      <c r="G3585" s="1">
        <v>45196</v>
      </c>
      <c r="H3585" s="6">
        <f t="shared" si="112"/>
        <v>15.104166666666357</v>
      </c>
      <c r="I3585" s="7">
        <f t="shared" si="113"/>
        <v>15.104166666666357</v>
      </c>
    </row>
    <row r="3586" spans="1:9" x14ac:dyDescent="0.2">
      <c r="A3586" t="s">
        <v>3958</v>
      </c>
      <c r="B3586">
        <v>5.2164999999999999</v>
      </c>
      <c r="C3586">
        <v>7.3075000000000001E-2</v>
      </c>
      <c r="D3586">
        <v>270</v>
      </c>
      <c r="E3586" t="s">
        <v>3958</v>
      </c>
      <c r="F3586">
        <v>270</v>
      </c>
      <c r="G3586" s="1">
        <v>45196</v>
      </c>
      <c r="H3586" s="6">
        <f t="shared" si="112"/>
        <v>15.114583333333023</v>
      </c>
      <c r="I3586" s="7">
        <f t="shared" si="113"/>
        <v>15.114583333333023</v>
      </c>
    </row>
    <row r="3587" spans="1:9" x14ac:dyDescent="0.2">
      <c r="A3587" t="s">
        <v>3959</v>
      </c>
      <c r="B3587">
        <v>5.2350000000000003</v>
      </c>
      <c r="C3587">
        <v>7.3319999999999996E-2</v>
      </c>
      <c r="D3587">
        <v>270</v>
      </c>
      <c r="E3587" t="s">
        <v>3959</v>
      </c>
      <c r="F3587">
        <v>270</v>
      </c>
      <c r="G3587" s="1">
        <v>45196</v>
      </c>
      <c r="H3587" s="6">
        <f t="shared" si="112"/>
        <v>15.124999999999689</v>
      </c>
      <c r="I3587" s="7">
        <f t="shared" si="113"/>
        <v>15.124999999999689</v>
      </c>
    </row>
    <row r="3588" spans="1:9" x14ac:dyDescent="0.2">
      <c r="A3588" t="s">
        <v>3960</v>
      </c>
      <c r="B3588">
        <v>5.2320000000000002</v>
      </c>
      <c r="C3588">
        <v>7.3300000000000004E-2</v>
      </c>
      <c r="D3588">
        <v>270</v>
      </c>
      <c r="E3588" t="s">
        <v>3960</v>
      </c>
      <c r="F3588">
        <v>270</v>
      </c>
      <c r="G3588" s="1">
        <v>45196</v>
      </c>
      <c r="H3588" s="6">
        <f t="shared" si="112"/>
        <v>15.135416666666355</v>
      </c>
      <c r="I3588" s="7">
        <f t="shared" si="113"/>
        <v>15.135416666666355</v>
      </c>
    </row>
    <row r="3589" spans="1:9" x14ac:dyDescent="0.2">
      <c r="A3589" t="s">
        <v>3961</v>
      </c>
      <c r="B3589">
        <v>5.218</v>
      </c>
      <c r="C3589">
        <v>7.3109999999999994E-2</v>
      </c>
      <c r="D3589">
        <v>270</v>
      </c>
      <c r="E3589" t="s">
        <v>3961</v>
      </c>
      <c r="F3589">
        <v>270</v>
      </c>
      <c r="G3589" s="1">
        <v>45196</v>
      </c>
      <c r="H3589" s="6">
        <f t="shared" si="112"/>
        <v>15.145833333333021</v>
      </c>
      <c r="I3589" s="7">
        <f t="shared" si="113"/>
        <v>15.145833333333021</v>
      </c>
    </row>
    <row r="3590" spans="1:9" x14ac:dyDescent="0.2">
      <c r="A3590" t="s">
        <v>3962</v>
      </c>
      <c r="B3590">
        <v>5.2039999999999997</v>
      </c>
      <c r="C3590">
        <v>7.2874999999999995E-2</v>
      </c>
      <c r="D3590">
        <v>270</v>
      </c>
      <c r="E3590" t="s">
        <v>3962</v>
      </c>
      <c r="F3590">
        <v>270</v>
      </c>
      <c r="G3590" s="1">
        <v>45196</v>
      </c>
      <c r="H3590" s="6">
        <f t="shared" si="112"/>
        <v>15.156249999999687</v>
      </c>
      <c r="I3590" s="7">
        <f t="shared" si="113"/>
        <v>15.156249999999687</v>
      </c>
    </row>
    <row r="3591" spans="1:9" x14ac:dyDescent="0.2">
      <c r="A3591" t="s">
        <v>3963</v>
      </c>
      <c r="B3591">
        <v>5.2244999999999999</v>
      </c>
      <c r="C3591">
        <v>7.3190000000000005E-2</v>
      </c>
      <c r="D3591">
        <v>270</v>
      </c>
      <c r="E3591" t="s">
        <v>3963</v>
      </c>
      <c r="F3591">
        <v>270</v>
      </c>
      <c r="G3591" s="1">
        <v>45196</v>
      </c>
      <c r="H3591" s="6">
        <f t="shared" si="112"/>
        <v>15.166666666666353</v>
      </c>
      <c r="I3591" s="7">
        <f t="shared" si="113"/>
        <v>15.166666666666353</v>
      </c>
    </row>
    <row r="3592" spans="1:9" x14ac:dyDescent="0.2">
      <c r="A3592" t="s">
        <v>3964</v>
      </c>
      <c r="B3592">
        <v>5.2154999999999996</v>
      </c>
      <c r="C3592">
        <v>7.3050000000000004E-2</v>
      </c>
      <c r="D3592">
        <v>270</v>
      </c>
      <c r="E3592" t="s">
        <v>3964</v>
      </c>
      <c r="F3592">
        <v>270</v>
      </c>
      <c r="G3592" s="1">
        <v>45196</v>
      </c>
      <c r="H3592" s="6">
        <f t="shared" si="112"/>
        <v>15.17708333333302</v>
      </c>
      <c r="I3592" s="7">
        <f t="shared" si="113"/>
        <v>15.17708333333302</v>
      </c>
    </row>
    <row r="3593" spans="1:9" x14ac:dyDescent="0.2">
      <c r="A3593" t="s">
        <v>3965</v>
      </c>
      <c r="B3593">
        <v>5.2359999999999998</v>
      </c>
      <c r="C3593">
        <v>7.3349999999999999E-2</v>
      </c>
      <c r="D3593">
        <v>270</v>
      </c>
      <c r="E3593" t="s">
        <v>3965</v>
      </c>
      <c r="F3593">
        <v>270</v>
      </c>
      <c r="G3593" s="1">
        <v>45196</v>
      </c>
      <c r="H3593" s="6">
        <f t="shared" si="112"/>
        <v>15.187499999999686</v>
      </c>
      <c r="I3593" s="7">
        <f t="shared" si="113"/>
        <v>15.187499999999686</v>
      </c>
    </row>
    <row r="3594" spans="1:9" x14ac:dyDescent="0.2">
      <c r="A3594" t="s">
        <v>3966</v>
      </c>
      <c r="B3594">
        <v>5.2164999999999999</v>
      </c>
      <c r="C3594">
        <v>7.3080000000000006E-2</v>
      </c>
      <c r="D3594">
        <v>270</v>
      </c>
      <c r="E3594" t="s">
        <v>3966</v>
      </c>
      <c r="F3594">
        <v>270</v>
      </c>
      <c r="G3594" s="1">
        <v>45196</v>
      </c>
      <c r="H3594" s="6">
        <f t="shared" si="112"/>
        <v>15.197916666666352</v>
      </c>
      <c r="I3594" s="7">
        <f t="shared" si="113"/>
        <v>15.197916666666352</v>
      </c>
    </row>
    <row r="3595" spans="1:9" x14ac:dyDescent="0.2">
      <c r="A3595" t="s">
        <v>3967</v>
      </c>
      <c r="B3595">
        <v>5.1970000000000001</v>
      </c>
      <c r="C3595">
        <v>7.2785000000000002E-2</v>
      </c>
      <c r="D3595">
        <v>270</v>
      </c>
      <c r="E3595" t="s">
        <v>3967</v>
      </c>
      <c r="F3595">
        <v>270</v>
      </c>
      <c r="G3595" s="1">
        <v>45196</v>
      </c>
      <c r="H3595" s="6">
        <f t="shared" si="112"/>
        <v>15.208333333333018</v>
      </c>
      <c r="I3595" s="7">
        <f t="shared" si="113"/>
        <v>15.208333333333018</v>
      </c>
    </row>
    <row r="3596" spans="1:9" x14ac:dyDescent="0.2">
      <c r="A3596" t="s">
        <v>3968</v>
      </c>
      <c r="B3596">
        <v>5.218</v>
      </c>
      <c r="C3596">
        <v>7.3099999999999998E-2</v>
      </c>
      <c r="D3596">
        <v>270</v>
      </c>
      <c r="E3596" t="s">
        <v>3968</v>
      </c>
      <c r="F3596">
        <v>270</v>
      </c>
      <c r="G3596" s="1">
        <v>45196</v>
      </c>
      <c r="H3596" s="6">
        <f t="shared" si="112"/>
        <v>15.218749999999684</v>
      </c>
      <c r="I3596" s="7">
        <f t="shared" si="113"/>
        <v>15.218749999999684</v>
      </c>
    </row>
    <row r="3597" spans="1:9" x14ac:dyDescent="0.2">
      <c r="A3597" t="s">
        <v>3969</v>
      </c>
      <c r="B3597">
        <v>5.1875</v>
      </c>
      <c r="C3597">
        <v>7.2654999999999997E-2</v>
      </c>
      <c r="D3597">
        <v>270</v>
      </c>
      <c r="E3597" t="s">
        <v>3969</v>
      </c>
      <c r="F3597">
        <v>270</v>
      </c>
      <c r="G3597" s="1">
        <v>45196</v>
      </c>
      <c r="H3597" s="6">
        <f t="shared" si="112"/>
        <v>15.22916666666635</v>
      </c>
      <c r="I3597" s="7">
        <f t="shared" si="113"/>
        <v>15.22916666666635</v>
      </c>
    </row>
    <row r="3598" spans="1:9" x14ac:dyDescent="0.2">
      <c r="A3598" t="s">
        <v>3970</v>
      </c>
      <c r="B3598">
        <v>5.1635</v>
      </c>
      <c r="C3598">
        <v>7.2325E-2</v>
      </c>
      <c r="D3598">
        <v>270</v>
      </c>
      <c r="E3598" t="s">
        <v>3970</v>
      </c>
      <c r="F3598">
        <v>270</v>
      </c>
      <c r="G3598" s="1">
        <v>45196</v>
      </c>
      <c r="H3598" s="6">
        <f t="shared" si="112"/>
        <v>15.239583333333016</v>
      </c>
      <c r="I3598" s="7">
        <f t="shared" si="113"/>
        <v>15.239583333333016</v>
      </c>
    </row>
    <row r="3599" spans="1:9" x14ac:dyDescent="0.2">
      <c r="A3599" t="s">
        <v>3971</v>
      </c>
      <c r="B3599">
        <v>5.1580000000000004</v>
      </c>
      <c r="C3599">
        <v>7.2249999999999995E-2</v>
      </c>
      <c r="D3599">
        <v>270</v>
      </c>
      <c r="E3599" t="s">
        <v>3971</v>
      </c>
      <c r="F3599">
        <v>270</v>
      </c>
      <c r="G3599" s="1">
        <v>45196</v>
      </c>
      <c r="H3599" s="6">
        <f t="shared" si="112"/>
        <v>15.249999999999682</v>
      </c>
      <c r="I3599" s="7">
        <f t="shared" si="113"/>
        <v>15.249999999999682</v>
      </c>
    </row>
    <row r="3600" spans="1:9" x14ac:dyDescent="0.2">
      <c r="A3600" t="s">
        <v>3972</v>
      </c>
      <c r="B3600">
        <v>5.1189999999999998</v>
      </c>
      <c r="C3600">
        <v>7.1690000000000004E-2</v>
      </c>
      <c r="D3600">
        <v>270</v>
      </c>
      <c r="E3600" t="s">
        <v>3972</v>
      </c>
      <c r="F3600">
        <v>270</v>
      </c>
      <c r="G3600" s="1">
        <v>45196</v>
      </c>
      <c r="H3600" s="6">
        <f t="shared" si="112"/>
        <v>15.260416666666348</v>
      </c>
      <c r="I3600" s="7">
        <f t="shared" si="113"/>
        <v>15.260416666666348</v>
      </c>
    </row>
    <row r="3601" spans="1:9" x14ac:dyDescent="0.2">
      <c r="A3601" t="s">
        <v>3973</v>
      </c>
      <c r="B3601">
        <v>5.0970000000000004</v>
      </c>
      <c r="C3601">
        <v>7.1404999999999996E-2</v>
      </c>
      <c r="D3601">
        <v>270</v>
      </c>
      <c r="E3601" t="s">
        <v>3973</v>
      </c>
      <c r="F3601">
        <v>270</v>
      </c>
      <c r="G3601" s="1">
        <v>45196</v>
      </c>
      <c r="H3601" s="6">
        <f t="shared" si="112"/>
        <v>15.270833333333014</v>
      </c>
      <c r="I3601" s="7">
        <f t="shared" si="113"/>
        <v>15.270833333333014</v>
      </c>
    </row>
    <row r="3602" spans="1:9" x14ac:dyDescent="0.2">
      <c r="A3602" t="s">
        <v>3974</v>
      </c>
      <c r="B3602">
        <v>5.0145</v>
      </c>
      <c r="C3602">
        <v>7.0230000000000001E-2</v>
      </c>
      <c r="D3602">
        <v>270</v>
      </c>
      <c r="E3602" t="s">
        <v>3974</v>
      </c>
      <c r="F3602">
        <v>270</v>
      </c>
      <c r="G3602" s="1">
        <v>45196</v>
      </c>
      <c r="H3602" s="6">
        <f t="shared" si="112"/>
        <v>15.28124999999968</v>
      </c>
      <c r="I3602" s="7">
        <f t="shared" si="113"/>
        <v>15.28124999999968</v>
      </c>
    </row>
    <row r="3603" spans="1:9" x14ac:dyDescent="0.2">
      <c r="A3603" t="s">
        <v>3975</v>
      </c>
      <c r="B3603">
        <v>4.9995000000000003</v>
      </c>
      <c r="C3603">
        <v>7.0019999999999999E-2</v>
      </c>
      <c r="D3603">
        <v>270</v>
      </c>
      <c r="E3603" t="s">
        <v>3975</v>
      </c>
      <c r="F3603">
        <v>270</v>
      </c>
      <c r="G3603" s="1">
        <v>45196</v>
      </c>
      <c r="H3603" s="6">
        <f t="shared" si="112"/>
        <v>15.291666666666346</v>
      </c>
      <c r="I3603" s="7">
        <f t="shared" si="113"/>
        <v>15.291666666666346</v>
      </c>
    </row>
    <row r="3604" spans="1:9" x14ac:dyDescent="0.2">
      <c r="A3604" t="s">
        <v>3976</v>
      </c>
      <c r="B3604">
        <v>4.9630000000000001</v>
      </c>
      <c r="C3604">
        <v>6.9514999999999993E-2</v>
      </c>
      <c r="D3604">
        <v>270</v>
      </c>
      <c r="E3604" t="s">
        <v>3976</v>
      </c>
      <c r="F3604">
        <v>270</v>
      </c>
      <c r="G3604" s="1">
        <v>45196</v>
      </c>
      <c r="H3604" s="6">
        <f t="shared" si="112"/>
        <v>15.302083333333012</v>
      </c>
      <c r="I3604" s="7">
        <f t="shared" si="113"/>
        <v>15.302083333333012</v>
      </c>
    </row>
    <row r="3605" spans="1:9" x14ac:dyDescent="0.2">
      <c r="A3605" t="s">
        <v>3977</v>
      </c>
      <c r="B3605">
        <v>4.9135</v>
      </c>
      <c r="C3605">
        <v>6.8809999999999996E-2</v>
      </c>
      <c r="D3605">
        <v>270</v>
      </c>
      <c r="E3605" t="s">
        <v>3977</v>
      </c>
      <c r="F3605">
        <v>270</v>
      </c>
      <c r="G3605" s="1">
        <v>45196</v>
      </c>
      <c r="H3605" s="6">
        <f t="shared" si="112"/>
        <v>15.312499999999678</v>
      </c>
      <c r="I3605" s="7">
        <f t="shared" si="113"/>
        <v>15.312499999999678</v>
      </c>
    </row>
    <row r="3606" spans="1:9" x14ac:dyDescent="0.2">
      <c r="A3606" t="s">
        <v>3978</v>
      </c>
      <c r="B3606">
        <v>4.8315000000000001</v>
      </c>
      <c r="C3606">
        <v>6.7665000000000003E-2</v>
      </c>
      <c r="D3606">
        <v>270</v>
      </c>
      <c r="E3606" t="s">
        <v>3978</v>
      </c>
      <c r="F3606">
        <v>270</v>
      </c>
      <c r="G3606" s="1">
        <v>45196</v>
      </c>
      <c r="H3606" s="6">
        <f t="shared" si="112"/>
        <v>15.322916666666345</v>
      </c>
      <c r="I3606" s="7">
        <f t="shared" si="113"/>
        <v>15.322916666666345</v>
      </c>
    </row>
    <row r="3607" spans="1:9" x14ac:dyDescent="0.2">
      <c r="A3607" t="s">
        <v>3979</v>
      </c>
      <c r="B3607">
        <v>4.8254999999999999</v>
      </c>
      <c r="C3607">
        <v>6.7595000000000002E-2</v>
      </c>
      <c r="D3607">
        <v>270</v>
      </c>
      <c r="E3607" t="s">
        <v>3979</v>
      </c>
      <c r="F3607">
        <v>270</v>
      </c>
      <c r="G3607" s="1">
        <v>45196</v>
      </c>
      <c r="H3607" s="6">
        <f t="shared" si="112"/>
        <v>15.333333333333011</v>
      </c>
      <c r="I3607" s="7">
        <f t="shared" si="113"/>
        <v>15.333333333333011</v>
      </c>
    </row>
    <row r="3608" spans="1:9" x14ac:dyDescent="0.2">
      <c r="A3608" t="s">
        <v>3980</v>
      </c>
      <c r="B3608">
        <v>4.7709999999999999</v>
      </c>
      <c r="C3608">
        <v>6.6845000000000002E-2</v>
      </c>
      <c r="D3608">
        <v>270</v>
      </c>
      <c r="E3608" t="s">
        <v>3980</v>
      </c>
      <c r="F3608">
        <v>270</v>
      </c>
      <c r="G3608" s="1">
        <v>45196</v>
      </c>
      <c r="H3608" s="6">
        <f t="shared" si="112"/>
        <v>15.343749999999677</v>
      </c>
      <c r="I3608" s="7">
        <f t="shared" si="113"/>
        <v>15.343749999999677</v>
      </c>
    </row>
    <row r="3609" spans="1:9" x14ac:dyDescent="0.2">
      <c r="A3609" t="s">
        <v>3981</v>
      </c>
      <c r="B3609">
        <v>4.7385000000000002</v>
      </c>
      <c r="C3609">
        <v>6.6364999999999993E-2</v>
      </c>
      <c r="D3609">
        <v>270</v>
      </c>
      <c r="E3609" t="s">
        <v>3981</v>
      </c>
      <c r="F3609">
        <v>270</v>
      </c>
      <c r="G3609" s="1">
        <v>45196</v>
      </c>
      <c r="H3609" s="6">
        <f t="shared" si="112"/>
        <v>15.354166666666343</v>
      </c>
      <c r="I3609" s="7">
        <f t="shared" si="113"/>
        <v>15.354166666666343</v>
      </c>
    </row>
    <row r="3610" spans="1:9" x14ac:dyDescent="0.2">
      <c r="A3610" t="s">
        <v>3982</v>
      </c>
      <c r="B3610">
        <v>4.6805000000000003</v>
      </c>
      <c r="C3610">
        <v>6.5540000000000001E-2</v>
      </c>
      <c r="D3610">
        <v>270</v>
      </c>
      <c r="E3610" t="s">
        <v>3982</v>
      </c>
      <c r="F3610">
        <v>270</v>
      </c>
      <c r="G3610" s="1">
        <v>45196</v>
      </c>
      <c r="H3610" s="6">
        <f t="shared" si="112"/>
        <v>15.364583333333009</v>
      </c>
      <c r="I3610" s="7">
        <f t="shared" si="113"/>
        <v>15.364583333333009</v>
      </c>
    </row>
    <row r="3611" spans="1:9" x14ac:dyDescent="0.2">
      <c r="A3611" t="s">
        <v>3983</v>
      </c>
      <c r="B3611">
        <v>4.6740000000000004</v>
      </c>
      <c r="C3611">
        <v>6.5460000000000004E-2</v>
      </c>
      <c r="D3611">
        <v>270</v>
      </c>
      <c r="E3611" t="s">
        <v>3983</v>
      </c>
      <c r="F3611">
        <v>270</v>
      </c>
      <c r="G3611" s="1">
        <v>45196</v>
      </c>
      <c r="H3611" s="6">
        <f t="shared" si="112"/>
        <v>15.374999999999675</v>
      </c>
      <c r="I3611" s="7">
        <f t="shared" si="113"/>
        <v>15.374999999999675</v>
      </c>
    </row>
    <row r="3612" spans="1:9" x14ac:dyDescent="0.2">
      <c r="A3612" t="s">
        <v>3984</v>
      </c>
      <c r="B3612">
        <v>4.6805000000000003</v>
      </c>
      <c r="C3612">
        <v>6.5559999999999993E-2</v>
      </c>
      <c r="D3612">
        <v>270</v>
      </c>
      <c r="E3612" t="s">
        <v>3984</v>
      </c>
      <c r="F3612">
        <v>270</v>
      </c>
      <c r="G3612" s="1">
        <v>45196</v>
      </c>
      <c r="H3612" s="6">
        <f t="shared" ref="H3612:H3675" si="114">H3611+$K$1</f>
        <v>15.385416666666341</v>
      </c>
      <c r="I3612" s="7">
        <f t="shared" ref="I3612:I3675" si="115">I3611+$K$1</f>
        <v>15.385416666666341</v>
      </c>
    </row>
    <row r="3613" spans="1:9" x14ac:dyDescent="0.2">
      <c r="A3613" t="s">
        <v>3985</v>
      </c>
      <c r="B3613">
        <v>4.5754999999999999</v>
      </c>
      <c r="C3613">
        <v>6.4079999999999998E-2</v>
      </c>
      <c r="D3613">
        <v>270</v>
      </c>
      <c r="E3613" t="s">
        <v>3985</v>
      </c>
      <c r="F3613">
        <v>270</v>
      </c>
      <c r="G3613" s="1">
        <v>45196</v>
      </c>
      <c r="H3613" s="6">
        <f t="shared" si="114"/>
        <v>15.395833333333007</v>
      </c>
      <c r="I3613" s="7">
        <f t="shared" si="115"/>
        <v>15.395833333333007</v>
      </c>
    </row>
    <row r="3614" spans="1:9" x14ac:dyDescent="0.2">
      <c r="A3614" t="s">
        <v>3986</v>
      </c>
      <c r="B3614">
        <v>4.5964999999999998</v>
      </c>
      <c r="C3614">
        <v>6.4399999999999999E-2</v>
      </c>
      <c r="D3614">
        <v>270</v>
      </c>
      <c r="E3614" t="s">
        <v>3986</v>
      </c>
      <c r="F3614">
        <v>270</v>
      </c>
      <c r="G3614" s="1">
        <v>45196</v>
      </c>
      <c r="H3614" s="6">
        <f t="shared" si="114"/>
        <v>15.406249999999673</v>
      </c>
      <c r="I3614" s="7">
        <f t="shared" si="115"/>
        <v>15.406249999999673</v>
      </c>
    </row>
    <row r="3615" spans="1:9" x14ac:dyDescent="0.2">
      <c r="A3615" t="s">
        <v>3987</v>
      </c>
      <c r="B3615">
        <v>4.5815000000000001</v>
      </c>
      <c r="C3615">
        <v>6.4174999999999996E-2</v>
      </c>
      <c r="D3615">
        <v>270</v>
      </c>
      <c r="E3615" t="s">
        <v>3987</v>
      </c>
      <c r="F3615">
        <v>270</v>
      </c>
      <c r="G3615" s="1">
        <v>45196</v>
      </c>
      <c r="H3615" s="6">
        <f t="shared" si="114"/>
        <v>15.416666666666339</v>
      </c>
      <c r="I3615" s="7">
        <f t="shared" si="115"/>
        <v>15.416666666666339</v>
      </c>
    </row>
    <row r="3616" spans="1:9" x14ac:dyDescent="0.2">
      <c r="A3616" t="s">
        <v>3988</v>
      </c>
      <c r="B3616">
        <v>4.57</v>
      </c>
      <c r="C3616">
        <v>6.4015000000000002E-2</v>
      </c>
      <c r="D3616">
        <v>270</v>
      </c>
      <c r="E3616" t="s">
        <v>3988</v>
      </c>
      <c r="F3616">
        <v>270</v>
      </c>
      <c r="G3616" s="1">
        <v>45196</v>
      </c>
      <c r="H3616" s="6">
        <f t="shared" si="114"/>
        <v>15.427083333333005</v>
      </c>
      <c r="I3616" s="7">
        <f t="shared" si="115"/>
        <v>15.427083333333005</v>
      </c>
    </row>
    <row r="3617" spans="1:9" x14ac:dyDescent="0.2">
      <c r="A3617" t="s">
        <v>3989</v>
      </c>
      <c r="B3617" s="2" t="s">
        <v>3990</v>
      </c>
      <c r="C3617">
        <v>6.3865000000000005E-2</v>
      </c>
      <c r="D3617">
        <v>270</v>
      </c>
      <c r="E3617" t="s">
        <v>3989</v>
      </c>
      <c r="F3617">
        <v>270</v>
      </c>
      <c r="G3617" s="1">
        <v>45196</v>
      </c>
      <c r="H3617" s="6">
        <f t="shared" si="114"/>
        <v>15.437499999999671</v>
      </c>
      <c r="I3617" s="7">
        <f t="shared" si="115"/>
        <v>15.437499999999671</v>
      </c>
    </row>
    <row r="3618" spans="1:9" x14ac:dyDescent="0.2">
      <c r="A3618" t="s">
        <v>3991</v>
      </c>
      <c r="B3618">
        <v>4.5289999999999999</v>
      </c>
      <c r="C3618">
        <v>6.343E-2</v>
      </c>
      <c r="D3618">
        <v>270</v>
      </c>
      <c r="E3618" t="s">
        <v>3991</v>
      </c>
      <c r="F3618">
        <v>270</v>
      </c>
      <c r="G3618" s="1">
        <v>45196</v>
      </c>
      <c r="H3618" s="6">
        <f t="shared" si="114"/>
        <v>15.447916666666337</v>
      </c>
      <c r="I3618" s="7">
        <f t="shared" si="115"/>
        <v>15.447916666666337</v>
      </c>
    </row>
    <row r="3619" spans="1:9" x14ac:dyDescent="0.2">
      <c r="A3619" t="s">
        <v>3992</v>
      </c>
      <c r="B3619">
        <v>4.5750000000000002</v>
      </c>
      <c r="C3619">
        <v>6.4060000000000006E-2</v>
      </c>
      <c r="D3619">
        <v>270</v>
      </c>
      <c r="E3619" t="s">
        <v>3992</v>
      </c>
      <c r="F3619">
        <v>270</v>
      </c>
      <c r="G3619" s="1">
        <v>45196</v>
      </c>
      <c r="H3619" s="6">
        <f t="shared" si="114"/>
        <v>15.458333333333004</v>
      </c>
      <c r="I3619" s="7">
        <f t="shared" si="115"/>
        <v>15.458333333333004</v>
      </c>
    </row>
    <row r="3620" spans="1:9" x14ac:dyDescent="0.2">
      <c r="A3620" t="s">
        <v>3993</v>
      </c>
      <c r="B3620">
        <v>4.5065</v>
      </c>
      <c r="C3620">
        <v>6.3155000000000003E-2</v>
      </c>
      <c r="D3620">
        <v>270</v>
      </c>
      <c r="E3620" t="s">
        <v>3993</v>
      </c>
      <c r="F3620">
        <v>270</v>
      </c>
      <c r="G3620" s="1">
        <v>45196</v>
      </c>
      <c r="H3620" s="6">
        <f t="shared" si="114"/>
        <v>15.46874999999967</v>
      </c>
      <c r="I3620" s="7">
        <f t="shared" si="115"/>
        <v>15.46874999999967</v>
      </c>
    </row>
    <row r="3621" spans="1:9" x14ac:dyDescent="0.2">
      <c r="A3621" t="s">
        <v>3994</v>
      </c>
      <c r="B3621" s="2" t="s">
        <v>3990</v>
      </c>
      <c r="C3621">
        <v>6.3839999999999994E-2</v>
      </c>
      <c r="D3621">
        <v>270</v>
      </c>
      <c r="E3621" t="s">
        <v>3994</v>
      </c>
      <c r="F3621">
        <v>270</v>
      </c>
      <c r="G3621" s="1">
        <v>45196</v>
      </c>
      <c r="H3621" s="6">
        <f t="shared" si="114"/>
        <v>15.479166666666336</v>
      </c>
      <c r="I3621" s="7">
        <f t="shared" si="115"/>
        <v>15.479166666666336</v>
      </c>
    </row>
    <row r="3622" spans="1:9" x14ac:dyDescent="0.2">
      <c r="A3622" t="s">
        <v>3995</v>
      </c>
      <c r="B3622">
        <v>4.5475000000000003</v>
      </c>
      <c r="C3622">
        <v>6.3685000000000005E-2</v>
      </c>
      <c r="D3622">
        <v>270</v>
      </c>
      <c r="E3622" t="s">
        <v>3995</v>
      </c>
      <c r="F3622">
        <v>270</v>
      </c>
      <c r="G3622" s="1">
        <v>45196</v>
      </c>
      <c r="H3622" s="6">
        <f t="shared" si="114"/>
        <v>15.489583333333002</v>
      </c>
      <c r="I3622" s="7">
        <f t="shared" si="115"/>
        <v>15.489583333333002</v>
      </c>
    </row>
    <row r="3623" spans="1:9" x14ac:dyDescent="0.2">
      <c r="A3623" t="s">
        <v>3996</v>
      </c>
      <c r="B3623">
        <v>4.5335000000000001</v>
      </c>
      <c r="C3623">
        <v>6.3519999999999993E-2</v>
      </c>
      <c r="D3623">
        <v>270</v>
      </c>
      <c r="E3623" t="s">
        <v>3996</v>
      </c>
      <c r="F3623">
        <v>270</v>
      </c>
      <c r="G3623" s="1">
        <v>45196</v>
      </c>
      <c r="H3623" s="6">
        <f t="shared" si="114"/>
        <v>15.499999999999668</v>
      </c>
      <c r="I3623" s="7">
        <f t="shared" si="115"/>
        <v>15.499999999999668</v>
      </c>
    </row>
    <row r="3624" spans="1:9" x14ac:dyDescent="0.2">
      <c r="A3624" t="s">
        <v>3997</v>
      </c>
      <c r="B3624">
        <v>4.5449999999999999</v>
      </c>
      <c r="C3624">
        <v>6.3649999999999998E-2</v>
      </c>
      <c r="D3624">
        <v>270</v>
      </c>
      <c r="E3624" t="s">
        <v>3997</v>
      </c>
      <c r="F3624">
        <v>270</v>
      </c>
      <c r="G3624" s="1">
        <v>45196</v>
      </c>
      <c r="H3624" s="6">
        <f t="shared" si="114"/>
        <v>15.510416666666334</v>
      </c>
      <c r="I3624" s="7">
        <f t="shared" si="115"/>
        <v>15.510416666666334</v>
      </c>
    </row>
    <row r="3625" spans="1:9" x14ac:dyDescent="0.2">
      <c r="A3625" t="s">
        <v>3998</v>
      </c>
      <c r="B3625">
        <v>4.5514999999999999</v>
      </c>
      <c r="C3625">
        <v>6.3740000000000005E-2</v>
      </c>
      <c r="D3625">
        <v>270</v>
      </c>
      <c r="E3625" t="s">
        <v>3998</v>
      </c>
      <c r="F3625">
        <v>270</v>
      </c>
      <c r="G3625" s="1">
        <v>45196</v>
      </c>
      <c r="H3625" s="6">
        <f t="shared" si="114"/>
        <v>15.520833333333</v>
      </c>
      <c r="I3625" s="7">
        <f t="shared" si="115"/>
        <v>15.520833333333</v>
      </c>
    </row>
    <row r="3626" spans="1:9" x14ac:dyDescent="0.2">
      <c r="A3626" t="s">
        <v>3999</v>
      </c>
      <c r="B3626">
        <v>4.5354999999999999</v>
      </c>
      <c r="C3626">
        <v>6.3524999999999998E-2</v>
      </c>
      <c r="D3626">
        <v>270</v>
      </c>
      <c r="E3626" t="s">
        <v>3999</v>
      </c>
      <c r="F3626">
        <v>270</v>
      </c>
      <c r="G3626" s="1">
        <v>45196</v>
      </c>
      <c r="H3626" s="6">
        <f t="shared" si="114"/>
        <v>15.531249999999666</v>
      </c>
      <c r="I3626" s="7">
        <f t="shared" si="115"/>
        <v>15.531249999999666</v>
      </c>
    </row>
    <row r="3627" spans="1:9" x14ac:dyDescent="0.2">
      <c r="A3627" t="s">
        <v>4000</v>
      </c>
      <c r="B3627">
        <v>4.5640000000000001</v>
      </c>
      <c r="C3627">
        <v>6.3930000000000001E-2</v>
      </c>
      <c r="D3627">
        <v>270</v>
      </c>
      <c r="E3627" t="s">
        <v>4000</v>
      </c>
      <c r="F3627">
        <v>270</v>
      </c>
      <c r="G3627" s="1">
        <v>45196</v>
      </c>
      <c r="H3627" s="6">
        <f t="shared" si="114"/>
        <v>15.541666666666332</v>
      </c>
      <c r="I3627" s="7">
        <f t="shared" si="115"/>
        <v>15.541666666666332</v>
      </c>
    </row>
    <row r="3628" spans="1:9" x14ac:dyDescent="0.2">
      <c r="A3628" t="s">
        <v>4001</v>
      </c>
      <c r="B3628">
        <v>4.5185000000000004</v>
      </c>
      <c r="C3628">
        <v>6.3295000000000004E-2</v>
      </c>
      <c r="D3628">
        <v>270</v>
      </c>
      <c r="E3628" t="s">
        <v>4001</v>
      </c>
      <c r="F3628">
        <v>270</v>
      </c>
      <c r="G3628" s="1">
        <v>45196</v>
      </c>
      <c r="H3628" s="6">
        <f t="shared" si="114"/>
        <v>15.552083333332998</v>
      </c>
      <c r="I3628" s="7">
        <f t="shared" si="115"/>
        <v>15.552083333332998</v>
      </c>
    </row>
    <row r="3629" spans="1:9" x14ac:dyDescent="0.2">
      <c r="A3629" t="s">
        <v>4002</v>
      </c>
      <c r="B3629" s="2" t="s">
        <v>4003</v>
      </c>
      <c r="C3629">
        <v>6.361E-2</v>
      </c>
      <c r="D3629">
        <v>270</v>
      </c>
      <c r="E3629" t="s">
        <v>4002</v>
      </c>
      <c r="F3629">
        <v>270</v>
      </c>
      <c r="G3629" s="1">
        <v>45196</v>
      </c>
      <c r="H3629" s="6">
        <f t="shared" si="114"/>
        <v>15.562499999999664</v>
      </c>
      <c r="I3629" s="7">
        <f t="shared" si="115"/>
        <v>15.562499999999664</v>
      </c>
    </row>
    <row r="3630" spans="1:9" x14ac:dyDescent="0.2">
      <c r="A3630" t="s">
        <v>4004</v>
      </c>
      <c r="B3630">
        <v>4.5525000000000002</v>
      </c>
      <c r="C3630">
        <v>6.3765000000000002E-2</v>
      </c>
      <c r="D3630">
        <v>270</v>
      </c>
      <c r="E3630" t="s">
        <v>4004</v>
      </c>
      <c r="F3630">
        <v>270</v>
      </c>
      <c r="G3630" s="1">
        <v>45196</v>
      </c>
      <c r="H3630" s="6">
        <f t="shared" si="114"/>
        <v>15.57291666666633</v>
      </c>
      <c r="I3630" s="7">
        <f t="shared" si="115"/>
        <v>15.57291666666633</v>
      </c>
    </row>
    <row r="3631" spans="1:9" x14ac:dyDescent="0.2">
      <c r="A3631" t="s">
        <v>4005</v>
      </c>
      <c r="B3631">
        <v>4.548</v>
      </c>
      <c r="C3631">
        <v>6.3704999999999998E-2</v>
      </c>
      <c r="D3631">
        <v>270</v>
      </c>
      <c r="E3631" t="s">
        <v>4005</v>
      </c>
      <c r="F3631">
        <v>270</v>
      </c>
      <c r="G3631" s="1">
        <v>45196</v>
      </c>
      <c r="H3631" s="6">
        <f t="shared" si="114"/>
        <v>15.583333333332996</v>
      </c>
      <c r="I3631" s="7">
        <f t="shared" si="115"/>
        <v>15.583333333332996</v>
      </c>
    </row>
    <row r="3632" spans="1:9" x14ac:dyDescent="0.2">
      <c r="A3632" t="s">
        <v>4006</v>
      </c>
      <c r="B3632">
        <v>4.5395000000000003</v>
      </c>
      <c r="C3632">
        <v>6.3574999999999895E-2</v>
      </c>
      <c r="D3632">
        <v>270</v>
      </c>
      <c r="E3632" t="s">
        <v>4006</v>
      </c>
      <c r="F3632">
        <v>270</v>
      </c>
      <c r="G3632" s="1">
        <v>45196</v>
      </c>
      <c r="H3632" s="6">
        <f t="shared" si="114"/>
        <v>15.593749999999662</v>
      </c>
      <c r="I3632" s="7">
        <f t="shared" si="115"/>
        <v>15.593749999999662</v>
      </c>
    </row>
    <row r="3633" spans="1:9" x14ac:dyDescent="0.2">
      <c r="A3633" t="s">
        <v>4007</v>
      </c>
      <c r="B3633">
        <v>4.5635000000000003</v>
      </c>
      <c r="C3633">
        <v>6.3920000000000005E-2</v>
      </c>
      <c r="D3633">
        <v>270</v>
      </c>
      <c r="E3633" t="s">
        <v>4007</v>
      </c>
      <c r="F3633">
        <v>270</v>
      </c>
      <c r="G3633" s="1">
        <v>45196</v>
      </c>
      <c r="H3633" s="6">
        <f t="shared" si="114"/>
        <v>15.604166666666329</v>
      </c>
      <c r="I3633" s="7">
        <f t="shared" si="115"/>
        <v>15.604166666666329</v>
      </c>
    </row>
    <row r="3634" spans="1:9" x14ac:dyDescent="0.2">
      <c r="A3634" t="s">
        <v>4008</v>
      </c>
      <c r="B3634">
        <v>4.5519999999999996</v>
      </c>
      <c r="C3634">
        <v>6.3750000000000001E-2</v>
      </c>
      <c r="D3634">
        <v>271</v>
      </c>
      <c r="E3634" t="s">
        <v>4008</v>
      </c>
      <c r="F3634">
        <v>270</v>
      </c>
      <c r="G3634" s="1">
        <v>45196</v>
      </c>
      <c r="H3634" s="6">
        <f t="shared" si="114"/>
        <v>15.614583333332995</v>
      </c>
      <c r="I3634" s="7">
        <f t="shared" si="115"/>
        <v>15.614583333332995</v>
      </c>
    </row>
    <row r="3635" spans="1:9" x14ac:dyDescent="0.2">
      <c r="A3635" t="s">
        <v>4009</v>
      </c>
      <c r="B3635">
        <v>4.5545</v>
      </c>
      <c r="C3635">
        <v>6.3805000000000001E-2</v>
      </c>
      <c r="D3635">
        <v>271</v>
      </c>
      <c r="E3635" t="s">
        <v>4009</v>
      </c>
      <c r="F3635">
        <v>270</v>
      </c>
      <c r="G3635" s="1">
        <v>45196</v>
      </c>
      <c r="H3635" s="6">
        <f t="shared" si="114"/>
        <v>15.624999999999661</v>
      </c>
      <c r="I3635" s="7">
        <f t="shared" si="115"/>
        <v>15.624999999999661</v>
      </c>
    </row>
    <row r="3636" spans="1:9" x14ac:dyDescent="0.2">
      <c r="A3636" t="s">
        <v>4010</v>
      </c>
      <c r="B3636">
        <v>4.5795000000000003</v>
      </c>
      <c r="C3636">
        <v>6.4155000000000004E-2</v>
      </c>
      <c r="D3636">
        <v>271</v>
      </c>
      <c r="E3636" t="s">
        <v>4010</v>
      </c>
      <c r="F3636">
        <v>270</v>
      </c>
      <c r="G3636" s="1">
        <v>45196</v>
      </c>
      <c r="H3636" s="6">
        <f t="shared" si="114"/>
        <v>15.635416666666327</v>
      </c>
      <c r="I3636" s="7">
        <f t="shared" si="115"/>
        <v>15.635416666666327</v>
      </c>
    </row>
    <row r="3637" spans="1:9" x14ac:dyDescent="0.2">
      <c r="A3637" t="s">
        <v>4011</v>
      </c>
      <c r="B3637">
        <v>4.5795000000000003</v>
      </c>
      <c r="C3637">
        <v>6.4130000000000006E-2</v>
      </c>
      <c r="D3637">
        <v>271</v>
      </c>
      <c r="E3637" t="s">
        <v>4011</v>
      </c>
      <c r="F3637">
        <v>270</v>
      </c>
      <c r="G3637" s="1">
        <v>45196</v>
      </c>
      <c r="H3637" s="6">
        <f t="shared" si="114"/>
        <v>15.645833333332993</v>
      </c>
      <c r="I3637" s="7">
        <f t="shared" si="115"/>
        <v>15.645833333332993</v>
      </c>
    </row>
    <row r="3638" spans="1:9" x14ac:dyDescent="0.2">
      <c r="A3638" t="s">
        <v>4012</v>
      </c>
      <c r="B3638">
        <v>4.5534999999999997</v>
      </c>
      <c r="C3638">
        <v>6.3780000000000003E-2</v>
      </c>
      <c r="D3638">
        <v>271</v>
      </c>
      <c r="E3638" t="s">
        <v>4012</v>
      </c>
      <c r="F3638">
        <v>270</v>
      </c>
      <c r="G3638" s="1">
        <v>45196</v>
      </c>
      <c r="H3638" s="6">
        <f t="shared" si="114"/>
        <v>15.656249999999659</v>
      </c>
      <c r="I3638" s="7">
        <f t="shared" si="115"/>
        <v>15.656249999999659</v>
      </c>
    </row>
    <row r="3639" spans="1:9" x14ac:dyDescent="0.2">
      <c r="A3639" t="s">
        <v>4013</v>
      </c>
      <c r="B3639">
        <v>4.5795000000000003</v>
      </c>
      <c r="C3639">
        <v>6.4155000000000004E-2</v>
      </c>
      <c r="D3639">
        <v>271</v>
      </c>
      <c r="E3639" t="s">
        <v>4013</v>
      </c>
      <c r="F3639">
        <v>270</v>
      </c>
      <c r="G3639" s="1">
        <v>45196</v>
      </c>
      <c r="H3639" s="6">
        <f t="shared" si="114"/>
        <v>15.666666666666325</v>
      </c>
      <c r="I3639" s="7">
        <f t="shared" si="115"/>
        <v>15.666666666666325</v>
      </c>
    </row>
    <row r="3640" spans="1:9" x14ac:dyDescent="0.2">
      <c r="A3640" t="s">
        <v>4014</v>
      </c>
      <c r="B3640">
        <v>4.5934999999999997</v>
      </c>
      <c r="C3640">
        <v>6.4344999999999999E-2</v>
      </c>
      <c r="D3640">
        <v>271</v>
      </c>
      <c r="E3640" t="s">
        <v>4014</v>
      </c>
      <c r="F3640">
        <v>270</v>
      </c>
      <c r="G3640" s="1">
        <v>45196</v>
      </c>
      <c r="H3640" s="6">
        <f t="shared" si="114"/>
        <v>15.677083333332991</v>
      </c>
      <c r="I3640" s="7">
        <f t="shared" si="115"/>
        <v>15.677083333332991</v>
      </c>
    </row>
    <row r="3641" spans="1:9" x14ac:dyDescent="0.2">
      <c r="A3641" t="s">
        <v>4015</v>
      </c>
      <c r="B3641">
        <v>4.5960000000000001</v>
      </c>
      <c r="C3641">
        <v>6.4375000000000002E-2</v>
      </c>
      <c r="D3641">
        <v>271</v>
      </c>
      <c r="E3641" t="s">
        <v>4015</v>
      </c>
      <c r="F3641">
        <v>270</v>
      </c>
      <c r="G3641" s="1">
        <v>45196</v>
      </c>
      <c r="H3641" s="6">
        <f t="shared" si="114"/>
        <v>15.687499999999657</v>
      </c>
      <c r="I3641" s="7">
        <f t="shared" si="115"/>
        <v>15.687499999999657</v>
      </c>
    </row>
    <row r="3642" spans="1:9" x14ac:dyDescent="0.2">
      <c r="A3642" t="s">
        <v>4016</v>
      </c>
      <c r="B3642">
        <v>4.6295000000000002</v>
      </c>
      <c r="C3642">
        <v>6.4860000000000001E-2</v>
      </c>
      <c r="D3642">
        <v>271</v>
      </c>
      <c r="E3642" t="s">
        <v>4016</v>
      </c>
      <c r="F3642">
        <v>270</v>
      </c>
      <c r="G3642" s="1">
        <v>45196</v>
      </c>
      <c r="H3642" s="6">
        <f t="shared" si="114"/>
        <v>15.697916666666323</v>
      </c>
      <c r="I3642" s="7">
        <f t="shared" si="115"/>
        <v>15.697916666666323</v>
      </c>
    </row>
    <row r="3643" spans="1:9" x14ac:dyDescent="0.2">
      <c r="A3643" t="s">
        <v>4017</v>
      </c>
      <c r="B3643">
        <v>4.6760000000000002</v>
      </c>
      <c r="C3643">
        <v>6.5500000000000003E-2</v>
      </c>
      <c r="D3643">
        <v>271</v>
      </c>
      <c r="E3643" t="s">
        <v>4017</v>
      </c>
      <c r="F3643">
        <v>270</v>
      </c>
      <c r="G3643" s="1">
        <v>45196</v>
      </c>
      <c r="H3643" s="6">
        <f t="shared" si="114"/>
        <v>15.708333333332989</v>
      </c>
      <c r="I3643" s="7">
        <f t="shared" si="115"/>
        <v>15.708333333332989</v>
      </c>
    </row>
    <row r="3644" spans="1:9" x14ac:dyDescent="0.2">
      <c r="A3644" t="s">
        <v>4018</v>
      </c>
      <c r="B3644">
        <v>4.7110000000000003</v>
      </c>
      <c r="C3644">
        <v>6.5985000000000002E-2</v>
      </c>
      <c r="D3644">
        <v>271</v>
      </c>
      <c r="E3644" t="s">
        <v>4018</v>
      </c>
      <c r="F3644">
        <v>270</v>
      </c>
      <c r="G3644" s="1">
        <v>45196</v>
      </c>
      <c r="H3644" s="6">
        <f t="shared" si="114"/>
        <v>15.718749999999655</v>
      </c>
      <c r="I3644" s="7">
        <f t="shared" si="115"/>
        <v>15.718749999999655</v>
      </c>
    </row>
    <row r="3645" spans="1:9" x14ac:dyDescent="0.2">
      <c r="A3645" t="s">
        <v>4019</v>
      </c>
      <c r="B3645">
        <v>4.7344999999999997</v>
      </c>
      <c r="C3645">
        <v>6.6314999999999999E-2</v>
      </c>
      <c r="D3645">
        <v>271</v>
      </c>
      <c r="E3645" t="s">
        <v>4019</v>
      </c>
      <c r="F3645">
        <v>270</v>
      </c>
      <c r="G3645" s="1">
        <v>45196</v>
      </c>
      <c r="H3645" s="6">
        <f t="shared" si="114"/>
        <v>15.729166666666321</v>
      </c>
      <c r="I3645" s="7">
        <f t="shared" si="115"/>
        <v>15.729166666666321</v>
      </c>
    </row>
    <row r="3646" spans="1:9" x14ac:dyDescent="0.2">
      <c r="A3646" t="s">
        <v>4020</v>
      </c>
      <c r="B3646">
        <v>4.7789999999999999</v>
      </c>
      <c r="C3646">
        <v>6.6934999999999995E-2</v>
      </c>
      <c r="D3646">
        <v>271</v>
      </c>
      <c r="E3646" t="s">
        <v>4020</v>
      </c>
      <c r="F3646">
        <v>270</v>
      </c>
      <c r="G3646" s="1">
        <v>45196</v>
      </c>
      <c r="H3646" s="6">
        <f t="shared" si="114"/>
        <v>15.739583333332988</v>
      </c>
      <c r="I3646" s="7">
        <f t="shared" si="115"/>
        <v>15.739583333332988</v>
      </c>
    </row>
    <row r="3647" spans="1:9" x14ac:dyDescent="0.2">
      <c r="A3647" t="s">
        <v>4021</v>
      </c>
      <c r="B3647">
        <v>4.8075000000000001</v>
      </c>
      <c r="C3647">
        <v>6.7335000000000006E-2</v>
      </c>
      <c r="D3647">
        <v>271</v>
      </c>
      <c r="E3647" t="s">
        <v>4021</v>
      </c>
      <c r="F3647">
        <v>270</v>
      </c>
      <c r="G3647" s="1">
        <v>45196</v>
      </c>
      <c r="H3647" s="6">
        <f t="shared" si="114"/>
        <v>15.749999999999654</v>
      </c>
      <c r="I3647" s="7">
        <f t="shared" si="115"/>
        <v>15.749999999999654</v>
      </c>
    </row>
    <row r="3648" spans="1:9" x14ac:dyDescent="0.2">
      <c r="A3648" t="s">
        <v>4022</v>
      </c>
      <c r="B3648" s="2" t="s">
        <v>4023</v>
      </c>
      <c r="C3648">
        <v>6.8019999999999997E-2</v>
      </c>
      <c r="D3648">
        <v>271</v>
      </c>
      <c r="E3648" t="s">
        <v>4022</v>
      </c>
      <c r="F3648">
        <v>270</v>
      </c>
      <c r="G3648" s="1">
        <v>45196</v>
      </c>
      <c r="H3648" s="6">
        <f t="shared" si="114"/>
        <v>15.76041666666632</v>
      </c>
      <c r="I3648" s="7">
        <f t="shared" si="115"/>
        <v>15.76041666666632</v>
      </c>
    </row>
    <row r="3649" spans="1:9" x14ac:dyDescent="0.2">
      <c r="A3649" t="s">
        <v>4024</v>
      </c>
      <c r="B3649">
        <v>4.8944999999999999</v>
      </c>
      <c r="C3649">
        <v>6.8540000000000004E-2</v>
      </c>
      <c r="D3649">
        <v>271</v>
      </c>
      <c r="E3649" t="s">
        <v>4024</v>
      </c>
      <c r="F3649">
        <v>270</v>
      </c>
      <c r="G3649" s="1">
        <v>45196</v>
      </c>
      <c r="H3649" s="6">
        <f t="shared" si="114"/>
        <v>15.770833333332986</v>
      </c>
      <c r="I3649" s="7">
        <f t="shared" si="115"/>
        <v>15.770833333332986</v>
      </c>
    </row>
    <row r="3650" spans="1:9" x14ac:dyDescent="0.2">
      <c r="A3650" t="s">
        <v>4025</v>
      </c>
      <c r="B3650">
        <v>4.9595000000000002</v>
      </c>
      <c r="C3650">
        <v>6.9449999999999998E-2</v>
      </c>
      <c r="D3650">
        <v>271</v>
      </c>
      <c r="E3650" t="s">
        <v>4025</v>
      </c>
      <c r="F3650">
        <v>270</v>
      </c>
      <c r="G3650" s="1">
        <v>45196</v>
      </c>
      <c r="H3650" s="6">
        <f t="shared" si="114"/>
        <v>15.781249999999652</v>
      </c>
      <c r="I3650" s="7">
        <f t="shared" si="115"/>
        <v>15.781249999999652</v>
      </c>
    </row>
    <row r="3651" spans="1:9" x14ac:dyDescent="0.2">
      <c r="A3651" t="s">
        <v>4026</v>
      </c>
      <c r="B3651">
        <v>4.992</v>
      </c>
      <c r="C3651">
        <v>6.9919999999999996E-2</v>
      </c>
      <c r="D3651">
        <v>271</v>
      </c>
      <c r="E3651" t="s">
        <v>4026</v>
      </c>
      <c r="F3651">
        <v>270</v>
      </c>
      <c r="G3651" s="1">
        <v>45196</v>
      </c>
      <c r="H3651" s="6">
        <f t="shared" si="114"/>
        <v>15.791666666666318</v>
      </c>
      <c r="I3651" s="7">
        <f t="shared" si="115"/>
        <v>15.791666666666318</v>
      </c>
    </row>
    <row r="3652" spans="1:9" x14ac:dyDescent="0.2">
      <c r="A3652" t="s">
        <v>4027</v>
      </c>
      <c r="B3652">
        <v>5.0049999999999999</v>
      </c>
      <c r="C3652">
        <v>7.0114999999999997E-2</v>
      </c>
      <c r="D3652">
        <v>271</v>
      </c>
      <c r="E3652" t="s">
        <v>4027</v>
      </c>
      <c r="F3652">
        <v>270</v>
      </c>
      <c r="G3652" s="1">
        <v>45196</v>
      </c>
      <c r="H3652" s="6">
        <f t="shared" si="114"/>
        <v>15.802083333332984</v>
      </c>
      <c r="I3652" s="7">
        <f t="shared" si="115"/>
        <v>15.802083333332984</v>
      </c>
    </row>
    <row r="3653" spans="1:9" x14ac:dyDescent="0.2">
      <c r="A3653" t="s">
        <v>4028</v>
      </c>
      <c r="B3653">
        <v>5.0514999999999999</v>
      </c>
      <c r="C3653">
        <v>7.0754999999999998E-2</v>
      </c>
      <c r="D3653">
        <v>271</v>
      </c>
      <c r="E3653" t="s">
        <v>4028</v>
      </c>
      <c r="F3653">
        <v>270</v>
      </c>
      <c r="G3653" s="1">
        <v>45196</v>
      </c>
      <c r="H3653" s="6">
        <f t="shared" si="114"/>
        <v>15.81249999999965</v>
      </c>
      <c r="I3653" s="7">
        <f t="shared" si="115"/>
        <v>15.81249999999965</v>
      </c>
    </row>
    <row r="3654" spans="1:9" x14ac:dyDescent="0.2">
      <c r="A3654" t="s">
        <v>4029</v>
      </c>
      <c r="B3654">
        <v>5.109</v>
      </c>
      <c r="C3654">
        <v>7.1550000000000002E-2</v>
      </c>
      <c r="D3654">
        <v>271</v>
      </c>
      <c r="E3654" t="s">
        <v>4029</v>
      </c>
      <c r="F3654">
        <v>270</v>
      </c>
      <c r="G3654" s="1">
        <v>45196</v>
      </c>
      <c r="H3654" s="6">
        <f t="shared" si="114"/>
        <v>15.822916666666316</v>
      </c>
      <c r="I3654" s="7">
        <f t="shared" si="115"/>
        <v>15.822916666666316</v>
      </c>
    </row>
    <row r="3655" spans="1:9" x14ac:dyDescent="0.2">
      <c r="A3655" t="s">
        <v>4030</v>
      </c>
      <c r="B3655">
        <v>5.1505000000000001</v>
      </c>
      <c r="C3655">
        <v>7.2145000000000001E-2</v>
      </c>
      <c r="D3655">
        <v>271</v>
      </c>
      <c r="E3655" t="s">
        <v>4030</v>
      </c>
      <c r="F3655">
        <v>270</v>
      </c>
      <c r="G3655" s="1">
        <v>45196</v>
      </c>
      <c r="H3655" s="6">
        <f t="shared" si="114"/>
        <v>15.833333333332982</v>
      </c>
      <c r="I3655" s="7">
        <f t="shared" si="115"/>
        <v>15.833333333332982</v>
      </c>
    </row>
    <row r="3656" spans="1:9" x14ac:dyDescent="0.2">
      <c r="A3656" t="s">
        <v>4031</v>
      </c>
      <c r="B3656">
        <v>5.1970000000000001</v>
      </c>
      <c r="C3656">
        <v>7.2800000000000004E-2</v>
      </c>
      <c r="D3656">
        <v>271</v>
      </c>
      <c r="E3656" t="s">
        <v>4031</v>
      </c>
      <c r="F3656">
        <v>270</v>
      </c>
      <c r="G3656" s="1">
        <v>45196</v>
      </c>
      <c r="H3656" s="6">
        <f t="shared" si="114"/>
        <v>15.843749999999648</v>
      </c>
      <c r="I3656" s="7">
        <f t="shared" si="115"/>
        <v>15.843749999999648</v>
      </c>
    </row>
    <row r="3657" spans="1:9" x14ac:dyDescent="0.2">
      <c r="A3657" t="s">
        <v>4032</v>
      </c>
      <c r="B3657" s="2" t="s">
        <v>4033</v>
      </c>
      <c r="C3657">
        <v>7.2275000000000006E-2</v>
      </c>
      <c r="D3657">
        <v>271</v>
      </c>
      <c r="E3657" t="s">
        <v>4032</v>
      </c>
      <c r="F3657">
        <v>270</v>
      </c>
      <c r="G3657" s="1">
        <v>45196</v>
      </c>
      <c r="H3657" s="6">
        <f t="shared" si="114"/>
        <v>15.854166666666314</v>
      </c>
      <c r="I3657" s="7">
        <f t="shared" si="115"/>
        <v>15.854166666666314</v>
      </c>
    </row>
    <row r="3658" spans="1:9" x14ac:dyDescent="0.2">
      <c r="A3658" t="s">
        <v>4034</v>
      </c>
      <c r="B3658">
        <v>5.1844999999999999</v>
      </c>
      <c r="C3658">
        <v>7.2605000000000003E-2</v>
      </c>
      <c r="D3658">
        <v>271</v>
      </c>
      <c r="E3658" t="s">
        <v>4034</v>
      </c>
      <c r="F3658">
        <v>271</v>
      </c>
      <c r="G3658" s="1">
        <v>45197</v>
      </c>
      <c r="H3658" s="6">
        <f t="shared" si="114"/>
        <v>15.86458333333298</v>
      </c>
      <c r="I3658" s="7">
        <f t="shared" si="115"/>
        <v>15.86458333333298</v>
      </c>
    </row>
    <row r="3659" spans="1:9" x14ac:dyDescent="0.2">
      <c r="A3659" t="s">
        <v>4035</v>
      </c>
      <c r="B3659" s="2" t="s">
        <v>4036</v>
      </c>
      <c r="C3659">
        <v>7.2929999999999995E-2</v>
      </c>
      <c r="D3659">
        <v>271</v>
      </c>
      <c r="E3659" t="s">
        <v>4035</v>
      </c>
      <c r="F3659">
        <v>271</v>
      </c>
      <c r="G3659" s="1">
        <v>45197</v>
      </c>
      <c r="H3659" s="6">
        <f t="shared" si="114"/>
        <v>15.874999999999647</v>
      </c>
      <c r="I3659" s="7">
        <f t="shared" si="115"/>
        <v>15.874999999999647</v>
      </c>
    </row>
    <row r="3660" spans="1:9" x14ac:dyDescent="0.2">
      <c r="A3660" t="s">
        <v>4037</v>
      </c>
      <c r="B3660">
        <v>5.1805000000000003</v>
      </c>
      <c r="C3660">
        <v>7.2544999999999998E-2</v>
      </c>
      <c r="D3660">
        <v>271</v>
      </c>
      <c r="E3660" t="s">
        <v>4037</v>
      </c>
      <c r="F3660">
        <v>271</v>
      </c>
      <c r="G3660" s="1">
        <v>45197</v>
      </c>
      <c r="H3660" s="6">
        <f t="shared" si="114"/>
        <v>15.885416666666313</v>
      </c>
      <c r="I3660" s="7">
        <f t="shared" si="115"/>
        <v>15.885416666666313</v>
      </c>
    </row>
    <row r="3661" spans="1:9" x14ac:dyDescent="0.2">
      <c r="A3661" t="s">
        <v>4038</v>
      </c>
      <c r="B3661">
        <v>5.1639999999999997</v>
      </c>
      <c r="C3661">
        <v>7.2319999999999995E-2</v>
      </c>
      <c r="D3661">
        <v>271</v>
      </c>
      <c r="E3661" t="s">
        <v>4038</v>
      </c>
      <c r="F3661">
        <v>271</v>
      </c>
      <c r="G3661" s="1">
        <v>45197</v>
      </c>
      <c r="H3661" s="6">
        <f t="shared" si="114"/>
        <v>15.895833333332979</v>
      </c>
      <c r="I3661" s="7">
        <f t="shared" si="115"/>
        <v>15.895833333332979</v>
      </c>
    </row>
    <row r="3662" spans="1:9" x14ac:dyDescent="0.2">
      <c r="A3662" t="s">
        <v>4039</v>
      </c>
      <c r="B3662">
        <v>5.1814999999999998</v>
      </c>
      <c r="C3662">
        <v>7.2580000000000006E-2</v>
      </c>
      <c r="D3662">
        <v>271</v>
      </c>
      <c r="E3662" t="s">
        <v>4039</v>
      </c>
      <c r="F3662">
        <v>271</v>
      </c>
      <c r="G3662" s="1">
        <v>45197</v>
      </c>
      <c r="H3662" s="6">
        <f t="shared" si="114"/>
        <v>15.906249999999645</v>
      </c>
      <c r="I3662" s="7">
        <f t="shared" si="115"/>
        <v>15.906249999999645</v>
      </c>
    </row>
    <row r="3663" spans="1:9" x14ac:dyDescent="0.2">
      <c r="A3663" t="s">
        <v>4040</v>
      </c>
      <c r="B3663">
        <v>5.1619999999999999</v>
      </c>
      <c r="C3663">
        <v>7.2294999999999998E-2</v>
      </c>
      <c r="D3663">
        <v>271</v>
      </c>
      <c r="E3663" t="s">
        <v>4040</v>
      </c>
      <c r="F3663">
        <v>271</v>
      </c>
      <c r="G3663" s="1">
        <v>45197</v>
      </c>
      <c r="H3663" s="6">
        <f t="shared" si="114"/>
        <v>15.916666666666311</v>
      </c>
      <c r="I3663" s="7">
        <f t="shared" si="115"/>
        <v>15.916666666666311</v>
      </c>
    </row>
    <row r="3664" spans="1:9" x14ac:dyDescent="0.2">
      <c r="A3664" t="s">
        <v>4041</v>
      </c>
      <c r="B3664">
        <v>5.2110000000000003</v>
      </c>
      <c r="C3664">
        <v>7.2969999999999993E-2</v>
      </c>
      <c r="D3664">
        <v>271</v>
      </c>
      <c r="E3664" t="s">
        <v>4041</v>
      </c>
      <c r="F3664">
        <v>271</v>
      </c>
      <c r="G3664" s="1">
        <v>45197</v>
      </c>
      <c r="H3664" s="6">
        <f t="shared" si="114"/>
        <v>15.927083333332977</v>
      </c>
      <c r="I3664" s="7">
        <f t="shared" si="115"/>
        <v>15.927083333332977</v>
      </c>
    </row>
    <row r="3665" spans="1:9" x14ac:dyDescent="0.2">
      <c r="A3665" t="s">
        <v>4042</v>
      </c>
      <c r="B3665">
        <v>5.1544999999999996</v>
      </c>
      <c r="C3665">
        <v>7.2209999999999996E-2</v>
      </c>
      <c r="D3665">
        <v>271</v>
      </c>
      <c r="E3665" t="s">
        <v>4042</v>
      </c>
      <c r="F3665">
        <v>271</v>
      </c>
      <c r="G3665" s="1">
        <v>45197</v>
      </c>
      <c r="H3665" s="6">
        <f t="shared" si="114"/>
        <v>15.937499999999643</v>
      </c>
      <c r="I3665" s="7">
        <f t="shared" si="115"/>
        <v>15.937499999999643</v>
      </c>
    </row>
    <row r="3666" spans="1:9" x14ac:dyDescent="0.2">
      <c r="A3666" t="s">
        <v>4043</v>
      </c>
      <c r="B3666">
        <v>5.1719999999999997</v>
      </c>
      <c r="C3666">
        <v>7.2444999999999996E-2</v>
      </c>
      <c r="D3666">
        <v>271</v>
      </c>
      <c r="E3666" t="s">
        <v>4043</v>
      </c>
      <c r="F3666">
        <v>271</v>
      </c>
      <c r="G3666" s="1">
        <v>45197</v>
      </c>
      <c r="H3666" s="6">
        <f t="shared" si="114"/>
        <v>15.947916666666309</v>
      </c>
      <c r="I3666" s="7">
        <f t="shared" si="115"/>
        <v>15.947916666666309</v>
      </c>
    </row>
    <row r="3667" spans="1:9" x14ac:dyDescent="0.2">
      <c r="A3667" t="s">
        <v>4044</v>
      </c>
      <c r="B3667">
        <v>5.2145000000000001</v>
      </c>
      <c r="C3667">
        <v>7.3035000000000003E-2</v>
      </c>
      <c r="D3667">
        <v>271</v>
      </c>
      <c r="E3667" t="s">
        <v>4044</v>
      </c>
      <c r="F3667">
        <v>271</v>
      </c>
      <c r="G3667" s="1">
        <v>45197</v>
      </c>
      <c r="H3667" s="6">
        <f t="shared" si="114"/>
        <v>15.958333333332975</v>
      </c>
      <c r="I3667" s="7">
        <f t="shared" si="115"/>
        <v>15.958333333332975</v>
      </c>
    </row>
    <row r="3668" spans="1:9" x14ac:dyDescent="0.2">
      <c r="A3668" t="s">
        <v>4045</v>
      </c>
      <c r="B3668">
        <v>5.2140000000000004</v>
      </c>
      <c r="C3668">
        <v>7.3039999999999994E-2</v>
      </c>
      <c r="D3668">
        <v>271</v>
      </c>
      <c r="E3668" t="s">
        <v>4045</v>
      </c>
      <c r="F3668">
        <v>271</v>
      </c>
      <c r="G3668" s="1">
        <v>45197</v>
      </c>
      <c r="H3668" s="6">
        <f t="shared" si="114"/>
        <v>15.968749999999641</v>
      </c>
      <c r="I3668" s="7">
        <f t="shared" si="115"/>
        <v>15.968749999999641</v>
      </c>
    </row>
    <row r="3669" spans="1:9" x14ac:dyDescent="0.2">
      <c r="A3669" t="s">
        <v>4046</v>
      </c>
      <c r="B3669">
        <v>5.2145000000000001</v>
      </c>
      <c r="C3669">
        <v>7.3035000000000003E-2</v>
      </c>
      <c r="D3669">
        <v>271</v>
      </c>
      <c r="E3669" t="s">
        <v>4046</v>
      </c>
      <c r="F3669">
        <v>271</v>
      </c>
      <c r="G3669" s="1">
        <v>45197</v>
      </c>
      <c r="H3669" s="6">
        <f t="shared" si="114"/>
        <v>15.979166666666307</v>
      </c>
      <c r="I3669" s="7">
        <f t="shared" si="115"/>
        <v>15.979166666666307</v>
      </c>
    </row>
    <row r="3670" spans="1:9" x14ac:dyDescent="0.2">
      <c r="A3670" t="s">
        <v>4047</v>
      </c>
      <c r="B3670">
        <v>5.2249999999999996</v>
      </c>
      <c r="C3670">
        <v>7.3190000000000005E-2</v>
      </c>
      <c r="D3670">
        <v>271</v>
      </c>
      <c r="E3670" t="s">
        <v>4047</v>
      </c>
      <c r="F3670">
        <v>271</v>
      </c>
      <c r="G3670" s="1">
        <v>45197</v>
      </c>
      <c r="H3670" s="6">
        <f t="shared" si="114"/>
        <v>15.989583333332973</v>
      </c>
      <c r="I3670" s="7">
        <f t="shared" si="115"/>
        <v>15.989583333332973</v>
      </c>
    </row>
    <row r="3671" spans="1:9" x14ac:dyDescent="0.2">
      <c r="A3671" t="s">
        <v>4048</v>
      </c>
      <c r="B3671">
        <v>5.1914999999999996</v>
      </c>
      <c r="C3671">
        <v>7.2715000000000002E-2</v>
      </c>
      <c r="D3671">
        <v>271</v>
      </c>
      <c r="E3671" t="s">
        <v>4048</v>
      </c>
      <c r="F3671">
        <v>271</v>
      </c>
      <c r="G3671" s="1">
        <v>45197</v>
      </c>
      <c r="H3671" s="6">
        <f t="shared" si="114"/>
        <v>15.999999999999639</v>
      </c>
      <c r="I3671" s="7">
        <f t="shared" si="115"/>
        <v>15.999999999999639</v>
      </c>
    </row>
    <row r="3672" spans="1:9" x14ac:dyDescent="0.2">
      <c r="A3672" t="s">
        <v>4049</v>
      </c>
      <c r="B3672">
        <v>5.1935000000000002</v>
      </c>
      <c r="C3672">
        <v>7.2749999999999995E-2</v>
      </c>
      <c r="D3672">
        <v>271</v>
      </c>
      <c r="E3672" t="s">
        <v>4049</v>
      </c>
      <c r="F3672">
        <v>271</v>
      </c>
      <c r="G3672" s="1">
        <v>45197</v>
      </c>
      <c r="H3672" s="6">
        <f t="shared" si="114"/>
        <v>16.010416666666305</v>
      </c>
      <c r="I3672" s="7">
        <f t="shared" si="115"/>
        <v>16.010416666666305</v>
      </c>
    </row>
    <row r="3673" spans="1:9" x14ac:dyDescent="0.2">
      <c r="A3673" t="s">
        <v>4050</v>
      </c>
      <c r="B3673">
        <v>5.2205000000000004</v>
      </c>
      <c r="C3673">
        <v>7.3120000000000004E-2</v>
      </c>
      <c r="D3673">
        <v>271</v>
      </c>
      <c r="E3673" t="s">
        <v>4050</v>
      </c>
      <c r="F3673">
        <v>271</v>
      </c>
      <c r="G3673" s="1">
        <v>45197</v>
      </c>
      <c r="H3673" s="6">
        <f t="shared" si="114"/>
        <v>16.020833333332973</v>
      </c>
      <c r="I3673" s="7">
        <f t="shared" si="115"/>
        <v>16.020833333332973</v>
      </c>
    </row>
    <row r="3674" spans="1:9" x14ac:dyDescent="0.2">
      <c r="A3674" t="s">
        <v>4051</v>
      </c>
      <c r="B3674">
        <v>5.1840000000000002</v>
      </c>
      <c r="C3674">
        <v>7.2605000000000003E-2</v>
      </c>
      <c r="D3674">
        <v>271</v>
      </c>
      <c r="E3674" t="s">
        <v>4051</v>
      </c>
      <c r="F3674">
        <v>271</v>
      </c>
      <c r="G3674" s="1">
        <v>45197</v>
      </c>
      <c r="H3674" s="6">
        <f t="shared" si="114"/>
        <v>16.031249999999641</v>
      </c>
      <c r="I3674" s="7">
        <f t="shared" si="115"/>
        <v>16.031249999999641</v>
      </c>
    </row>
    <row r="3675" spans="1:9" x14ac:dyDescent="0.2">
      <c r="A3675" t="s">
        <v>4052</v>
      </c>
      <c r="B3675">
        <v>5.1989999999999998</v>
      </c>
      <c r="C3675">
        <v>7.2815000000000005E-2</v>
      </c>
      <c r="D3675">
        <v>271</v>
      </c>
      <c r="E3675" t="s">
        <v>4052</v>
      </c>
      <c r="F3675">
        <v>271</v>
      </c>
      <c r="G3675" s="1">
        <v>45197</v>
      </c>
      <c r="H3675" s="6">
        <f t="shared" si="114"/>
        <v>16.041666666666309</v>
      </c>
      <c r="I3675" s="7">
        <f t="shared" si="115"/>
        <v>16.041666666666309</v>
      </c>
    </row>
    <row r="3676" spans="1:9" x14ac:dyDescent="0.2">
      <c r="A3676" t="s">
        <v>4053</v>
      </c>
      <c r="B3676">
        <v>5.1745000000000001</v>
      </c>
      <c r="C3676">
        <v>7.2474999999999998E-2</v>
      </c>
      <c r="D3676">
        <v>271</v>
      </c>
      <c r="E3676" t="s">
        <v>4053</v>
      </c>
      <c r="F3676">
        <v>271</v>
      </c>
      <c r="G3676" s="1">
        <v>45197</v>
      </c>
      <c r="H3676" s="6">
        <f t="shared" ref="H3676:H3739" si="116">H3675+$K$1</f>
        <v>16.052083333332977</v>
      </c>
      <c r="I3676" s="7">
        <f t="shared" ref="I3676:I3739" si="117">I3675+$K$1</f>
        <v>16.052083333332977</v>
      </c>
    </row>
    <row r="3677" spans="1:9" x14ac:dyDescent="0.2">
      <c r="A3677" t="s">
        <v>4054</v>
      </c>
      <c r="B3677">
        <v>5.1825000000000001</v>
      </c>
      <c r="C3677">
        <v>7.2580000000000006E-2</v>
      </c>
      <c r="D3677">
        <v>271</v>
      </c>
      <c r="E3677" t="s">
        <v>4054</v>
      </c>
      <c r="F3677">
        <v>271</v>
      </c>
      <c r="G3677" s="1">
        <v>45197</v>
      </c>
      <c r="H3677" s="6">
        <f t="shared" si="116"/>
        <v>16.062499999999645</v>
      </c>
      <c r="I3677" s="7">
        <f t="shared" si="117"/>
        <v>16.062499999999645</v>
      </c>
    </row>
    <row r="3678" spans="1:9" x14ac:dyDescent="0.2">
      <c r="A3678" t="s">
        <v>4055</v>
      </c>
      <c r="B3678">
        <v>5.1615000000000002</v>
      </c>
      <c r="C3678">
        <v>7.2289999999999993E-2</v>
      </c>
      <c r="D3678">
        <v>271</v>
      </c>
      <c r="E3678" t="s">
        <v>4055</v>
      </c>
      <c r="F3678">
        <v>271</v>
      </c>
      <c r="G3678" s="1">
        <v>45197</v>
      </c>
      <c r="H3678" s="6">
        <f t="shared" si="116"/>
        <v>16.072916666666313</v>
      </c>
      <c r="I3678" s="7">
        <f t="shared" si="117"/>
        <v>16.072916666666313</v>
      </c>
    </row>
    <row r="3679" spans="1:9" x14ac:dyDescent="0.2">
      <c r="A3679" t="s">
        <v>4056</v>
      </c>
      <c r="B3679">
        <v>5.1585000000000001</v>
      </c>
      <c r="C3679">
        <v>7.2264999999999996E-2</v>
      </c>
      <c r="D3679">
        <v>271</v>
      </c>
      <c r="E3679" t="s">
        <v>4056</v>
      </c>
      <c r="F3679">
        <v>271</v>
      </c>
      <c r="G3679" s="1">
        <v>45197</v>
      </c>
      <c r="H3679" s="6">
        <f t="shared" si="116"/>
        <v>16.08333333333298</v>
      </c>
      <c r="I3679" s="7">
        <f t="shared" si="117"/>
        <v>16.08333333333298</v>
      </c>
    </row>
    <row r="3680" spans="1:9" x14ac:dyDescent="0.2">
      <c r="A3680" t="s">
        <v>4057</v>
      </c>
      <c r="B3680">
        <v>5.1740000000000004</v>
      </c>
      <c r="C3680">
        <v>7.2474999999999998E-2</v>
      </c>
      <c r="D3680">
        <v>271</v>
      </c>
      <c r="E3680" t="s">
        <v>4057</v>
      </c>
      <c r="F3680">
        <v>271</v>
      </c>
      <c r="G3680" s="1">
        <v>45197</v>
      </c>
      <c r="H3680" s="6">
        <f t="shared" si="116"/>
        <v>16.093749999999648</v>
      </c>
      <c r="I3680" s="7">
        <f t="shared" si="117"/>
        <v>16.093749999999648</v>
      </c>
    </row>
    <row r="3681" spans="1:9" x14ac:dyDescent="0.2">
      <c r="A3681" t="s">
        <v>4058</v>
      </c>
      <c r="B3681">
        <v>5.1980000000000004</v>
      </c>
      <c r="C3681">
        <v>7.281E-2</v>
      </c>
      <c r="D3681">
        <v>271</v>
      </c>
      <c r="E3681" t="s">
        <v>4058</v>
      </c>
      <c r="F3681">
        <v>271</v>
      </c>
      <c r="G3681" s="1">
        <v>45197</v>
      </c>
      <c r="H3681" s="6">
        <f t="shared" si="116"/>
        <v>16.104166666666316</v>
      </c>
      <c r="I3681" s="7">
        <f t="shared" si="117"/>
        <v>16.104166666666316</v>
      </c>
    </row>
    <row r="3682" spans="1:9" x14ac:dyDescent="0.2">
      <c r="A3682" t="s">
        <v>4059</v>
      </c>
      <c r="B3682">
        <v>5.1689999999999996</v>
      </c>
      <c r="C3682">
        <v>7.2404999999999997E-2</v>
      </c>
      <c r="D3682">
        <v>271</v>
      </c>
      <c r="E3682" t="s">
        <v>4059</v>
      </c>
      <c r="F3682">
        <v>271</v>
      </c>
      <c r="G3682" s="1">
        <v>45197</v>
      </c>
      <c r="H3682" s="6">
        <f t="shared" si="116"/>
        <v>16.114583333332984</v>
      </c>
      <c r="I3682" s="7">
        <f t="shared" si="117"/>
        <v>16.114583333332984</v>
      </c>
    </row>
    <row r="3683" spans="1:9" x14ac:dyDescent="0.2">
      <c r="A3683" t="s">
        <v>4060</v>
      </c>
      <c r="B3683">
        <v>5.1734999999999998</v>
      </c>
      <c r="C3683">
        <v>7.2459999999999997E-2</v>
      </c>
      <c r="D3683">
        <v>271</v>
      </c>
      <c r="E3683" t="s">
        <v>4060</v>
      </c>
      <c r="F3683">
        <v>271</v>
      </c>
      <c r="G3683" s="1">
        <v>45197</v>
      </c>
      <c r="H3683" s="6">
        <f t="shared" si="116"/>
        <v>16.124999999999652</v>
      </c>
      <c r="I3683" s="7">
        <f t="shared" si="117"/>
        <v>16.124999999999652</v>
      </c>
    </row>
    <row r="3684" spans="1:9" x14ac:dyDescent="0.2">
      <c r="A3684" t="s">
        <v>4061</v>
      </c>
      <c r="B3684">
        <v>5.2050000000000001</v>
      </c>
      <c r="C3684">
        <v>7.2919999999999999E-2</v>
      </c>
      <c r="D3684">
        <v>271</v>
      </c>
      <c r="E3684" t="s">
        <v>4061</v>
      </c>
      <c r="F3684">
        <v>271</v>
      </c>
      <c r="G3684" s="1">
        <v>45197</v>
      </c>
      <c r="H3684" s="6">
        <f t="shared" si="116"/>
        <v>16.13541666666632</v>
      </c>
      <c r="I3684" s="7">
        <f t="shared" si="117"/>
        <v>16.13541666666632</v>
      </c>
    </row>
    <row r="3685" spans="1:9" x14ac:dyDescent="0.2">
      <c r="A3685" t="s">
        <v>4062</v>
      </c>
      <c r="B3685">
        <v>5.1989999999999998</v>
      </c>
      <c r="C3685">
        <v>7.2804999999999995E-2</v>
      </c>
      <c r="D3685">
        <v>271</v>
      </c>
      <c r="E3685" t="s">
        <v>4062</v>
      </c>
      <c r="F3685">
        <v>271</v>
      </c>
      <c r="G3685" s="1">
        <v>45197</v>
      </c>
      <c r="H3685" s="6">
        <f t="shared" si="116"/>
        <v>16.145833333332988</v>
      </c>
      <c r="I3685" s="7">
        <f t="shared" si="117"/>
        <v>16.145833333332988</v>
      </c>
    </row>
    <row r="3686" spans="1:9" x14ac:dyDescent="0.2">
      <c r="A3686" t="s">
        <v>4063</v>
      </c>
      <c r="B3686">
        <v>5.18</v>
      </c>
      <c r="C3686">
        <v>7.2559999999999999E-2</v>
      </c>
      <c r="D3686">
        <v>271</v>
      </c>
      <c r="E3686" t="s">
        <v>4063</v>
      </c>
      <c r="F3686">
        <v>271</v>
      </c>
      <c r="G3686" s="1">
        <v>45197</v>
      </c>
      <c r="H3686" s="6">
        <f t="shared" si="116"/>
        <v>16.156249999999655</v>
      </c>
      <c r="I3686" s="7">
        <f t="shared" si="117"/>
        <v>16.156249999999655</v>
      </c>
    </row>
    <row r="3687" spans="1:9" x14ac:dyDescent="0.2">
      <c r="A3687" t="s">
        <v>4064</v>
      </c>
      <c r="B3687">
        <v>5.1935000000000002</v>
      </c>
      <c r="C3687">
        <v>7.2745000000000004E-2</v>
      </c>
      <c r="D3687">
        <v>271</v>
      </c>
      <c r="E3687" t="s">
        <v>4064</v>
      </c>
      <c r="F3687">
        <v>271</v>
      </c>
      <c r="G3687" s="1">
        <v>45197</v>
      </c>
      <c r="H3687" s="6">
        <f t="shared" si="116"/>
        <v>16.166666666666323</v>
      </c>
      <c r="I3687" s="7">
        <f t="shared" si="117"/>
        <v>16.166666666666323</v>
      </c>
    </row>
    <row r="3688" spans="1:9" x14ac:dyDescent="0.2">
      <c r="A3688" t="s">
        <v>4065</v>
      </c>
      <c r="B3688">
        <v>5.2009999999999996</v>
      </c>
      <c r="C3688">
        <v>7.2864999999999999E-2</v>
      </c>
      <c r="D3688">
        <v>271</v>
      </c>
      <c r="E3688" t="s">
        <v>4065</v>
      </c>
      <c r="F3688">
        <v>271</v>
      </c>
      <c r="G3688" s="1">
        <v>45197</v>
      </c>
      <c r="H3688" s="6">
        <f t="shared" si="116"/>
        <v>16.177083333332991</v>
      </c>
      <c r="I3688" s="7">
        <f t="shared" si="117"/>
        <v>16.177083333332991</v>
      </c>
    </row>
    <row r="3689" spans="1:9" x14ac:dyDescent="0.2">
      <c r="A3689" t="s">
        <v>4066</v>
      </c>
      <c r="B3689">
        <v>5.1710000000000003</v>
      </c>
      <c r="C3689">
        <v>7.2440000000000004E-2</v>
      </c>
      <c r="D3689">
        <v>271</v>
      </c>
      <c r="E3689" t="s">
        <v>4066</v>
      </c>
      <c r="F3689">
        <v>271</v>
      </c>
      <c r="G3689" s="1">
        <v>45197</v>
      </c>
      <c r="H3689" s="6">
        <f t="shared" si="116"/>
        <v>16.187499999999659</v>
      </c>
      <c r="I3689" s="7">
        <f t="shared" si="117"/>
        <v>16.187499999999659</v>
      </c>
    </row>
    <row r="3690" spans="1:9" x14ac:dyDescent="0.2">
      <c r="A3690" t="s">
        <v>4067</v>
      </c>
      <c r="B3690">
        <v>5.1619999999999999</v>
      </c>
      <c r="C3690">
        <v>7.2304999999999994E-2</v>
      </c>
      <c r="D3690">
        <v>271</v>
      </c>
      <c r="E3690" t="s">
        <v>4067</v>
      </c>
      <c r="F3690">
        <v>271</v>
      </c>
      <c r="G3690" s="1">
        <v>45197</v>
      </c>
      <c r="H3690" s="6">
        <f t="shared" si="116"/>
        <v>16.197916666666327</v>
      </c>
      <c r="I3690" s="7">
        <f t="shared" si="117"/>
        <v>16.197916666666327</v>
      </c>
    </row>
    <row r="3691" spans="1:9" x14ac:dyDescent="0.2">
      <c r="A3691" t="s">
        <v>4068</v>
      </c>
      <c r="B3691">
        <v>5.1965000000000003</v>
      </c>
      <c r="C3691">
        <v>7.2779999999999997E-2</v>
      </c>
      <c r="D3691">
        <v>271</v>
      </c>
      <c r="E3691" t="s">
        <v>4068</v>
      </c>
      <c r="F3691">
        <v>271</v>
      </c>
      <c r="G3691" s="1">
        <v>45197</v>
      </c>
      <c r="H3691" s="6">
        <f t="shared" si="116"/>
        <v>16.208333333332995</v>
      </c>
      <c r="I3691" s="7">
        <f t="shared" si="117"/>
        <v>16.208333333332995</v>
      </c>
    </row>
    <row r="3692" spans="1:9" x14ac:dyDescent="0.2">
      <c r="A3692" t="s">
        <v>4069</v>
      </c>
      <c r="B3692">
        <v>5.165</v>
      </c>
      <c r="C3692">
        <v>7.2349999999999998E-2</v>
      </c>
      <c r="D3692">
        <v>271</v>
      </c>
      <c r="E3692" t="s">
        <v>4069</v>
      </c>
      <c r="F3692">
        <v>271</v>
      </c>
      <c r="G3692" s="1">
        <v>45197</v>
      </c>
      <c r="H3692" s="6">
        <f t="shared" si="116"/>
        <v>16.218749999999662</v>
      </c>
      <c r="I3692" s="7">
        <f t="shared" si="117"/>
        <v>16.218749999999662</v>
      </c>
    </row>
    <row r="3693" spans="1:9" x14ac:dyDescent="0.2">
      <c r="A3693" t="s">
        <v>4070</v>
      </c>
      <c r="B3693">
        <v>5.1760000000000002</v>
      </c>
      <c r="C3693">
        <v>7.2489999999999999E-2</v>
      </c>
      <c r="D3693">
        <v>271</v>
      </c>
      <c r="E3693" t="s">
        <v>4070</v>
      </c>
      <c r="F3693">
        <v>271</v>
      </c>
      <c r="G3693" s="1">
        <v>45197</v>
      </c>
      <c r="H3693" s="6">
        <f t="shared" si="116"/>
        <v>16.22916666666633</v>
      </c>
      <c r="I3693" s="7">
        <f t="shared" si="117"/>
        <v>16.22916666666633</v>
      </c>
    </row>
    <row r="3694" spans="1:9" x14ac:dyDescent="0.2">
      <c r="A3694" t="s">
        <v>4071</v>
      </c>
      <c r="B3694">
        <v>5.1139999999999999</v>
      </c>
      <c r="C3694">
        <v>7.1620000000000003E-2</v>
      </c>
      <c r="D3694">
        <v>271</v>
      </c>
      <c r="E3694" t="s">
        <v>4071</v>
      </c>
      <c r="F3694">
        <v>271</v>
      </c>
      <c r="G3694" s="1">
        <v>45197</v>
      </c>
      <c r="H3694" s="6">
        <f t="shared" si="116"/>
        <v>16.239583333332998</v>
      </c>
      <c r="I3694" s="7">
        <f t="shared" si="117"/>
        <v>16.239583333332998</v>
      </c>
    </row>
    <row r="3695" spans="1:9" x14ac:dyDescent="0.2">
      <c r="A3695" t="s">
        <v>4072</v>
      </c>
      <c r="B3695">
        <v>5.1429999999999998</v>
      </c>
      <c r="C3695">
        <v>7.2025000000000006E-2</v>
      </c>
      <c r="D3695">
        <v>271</v>
      </c>
      <c r="E3695" t="s">
        <v>4072</v>
      </c>
      <c r="F3695">
        <v>271</v>
      </c>
      <c r="G3695" s="1">
        <v>45197</v>
      </c>
      <c r="H3695" s="6">
        <f t="shared" si="116"/>
        <v>16.249999999999666</v>
      </c>
      <c r="I3695" s="7">
        <f t="shared" si="117"/>
        <v>16.249999999999666</v>
      </c>
    </row>
    <row r="3696" spans="1:9" x14ac:dyDescent="0.2">
      <c r="A3696" t="s">
        <v>4073</v>
      </c>
      <c r="B3696">
        <v>5.1074999999999999</v>
      </c>
      <c r="C3696">
        <v>7.1510000000000004E-2</v>
      </c>
      <c r="D3696">
        <v>271</v>
      </c>
      <c r="E3696" t="s">
        <v>4073</v>
      </c>
      <c r="F3696">
        <v>271</v>
      </c>
      <c r="G3696" s="1">
        <v>45197</v>
      </c>
      <c r="H3696" s="6">
        <f t="shared" si="116"/>
        <v>16.260416666666334</v>
      </c>
      <c r="I3696" s="7">
        <f t="shared" si="117"/>
        <v>16.260416666666334</v>
      </c>
    </row>
    <row r="3697" spans="1:9" x14ac:dyDescent="0.2">
      <c r="A3697" t="s">
        <v>4074</v>
      </c>
      <c r="B3697">
        <v>5.0670000000000002</v>
      </c>
      <c r="C3697">
        <v>7.0965E-2</v>
      </c>
      <c r="D3697">
        <v>271</v>
      </c>
      <c r="E3697" t="s">
        <v>4074</v>
      </c>
      <c r="F3697">
        <v>271</v>
      </c>
      <c r="G3697" s="1">
        <v>45197</v>
      </c>
      <c r="H3697" s="6">
        <f t="shared" si="116"/>
        <v>16.270833333333002</v>
      </c>
      <c r="I3697" s="7">
        <f t="shared" si="117"/>
        <v>16.270833333333002</v>
      </c>
    </row>
    <row r="3698" spans="1:9" x14ac:dyDescent="0.2">
      <c r="A3698" t="s">
        <v>4075</v>
      </c>
      <c r="B3698">
        <v>5.0724999999999998</v>
      </c>
      <c r="C3698">
        <v>7.1040000000000006E-2</v>
      </c>
      <c r="D3698">
        <v>271</v>
      </c>
      <c r="E3698" t="s">
        <v>4075</v>
      </c>
      <c r="F3698">
        <v>271</v>
      </c>
      <c r="G3698" s="1">
        <v>45197</v>
      </c>
      <c r="H3698" s="6">
        <f t="shared" si="116"/>
        <v>16.28124999999967</v>
      </c>
      <c r="I3698" s="7">
        <f t="shared" si="117"/>
        <v>16.28124999999967</v>
      </c>
    </row>
    <row r="3699" spans="1:9" x14ac:dyDescent="0.2">
      <c r="A3699" t="s">
        <v>4076</v>
      </c>
      <c r="B3699">
        <v>5.0049999999999999</v>
      </c>
      <c r="C3699">
        <v>7.009E-2</v>
      </c>
      <c r="D3699">
        <v>271</v>
      </c>
      <c r="E3699" t="s">
        <v>4076</v>
      </c>
      <c r="F3699">
        <v>271</v>
      </c>
      <c r="G3699" s="1">
        <v>45197</v>
      </c>
      <c r="H3699" s="6">
        <f t="shared" si="116"/>
        <v>16.291666666666337</v>
      </c>
      <c r="I3699" s="7">
        <f t="shared" si="117"/>
        <v>16.291666666666337</v>
      </c>
    </row>
    <row r="3700" spans="1:9" x14ac:dyDescent="0.2">
      <c r="A3700" t="s">
        <v>4077</v>
      </c>
      <c r="B3700">
        <v>4.9664999999999999</v>
      </c>
      <c r="C3700">
        <v>6.9569999999999896E-2</v>
      </c>
      <c r="D3700">
        <v>271</v>
      </c>
      <c r="E3700" t="s">
        <v>4077</v>
      </c>
      <c r="F3700">
        <v>271</v>
      </c>
      <c r="G3700" s="1">
        <v>45197</v>
      </c>
      <c r="H3700" s="6">
        <f t="shared" si="116"/>
        <v>16.302083333333005</v>
      </c>
      <c r="I3700" s="7">
        <f t="shared" si="117"/>
        <v>16.302083333333005</v>
      </c>
    </row>
    <row r="3701" spans="1:9" x14ac:dyDescent="0.2">
      <c r="A3701" t="s">
        <v>4078</v>
      </c>
      <c r="B3701">
        <v>4.9320000000000004</v>
      </c>
      <c r="C3701">
        <v>6.9084999999999994E-2</v>
      </c>
      <c r="D3701">
        <v>271</v>
      </c>
      <c r="E3701" t="s">
        <v>4078</v>
      </c>
      <c r="F3701">
        <v>271</v>
      </c>
      <c r="G3701" s="1">
        <v>45197</v>
      </c>
      <c r="H3701" s="6">
        <f t="shared" si="116"/>
        <v>16.312499999999673</v>
      </c>
      <c r="I3701" s="7">
        <f t="shared" si="117"/>
        <v>16.312499999999673</v>
      </c>
    </row>
    <row r="3702" spans="1:9" x14ac:dyDescent="0.2">
      <c r="A3702" t="s">
        <v>4079</v>
      </c>
      <c r="B3702">
        <v>4.8905000000000003</v>
      </c>
      <c r="C3702">
        <v>6.8504999999999996E-2</v>
      </c>
      <c r="D3702">
        <v>271</v>
      </c>
      <c r="E3702" t="s">
        <v>4079</v>
      </c>
      <c r="F3702">
        <v>271</v>
      </c>
      <c r="G3702" s="1">
        <v>45197</v>
      </c>
      <c r="H3702" s="6">
        <f t="shared" si="116"/>
        <v>16.322916666666341</v>
      </c>
      <c r="I3702" s="7">
        <f t="shared" si="117"/>
        <v>16.322916666666341</v>
      </c>
    </row>
    <row r="3703" spans="1:9" x14ac:dyDescent="0.2">
      <c r="A3703" t="s">
        <v>4080</v>
      </c>
      <c r="B3703">
        <v>4.843</v>
      </c>
      <c r="C3703">
        <v>6.7845000000000003E-2</v>
      </c>
      <c r="D3703">
        <v>271</v>
      </c>
      <c r="E3703" t="s">
        <v>4080</v>
      </c>
      <c r="F3703">
        <v>271</v>
      </c>
      <c r="G3703" s="1">
        <v>45197</v>
      </c>
      <c r="H3703" s="6">
        <f t="shared" si="116"/>
        <v>16.333333333333009</v>
      </c>
      <c r="I3703" s="7">
        <f t="shared" si="117"/>
        <v>16.333333333333009</v>
      </c>
    </row>
    <row r="3704" spans="1:9" x14ac:dyDescent="0.2">
      <c r="A3704" t="s">
        <v>4081</v>
      </c>
      <c r="B3704">
        <v>4.79</v>
      </c>
      <c r="C3704">
        <v>6.7074999999999996E-2</v>
      </c>
      <c r="D3704">
        <v>271</v>
      </c>
      <c r="E3704" t="s">
        <v>4081</v>
      </c>
      <c r="F3704">
        <v>271</v>
      </c>
      <c r="G3704" s="1">
        <v>45197</v>
      </c>
      <c r="H3704" s="6">
        <f t="shared" si="116"/>
        <v>16.343749999999677</v>
      </c>
      <c r="I3704" s="7">
        <f t="shared" si="117"/>
        <v>16.343749999999677</v>
      </c>
    </row>
    <row r="3705" spans="1:9" x14ac:dyDescent="0.2">
      <c r="A3705" t="s">
        <v>4082</v>
      </c>
      <c r="B3705">
        <v>4.7565</v>
      </c>
      <c r="C3705">
        <v>6.6625000000000004E-2</v>
      </c>
      <c r="D3705">
        <v>271</v>
      </c>
      <c r="E3705" t="s">
        <v>4082</v>
      </c>
      <c r="F3705">
        <v>271</v>
      </c>
      <c r="G3705" s="1">
        <v>45197</v>
      </c>
      <c r="H3705" s="6">
        <f t="shared" si="116"/>
        <v>16.354166666666345</v>
      </c>
      <c r="I3705" s="7">
        <f t="shared" si="117"/>
        <v>16.354166666666345</v>
      </c>
    </row>
    <row r="3706" spans="1:9" x14ac:dyDescent="0.2">
      <c r="A3706" t="s">
        <v>4083</v>
      </c>
      <c r="B3706">
        <v>4.71</v>
      </c>
      <c r="C3706">
        <v>6.5979999999999997E-2</v>
      </c>
      <c r="D3706">
        <v>271</v>
      </c>
      <c r="E3706" t="s">
        <v>4083</v>
      </c>
      <c r="F3706">
        <v>271</v>
      </c>
      <c r="G3706" s="1">
        <v>45197</v>
      </c>
      <c r="H3706" s="6">
        <f t="shared" si="116"/>
        <v>16.364583333333012</v>
      </c>
      <c r="I3706" s="7">
        <f t="shared" si="117"/>
        <v>16.364583333333012</v>
      </c>
    </row>
    <row r="3707" spans="1:9" x14ac:dyDescent="0.2">
      <c r="A3707" t="s">
        <v>4084</v>
      </c>
      <c r="B3707">
        <v>4.7035</v>
      </c>
      <c r="C3707">
        <v>6.5875000000000003E-2</v>
      </c>
      <c r="D3707">
        <v>271</v>
      </c>
      <c r="E3707" t="s">
        <v>4084</v>
      </c>
      <c r="F3707">
        <v>271</v>
      </c>
      <c r="G3707" s="1">
        <v>45197</v>
      </c>
      <c r="H3707" s="6">
        <f t="shared" si="116"/>
        <v>16.37499999999968</v>
      </c>
      <c r="I3707" s="7">
        <f t="shared" si="117"/>
        <v>16.37499999999968</v>
      </c>
    </row>
    <row r="3708" spans="1:9" x14ac:dyDescent="0.2">
      <c r="A3708" t="s">
        <v>4085</v>
      </c>
      <c r="B3708">
        <v>4.6920000000000002</v>
      </c>
      <c r="C3708">
        <v>6.5720000000000001E-2</v>
      </c>
      <c r="D3708">
        <v>271</v>
      </c>
      <c r="E3708" t="s">
        <v>4085</v>
      </c>
      <c r="F3708">
        <v>271</v>
      </c>
      <c r="G3708" s="1">
        <v>45197</v>
      </c>
      <c r="H3708" s="6">
        <f t="shared" si="116"/>
        <v>16.385416666666348</v>
      </c>
      <c r="I3708" s="7">
        <f t="shared" si="117"/>
        <v>16.385416666666348</v>
      </c>
    </row>
    <row r="3709" spans="1:9" x14ac:dyDescent="0.2">
      <c r="A3709" t="s">
        <v>4086</v>
      </c>
      <c r="B3709">
        <v>4.67</v>
      </c>
      <c r="C3709">
        <v>6.5415000000000001E-2</v>
      </c>
      <c r="D3709">
        <v>271</v>
      </c>
      <c r="E3709" t="s">
        <v>4086</v>
      </c>
      <c r="F3709">
        <v>271</v>
      </c>
      <c r="G3709" s="1">
        <v>45197</v>
      </c>
      <c r="H3709" s="6">
        <f t="shared" si="116"/>
        <v>16.395833333333016</v>
      </c>
      <c r="I3709" s="7">
        <f t="shared" si="117"/>
        <v>16.395833333333016</v>
      </c>
    </row>
    <row r="3710" spans="1:9" x14ac:dyDescent="0.2">
      <c r="A3710" t="s">
        <v>4087</v>
      </c>
      <c r="B3710">
        <v>4.6734999999999998</v>
      </c>
      <c r="C3710">
        <v>6.5460000000000004E-2</v>
      </c>
      <c r="D3710">
        <v>271</v>
      </c>
      <c r="E3710" t="s">
        <v>4087</v>
      </c>
      <c r="F3710">
        <v>271</v>
      </c>
      <c r="G3710" s="1">
        <v>45197</v>
      </c>
      <c r="H3710" s="6">
        <f t="shared" si="116"/>
        <v>16.406249999999684</v>
      </c>
      <c r="I3710" s="7">
        <f t="shared" si="117"/>
        <v>16.406249999999684</v>
      </c>
    </row>
    <row r="3711" spans="1:9" x14ac:dyDescent="0.2">
      <c r="A3711" t="s">
        <v>4088</v>
      </c>
      <c r="B3711" s="2" t="s">
        <v>4089</v>
      </c>
      <c r="C3711">
        <v>6.5240000000000006E-2</v>
      </c>
      <c r="D3711">
        <v>271</v>
      </c>
      <c r="E3711" t="s">
        <v>4088</v>
      </c>
      <c r="F3711">
        <v>271</v>
      </c>
      <c r="G3711" s="1">
        <v>45197</v>
      </c>
      <c r="H3711" s="6">
        <f t="shared" si="116"/>
        <v>16.416666666666352</v>
      </c>
      <c r="I3711" s="7">
        <f t="shared" si="117"/>
        <v>16.416666666666352</v>
      </c>
    </row>
    <row r="3712" spans="1:9" x14ac:dyDescent="0.2">
      <c r="A3712" t="s">
        <v>4090</v>
      </c>
      <c r="B3712">
        <v>4.6120000000000001</v>
      </c>
      <c r="C3712">
        <v>6.4604999999999996E-2</v>
      </c>
      <c r="D3712">
        <v>271</v>
      </c>
      <c r="E3712" t="s">
        <v>4090</v>
      </c>
      <c r="F3712">
        <v>271</v>
      </c>
      <c r="G3712" s="1">
        <v>45197</v>
      </c>
      <c r="H3712" s="6">
        <f t="shared" si="116"/>
        <v>16.42708333333302</v>
      </c>
      <c r="I3712" s="7">
        <f t="shared" si="117"/>
        <v>16.42708333333302</v>
      </c>
    </row>
    <row r="3713" spans="1:9" x14ac:dyDescent="0.2">
      <c r="A3713" t="s">
        <v>4091</v>
      </c>
      <c r="B3713">
        <v>4.6310000000000002</v>
      </c>
      <c r="C3713">
        <v>6.4875000000000002E-2</v>
      </c>
      <c r="D3713">
        <v>271</v>
      </c>
      <c r="E3713" t="s">
        <v>4091</v>
      </c>
      <c r="F3713">
        <v>271</v>
      </c>
      <c r="G3713" s="1">
        <v>45197</v>
      </c>
      <c r="H3713" s="6">
        <f t="shared" si="116"/>
        <v>16.437499999999687</v>
      </c>
      <c r="I3713" s="7">
        <f t="shared" si="117"/>
        <v>16.437499999999687</v>
      </c>
    </row>
    <row r="3714" spans="1:9" x14ac:dyDescent="0.2">
      <c r="A3714" t="s">
        <v>4092</v>
      </c>
      <c r="B3714">
        <v>4.6384999999999996</v>
      </c>
      <c r="C3714">
        <v>6.4985000000000001E-2</v>
      </c>
      <c r="D3714">
        <v>271</v>
      </c>
      <c r="E3714" t="s">
        <v>4092</v>
      </c>
      <c r="F3714">
        <v>271</v>
      </c>
      <c r="G3714" s="1">
        <v>45197</v>
      </c>
      <c r="H3714" s="6">
        <f t="shared" si="116"/>
        <v>16.447916666666355</v>
      </c>
      <c r="I3714" s="7">
        <f t="shared" si="117"/>
        <v>16.447916666666355</v>
      </c>
    </row>
    <row r="3715" spans="1:9" x14ac:dyDescent="0.2">
      <c r="A3715" t="s">
        <v>4093</v>
      </c>
      <c r="B3715">
        <v>4.6364999999999998</v>
      </c>
      <c r="C3715">
        <v>6.4949999999999994E-2</v>
      </c>
      <c r="D3715">
        <v>271</v>
      </c>
      <c r="E3715" t="s">
        <v>4093</v>
      </c>
      <c r="F3715">
        <v>271</v>
      </c>
      <c r="G3715" s="1">
        <v>45197</v>
      </c>
      <c r="H3715" s="6">
        <f t="shared" si="116"/>
        <v>16.458333333333023</v>
      </c>
      <c r="I3715" s="7">
        <f t="shared" si="117"/>
        <v>16.458333333333023</v>
      </c>
    </row>
    <row r="3716" spans="1:9" x14ac:dyDescent="0.2">
      <c r="A3716" t="s">
        <v>4094</v>
      </c>
      <c r="B3716" s="2" t="s">
        <v>4095</v>
      </c>
      <c r="C3716">
        <v>6.4949999999999994E-2</v>
      </c>
      <c r="D3716">
        <v>271</v>
      </c>
      <c r="E3716" t="s">
        <v>4094</v>
      </c>
      <c r="F3716">
        <v>271</v>
      </c>
      <c r="G3716" s="1">
        <v>45197</v>
      </c>
      <c r="H3716" s="6">
        <f t="shared" si="116"/>
        <v>16.468749999999691</v>
      </c>
      <c r="I3716" s="7">
        <f t="shared" si="117"/>
        <v>16.468749999999691</v>
      </c>
    </row>
    <row r="3717" spans="1:9" x14ac:dyDescent="0.2">
      <c r="A3717" t="s">
        <v>4096</v>
      </c>
      <c r="B3717">
        <v>4.6245000000000003</v>
      </c>
      <c r="C3717">
        <v>6.4774999999999999E-2</v>
      </c>
      <c r="D3717">
        <v>271</v>
      </c>
      <c r="E3717" t="s">
        <v>4096</v>
      </c>
      <c r="F3717">
        <v>271</v>
      </c>
      <c r="G3717" s="1">
        <v>45197</v>
      </c>
      <c r="H3717" s="6">
        <f t="shared" si="116"/>
        <v>16.479166666666359</v>
      </c>
      <c r="I3717" s="7">
        <f t="shared" si="117"/>
        <v>16.479166666666359</v>
      </c>
    </row>
    <row r="3718" spans="1:9" x14ac:dyDescent="0.2">
      <c r="A3718" t="s">
        <v>4097</v>
      </c>
      <c r="B3718">
        <v>4.6079999999999997</v>
      </c>
      <c r="C3718">
        <v>6.4549999999999996E-2</v>
      </c>
      <c r="D3718">
        <v>271</v>
      </c>
      <c r="E3718" t="s">
        <v>4097</v>
      </c>
      <c r="F3718">
        <v>271</v>
      </c>
      <c r="G3718" s="1">
        <v>45197</v>
      </c>
      <c r="H3718" s="6">
        <f t="shared" si="116"/>
        <v>16.489583333333027</v>
      </c>
      <c r="I3718" s="7">
        <f t="shared" si="117"/>
        <v>16.489583333333027</v>
      </c>
    </row>
    <row r="3719" spans="1:9" x14ac:dyDescent="0.2">
      <c r="A3719" t="s">
        <v>4098</v>
      </c>
      <c r="B3719">
        <v>4.6044999999999998</v>
      </c>
      <c r="C3719">
        <v>6.4490000000000006E-2</v>
      </c>
      <c r="D3719">
        <v>271</v>
      </c>
      <c r="E3719" t="s">
        <v>4098</v>
      </c>
      <c r="F3719">
        <v>271</v>
      </c>
      <c r="G3719" s="1">
        <v>45197</v>
      </c>
      <c r="H3719" s="6">
        <f t="shared" si="116"/>
        <v>16.499999999999694</v>
      </c>
      <c r="I3719" s="7">
        <f t="shared" si="117"/>
        <v>16.499999999999694</v>
      </c>
    </row>
    <row r="3720" spans="1:9" x14ac:dyDescent="0.2">
      <c r="A3720" t="s">
        <v>4099</v>
      </c>
      <c r="B3720">
        <v>4.6189999999999998</v>
      </c>
      <c r="C3720">
        <v>6.4695000000000003E-2</v>
      </c>
      <c r="D3720">
        <v>271</v>
      </c>
      <c r="E3720" t="s">
        <v>4099</v>
      </c>
      <c r="F3720">
        <v>271</v>
      </c>
      <c r="G3720" s="1">
        <v>45197</v>
      </c>
      <c r="H3720" s="6">
        <f t="shared" si="116"/>
        <v>16.510416666666362</v>
      </c>
      <c r="I3720" s="7">
        <f t="shared" si="117"/>
        <v>16.510416666666362</v>
      </c>
    </row>
    <row r="3721" spans="1:9" x14ac:dyDescent="0.2">
      <c r="A3721" t="s">
        <v>4100</v>
      </c>
      <c r="B3721">
        <v>4.5625</v>
      </c>
      <c r="C3721">
        <v>6.3905000000000003E-2</v>
      </c>
      <c r="D3721">
        <v>271</v>
      </c>
      <c r="E3721" t="s">
        <v>4100</v>
      </c>
      <c r="F3721">
        <v>271</v>
      </c>
      <c r="G3721" s="1">
        <v>45197</v>
      </c>
      <c r="H3721" s="6">
        <f t="shared" si="116"/>
        <v>16.52083333333303</v>
      </c>
      <c r="I3721" s="7">
        <f t="shared" si="117"/>
        <v>16.52083333333303</v>
      </c>
    </row>
    <row r="3722" spans="1:9" x14ac:dyDescent="0.2">
      <c r="A3722" t="s">
        <v>4101</v>
      </c>
      <c r="B3722">
        <v>4.5685000000000002</v>
      </c>
      <c r="C3722">
        <v>6.3975000000000004E-2</v>
      </c>
      <c r="D3722">
        <v>271</v>
      </c>
      <c r="E3722" t="s">
        <v>4101</v>
      </c>
      <c r="F3722">
        <v>271</v>
      </c>
      <c r="G3722" s="1">
        <v>45197</v>
      </c>
      <c r="H3722" s="6">
        <f t="shared" si="116"/>
        <v>16.531249999999698</v>
      </c>
      <c r="I3722" s="7">
        <f t="shared" si="117"/>
        <v>16.531249999999698</v>
      </c>
    </row>
    <row r="3723" spans="1:9" x14ac:dyDescent="0.2">
      <c r="A3723" t="s">
        <v>4102</v>
      </c>
      <c r="B3723">
        <v>4.5754999999999999</v>
      </c>
      <c r="C3723">
        <v>6.4085000000000003E-2</v>
      </c>
      <c r="D3723">
        <v>271</v>
      </c>
      <c r="E3723" t="s">
        <v>4102</v>
      </c>
      <c r="F3723">
        <v>271</v>
      </c>
      <c r="G3723" s="1">
        <v>45197</v>
      </c>
      <c r="H3723" s="6">
        <f t="shared" si="116"/>
        <v>16.541666666666366</v>
      </c>
      <c r="I3723" s="7">
        <f t="shared" si="117"/>
        <v>16.541666666666366</v>
      </c>
    </row>
    <row r="3724" spans="1:9" x14ac:dyDescent="0.2">
      <c r="A3724" t="s">
        <v>4103</v>
      </c>
      <c r="B3724">
        <v>4.5404999999999998</v>
      </c>
      <c r="C3724">
        <v>6.3604999999999995E-2</v>
      </c>
      <c r="D3724">
        <v>271</v>
      </c>
      <c r="E3724" t="s">
        <v>4103</v>
      </c>
      <c r="F3724">
        <v>271</v>
      </c>
      <c r="G3724" s="1">
        <v>45197</v>
      </c>
      <c r="H3724" s="6">
        <f t="shared" si="116"/>
        <v>16.552083333333034</v>
      </c>
      <c r="I3724" s="7">
        <f t="shared" si="117"/>
        <v>16.552083333333034</v>
      </c>
    </row>
    <row r="3725" spans="1:9" x14ac:dyDescent="0.2">
      <c r="A3725" t="s">
        <v>4104</v>
      </c>
      <c r="B3725">
        <v>4.5564999999999998</v>
      </c>
      <c r="C3725">
        <v>6.3820000000000002E-2</v>
      </c>
      <c r="D3725">
        <v>271</v>
      </c>
      <c r="E3725" t="s">
        <v>4104</v>
      </c>
      <c r="F3725">
        <v>271</v>
      </c>
      <c r="G3725" s="1">
        <v>45197</v>
      </c>
      <c r="H3725" s="6">
        <f t="shared" si="116"/>
        <v>16.562499999999702</v>
      </c>
      <c r="I3725" s="7">
        <f t="shared" si="117"/>
        <v>16.562499999999702</v>
      </c>
    </row>
    <row r="3726" spans="1:9" x14ac:dyDescent="0.2">
      <c r="A3726" t="s">
        <v>4105</v>
      </c>
      <c r="B3726">
        <v>4.5754999999999999</v>
      </c>
      <c r="C3726">
        <v>6.4079999999999998E-2</v>
      </c>
      <c r="D3726">
        <v>271</v>
      </c>
      <c r="E3726" t="s">
        <v>4105</v>
      </c>
      <c r="F3726">
        <v>271</v>
      </c>
      <c r="G3726" s="1">
        <v>45197</v>
      </c>
      <c r="H3726" s="6">
        <f t="shared" si="116"/>
        <v>16.572916666666369</v>
      </c>
      <c r="I3726" s="7">
        <f t="shared" si="117"/>
        <v>16.572916666666369</v>
      </c>
    </row>
    <row r="3727" spans="1:9" x14ac:dyDescent="0.2">
      <c r="A3727" t="s">
        <v>4106</v>
      </c>
      <c r="B3727">
        <v>4.54</v>
      </c>
      <c r="C3727">
        <v>6.3589999999999994E-2</v>
      </c>
      <c r="D3727">
        <v>271</v>
      </c>
      <c r="E3727" t="s">
        <v>4106</v>
      </c>
      <c r="F3727">
        <v>271</v>
      </c>
      <c r="G3727" s="1">
        <v>45197</v>
      </c>
      <c r="H3727" s="6">
        <f t="shared" si="116"/>
        <v>16.583333333333037</v>
      </c>
      <c r="I3727" s="7">
        <f t="shared" si="117"/>
        <v>16.583333333333037</v>
      </c>
    </row>
    <row r="3728" spans="1:9" x14ac:dyDescent="0.2">
      <c r="A3728" t="s">
        <v>4107</v>
      </c>
      <c r="B3728">
        <v>4.5640000000000001</v>
      </c>
      <c r="C3728">
        <v>6.3945000000000002E-2</v>
      </c>
      <c r="D3728">
        <v>271</v>
      </c>
      <c r="E3728" t="s">
        <v>4107</v>
      </c>
      <c r="F3728">
        <v>271</v>
      </c>
      <c r="G3728" s="1">
        <v>45197</v>
      </c>
      <c r="H3728" s="6">
        <f t="shared" si="116"/>
        <v>16.593749999999705</v>
      </c>
      <c r="I3728" s="7">
        <f t="shared" si="117"/>
        <v>16.593749999999705</v>
      </c>
    </row>
    <row r="3729" spans="1:9" x14ac:dyDescent="0.2">
      <c r="A3729" t="s">
        <v>4108</v>
      </c>
      <c r="B3729">
        <v>4.5564999999999998</v>
      </c>
      <c r="C3729">
        <v>6.3814999999999997E-2</v>
      </c>
      <c r="D3729">
        <v>271</v>
      </c>
      <c r="E3729" t="s">
        <v>4108</v>
      </c>
      <c r="F3729">
        <v>271</v>
      </c>
      <c r="G3729" s="1">
        <v>45197</v>
      </c>
      <c r="H3729" s="6">
        <f t="shared" si="116"/>
        <v>16.604166666666373</v>
      </c>
      <c r="I3729" s="7">
        <f t="shared" si="117"/>
        <v>16.604166666666373</v>
      </c>
    </row>
    <row r="3730" spans="1:9" x14ac:dyDescent="0.2">
      <c r="A3730" t="s">
        <v>4109</v>
      </c>
      <c r="B3730">
        <v>4.5724999999999998</v>
      </c>
      <c r="C3730">
        <v>6.4024999999999999E-2</v>
      </c>
      <c r="D3730">
        <v>272</v>
      </c>
      <c r="E3730" t="s">
        <v>4109</v>
      </c>
      <c r="F3730">
        <v>271</v>
      </c>
      <c r="G3730" s="1">
        <v>45197</v>
      </c>
      <c r="H3730" s="6">
        <f t="shared" si="116"/>
        <v>16.614583333333041</v>
      </c>
      <c r="I3730" s="7">
        <f t="shared" si="117"/>
        <v>16.614583333333041</v>
      </c>
    </row>
    <row r="3731" spans="1:9" x14ac:dyDescent="0.2">
      <c r="A3731" t="s">
        <v>4110</v>
      </c>
      <c r="B3731">
        <v>4.5705</v>
      </c>
      <c r="C3731">
        <v>6.3994999999999996E-2</v>
      </c>
      <c r="D3731">
        <v>272</v>
      </c>
      <c r="E3731" t="s">
        <v>4110</v>
      </c>
      <c r="F3731">
        <v>271</v>
      </c>
      <c r="G3731" s="1">
        <v>45197</v>
      </c>
      <c r="H3731" s="6">
        <f t="shared" si="116"/>
        <v>16.624999999999709</v>
      </c>
      <c r="I3731" s="7">
        <f t="shared" si="117"/>
        <v>16.624999999999709</v>
      </c>
    </row>
    <row r="3732" spans="1:9" x14ac:dyDescent="0.2">
      <c r="A3732" t="s">
        <v>4111</v>
      </c>
      <c r="B3732">
        <v>4.617</v>
      </c>
      <c r="C3732">
        <v>6.4649999999999999E-2</v>
      </c>
      <c r="D3732">
        <v>272</v>
      </c>
      <c r="E3732" t="s">
        <v>4111</v>
      </c>
      <c r="F3732">
        <v>271</v>
      </c>
      <c r="G3732" s="1">
        <v>45197</v>
      </c>
      <c r="H3732" s="6">
        <f t="shared" si="116"/>
        <v>16.635416666666377</v>
      </c>
      <c r="I3732" s="7">
        <f t="shared" si="117"/>
        <v>16.635416666666377</v>
      </c>
    </row>
    <row r="3733" spans="1:9" x14ac:dyDescent="0.2">
      <c r="A3733" t="s">
        <v>4112</v>
      </c>
      <c r="B3733" s="2" t="s">
        <v>4113</v>
      </c>
      <c r="C3733">
        <v>6.4185000000000006E-2</v>
      </c>
      <c r="D3733">
        <v>272</v>
      </c>
      <c r="E3733" t="s">
        <v>4112</v>
      </c>
      <c r="F3733">
        <v>271</v>
      </c>
      <c r="G3733" s="1">
        <v>45197</v>
      </c>
      <c r="H3733" s="6">
        <f t="shared" si="116"/>
        <v>16.645833333333044</v>
      </c>
      <c r="I3733" s="7">
        <f t="shared" si="117"/>
        <v>16.645833333333044</v>
      </c>
    </row>
    <row r="3734" spans="1:9" x14ac:dyDescent="0.2">
      <c r="A3734" t="s">
        <v>4114</v>
      </c>
      <c r="B3734">
        <v>4.6230000000000002</v>
      </c>
      <c r="C3734">
        <v>6.4740000000000006E-2</v>
      </c>
      <c r="D3734">
        <v>272</v>
      </c>
      <c r="E3734" t="s">
        <v>4114</v>
      </c>
      <c r="F3734">
        <v>271</v>
      </c>
      <c r="G3734" s="1">
        <v>45197</v>
      </c>
      <c r="H3734" s="6">
        <f t="shared" si="116"/>
        <v>16.656249999999712</v>
      </c>
      <c r="I3734" s="7">
        <f t="shared" si="117"/>
        <v>16.656249999999712</v>
      </c>
    </row>
    <row r="3735" spans="1:9" x14ac:dyDescent="0.2">
      <c r="A3735" t="s">
        <v>4115</v>
      </c>
      <c r="B3735" s="2" t="s">
        <v>4116</v>
      </c>
      <c r="C3735">
        <v>6.4805000000000001E-2</v>
      </c>
      <c r="D3735">
        <v>272</v>
      </c>
      <c r="E3735" t="s">
        <v>4115</v>
      </c>
      <c r="F3735">
        <v>271</v>
      </c>
      <c r="G3735" s="1">
        <v>45197</v>
      </c>
      <c r="H3735" s="6">
        <f t="shared" si="116"/>
        <v>16.66666666666638</v>
      </c>
      <c r="I3735" s="7">
        <f t="shared" si="117"/>
        <v>16.66666666666638</v>
      </c>
    </row>
    <row r="3736" spans="1:9" x14ac:dyDescent="0.2">
      <c r="A3736" t="s">
        <v>4117</v>
      </c>
      <c r="B3736">
        <v>4.6405000000000003</v>
      </c>
      <c r="C3736">
        <v>6.5015000000000003E-2</v>
      </c>
      <c r="D3736">
        <v>272</v>
      </c>
      <c r="E3736" t="s">
        <v>4117</v>
      </c>
      <c r="F3736">
        <v>271</v>
      </c>
      <c r="G3736" s="1">
        <v>45197</v>
      </c>
      <c r="H3736" s="6">
        <f t="shared" si="116"/>
        <v>16.677083333333048</v>
      </c>
      <c r="I3736" s="7">
        <f t="shared" si="117"/>
        <v>16.677083333333048</v>
      </c>
    </row>
    <row r="3737" spans="1:9" x14ac:dyDescent="0.2">
      <c r="A3737" t="s">
        <v>4118</v>
      </c>
      <c r="B3737">
        <v>4.6719999999999997</v>
      </c>
      <c r="C3737">
        <v>6.5449999999999994E-2</v>
      </c>
      <c r="D3737">
        <v>272</v>
      </c>
      <c r="E3737" t="s">
        <v>4118</v>
      </c>
      <c r="F3737">
        <v>271</v>
      </c>
      <c r="G3737" s="1">
        <v>45197</v>
      </c>
      <c r="H3737" s="6">
        <f t="shared" si="116"/>
        <v>16.687499999999716</v>
      </c>
      <c r="I3737" s="7">
        <f t="shared" si="117"/>
        <v>16.687499999999716</v>
      </c>
    </row>
    <row r="3738" spans="1:9" x14ac:dyDescent="0.2">
      <c r="A3738" t="s">
        <v>4119</v>
      </c>
      <c r="B3738">
        <v>4.6734999999999998</v>
      </c>
      <c r="C3738">
        <v>6.5464999999999995E-2</v>
      </c>
      <c r="D3738">
        <v>272</v>
      </c>
      <c r="E3738" t="s">
        <v>4119</v>
      </c>
      <c r="F3738">
        <v>271</v>
      </c>
      <c r="G3738" s="1">
        <v>45197</v>
      </c>
      <c r="H3738" s="6">
        <f t="shared" si="116"/>
        <v>16.697916666666384</v>
      </c>
      <c r="I3738" s="7">
        <f t="shared" si="117"/>
        <v>16.697916666666384</v>
      </c>
    </row>
    <row r="3739" spans="1:9" x14ac:dyDescent="0.2">
      <c r="A3739" t="s">
        <v>4120</v>
      </c>
      <c r="B3739" s="2" t="s">
        <v>4121</v>
      </c>
      <c r="C3739">
        <v>6.5909999999999996E-2</v>
      </c>
      <c r="D3739">
        <v>272</v>
      </c>
      <c r="E3739" t="s">
        <v>4120</v>
      </c>
      <c r="F3739">
        <v>271</v>
      </c>
      <c r="G3739" s="1">
        <v>45197</v>
      </c>
      <c r="H3739" s="6">
        <f t="shared" si="116"/>
        <v>16.708333333333051</v>
      </c>
      <c r="I3739" s="7">
        <f t="shared" si="117"/>
        <v>16.708333333333051</v>
      </c>
    </row>
    <row r="3740" spans="1:9" x14ac:dyDescent="0.2">
      <c r="A3740" t="s">
        <v>4122</v>
      </c>
      <c r="B3740">
        <v>4.7454999999999998</v>
      </c>
      <c r="C3740">
        <v>6.6460000000000005E-2</v>
      </c>
      <c r="D3740">
        <v>272</v>
      </c>
      <c r="E3740" t="s">
        <v>4122</v>
      </c>
      <c r="F3740">
        <v>271</v>
      </c>
      <c r="G3740" s="1">
        <v>45197</v>
      </c>
      <c r="H3740" s="6">
        <f t="shared" ref="H3740:H3803" si="118">H3739+$K$1</f>
        <v>16.718749999999719</v>
      </c>
      <c r="I3740" s="7">
        <f t="shared" ref="I3740:I3803" si="119">I3739+$K$1</f>
        <v>16.718749999999719</v>
      </c>
    </row>
    <row r="3741" spans="1:9" x14ac:dyDescent="0.2">
      <c r="A3741" t="s">
        <v>4123</v>
      </c>
      <c r="B3741">
        <v>4.7874999999999996</v>
      </c>
      <c r="C3741">
        <v>6.7044999999999993E-2</v>
      </c>
      <c r="D3741">
        <v>272</v>
      </c>
      <c r="E3741" t="s">
        <v>4123</v>
      </c>
      <c r="F3741">
        <v>271</v>
      </c>
      <c r="G3741" s="1">
        <v>45197</v>
      </c>
      <c r="H3741" s="6">
        <f t="shared" si="118"/>
        <v>16.729166666666387</v>
      </c>
      <c r="I3741" s="7">
        <f t="shared" si="119"/>
        <v>16.729166666666387</v>
      </c>
    </row>
    <row r="3742" spans="1:9" x14ac:dyDescent="0.2">
      <c r="A3742" t="s">
        <v>4124</v>
      </c>
      <c r="B3742">
        <v>4.819</v>
      </c>
      <c r="C3742">
        <v>6.7504999999999996E-2</v>
      </c>
      <c r="D3742">
        <v>272</v>
      </c>
      <c r="E3742" t="s">
        <v>4124</v>
      </c>
      <c r="F3742">
        <v>271</v>
      </c>
      <c r="G3742" s="1">
        <v>45197</v>
      </c>
      <c r="H3742" s="6">
        <f t="shared" si="118"/>
        <v>16.739583333333055</v>
      </c>
      <c r="I3742" s="7">
        <f t="shared" si="119"/>
        <v>16.739583333333055</v>
      </c>
    </row>
    <row r="3743" spans="1:9" x14ac:dyDescent="0.2">
      <c r="A3743" t="s">
        <v>4125</v>
      </c>
      <c r="B3743">
        <v>4.8615000000000004</v>
      </c>
      <c r="C3743">
        <v>6.8085000000000007E-2</v>
      </c>
      <c r="D3743">
        <v>272</v>
      </c>
      <c r="E3743" t="s">
        <v>4125</v>
      </c>
      <c r="F3743">
        <v>271</v>
      </c>
      <c r="G3743" s="1">
        <v>45197</v>
      </c>
      <c r="H3743" s="6">
        <f t="shared" si="118"/>
        <v>16.749999999999723</v>
      </c>
      <c r="I3743" s="7">
        <f t="shared" si="119"/>
        <v>16.749999999999723</v>
      </c>
    </row>
    <row r="3744" spans="1:9" x14ac:dyDescent="0.2">
      <c r="A3744" t="s">
        <v>4126</v>
      </c>
      <c r="B3744">
        <v>4.9009999999999998</v>
      </c>
      <c r="C3744">
        <v>6.8654999999999994E-2</v>
      </c>
      <c r="D3744">
        <v>272</v>
      </c>
      <c r="E3744" t="s">
        <v>4126</v>
      </c>
      <c r="F3744">
        <v>271</v>
      </c>
      <c r="G3744" s="1">
        <v>45197</v>
      </c>
      <c r="H3744" s="6">
        <f t="shared" si="118"/>
        <v>16.760416666666391</v>
      </c>
      <c r="I3744" s="7">
        <f t="shared" si="119"/>
        <v>16.760416666666391</v>
      </c>
    </row>
    <row r="3745" spans="1:9" x14ac:dyDescent="0.2">
      <c r="A3745" t="s">
        <v>4127</v>
      </c>
      <c r="B3745">
        <v>4.9414999999999996</v>
      </c>
      <c r="C3745">
        <v>6.9199999999999998E-2</v>
      </c>
      <c r="D3745">
        <v>272</v>
      </c>
      <c r="E3745" t="s">
        <v>4127</v>
      </c>
      <c r="F3745">
        <v>271</v>
      </c>
      <c r="G3745" s="1">
        <v>45197</v>
      </c>
      <c r="H3745" s="6">
        <f t="shared" si="118"/>
        <v>16.770833333333059</v>
      </c>
      <c r="I3745" s="7">
        <f t="shared" si="119"/>
        <v>16.770833333333059</v>
      </c>
    </row>
    <row r="3746" spans="1:9" x14ac:dyDescent="0.2">
      <c r="A3746" t="s">
        <v>4128</v>
      </c>
      <c r="B3746">
        <v>4.9764999999999997</v>
      </c>
      <c r="C3746">
        <v>6.9720000000000004E-2</v>
      </c>
      <c r="D3746">
        <v>272</v>
      </c>
      <c r="E3746" t="s">
        <v>4128</v>
      </c>
      <c r="F3746">
        <v>271</v>
      </c>
      <c r="G3746" s="1">
        <v>45197</v>
      </c>
      <c r="H3746" s="6">
        <f t="shared" si="118"/>
        <v>16.781249999999726</v>
      </c>
      <c r="I3746" s="7">
        <f t="shared" si="119"/>
        <v>16.781249999999726</v>
      </c>
    </row>
    <row r="3747" spans="1:9" x14ac:dyDescent="0.2">
      <c r="A3747" t="s">
        <v>4129</v>
      </c>
      <c r="B3747">
        <v>5.0185000000000004</v>
      </c>
      <c r="C3747">
        <v>7.0300000000000001E-2</v>
      </c>
      <c r="D3747">
        <v>272</v>
      </c>
      <c r="E3747" t="s">
        <v>4129</v>
      </c>
      <c r="F3747">
        <v>271</v>
      </c>
      <c r="G3747" s="1">
        <v>45197</v>
      </c>
      <c r="H3747" s="6">
        <f t="shared" si="118"/>
        <v>16.791666666666394</v>
      </c>
      <c r="I3747" s="7">
        <f t="shared" si="119"/>
        <v>16.791666666666394</v>
      </c>
    </row>
    <row r="3748" spans="1:9" x14ac:dyDescent="0.2">
      <c r="A3748" t="s">
        <v>4130</v>
      </c>
      <c r="B3748">
        <v>5.0810000000000004</v>
      </c>
      <c r="C3748">
        <v>7.1179999999999993E-2</v>
      </c>
      <c r="D3748">
        <v>272</v>
      </c>
      <c r="E3748" t="s">
        <v>4130</v>
      </c>
      <c r="F3748">
        <v>271</v>
      </c>
      <c r="G3748" s="1">
        <v>45197</v>
      </c>
      <c r="H3748" s="6">
        <f t="shared" si="118"/>
        <v>16.802083333333062</v>
      </c>
      <c r="I3748" s="7">
        <f t="shared" si="119"/>
        <v>16.802083333333062</v>
      </c>
    </row>
    <row r="3749" spans="1:9" x14ac:dyDescent="0.2">
      <c r="A3749" t="s">
        <v>4131</v>
      </c>
      <c r="B3749">
        <v>5.0884999999999998</v>
      </c>
      <c r="C3749">
        <v>7.1279999999999996E-2</v>
      </c>
      <c r="D3749">
        <v>272</v>
      </c>
      <c r="E3749" t="s">
        <v>4131</v>
      </c>
      <c r="F3749">
        <v>271</v>
      </c>
      <c r="G3749" s="1">
        <v>45197</v>
      </c>
      <c r="H3749" s="6">
        <f t="shared" si="118"/>
        <v>16.81249999999973</v>
      </c>
      <c r="I3749" s="7">
        <f t="shared" si="119"/>
        <v>16.81249999999973</v>
      </c>
    </row>
    <row r="3750" spans="1:9" x14ac:dyDescent="0.2">
      <c r="A3750" t="s">
        <v>4132</v>
      </c>
      <c r="B3750">
        <v>5.1159999999999997</v>
      </c>
      <c r="C3750">
        <v>7.1650000000000005E-2</v>
      </c>
      <c r="D3750">
        <v>272</v>
      </c>
      <c r="E3750" t="s">
        <v>4132</v>
      </c>
      <c r="F3750">
        <v>271</v>
      </c>
      <c r="G3750" s="1">
        <v>45197</v>
      </c>
      <c r="H3750" s="6">
        <f t="shared" si="118"/>
        <v>16.822916666666398</v>
      </c>
      <c r="I3750" s="7">
        <f t="shared" si="119"/>
        <v>16.822916666666398</v>
      </c>
    </row>
    <row r="3751" spans="1:9" x14ac:dyDescent="0.2">
      <c r="A3751" t="s">
        <v>4133</v>
      </c>
      <c r="B3751">
        <v>5.1284999999999998</v>
      </c>
      <c r="C3751">
        <v>7.1819999999999995E-2</v>
      </c>
      <c r="D3751">
        <v>272</v>
      </c>
      <c r="E3751" t="s">
        <v>4133</v>
      </c>
      <c r="F3751">
        <v>271</v>
      </c>
      <c r="G3751" s="1">
        <v>45197</v>
      </c>
      <c r="H3751" s="6">
        <f t="shared" si="118"/>
        <v>16.833333333333066</v>
      </c>
      <c r="I3751" s="7">
        <f t="shared" si="119"/>
        <v>16.833333333333066</v>
      </c>
    </row>
    <row r="3752" spans="1:9" x14ac:dyDescent="0.2">
      <c r="A3752" t="s">
        <v>4134</v>
      </c>
      <c r="B3752">
        <v>5.1680000000000001</v>
      </c>
      <c r="C3752">
        <v>7.2395000000000001E-2</v>
      </c>
      <c r="D3752">
        <v>272</v>
      </c>
      <c r="E3752" t="s">
        <v>4134</v>
      </c>
      <c r="F3752">
        <v>271</v>
      </c>
      <c r="G3752" s="1">
        <v>45197</v>
      </c>
      <c r="H3752" s="6">
        <f t="shared" si="118"/>
        <v>16.843749999999734</v>
      </c>
      <c r="I3752" s="7">
        <f t="shared" si="119"/>
        <v>16.843749999999734</v>
      </c>
    </row>
    <row r="3753" spans="1:9" x14ac:dyDescent="0.2">
      <c r="A3753" t="s">
        <v>4135</v>
      </c>
      <c r="B3753">
        <v>5.1829999999999998</v>
      </c>
      <c r="C3753">
        <v>7.2609999999999994E-2</v>
      </c>
      <c r="D3753">
        <v>272</v>
      </c>
      <c r="E3753" t="s">
        <v>4135</v>
      </c>
      <c r="F3753">
        <v>271</v>
      </c>
      <c r="G3753" s="1">
        <v>45197</v>
      </c>
      <c r="H3753" s="6">
        <f t="shared" si="118"/>
        <v>16.854166666666401</v>
      </c>
      <c r="I3753" s="7">
        <f t="shared" si="119"/>
        <v>16.854166666666401</v>
      </c>
    </row>
    <row r="3754" spans="1:9" x14ac:dyDescent="0.2">
      <c r="A3754" t="s">
        <v>4136</v>
      </c>
      <c r="B3754">
        <v>5.1909999999999998</v>
      </c>
      <c r="C3754">
        <v>7.2715000000000002E-2</v>
      </c>
      <c r="D3754">
        <v>272</v>
      </c>
      <c r="E3754" t="s">
        <v>4136</v>
      </c>
      <c r="F3754">
        <v>272</v>
      </c>
      <c r="G3754" s="1">
        <v>45198</v>
      </c>
      <c r="H3754" s="6">
        <f t="shared" si="118"/>
        <v>16.864583333333069</v>
      </c>
      <c r="I3754" s="7">
        <f t="shared" si="119"/>
        <v>16.864583333333069</v>
      </c>
    </row>
    <row r="3755" spans="1:9" x14ac:dyDescent="0.2">
      <c r="A3755" t="s">
        <v>4137</v>
      </c>
      <c r="B3755">
        <v>5.1870000000000003</v>
      </c>
      <c r="C3755">
        <v>7.2660000000000002E-2</v>
      </c>
      <c r="D3755">
        <v>272</v>
      </c>
      <c r="E3755" t="s">
        <v>4137</v>
      </c>
      <c r="F3755">
        <v>272</v>
      </c>
      <c r="G3755" s="1">
        <v>45198</v>
      </c>
      <c r="H3755" s="6">
        <f t="shared" si="118"/>
        <v>16.874999999999737</v>
      </c>
      <c r="I3755" s="7">
        <f t="shared" si="119"/>
        <v>16.874999999999737</v>
      </c>
    </row>
    <row r="3756" spans="1:9" x14ac:dyDescent="0.2">
      <c r="A3756" t="s">
        <v>4138</v>
      </c>
      <c r="B3756">
        <v>5.2050000000000001</v>
      </c>
      <c r="C3756">
        <v>7.2910000000000003E-2</v>
      </c>
      <c r="D3756">
        <v>272</v>
      </c>
      <c r="E3756" t="s">
        <v>4138</v>
      </c>
      <c r="F3756">
        <v>272</v>
      </c>
      <c r="G3756" s="1">
        <v>45198</v>
      </c>
      <c r="H3756" s="6">
        <f t="shared" si="118"/>
        <v>16.885416666666405</v>
      </c>
      <c r="I3756" s="7">
        <f t="shared" si="119"/>
        <v>16.885416666666405</v>
      </c>
    </row>
    <row r="3757" spans="1:9" x14ac:dyDescent="0.2">
      <c r="A3757" t="s">
        <v>4139</v>
      </c>
      <c r="B3757">
        <v>5.2214999999999998</v>
      </c>
      <c r="C3757">
        <v>7.3130000000000001E-2</v>
      </c>
      <c r="D3757">
        <v>272</v>
      </c>
      <c r="E3757" t="s">
        <v>4139</v>
      </c>
      <c r="F3757">
        <v>272</v>
      </c>
      <c r="G3757" s="1">
        <v>45198</v>
      </c>
      <c r="H3757" s="6">
        <f t="shared" si="118"/>
        <v>16.895833333333073</v>
      </c>
      <c r="I3757" s="7">
        <f t="shared" si="119"/>
        <v>16.895833333333073</v>
      </c>
    </row>
    <row r="3758" spans="1:9" x14ac:dyDescent="0.2">
      <c r="A3758" t="s">
        <v>4140</v>
      </c>
      <c r="B3758">
        <v>5.2359999999999998</v>
      </c>
      <c r="C3758">
        <v>7.3330000000000006E-2</v>
      </c>
      <c r="D3758">
        <v>272</v>
      </c>
      <c r="E3758" t="s">
        <v>4140</v>
      </c>
      <c r="F3758">
        <v>272</v>
      </c>
      <c r="G3758" s="1">
        <v>45198</v>
      </c>
      <c r="H3758" s="6">
        <f t="shared" si="118"/>
        <v>16.906249999999741</v>
      </c>
      <c r="I3758" s="7">
        <f t="shared" si="119"/>
        <v>16.906249999999741</v>
      </c>
    </row>
    <row r="3759" spans="1:9" x14ac:dyDescent="0.2">
      <c r="A3759" t="s">
        <v>4141</v>
      </c>
      <c r="B3759">
        <v>5.2424999999999997</v>
      </c>
      <c r="C3759">
        <v>7.3429999999999995E-2</v>
      </c>
      <c r="D3759">
        <v>272</v>
      </c>
      <c r="E3759" t="s">
        <v>4141</v>
      </c>
      <c r="F3759">
        <v>272</v>
      </c>
      <c r="G3759" s="1">
        <v>45198</v>
      </c>
      <c r="H3759" s="6">
        <f t="shared" si="118"/>
        <v>16.916666666666409</v>
      </c>
      <c r="I3759" s="7">
        <f t="shared" si="119"/>
        <v>16.916666666666409</v>
      </c>
    </row>
    <row r="3760" spans="1:9" x14ac:dyDescent="0.2">
      <c r="A3760" t="s">
        <v>4142</v>
      </c>
      <c r="B3760">
        <v>5.2575000000000003</v>
      </c>
      <c r="C3760">
        <v>7.3630000000000001E-2</v>
      </c>
      <c r="D3760">
        <v>272</v>
      </c>
      <c r="E3760" t="s">
        <v>4142</v>
      </c>
      <c r="F3760">
        <v>272</v>
      </c>
      <c r="G3760" s="1">
        <v>45198</v>
      </c>
      <c r="H3760" s="6">
        <f t="shared" si="118"/>
        <v>16.927083333333076</v>
      </c>
      <c r="I3760" s="7">
        <f t="shared" si="119"/>
        <v>16.927083333333076</v>
      </c>
    </row>
    <row r="3761" spans="1:9" x14ac:dyDescent="0.2">
      <c r="A3761" t="s">
        <v>4143</v>
      </c>
      <c r="B3761">
        <v>5.2324999999999999</v>
      </c>
      <c r="C3761">
        <v>7.3285000000000003E-2</v>
      </c>
      <c r="D3761">
        <v>272</v>
      </c>
      <c r="E3761" t="s">
        <v>4143</v>
      </c>
      <c r="F3761">
        <v>272</v>
      </c>
      <c r="G3761" s="1">
        <v>45198</v>
      </c>
      <c r="H3761" s="6">
        <f t="shared" si="118"/>
        <v>16.937499999999744</v>
      </c>
      <c r="I3761" s="7">
        <f t="shared" si="119"/>
        <v>16.937499999999744</v>
      </c>
    </row>
    <row r="3762" spans="1:9" x14ac:dyDescent="0.2">
      <c r="A3762" t="s">
        <v>4144</v>
      </c>
      <c r="B3762">
        <v>5.2394999999999996</v>
      </c>
      <c r="C3762">
        <v>7.3380000000000001E-2</v>
      </c>
      <c r="D3762">
        <v>272</v>
      </c>
      <c r="E3762" t="s">
        <v>4144</v>
      </c>
      <c r="F3762">
        <v>272</v>
      </c>
      <c r="G3762" s="1">
        <v>45198</v>
      </c>
      <c r="H3762" s="6">
        <f t="shared" si="118"/>
        <v>16.947916666666412</v>
      </c>
      <c r="I3762" s="7">
        <f t="shared" si="119"/>
        <v>16.947916666666412</v>
      </c>
    </row>
    <row r="3763" spans="1:9" x14ac:dyDescent="0.2">
      <c r="A3763" t="s">
        <v>4145</v>
      </c>
      <c r="B3763">
        <v>5.2270000000000003</v>
      </c>
      <c r="C3763">
        <v>7.3224999999999998E-2</v>
      </c>
      <c r="D3763">
        <v>272</v>
      </c>
      <c r="E3763" t="s">
        <v>4145</v>
      </c>
      <c r="F3763">
        <v>272</v>
      </c>
      <c r="G3763" s="1">
        <v>45198</v>
      </c>
      <c r="H3763" s="6">
        <f t="shared" si="118"/>
        <v>16.95833333333308</v>
      </c>
      <c r="I3763" s="7">
        <f t="shared" si="119"/>
        <v>16.95833333333308</v>
      </c>
    </row>
    <row r="3764" spans="1:9" x14ac:dyDescent="0.2">
      <c r="A3764" t="s">
        <v>4146</v>
      </c>
      <c r="B3764">
        <v>5.22</v>
      </c>
      <c r="C3764">
        <v>7.3124999999999996E-2</v>
      </c>
      <c r="D3764">
        <v>272</v>
      </c>
      <c r="E3764" t="s">
        <v>4146</v>
      </c>
      <c r="F3764">
        <v>272</v>
      </c>
      <c r="G3764" s="1">
        <v>45198</v>
      </c>
      <c r="H3764" s="6">
        <f t="shared" si="118"/>
        <v>16.968749999999748</v>
      </c>
      <c r="I3764" s="7">
        <f t="shared" si="119"/>
        <v>16.968749999999748</v>
      </c>
    </row>
    <row r="3765" spans="1:9" x14ac:dyDescent="0.2">
      <c r="A3765" t="s">
        <v>4147</v>
      </c>
      <c r="B3765">
        <v>5.2350000000000003</v>
      </c>
      <c r="C3765">
        <v>7.3359999999999995E-2</v>
      </c>
      <c r="D3765">
        <v>272</v>
      </c>
      <c r="E3765" t="s">
        <v>4147</v>
      </c>
      <c r="F3765">
        <v>272</v>
      </c>
      <c r="G3765" s="1">
        <v>45198</v>
      </c>
      <c r="H3765" s="6">
        <f t="shared" si="118"/>
        <v>16.979166666666416</v>
      </c>
      <c r="I3765" s="7">
        <f t="shared" si="119"/>
        <v>16.979166666666416</v>
      </c>
    </row>
    <row r="3766" spans="1:9" x14ac:dyDescent="0.2">
      <c r="A3766" t="s">
        <v>4148</v>
      </c>
      <c r="B3766">
        <v>5.2584999999999997</v>
      </c>
      <c r="C3766">
        <v>7.3669999999999999E-2</v>
      </c>
      <c r="D3766">
        <v>272</v>
      </c>
      <c r="E3766" t="s">
        <v>4148</v>
      </c>
      <c r="F3766">
        <v>272</v>
      </c>
      <c r="G3766" s="1">
        <v>45198</v>
      </c>
      <c r="H3766" s="6">
        <f t="shared" si="118"/>
        <v>16.989583333333083</v>
      </c>
      <c r="I3766" s="7">
        <f t="shared" si="119"/>
        <v>16.989583333333083</v>
      </c>
    </row>
    <row r="3767" spans="1:9" x14ac:dyDescent="0.2">
      <c r="A3767" t="s">
        <v>4149</v>
      </c>
      <c r="B3767">
        <v>5.2614999999999998</v>
      </c>
      <c r="C3767">
        <v>7.3679999999999995E-2</v>
      </c>
      <c r="D3767">
        <v>272</v>
      </c>
      <c r="E3767" t="s">
        <v>4149</v>
      </c>
      <c r="F3767">
        <v>272</v>
      </c>
      <c r="G3767" s="1">
        <v>45198</v>
      </c>
      <c r="H3767" s="6">
        <f t="shared" si="118"/>
        <v>16.999999999999751</v>
      </c>
      <c r="I3767" s="7">
        <f t="shared" si="119"/>
        <v>16.999999999999751</v>
      </c>
    </row>
    <row r="3768" spans="1:9" x14ac:dyDescent="0.2">
      <c r="A3768" t="s">
        <v>4150</v>
      </c>
      <c r="B3768">
        <v>5.2309999999999999</v>
      </c>
      <c r="C3768">
        <v>7.3270000000000002E-2</v>
      </c>
      <c r="D3768">
        <v>272</v>
      </c>
      <c r="E3768" t="s">
        <v>4150</v>
      </c>
      <c r="F3768">
        <v>272</v>
      </c>
      <c r="G3768" s="1">
        <v>45198</v>
      </c>
      <c r="H3768" s="6">
        <f t="shared" si="118"/>
        <v>17.010416666666419</v>
      </c>
      <c r="I3768" s="7">
        <f t="shared" si="119"/>
        <v>17.010416666666419</v>
      </c>
    </row>
    <row r="3769" spans="1:9" x14ac:dyDescent="0.2">
      <c r="A3769" t="s">
        <v>4151</v>
      </c>
      <c r="B3769">
        <v>5.2439999999999998</v>
      </c>
      <c r="C3769">
        <v>7.3440000000000005E-2</v>
      </c>
      <c r="D3769">
        <v>272</v>
      </c>
      <c r="E3769" t="s">
        <v>4151</v>
      </c>
      <c r="F3769">
        <v>272</v>
      </c>
      <c r="G3769" s="1">
        <v>45198</v>
      </c>
      <c r="H3769" s="6">
        <f t="shared" si="118"/>
        <v>17.020833333333087</v>
      </c>
      <c r="I3769" s="7">
        <f t="shared" si="119"/>
        <v>17.020833333333087</v>
      </c>
    </row>
    <row r="3770" spans="1:9" x14ac:dyDescent="0.2">
      <c r="A3770" t="s">
        <v>4152</v>
      </c>
      <c r="B3770" s="2" t="s">
        <v>4153</v>
      </c>
      <c r="C3770">
        <v>7.2830000000000006E-2</v>
      </c>
      <c r="D3770">
        <v>272</v>
      </c>
      <c r="E3770" t="s">
        <v>4152</v>
      </c>
      <c r="F3770">
        <v>272</v>
      </c>
      <c r="G3770" s="1">
        <v>45198</v>
      </c>
      <c r="H3770" s="6">
        <f t="shared" si="118"/>
        <v>17.031249999999755</v>
      </c>
      <c r="I3770" s="7">
        <f t="shared" si="119"/>
        <v>17.031249999999755</v>
      </c>
    </row>
    <row r="3771" spans="1:9" x14ac:dyDescent="0.2">
      <c r="A3771" t="s">
        <v>4154</v>
      </c>
      <c r="B3771">
        <v>5.2225000000000001</v>
      </c>
      <c r="C3771">
        <v>7.3124999999999996E-2</v>
      </c>
      <c r="D3771">
        <v>272</v>
      </c>
      <c r="E3771" t="s">
        <v>4154</v>
      </c>
      <c r="F3771">
        <v>272</v>
      </c>
      <c r="G3771" s="1">
        <v>45198</v>
      </c>
      <c r="H3771" s="6">
        <f t="shared" si="118"/>
        <v>17.041666666666423</v>
      </c>
      <c r="I3771" s="7">
        <f t="shared" si="119"/>
        <v>17.041666666666423</v>
      </c>
    </row>
    <row r="3772" spans="1:9" x14ac:dyDescent="0.2">
      <c r="A3772" t="s">
        <v>4155</v>
      </c>
      <c r="B3772">
        <v>5.2324999999999999</v>
      </c>
      <c r="C3772">
        <v>7.3294999999999999E-2</v>
      </c>
      <c r="D3772">
        <v>272</v>
      </c>
      <c r="E3772" t="s">
        <v>4155</v>
      </c>
      <c r="F3772">
        <v>272</v>
      </c>
      <c r="G3772" s="1">
        <v>45198</v>
      </c>
      <c r="H3772" s="6">
        <f t="shared" si="118"/>
        <v>17.052083333333091</v>
      </c>
      <c r="I3772" s="7">
        <f t="shared" si="119"/>
        <v>17.052083333333091</v>
      </c>
    </row>
    <row r="3773" spans="1:9" x14ac:dyDescent="0.2">
      <c r="A3773" t="s">
        <v>4156</v>
      </c>
      <c r="B3773">
        <v>5.2445000000000004</v>
      </c>
      <c r="C3773">
        <v>7.3474999999999999E-2</v>
      </c>
      <c r="D3773">
        <v>272</v>
      </c>
      <c r="E3773" t="s">
        <v>4156</v>
      </c>
      <c r="F3773">
        <v>272</v>
      </c>
      <c r="G3773" s="1">
        <v>45198</v>
      </c>
      <c r="H3773" s="6">
        <f t="shared" si="118"/>
        <v>17.062499999999758</v>
      </c>
      <c r="I3773" s="7">
        <f t="shared" si="119"/>
        <v>17.062499999999758</v>
      </c>
    </row>
    <row r="3774" spans="1:9" x14ac:dyDescent="0.2">
      <c r="A3774" t="s">
        <v>4157</v>
      </c>
      <c r="B3774">
        <v>5.2054999999999998</v>
      </c>
      <c r="C3774">
        <v>7.2904999999999998E-2</v>
      </c>
      <c r="D3774">
        <v>272</v>
      </c>
      <c r="E3774" t="s">
        <v>4157</v>
      </c>
      <c r="F3774">
        <v>272</v>
      </c>
      <c r="G3774" s="1">
        <v>45198</v>
      </c>
      <c r="H3774" s="6">
        <f t="shared" si="118"/>
        <v>17.072916666666426</v>
      </c>
      <c r="I3774" s="7">
        <f t="shared" si="119"/>
        <v>17.072916666666426</v>
      </c>
    </row>
    <row r="3775" spans="1:9" x14ac:dyDescent="0.2">
      <c r="A3775" t="s">
        <v>4158</v>
      </c>
      <c r="B3775">
        <v>5.1870000000000003</v>
      </c>
      <c r="C3775">
        <v>7.2645000000000001E-2</v>
      </c>
      <c r="D3775">
        <v>272</v>
      </c>
      <c r="E3775" t="s">
        <v>4158</v>
      </c>
      <c r="F3775">
        <v>272</v>
      </c>
      <c r="G3775" s="1">
        <v>45198</v>
      </c>
      <c r="H3775" s="6">
        <f t="shared" si="118"/>
        <v>17.083333333333094</v>
      </c>
      <c r="I3775" s="7">
        <f t="shared" si="119"/>
        <v>17.083333333333094</v>
      </c>
    </row>
    <row r="3776" spans="1:9" x14ac:dyDescent="0.2">
      <c r="A3776" t="s">
        <v>4159</v>
      </c>
      <c r="B3776">
        <v>5.2175000000000002</v>
      </c>
      <c r="C3776">
        <v>7.3090000000000002E-2</v>
      </c>
      <c r="D3776">
        <v>272</v>
      </c>
      <c r="E3776" t="s">
        <v>4159</v>
      </c>
      <c r="F3776">
        <v>272</v>
      </c>
      <c r="G3776" s="1">
        <v>45198</v>
      </c>
      <c r="H3776" s="6">
        <f t="shared" si="118"/>
        <v>17.093749999999762</v>
      </c>
      <c r="I3776" s="7">
        <f t="shared" si="119"/>
        <v>17.093749999999762</v>
      </c>
    </row>
    <row r="3777" spans="1:9" x14ac:dyDescent="0.2">
      <c r="A3777" t="s">
        <v>4160</v>
      </c>
      <c r="B3777">
        <v>5.2214999999999998</v>
      </c>
      <c r="C3777">
        <v>7.3130000000000001E-2</v>
      </c>
      <c r="D3777">
        <v>272</v>
      </c>
      <c r="E3777" t="s">
        <v>4160</v>
      </c>
      <c r="F3777">
        <v>272</v>
      </c>
      <c r="G3777" s="1">
        <v>45198</v>
      </c>
      <c r="H3777" s="6">
        <f t="shared" si="118"/>
        <v>17.10416666666643</v>
      </c>
      <c r="I3777" s="7">
        <f t="shared" si="119"/>
        <v>17.10416666666643</v>
      </c>
    </row>
    <row r="3778" spans="1:9" x14ac:dyDescent="0.2">
      <c r="A3778" t="s">
        <v>4161</v>
      </c>
      <c r="B3778">
        <v>5.2045000000000003</v>
      </c>
      <c r="C3778">
        <v>7.2910000000000003E-2</v>
      </c>
      <c r="D3778">
        <v>272</v>
      </c>
      <c r="E3778" t="s">
        <v>4161</v>
      </c>
      <c r="F3778">
        <v>272</v>
      </c>
      <c r="G3778" s="1">
        <v>45198</v>
      </c>
      <c r="H3778" s="6">
        <f t="shared" si="118"/>
        <v>17.114583333333098</v>
      </c>
      <c r="I3778" s="7">
        <f t="shared" si="119"/>
        <v>17.114583333333098</v>
      </c>
    </row>
    <row r="3779" spans="1:9" x14ac:dyDescent="0.2">
      <c r="A3779" t="s">
        <v>4162</v>
      </c>
      <c r="B3779">
        <v>5.1890000000000001</v>
      </c>
      <c r="C3779">
        <v>7.2700000000000001E-2</v>
      </c>
      <c r="D3779">
        <v>272</v>
      </c>
      <c r="E3779" t="s">
        <v>4162</v>
      </c>
      <c r="F3779">
        <v>272</v>
      </c>
      <c r="G3779" s="1">
        <v>45198</v>
      </c>
      <c r="H3779" s="6">
        <f t="shared" si="118"/>
        <v>17.124999999999766</v>
      </c>
      <c r="I3779" s="7">
        <f t="shared" si="119"/>
        <v>17.124999999999766</v>
      </c>
    </row>
    <row r="3780" spans="1:9" x14ac:dyDescent="0.2">
      <c r="A3780" t="s">
        <v>4163</v>
      </c>
      <c r="B3780">
        <v>5.2240000000000002</v>
      </c>
      <c r="C3780">
        <v>7.3175000000000004E-2</v>
      </c>
      <c r="D3780">
        <v>272</v>
      </c>
      <c r="E3780" t="s">
        <v>4163</v>
      </c>
      <c r="F3780">
        <v>272</v>
      </c>
      <c r="G3780" s="1">
        <v>45198</v>
      </c>
      <c r="H3780" s="6">
        <f t="shared" si="118"/>
        <v>17.135416666666433</v>
      </c>
      <c r="I3780" s="7">
        <f t="shared" si="119"/>
        <v>17.135416666666433</v>
      </c>
    </row>
    <row r="3781" spans="1:9" x14ac:dyDescent="0.2">
      <c r="A3781" t="s">
        <v>4164</v>
      </c>
      <c r="B3781">
        <v>5.2229999999999999</v>
      </c>
      <c r="C3781">
        <v>7.3160000000000003E-2</v>
      </c>
      <c r="D3781">
        <v>272</v>
      </c>
      <c r="E3781" t="s">
        <v>4164</v>
      </c>
      <c r="F3781">
        <v>272</v>
      </c>
      <c r="G3781" s="1">
        <v>45198</v>
      </c>
      <c r="H3781" s="6">
        <f t="shared" si="118"/>
        <v>17.145833333333101</v>
      </c>
      <c r="I3781" s="7">
        <f t="shared" si="119"/>
        <v>17.145833333333101</v>
      </c>
    </row>
    <row r="3782" spans="1:9" x14ac:dyDescent="0.2">
      <c r="A3782" t="s">
        <v>4165</v>
      </c>
      <c r="B3782">
        <v>5.2305000000000001</v>
      </c>
      <c r="C3782">
        <v>7.3264999999999997E-2</v>
      </c>
      <c r="D3782">
        <v>272</v>
      </c>
      <c r="E3782" t="s">
        <v>4165</v>
      </c>
      <c r="F3782">
        <v>272</v>
      </c>
      <c r="G3782" s="1">
        <v>45198</v>
      </c>
      <c r="H3782" s="6">
        <f t="shared" si="118"/>
        <v>17.156249999999769</v>
      </c>
      <c r="I3782" s="7">
        <f t="shared" si="119"/>
        <v>17.156249999999769</v>
      </c>
    </row>
    <row r="3783" spans="1:9" x14ac:dyDescent="0.2">
      <c r="A3783" t="s">
        <v>4166</v>
      </c>
      <c r="B3783">
        <v>5.2244999999999999</v>
      </c>
      <c r="C3783">
        <v>7.3185E-2</v>
      </c>
      <c r="D3783">
        <v>272</v>
      </c>
      <c r="E3783" t="s">
        <v>4166</v>
      </c>
      <c r="F3783">
        <v>272</v>
      </c>
      <c r="G3783" s="1">
        <v>45198</v>
      </c>
      <c r="H3783" s="6">
        <f t="shared" si="118"/>
        <v>17.166666666666437</v>
      </c>
      <c r="I3783" s="7">
        <f t="shared" si="119"/>
        <v>17.166666666666437</v>
      </c>
    </row>
    <row r="3784" spans="1:9" x14ac:dyDescent="0.2">
      <c r="A3784" t="s">
        <v>4167</v>
      </c>
      <c r="B3784">
        <v>5.2205000000000004</v>
      </c>
      <c r="C3784">
        <v>7.3120000000000004E-2</v>
      </c>
      <c r="D3784">
        <v>272</v>
      </c>
      <c r="E3784" t="s">
        <v>4167</v>
      </c>
      <c r="F3784">
        <v>272</v>
      </c>
      <c r="G3784" s="1">
        <v>45198</v>
      </c>
      <c r="H3784" s="6">
        <f t="shared" si="118"/>
        <v>17.177083333333105</v>
      </c>
      <c r="I3784" s="7">
        <f t="shared" si="119"/>
        <v>17.177083333333105</v>
      </c>
    </row>
    <row r="3785" spans="1:9" x14ac:dyDescent="0.2">
      <c r="A3785" t="s">
        <v>4168</v>
      </c>
      <c r="B3785">
        <v>5.2149999999999999</v>
      </c>
      <c r="C3785">
        <v>7.3035000000000003E-2</v>
      </c>
      <c r="D3785">
        <v>272</v>
      </c>
      <c r="E3785" t="s">
        <v>4168</v>
      </c>
      <c r="F3785">
        <v>272</v>
      </c>
      <c r="G3785" s="1">
        <v>45198</v>
      </c>
      <c r="H3785" s="6">
        <f t="shared" si="118"/>
        <v>17.187499999999773</v>
      </c>
      <c r="I3785" s="7">
        <f t="shared" si="119"/>
        <v>17.187499999999773</v>
      </c>
    </row>
    <row r="3786" spans="1:9" x14ac:dyDescent="0.2">
      <c r="A3786" t="s">
        <v>4169</v>
      </c>
      <c r="B3786">
        <v>5.2210000000000001</v>
      </c>
      <c r="C3786">
        <v>7.3124999999999996E-2</v>
      </c>
      <c r="D3786">
        <v>272</v>
      </c>
      <c r="E3786" t="s">
        <v>4169</v>
      </c>
      <c r="F3786">
        <v>272</v>
      </c>
      <c r="G3786" s="1">
        <v>45198</v>
      </c>
      <c r="H3786" s="6">
        <f t="shared" si="118"/>
        <v>17.19791666666644</v>
      </c>
      <c r="I3786" s="7">
        <f t="shared" si="119"/>
        <v>17.19791666666644</v>
      </c>
    </row>
    <row r="3787" spans="1:9" x14ac:dyDescent="0.2">
      <c r="A3787" t="s">
        <v>4170</v>
      </c>
      <c r="B3787">
        <v>5.1814999999999998</v>
      </c>
      <c r="C3787">
        <v>7.2584999999999997E-2</v>
      </c>
      <c r="D3787">
        <v>272</v>
      </c>
      <c r="E3787" t="s">
        <v>4170</v>
      </c>
      <c r="F3787">
        <v>272</v>
      </c>
      <c r="G3787" s="1">
        <v>45198</v>
      </c>
      <c r="H3787" s="6">
        <f t="shared" si="118"/>
        <v>17.208333333333108</v>
      </c>
      <c r="I3787" s="7">
        <f t="shared" si="119"/>
        <v>17.208333333333108</v>
      </c>
    </row>
    <row r="3788" spans="1:9" x14ac:dyDescent="0.2">
      <c r="A3788" t="s">
        <v>4171</v>
      </c>
      <c r="B3788">
        <v>5.1790000000000003</v>
      </c>
      <c r="C3788">
        <v>7.2554999999999994E-2</v>
      </c>
      <c r="D3788">
        <v>272</v>
      </c>
      <c r="E3788" t="s">
        <v>4171</v>
      </c>
      <c r="F3788">
        <v>272</v>
      </c>
      <c r="G3788" s="1">
        <v>45198</v>
      </c>
      <c r="H3788" s="6">
        <f t="shared" si="118"/>
        <v>17.218749999999776</v>
      </c>
      <c r="I3788" s="7">
        <f t="shared" si="119"/>
        <v>17.218749999999776</v>
      </c>
    </row>
    <row r="3789" spans="1:9" x14ac:dyDescent="0.2">
      <c r="A3789" t="s">
        <v>4172</v>
      </c>
      <c r="B3789">
        <v>5.1635</v>
      </c>
      <c r="C3789">
        <v>7.2315000000000004E-2</v>
      </c>
      <c r="D3789">
        <v>272</v>
      </c>
      <c r="E3789" t="s">
        <v>4172</v>
      </c>
      <c r="F3789">
        <v>272</v>
      </c>
      <c r="G3789" s="1">
        <v>45198</v>
      </c>
      <c r="H3789" s="6">
        <f t="shared" si="118"/>
        <v>17.229166666666444</v>
      </c>
      <c r="I3789" s="7">
        <f t="shared" si="119"/>
        <v>17.229166666666444</v>
      </c>
    </row>
    <row r="3790" spans="1:9" x14ac:dyDescent="0.2">
      <c r="A3790" t="s">
        <v>4173</v>
      </c>
      <c r="B3790">
        <v>5.1764999999999999</v>
      </c>
      <c r="C3790">
        <v>7.2525000000000006E-2</v>
      </c>
      <c r="D3790">
        <v>272</v>
      </c>
      <c r="E3790" t="s">
        <v>4173</v>
      </c>
      <c r="F3790">
        <v>272</v>
      </c>
      <c r="G3790" s="1">
        <v>45198</v>
      </c>
      <c r="H3790" s="6">
        <f t="shared" si="118"/>
        <v>17.239583333333112</v>
      </c>
      <c r="I3790" s="7">
        <f t="shared" si="119"/>
        <v>17.239583333333112</v>
      </c>
    </row>
    <row r="3791" spans="1:9" x14ac:dyDescent="0.2">
      <c r="A3791" t="s">
        <v>4174</v>
      </c>
      <c r="B3791">
        <v>5.1284999999999998</v>
      </c>
      <c r="C3791">
        <v>7.1834999999999996E-2</v>
      </c>
      <c r="D3791">
        <v>272</v>
      </c>
      <c r="E3791" t="s">
        <v>4174</v>
      </c>
      <c r="F3791">
        <v>272</v>
      </c>
      <c r="G3791" s="1">
        <v>45198</v>
      </c>
      <c r="H3791" s="6">
        <f t="shared" si="118"/>
        <v>17.24999999999978</v>
      </c>
      <c r="I3791" s="7">
        <f t="shared" si="119"/>
        <v>17.24999999999978</v>
      </c>
    </row>
    <row r="3792" spans="1:9" x14ac:dyDescent="0.2">
      <c r="A3792" t="s">
        <v>4175</v>
      </c>
      <c r="B3792">
        <v>5.1384999999999996</v>
      </c>
      <c r="C3792">
        <v>7.1980000000000002E-2</v>
      </c>
      <c r="D3792">
        <v>272</v>
      </c>
      <c r="E3792" t="s">
        <v>4175</v>
      </c>
      <c r="F3792">
        <v>272</v>
      </c>
      <c r="G3792" s="1">
        <v>45198</v>
      </c>
      <c r="H3792" s="6">
        <f t="shared" si="118"/>
        <v>17.260416666666448</v>
      </c>
      <c r="I3792" s="7">
        <f t="shared" si="119"/>
        <v>17.260416666666448</v>
      </c>
    </row>
    <row r="3793" spans="1:9" x14ac:dyDescent="0.2">
      <c r="A3793" t="s">
        <v>4176</v>
      </c>
      <c r="B3793" s="2" t="s">
        <v>4177</v>
      </c>
      <c r="C3793">
        <v>7.1184999999999998E-2</v>
      </c>
      <c r="D3793">
        <v>272</v>
      </c>
      <c r="E3793" t="s">
        <v>4176</v>
      </c>
      <c r="F3793">
        <v>272</v>
      </c>
      <c r="G3793" s="1">
        <v>45198</v>
      </c>
      <c r="H3793" s="6">
        <f t="shared" si="118"/>
        <v>17.270833333333115</v>
      </c>
      <c r="I3793" s="7">
        <f t="shared" si="119"/>
        <v>17.270833333333115</v>
      </c>
    </row>
    <row r="3794" spans="1:9" x14ac:dyDescent="0.2">
      <c r="A3794" t="s">
        <v>4178</v>
      </c>
      <c r="B3794">
        <v>5.0709999999999997</v>
      </c>
      <c r="C3794">
        <v>7.1029999999999996E-2</v>
      </c>
      <c r="D3794">
        <v>272</v>
      </c>
      <c r="E3794" t="s">
        <v>4178</v>
      </c>
      <c r="F3794">
        <v>272</v>
      </c>
      <c r="G3794" s="1">
        <v>45198</v>
      </c>
      <c r="H3794" s="6">
        <f t="shared" si="118"/>
        <v>17.281249999999783</v>
      </c>
      <c r="I3794" s="7">
        <f t="shared" si="119"/>
        <v>17.281249999999783</v>
      </c>
    </row>
    <row r="3795" spans="1:9" x14ac:dyDescent="0.2">
      <c r="A3795" t="s">
        <v>4179</v>
      </c>
      <c r="B3795">
        <v>5.0685000000000002</v>
      </c>
      <c r="C3795">
        <v>7.0995000000000003E-2</v>
      </c>
      <c r="D3795">
        <v>272</v>
      </c>
      <c r="E3795" t="s">
        <v>4179</v>
      </c>
      <c r="F3795">
        <v>272</v>
      </c>
      <c r="G3795" s="1">
        <v>45198</v>
      </c>
      <c r="H3795" s="6">
        <f t="shared" si="118"/>
        <v>17.291666666666451</v>
      </c>
      <c r="I3795" s="7">
        <f t="shared" si="119"/>
        <v>17.291666666666451</v>
      </c>
    </row>
    <row r="3796" spans="1:9" x14ac:dyDescent="0.2">
      <c r="A3796" t="s">
        <v>4180</v>
      </c>
      <c r="B3796">
        <v>5.0220000000000002</v>
      </c>
      <c r="C3796">
        <v>7.0349999999999996E-2</v>
      </c>
      <c r="D3796">
        <v>272</v>
      </c>
      <c r="E3796" t="s">
        <v>4180</v>
      </c>
      <c r="F3796">
        <v>272</v>
      </c>
      <c r="G3796" s="1">
        <v>45198</v>
      </c>
      <c r="H3796" s="6">
        <f t="shared" si="118"/>
        <v>17.302083333333119</v>
      </c>
      <c r="I3796" s="7">
        <f t="shared" si="119"/>
        <v>17.302083333333119</v>
      </c>
    </row>
    <row r="3797" spans="1:9" x14ac:dyDescent="0.2">
      <c r="A3797" t="s">
        <v>4181</v>
      </c>
      <c r="B3797">
        <v>4.9535</v>
      </c>
      <c r="C3797">
        <v>6.9370000000000001E-2</v>
      </c>
      <c r="D3797">
        <v>272</v>
      </c>
      <c r="E3797" t="s">
        <v>4181</v>
      </c>
      <c r="F3797">
        <v>272</v>
      </c>
      <c r="G3797" s="1">
        <v>45198</v>
      </c>
      <c r="H3797" s="6">
        <f t="shared" si="118"/>
        <v>17.312499999999787</v>
      </c>
      <c r="I3797" s="7">
        <f t="shared" si="119"/>
        <v>17.312499999999787</v>
      </c>
    </row>
    <row r="3798" spans="1:9" x14ac:dyDescent="0.2">
      <c r="A3798" t="s">
        <v>4182</v>
      </c>
      <c r="B3798">
        <v>4.9459999999999997</v>
      </c>
      <c r="C3798">
        <v>6.9275000000000003E-2</v>
      </c>
      <c r="D3798">
        <v>272</v>
      </c>
      <c r="E3798" t="s">
        <v>4182</v>
      </c>
      <c r="F3798">
        <v>272</v>
      </c>
      <c r="G3798" s="1">
        <v>45198</v>
      </c>
      <c r="H3798" s="6">
        <f t="shared" si="118"/>
        <v>17.322916666666455</v>
      </c>
      <c r="I3798" s="7">
        <f t="shared" si="119"/>
        <v>17.322916666666455</v>
      </c>
    </row>
    <row r="3799" spans="1:9" x14ac:dyDescent="0.2">
      <c r="A3799" t="s">
        <v>4183</v>
      </c>
      <c r="B3799">
        <v>4.8845000000000001</v>
      </c>
      <c r="C3799">
        <v>6.8440000000000001E-2</v>
      </c>
      <c r="D3799">
        <v>272</v>
      </c>
      <c r="E3799" t="s">
        <v>4183</v>
      </c>
      <c r="F3799">
        <v>272</v>
      </c>
      <c r="G3799" s="1">
        <v>45198</v>
      </c>
      <c r="H3799" s="6">
        <f t="shared" si="118"/>
        <v>17.333333333333123</v>
      </c>
      <c r="I3799" s="7">
        <f t="shared" si="119"/>
        <v>17.333333333333123</v>
      </c>
    </row>
    <row r="3800" spans="1:9" x14ac:dyDescent="0.2">
      <c r="A3800" t="s">
        <v>4184</v>
      </c>
      <c r="B3800">
        <v>4.8600000000000003</v>
      </c>
      <c r="C3800">
        <v>6.8070000000000006E-2</v>
      </c>
      <c r="D3800">
        <v>272</v>
      </c>
      <c r="E3800" t="s">
        <v>4184</v>
      </c>
      <c r="F3800">
        <v>272</v>
      </c>
      <c r="G3800" s="1">
        <v>45198</v>
      </c>
      <c r="H3800" s="6">
        <f t="shared" si="118"/>
        <v>17.34374999999979</v>
      </c>
      <c r="I3800" s="7">
        <f t="shared" si="119"/>
        <v>17.34374999999979</v>
      </c>
    </row>
    <row r="3801" spans="1:9" x14ac:dyDescent="0.2">
      <c r="A3801" t="s">
        <v>4185</v>
      </c>
      <c r="B3801">
        <v>4.8174999999999999</v>
      </c>
      <c r="C3801">
        <v>6.7474999999999993E-2</v>
      </c>
      <c r="D3801">
        <v>272</v>
      </c>
      <c r="E3801" t="s">
        <v>4185</v>
      </c>
      <c r="F3801">
        <v>272</v>
      </c>
      <c r="G3801" s="1">
        <v>45198</v>
      </c>
      <c r="H3801" s="6">
        <f t="shared" si="118"/>
        <v>17.354166666666458</v>
      </c>
      <c r="I3801" s="7">
        <f t="shared" si="119"/>
        <v>17.354166666666458</v>
      </c>
    </row>
    <row r="3802" spans="1:9" x14ac:dyDescent="0.2">
      <c r="A3802" t="s">
        <v>4186</v>
      </c>
      <c r="B3802">
        <v>4.8230000000000004</v>
      </c>
      <c r="C3802">
        <v>6.7530000000000007E-2</v>
      </c>
      <c r="D3802">
        <v>272</v>
      </c>
      <c r="E3802" t="s">
        <v>4186</v>
      </c>
      <c r="F3802">
        <v>272</v>
      </c>
      <c r="G3802" s="1">
        <v>45198</v>
      </c>
      <c r="H3802" s="6">
        <f t="shared" si="118"/>
        <v>17.364583333333126</v>
      </c>
      <c r="I3802" s="7">
        <f t="shared" si="119"/>
        <v>17.364583333333126</v>
      </c>
    </row>
    <row r="3803" spans="1:9" x14ac:dyDescent="0.2">
      <c r="A3803" t="s">
        <v>4187</v>
      </c>
      <c r="B3803">
        <v>4.8150000000000004</v>
      </c>
      <c r="C3803">
        <v>6.7415000000000003E-2</v>
      </c>
      <c r="D3803">
        <v>272</v>
      </c>
      <c r="E3803" t="s">
        <v>4187</v>
      </c>
      <c r="F3803">
        <v>272</v>
      </c>
      <c r="G3803" s="1">
        <v>45198</v>
      </c>
      <c r="H3803" s="6">
        <f t="shared" si="118"/>
        <v>17.374999999999794</v>
      </c>
      <c r="I3803" s="7">
        <f t="shared" si="119"/>
        <v>17.374999999999794</v>
      </c>
    </row>
    <row r="3804" spans="1:9" x14ac:dyDescent="0.2">
      <c r="A3804" t="s">
        <v>4188</v>
      </c>
      <c r="B3804">
        <v>4.7614999999999998</v>
      </c>
      <c r="C3804">
        <v>6.6699999999999995E-2</v>
      </c>
      <c r="D3804">
        <v>272</v>
      </c>
      <c r="E3804" t="s">
        <v>4188</v>
      </c>
      <c r="F3804">
        <v>272</v>
      </c>
      <c r="G3804" s="1">
        <v>45198</v>
      </c>
      <c r="H3804" s="6">
        <f t="shared" ref="H3804:H3867" si="120">H3803+$K$1</f>
        <v>17.385416666666462</v>
      </c>
      <c r="I3804" s="7">
        <f t="shared" ref="I3804:I3867" si="121">I3803+$K$1</f>
        <v>17.385416666666462</v>
      </c>
    </row>
    <row r="3805" spans="1:9" x14ac:dyDescent="0.2">
      <c r="A3805" t="s">
        <v>4189</v>
      </c>
      <c r="B3805">
        <v>4.7945000000000002</v>
      </c>
      <c r="C3805">
        <v>6.7150000000000001E-2</v>
      </c>
      <c r="D3805">
        <v>272</v>
      </c>
      <c r="E3805" t="s">
        <v>4189</v>
      </c>
      <c r="F3805">
        <v>272</v>
      </c>
      <c r="G3805" s="1">
        <v>45198</v>
      </c>
      <c r="H3805" s="6">
        <f t="shared" si="120"/>
        <v>17.39583333333313</v>
      </c>
      <c r="I3805" s="7">
        <f t="shared" si="121"/>
        <v>17.39583333333313</v>
      </c>
    </row>
    <row r="3806" spans="1:9" x14ac:dyDescent="0.2">
      <c r="A3806" t="s">
        <v>4190</v>
      </c>
      <c r="B3806">
        <v>4.7359999999999998</v>
      </c>
      <c r="C3806">
        <v>6.6349999999999895E-2</v>
      </c>
      <c r="D3806">
        <v>272</v>
      </c>
      <c r="E3806" t="s">
        <v>4190</v>
      </c>
      <c r="F3806">
        <v>272</v>
      </c>
      <c r="G3806" s="1">
        <v>45198</v>
      </c>
      <c r="H3806" s="6">
        <f t="shared" si="120"/>
        <v>17.406249999999797</v>
      </c>
      <c r="I3806" s="7">
        <f t="shared" si="121"/>
        <v>17.406249999999797</v>
      </c>
    </row>
    <row r="3807" spans="1:9" x14ac:dyDescent="0.2">
      <c r="A3807" t="s">
        <v>4191</v>
      </c>
      <c r="B3807">
        <v>4.6894999999999998</v>
      </c>
      <c r="C3807">
        <v>6.5680000000000002E-2</v>
      </c>
      <c r="D3807">
        <v>272</v>
      </c>
      <c r="E3807" t="s">
        <v>4191</v>
      </c>
      <c r="F3807">
        <v>272</v>
      </c>
      <c r="G3807" s="1">
        <v>45198</v>
      </c>
      <c r="H3807" s="6">
        <f t="shared" si="120"/>
        <v>17.416666666666465</v>
      </c>
      <c r="I3807" s="7">
        <f t="shared" si="121"/>
        <v>17.416666666666465</v>
      </c>
    </row>
    <row r="3808" spans="1:9" x14ac:dyDescent="0.2">
      <c r="A3808" t="s">
        <v>4192</v>
      </c>
      <c r="B3808">
        <v>4.6959999999999997</v>
      </c>
      <c r="C3808">
        <v>6.5775E-2</v>
      </c>
      <c r="D3808">
        <v>272</v>
      </c>
      <c r="E3808" t="s">
        <v>4192</v>
      </c>
      <c r="F3808">
        <v>272</v>
      </c>
      <c r="G3808" s="1">
        <v>45198</v>
      </c>
      <c r="H3808" s="6">
        <f t="shared" si="120"/>
        <v>17.427083333333133</v>
      </c>
      <c r="I3808" s="7">
        <f t="shared" si="121"/>
        <v>17.427083333333133</v>
      </c>
    </row>
    <row r="3809" spans="1:9" x14ac:dyDescent="0.2">
      <c r="A3809" t="s">
        <v>4193</v>
      </c>
      <c r="B3809">
        <v>4.6924999999999999</v>
      </c>
      <c r="C3809">
        <v>6.5735000000000002E-2</v>
      </c>
      <c r="D3809">
        <v>272</v>
      </c>
      <c r="E3809" t="s">
        <v>4193</v>
      </c>
      <c r="F3809">
        <v>272</v>
      </c>
      <c r="G3809" s="1">
        <v>45198</v>
      </c>
      <c r="H3809" s="6">
        <f t="shared" si="120"/>
        <v>17.437499999999801</v>
      </c>
      <c r="I3809" s="7">
        <f t="shared" si="121"/>
        <v>17.437499999999801</v>
      </c>
    </row>
    <row r="3810" spans="1:9" x14ac:dyDescent="0.2">
      <c r="A3810" t="s">
        <v>4194</v>
      </c>
      <c r="B3810">
        <v>4.7</v>
      </c>
      <c r="C3810">
        <v>6.5835000000000005E-2</v>
      </c>
      <c r="D3810">
        <v>272</v>
      </c>
      <c r="E3810" t="s">
        <v>4194</v>
      </c>
      <c r="F3810">
        <v>272</v>
      </c>
      <c r="G3810" s="1">
        <v>45198</v>
      </c>
      <c r="H3810" s="6">
        <f t="shared" si="120"/>
        <v>17.447916666666469</v>
      </c>
      <c r="I3810" s="7">
        <f t="shared" si="121"/>
        <v>17.447916666666469</v>
      </c>
    </row>
    <row r="3811" spans="1:9" x14ac:dyDescent="0.2">
      <c r="A3811" t="s">
        <v>4195</v>
      </c>
      <c r="B3811">
        <v>4.6645000000000003</v>
      </c>
      <c r="C3811">
        <v>6.5335000000000004E-2</v>
      </c>
      <c r="D3811">
        <v>272</v>
      </c>
      <c r="E3811" t="s">
        <v>4195</v>
      </c>
      <c r="F3811">
        <v>272</v>
      </c>
      <c r="G3811" s="1">
        <v>45198</v>
      </c>
      <c r="H3811" s="6">
        <f t="shared" si="120"/>
        <v>17.458333333333137</v>
      </c>
      <c r="I3811" s="7">
        <f t="shared" si="121"/>
        <v>17.458333333333137</v>
      </c>
    </row>
    <row r="3812" spans="1:9" x14ac:dyDescent="0.2">
      <c r="A3812" t="s">
        <v>4196</v>
      </c>
      <c r="B3812">
        <v>4.6464999999999996</v>
      </c>
      <c r="C3812">
        <v>6.5059999999999896E-2</v>
      </c>
      <c r="D3812">
        <v>272</v>
      </c>
      <c r="E3812" t="s">
        <v>4196</v>
      </c>
      <c r="F3812">
        <v>272</v>
      </c>
      <c r="G3812" s="1">
        <v>45198</v>
      </c>
      <c r="H3812" s="6">
        <f t="shared" si="120"/>
        <v>17.468749999999805</v>
      </c>
      <c r="I3812" s="7">
        <f t="shared" si="121"/>
        <v>17.468749999999805</v>
      </c>
    </row>
    <row r="3813" spans="1:9" x14ac:dyDescent="0.2">
      <c r="A3813" t="s">
        <v>4197</v>
      </c>
      <c r="B3813">
        <v>4.63</v>
      </c>
      <c r="C3813">
        <v>6.4865000000000006E-2</v>
      </c>
      <c r="D3813">
        <v>272</v>
      </c>
      <c r="E3813" t="s">
        <v>4197</v>
      </c>
      <c r="F3813">
        <v>272</v>
      </c>
      <c r="G3813" s="1">
        <v>45198</v>
      </c>
      <c r="H3813" s="6">
        <f t="shared" si="120"/>
        <v>17.479166666666472</v>
      </c>
      <c r="I3813" s="7">
        <f t="shared" si="121"/>
        <v>17.479166666666472</v>
      </c>
    </row>
    <row r="3814" spans="1:9" x14ac:dyDescent="0.2">
      <c r="A3814" t="s">
        <v>4198</v>
      </c>
      <c r="B3814">
        <v>4.6615000000000002</v>
      </c>
      <c r="C3814">
        <v>6.5269999999999995E-2</v>
      </c>
      <c r="D3814">
        <v>272</v>
      </c>
      <c r="E3814" t="s">
        <v>4198</v>
      </c>
      <c r="F3814">
        <v>272</v>
      </c>
      <c r="G3814" s="1">
        <v>45198</v>
      </c>
      <c r="H3814" s="6">
        <f t="shared" si="120"/>
        <v>17.48958333333314</v>
      </c>
      <c r="I3814" s="7">
        <f t="shared" si="121"/>
        <v>17.48958333333314</v>
      </c>
    </row>
    <row r="3815" spans="1:9" x14ac:dyDescent="0.2">
      <c r="A3815" t="s">
        <v>4199</v>
      </c>
      <c r="B3815" s="2" t="s">
        <v>4200</v>
      </c>
      <c r="C3815">
        <v>6.5275E-2</v>
      </c>
      <c r="D3815">
        <v>272</v>
      </c>
      <c r="E3815" t="s">
        <v>4199</v>
      </c>
      <c r="F3815">
        <v>272</v>
      </c>
      <c r="G3815" s="1">
        <v>45198</v>
      </c>
      <c r="H3815" s="6">
        <f t="shared" si="120"/>
        <v>17.499999999999808</v>
      </c>
      <c r="I3815" s="7">
        <f t="shared" si="121"/>
        <v>17.499999999999808</v>
      </c>
    </row>
    <row r="3816" spans="1:9" x14ac:dyDescent="0.2">
      <c r="A3816" t="s">
        <v>4201</v>
      </c>
      <c r="B3816">
        <v>4.6315</v>
      </c>
      <c r="C3816">
        <v>6.4864999999999895E-2</v>
      </c>
      <c r="D3816">
        <v>272</v>
      </c>
      <c r="E3816" t="s">
        <v>4201</v>
      </c>
      <c r="F3816">
        <v>272</v>
      </c>
      <c r="G3816" s="1">
        <v>45198</v>
      </c>
      <c r="H3816" s="6">
        <f t="shared" si="120"/>
        <v>17.510416666666476</v>
      </c>
      <c r="I3816" s="7">
        <f t="shared" si="121"/>
        <v>17.510416666666476</v>
      </c>
    </row>
    <row r="3817" spans="1:9" x14ac:dyDescent="0.2">
      <c r="A3817" t="s">
        <v>4202</v>
      </c>
      <c r="B3817">
        <v>4.6680000000000001</v>
      </c>
      <c r="C3817">
        <v>6.5384999999999999E-2</v>
      </c>
      <c r="D3817">
        <v>272</v>
      </c>
      <c r="E3817" t="s">
        <v>4202</v>
      </c>
      <c r="F3817">
        <v>272</v>
      </c>
      <c r="G3817" s="1">
        <v>45198</v>
      </c>
      <c r="H3817" s="6">
        <f t="shared" si="120"/>
        <v>17.520833333333144</v>
      </c>
      <c r="I3817" s="7">
        <f t="shared" si="121"/>
        <v>17.520833333333144</v>
      </c>
    </row>
    <row r="3818" spans="1:9" x14ac:dyDescent="0.2">
      <c r="A3818" t="s">
        <v>4203</v>
      </c>
      <c r="B3818">
        <v>4.6539999999999999</v>
      </c>
      <c r="C3818">
        <v>6.5189999999999998E-2</v>
      </c>
      <c r="D3818">
        <v>272</v>
      </c>
      <c r="E3818" t="s">
        <v>4203</v>
      </c>
      <c r="F3818">
        <v>272</v>
      </c>
      <c r="G3818" s="1">
        <v>45198</v>
      </c>
      <c r="H3818" s="6">
        <f t="shared" si="120"/>
        <v>17.531249999999812</v>
      </c>
      <c r="I3818" s="7">
        <f t="shared" si="121"/>
        <v>17.531249999999812</v>
      </c>
    </row>
    <row r="3819" spans="1:9" x14ac:dyDescent="0.2">
      <c r="A3819" t="s">
        <v>4204</v>
      </c>
      <c r="B3819">
        <v>4.6345000000000001</v>
      </c>
      <c r="C3819">
        <v>6.4920000000000005E-2</v>
      </c>
      <c r="D3819">
        <v>272</v>
      </c>
      <c r="E3819" t="s">
        <v>4204</v>
      </c>
      <c r="F3819">
        <v>272</v>
      </c>
      <c r="G3819" s="1">
        <v>45198</v>
      </c>
      <c r="H3819" s="6">
        <f t="shared" si="120"/>
        <v>17.54166666666648</v>
      </c>
      <c r="I3819" s="7">
        <f t="shared" si="121"/>
        <v>17.54166666666648</v>
      </c>
    </row>
    <row r="3820" spans="1:9" x14ac:dyDescent="0.2">
      <c r="A3820" t="s">
        <v>4205</v>
      </c>
      <c r="B3820">
        <v>4.6429999999999998</v>
      </c>
      <c r="C3820">
        <v>6.5024999999999999E-2</v>
      </c>
      <c r="D3820">
        <v>272</v>
      </c>
      <c r="E3820" t="s">
        <v>4205</v>
      </c>
      <c r="F3820">
        <v>272</v>
      </c>
      <c r="G3820" s="1">
        <v>45198</v>
      </c>
      <c r="H3820" s="6">
        <f t="shared" si="120"/>
        <v>17.552083333333147</v>
      </c>
      <c r="I3820" s="7">
        <f t="shared" si="121"/>
        <v>17.552083333333147</v>
      </c>
    </row>
    <row r="3821" spans="1:9" x14ac:dyDescent="0.2">
      <c r="A3821" t="s">
        <v>4206</v>
      </c>
      <c r="B3821">
        <v>4.6295000000000002</v>
      </c>
      <c r="C3821">
        <v>6.4829999999999999E-2</v>
      </c>
      <c r="D3821">
        <v>272</v>
      </c>
      <c r="E3821" t="s">
        <v>4206</v>
      </c>
      <c r="F3821">
        <v>272</v>
      </c>
      <c r="G3821" s="1">
        <v>45198</v>
      </c>
      <c r="H3821" s="6">
        <f t="shared" si="120"/>
        <v>17.562499999999815</v>
      </c>
      <c r="I3821" s="7">
        <f t="shared" si="121"/>
        <v>17.562499999999815</v>
      </c>
    </row>
    <row r="3822" spans="1:9" x14ac:dyDescent="0.2">
      <c r="A3822" t="s">
        <v>4207</v>
      </c>
      <c r="B3822">
        <v>4.6645000000000003</v>
      </c>
      <c r="C3822">
        <v>6.5335000000000004E-2</v>
      </c>
      <c r="D3822">
        <v>272</v>
      </c>
      <c r="E3822" t="s">
        <v>4207</v>
      </c>
      <c r="F3822">
        <v>272</v>
      </c>
      <c r="G3822" s="1">
        <v>45198</v>
      </c>
      <c r="H3822" s="6">
        <f t="shared" si="120"/>
        <v>17.572916666666483</v>
      </c>
      <c r="I3822" s="7">
        <f t="shared" si="121"/>
        <v>17.572916666666483</v>
      </c>
    </row>
    <row r="3823" spans="1:9" x14ac:dyDescent="0.2">
      <c r="A3823" t="s">
        <v>4208</v>
      </c>
      <c r="B3823">
        <v>4.6485000000000003</v>
      </c>
      <c r="C3823">
        <v>6.5119999999999997E-2</v>
      </c>
      <c r="D3823">
        <v>272</v>
      </c>
      <c r="E3823" t="s">
        <v>4208</v>
      </c>
      <c r="F3823">
        <v>272</v>
      </c>
      <c r="G3823" s="1">
        <v>45198</v>
      </c>
      <c r="H3823" s="6">
        <f t="shared" si="120"/>
        <v>17.583333333333151</v>
      </c>
      <c r="I3823" s="7">
        <f t="shared" si="121"/>
        <v>17.583333333333151</v>
      </c>
    </row>
    <row r="3824" spans="1:9" x14ac:dyDescent="0.2">
      <c r="A3824" t="s">
        <v>4209</v>
      </c>
      <c r="B3824">
        <v>4.6515000000000004</v>
      </c>
      <c r="C3824">
        <v>6.5155000000000005E-2</v>
      </c>
      <c r="D3824">
        <v>272</v>
      </c>
      <c r="E3824" t="s">
        <v>4209</v>
      </c>
      <c r="F3824">
        <v>272</v>
      </c>
      <c r="G3824" s="1">
        <v>45198</v>
      </c>
      <c r="H3824" s="6">
        <f t="shared" si="120"/>
        <v>17.593749999999819</v>
      </c>
      <c r="I3824" s="7">
        <f t="shared" si="121"/>
        <v>17.593749999999819</v>
      </c>
    </row>
    <row r="3825" spans="1:9" x14ac:dyDescent="0.2">
      <c r="A3825" t="s">
        <v>4210</v>
      </c>
      <c r="B3825">
        <v>4.6509999999999998</v>
      </c>
      <c r="C3825">
        <v>6.5125000000000002E-2</v>
      </c>
      <c r="D3825">
        <v>272</v>
      </c>
      <c r="E3825" t="s">
        <v>4210</v>
      </c>
      <c r="F3825">
        <v>272</v>
      </c>
      <c r="G3825" s="1">
        <v>45198</v>
      </c>
      <c r="H3825" s="6">
        <f t="shared" si="120"/>
        <v>17.604166666666487</v>
      </c>
      <c r="I3825" s="7">
        <f t="shared" si="121"/>
        <v>17.604166666666487</v>
      </c>
    </row>
    <row r="3826" spans="1:9" x14ac:dyDescent="0.2">
      <c r="A3826" t="s">
        <v>4211</v>
      </c>
      <c r="B3826">
        <v>4.6340000000000003</v>
      </c>
      <c r="C3826">
        <v>6.4899999999999999E-2</v>
      </c>
      <c r="D3826">
        <v>273</v>
      </c>
      <c r="E3826" t="s">
        <v>4211</v>
      </c>
      <c r="F3826">
        <v>272</v>
      </c>
      <c r="G3826" s="1">
        <v>45198</v>
      </c>
      <c r="H3826" s="6">
        <f t="shared" si="120"/>
        <v>17.614583333333155</v>
      </c>
      <c r="I3826" s="7">
        <f t="shared" si="121"/>
        <v>17.614583333333155</v>
      </c>
    </row>
    <row r="3827" spans="1:9" x14ac:dyDescent="0.2">
      <c r="A3827" t="s">
        <v>4212</v>
      </c>
      <c r="B3827">
        <v>4.6464999999999996</v>
      </c>
      <c r="C3827">
        <v>6.5089999999999995E-2</v>
      </c>
      <c r="D3827">
        <v>273</v>
      </c>
      <c r="E3827" t="s">
        <v>4212</v>
      </c>
      <c r="F3827">
        <v>272</v>
      </c>
      <c r="G3827" s="1">
        <v>45198</v>
      </c>
      <c r="H3827" s="6">
        <f t="shared" si="120"/>
        <v>17.624999999999822</v>
      </c>
      <c r="I3827" s="7">
        <f t="shared" si="121"/>
        <v>17.624999999999822</v>
      </c>
    </row>
    <row r="3828" spans="1:9" x14ac:dyDescent="0.2">
      <c r="A3828" t="s">
        <v>4213</v>
      </c>
      <c r="B3828">
        <v>4.6144999999999996</v>
      </c>
      <c r="C3828">
        <v>6.4619999999999997E-2</v>
      </c>
      <c r="D3828">
        <v>273</v>
      </c>
      <c r="E3828" t="s">
        <v>4213</v>
      </c>
      <c r="F3828">
        <v>272</v>
      </c>
      <c r="G3828" s="1">
        <v>45198</v>
      </c>
      <c r="H3828" s="6">
        <f t="shared" si="120"/>
        <v>17.63541666666649</v>
      </c>
      <c r="I3828" s="7">
        <f t="shared" si="121"/>
        <v>17.63541666666649</v>
      </c>
    </row>
    <row r="3829" spans="1:9" x14ac:dyDescent="0.2">
      <c r="A3829" t="s">
        <v>4214</v>
      </c>
      <c r="B3829">
        <v>4.6470000000000002</v>
      </c>
      <c r="C3829">
        <v>6.5095E-2</v>
      </c>
      <c r="D3829">
        <v>273</v>
      </c>
      <c r="E3829" t="s">
        <v>4214</v>
      </c>
      <c r="F3829">
        <v>272</v>
      </c>
      <c r="G3829" s="1">
        <v>45198</v>
      </c>
      <c r="H3829" s="6">
        <f t="shared" si="120"/>
        <v>17.645833333333158</v>
      </c>
      <c r="I3829" s="7">
        <f t="shared" si="121"/>
        <v>17.645833333333158</v>
      </c>
    </row>
    <row r="3830" spans="1:9" x14ac:dyDescent="0.2">
      <c r="A3830" t="s">
        <v>4215</v>
      </c>
      <c r="B3830">
        <v>4.641</v>
      </c>
      <c r="C3830">
        <v>6.5009999999999998E-2</v>
      </c>
      <c r="D3830">
        <v>273</v>
      </c>
      <c r="E3830" t="s">
        <v>4215</v>
      </c>
      <c r="F3830">
        <v>272</v>
      </c>
      <c r="G3830" s="1">
        <v>45198</v>
      </c>
      <c r="H3830" s="6">
        <f t="shared" si="120"/>
        <v>17.656249999999826</v>
      </c>
      <c r="I3830" s="7">
        <f t="shared" si="121"/>
        <v>17.656249999999826</v>
      </c>
    </row>
    <row r="3831" spans="1:9" x14ac:dyDescent="0.2">
      <c r="A3831" t="s">
        <v>4216</v>
      </c>
      <c r="B3831">
        <v>4.6475</v>
      </c>
      <c r="C3831">
        <v>6.5104999999999996E-2</v>
      </c>
      <c r="D3831">
        <v>273</v>
      </c>
      <c r="E3831" t="s">
        <v>4216</v>
      </c>
      <c r="F3831">
        <v>272</v>
      </c>
      <c r="G3831" s="1">
        <v>45198</v>
      </c>
      <c r="H3831" s="6">
        <f t="shared" si="120"/>
        <v>17.666666666666494</v>
      </c>
      <c r="I3831" s="7">
        <f t="shared" si="121"/>
        <v>17.666666666666494</v>
      </c>
    </row>
    <row r="3832" spans="1:9" x14ac:dyDescent="0.2">
      <c r="A3832" t="s">
        <v>4217</v>
      </c>
      <c r="B3832">
        <v>4.6959999999999997</v>
      </c>
      <c r="C3832">
        <v>6.5784999999999996E-2</v>
      </c>
      <c r="D3832">
        <v>273</v>
      </c>
      <c r="E3832" t="s">
        <v>4217</v>
      </c>
      <c r="F3832">
        <v>272</v>
      </c>
      <c r="G3832" s="1">
        <v>45198</v>
      </c>
      <c r="H3832" s="6">
        <f t="shared" si="120"/>
        <v>17.677083333333162</v>
      </c>
      <c r="I3832" s="7">
        <f t="shared" si="121"/>
        <v>17.677083333333162</v>
      </c>
    </row>
    <row r="3833" spans="1:9" x14ac:dyDescent="0.2">
      <c r="A3833" t="s">
        <v>4218</v>
      </c>
      <c r="B3833">
        <v>4.6980000000000004</v>
      </c>
      <c r="C3833">
        <v>6.5799999999999997E-2</v>
      </c>
      <c r="D3833">
        <v>273</v>
      </c>
      <c r="E3833" t="s">
        <v>4218</v>
      </c>
      <c r="F3833">
        <v>272</v>
      </c>
      <c r="G3833" s="1">
        <v>45198</v>
      </c>
      <c r="H3833" s="6">
        <f t="shared" si="120"/>
        <v>17.687499999999829</v>
      </c>
      <c r="I3833" s="7">
        <f t="shared" si="121"/>
        <v>17.687499999999829</v>
      </c>
    </row>
    <row r="3834" spans="1:9" x14ac:dyDescent="0.2">
      <c r="A3834" t="s">
        <v>4219</v>
      </c>
      <c r="B3834">
        <v>4.7300000000000004</v>
      </c>
      <c r="C3834">
        <v>6.6265000000000004E-2</v>
      </c>
      <c r="D3834">
        <v>273</v>
      </c>
      <c r="E3834" t="s">
        <v>4219</v>
      </c>
      <c r="F3834">
        <v>272</v>
      </c>
      <c r="G3834" s="1">
        <v>45198</v>
      </c>
      <c r="H3834" s="6">
        <f t="shared" si="120"/>
        <v>17.697916666666497</v>
      </c>
      <c r="I3834" s="7">
        <f t="shared" si="121"/>
        <v>17.697916666666497</v>
      </c>
    </row>
    <row r="3835" spans="1:9" x14ac:dyDescent="0.2">
      <c r="A3835" t="s">
        <v>4220</v>
      </c>
      <c r="B3835">
        <v>4.7370000000000001</v>
      </c>
      <c r="C3835">
        <v>6.6360000000000002E-2</v>
      </c>
      <c r="D3835">
        <v>273</v>
      </c>
      <c r="E3835" t="s">
        <v>4220</v>
      </c>
      <c r="F3835">
        <v>272</v>
      </c>
      <c r="G3835" s="1">
        <v>45198</v>
      </c>
      <c r="H3835" s="6">
        <f t="shared" si="120"/>
        <v>17.708333333333165</v>
      </c>
      <c r="I3835" s="7">
        <f t="shared" si="121"/>
        <v>17.708333333333165</v>
      </c>
    </row>
    <row r="3836" spans="1:9" x14ac:dyDescent="0.2">
      <c r="A3836" t="s">
        <v>4221</v>
      </c>
      <c r="B3836">
        <v>4.7675000000000001</v>
      </c>
      <c r="C3836">
        <v>6.676E-2</v>
      </c>
      <c r="D3836">
        <v>273</v>
      </c>
      <c r="E3836" t="s">
        <v>4221</v>
      </c>
      <c r="F3836">
        <v>272</v>
      </c>
      <c r="G3836" s="1">
        <v>45198</v>
      </c>
      <c r="H3836" s="6">
        <f t="shared" si="120"/>
        <v>17.718749999999833</v>
      </c>
      <c r="I3836" s="7">
        <f t="shared" si="121"/>
        <v>17.718749999999833</v>
      </c>
    </row>
    <row r="3837" spans="1:9" x14ac:dyDescent="0.2">
      <c r="A3837" t="s">
        <v>4222</v>
      </c>
      <c r="B3837">
        <v>4.8075000000000001</v>
      </c>
      <c r="C3837">
        <v>6.7339999999999997E-2</v>
      </c>
      <c r="D3837">
        <v>273</v>
      </c>
      <c r="E3837" t="s">
        <v>4222</v>
      </c>
      <c r="F3837">
        <v>272</v>
      </c>
      <c r="G3837" s="1">
        <v>45198</v>
      </c>
      <c r="H3837" s="6">
        <f t="shared" si="120"/>
        <v>17.729166666666501</v>
      </c>
      <c r="I3837" s="7">
        <f t="shared" si="121"/>
        <v>17.729166666666501</v>
      </c>
    </row>
    <row r="3838" spans="1:9" x14ac:dyDescent="0.2">
      <c r="A3838" t="s">
        <v>4223</v>
      </c>
      <c r="B3838">
        <v>4.7915000000000001</v>
      </c>
      <c r="C3838">
        <v>6.7100000000000007E-2</v>
      </c>
      <c r="D3838">
        <v>273</v>
      </c>
      <c r="E3838" t="s">
        <v>4223</v>
      </c>
      <c r="F3838">
        <v>272</v>
      </c>
      <c r="G3838" s="1">
        <v>45198</v>
      </c>
      <c r="H3838" s="6">
        <f t="shared" si="120"/>
        <v>17.739583333333169</v>
      </c>
      <c r="I3838" s="7">
        <f t="shared" si="121"/>
        <v>17.739583333333169</v>
      </c>
    </row>
    <row r="3839" spans="1:9" x14ac:dyDescent="0.2">
      <c r="A3839" t="s">
        <v>4224</v>
      </c>
      <c r="B3839">
        <v>4.8620000000000001</v>
      </c>
      <c r="C3839">
        <v>6.8114999999999995E-2</v>
      </c>
      <c r="D3839">
        <v>273</v>
      </c>
      <c r="E3839" t="s">
        <v>4224</v>
      </c>
      <c r="F3839">
        <v>272</v>
      </c>
      <c r="G3839" s="1">
        <v>45198</v>
      </c>
      <c r="H3839" s="6">
        <f t="shared" si="120"/>
        <v>17.749999999999837</v>
      </c>
      <c r="I3839" s="7">
        <f t="shared" si="121"/>
        <v>17.749999999999837</v>
      </c>
    </row>
    <row r="3840" spans="1:9" x14ac:dyDescent="0.2">
      <c r="A3840" t="s">
        <v>4225</v>
      </c>
      <c r="B3840">
        <v>4.9065000000000003</v>
      </c>
      <c r="C3840">
        <v>6.8739999999999996E-2</v>
      </c>
      <c r="D3840">
        <v>273</v>
      </c>
      <c r="E3840" t="s">
        <v>4225</v>
      </c>
      <c r="F3840">
        <v>272</v>
      </c>
      <c r="G3840" s="1">
        <v>45198</v>
      </c>
      <c r="H3840" s="6">
        <f t="shared" si="120"/>
        <v>17.760416666666504</v>
      </c>
      <c r="I3840" s="7">
        <f t="shared" si="121"/>
        <v>17.760416666666504</v>
      </c>
    </row>
    <row r="3841" spans="1:9" x14ac:dyDescent="0.2">
      <c r="A3841" t="s">
        <v>4226</v>
      </c>
      <c r="B3841">
        <v>4.976</v>
      </c>
      <c r="C3841">
        <v>6.9699999999999998E-2</v>
      </c>
      <c r="D3841">
        <v>273</v>
      </c>
      <c r="E3841" t="s">
        <v>4226</v>
      </c>
      <c r="F3841">
        <v>272</v>
      </c>
      <c r="G3841" s="1">
        <v>45198</v>
      </c>
      <c r="H3841" s="6">
        <f t="shared" si="120"/>
        <v>17.770833333333172</v>
      </c>
      <c r="I3841" s="7">
        <f t="shared" si="121"/>
        <v>17.770833333333172</v>
      </c>
    </row>
    <row r="3842" spans="1:9" x14ac:dyDescent="0.2">
      <c r="A3842" t="s">
        <v>4227</v>
      </c>
      <c r="B3842">
        <v>5.0069999999999997</v>
      </c>
      <c r="C3842">
        <v>7.0135000000000003E-2</v>
      </c>
      <c r="D3842">
        <v>273</v>
      </c>
      <c r="E3842" t="s">
        <v>4227</v>
      </c>
      <c r="F3842">
        <v>272</v>
      </c>
      <c r="G3842" s="1">
        <v>45198</v>
      </c>
      <c r="H3842" s="6">
        <f t="shared" si="120"/>
        <v>17.78124999999984</v>
      </c>
      <c r="I3842" s="7">
        <f t="shared" si="121"/>
        <v>17.78124999999984</v>
      </c>
    </row>
    <row r="3843" spans="1:9" x14ac:dyDescent="0.2">
      <c r="A3843" t="s">
        <v>4228</v>
      </c>
      <c r="B3843">
        <v>5.0514999999999999</v>
      </c>
      <c r="C3843">
        <v>7.0754999999999998E-2</v>
      </c>
      <c r="D3843">
        <v>273</v>
      </c>
      <c r="E3843" t="s">
        <v>4228</v>
      </c>
      <c r="F3843">
        <v>272</v>
      </c>
      <c r="G3843" s="1">
        <v>45198</v>
      </c>
      <c r="H3843" s="6">
        <f t="shared" si="120"/>
        <v>17.791666666666508</v>
      </c>
      <c r="I3843" s="7">
        <f t="shared" si="121"/>
        <v>17.791666666666508</v>
      </c>
    </row>
    <row r="3844" spans="1:9" x14ac:dyDescent="0.2">
      <c r="A3844" t="s">
        <v>4229</v>
      </c>
      <c r="B3844">
        <v>5.13</v>
      </c>
      <c r="C3844">
        <v>7.1849999999999997E-2</v>
      </c>
      <c r="D3844">
        <v>273</v>
      </c>
      <c r="E3844" t="s">
        <v>4229</v>
      </c>
      <c r="F3844">
        <v>272</v>
      </c>
      <c r="G3844" s="1">
        <v>45198</v>
      </c>
      <c r="H3844" s="6">
        <f t="shared" si="120"/>
        <v>17.802083333333176</v>
      </c>
      <c r="I3844" s="7">
        <f t="shared" si="121"/>
        <v>17.802083333333176</v>
      </c>
    </row>
    <row r="3845" spans="1:9" x14ac:dyDescent="0.2">
      <c r="A3845" t="s">
        <v>4230</v>
      </c>
      <c r="B3845">
        <v>5.1820000000000004</v>
      </c>
      <c r="C3845">
        <v>7.2580000000000006E-2</v>
      </c>
      <c r="D3845">
        <v>273</v>
      </c>
      <c r="E3845" t="s">
        <v>4230</v>
      </c>
      <c r="F3845">
        <v>272</v>
      </c>
      <c r="G3845" s="1">
        <v>45198</v>
      </c>
      <c r="H3845" s="6">
        <f t="shared" si="120"/>
        <v>17.812499999999844</v>
      </c>
      <c r="I3845" s="7">
        <f t="shared" si="121"/>
        <v>17.812499999999844</v>
      </c>
    </row>
    <row r="3846" spans="1:9" x14ac:dyDescent="0.2">
      <c r="A3846" t="s">
        <v>4231</v>
      </c>
      <c r="B3846">
        <v>5.1715</v>
      </c>
      <c r="C3846">
        <v>7.2425000000000003E-2</v>
      </c>
      <c r="D3846">
        <v>273</v>
      </c>
      <c r="E3846" t="s">
        <v>4231</v>
      </c>
      <c r="F3846">
        <v>272</v>
      </c>
      <c r="G3846" s="1">
        <v>45198</v>
      </c>
      <c r="H3846" s="6">
        <f t="shared" si="120"/>
        <v>17.822916666666512</v>
      </c>
      <c r="I3846" s="7">
        <f t="shared" si="121"/>
        <v>17.822916666666512</v>
      </c>
    </row>
    <row r="3847" spans="1:9" x14ac:dyDescent="0.2">
      <c r="A3847" t="s">
        <v>4232</v>
      </c>
      <c r="B3847">
        <v>5.2035</v>
      </c>
      <c r="C3847">
        <v>7.2904999999999998E-2</v>
      </c>
      <c r="D3847">
        <v>273</v>
      </c>
      <c r="E3847" t="s">
        <v>4232</v>
      </c>
      <c r="F3847">
        <v>272</v>
      </c>
      <c r="G3847" s="1">
        <v>45198</v>
      </c>
      <c r="H3847" s="6">
        <f t="shared" si="120"/>
        <v>17.833333333333179</v>
      </c>
      <c r="I3847" s="7">
        <f t="shared" si="121"/>
        <v>17.833333333333179</v>
      </c>
    </row>
    <row r="3848" spans="1:9" x14ac:dyDescent="0.2">
      <c r="A3848" t="s">
        <v>4233</v>
      </c>
      <c r="B3848">
        <v>5.2074999999999996</v>
      </c>
      <c r="C3848">
        <v>7.2929999999999995E-2</v>
      </c>
      <c r="D3848">
        <v>273</v>
      </c>
      <c r="E3848" t="s">
        <v>4233</v>
      </c>
      <c r="F3848">
        <v>272</v>
      </c>
      <c r="G3848" s="1">
        <v>45198</v>
      </c>
      <c r="H3848" s="6">
        <f t="shared" si="120"/>
        <v>17.843749999999847</v>
      </c>
      <c r="I3848" s="7">
        <f t="shared" si="121"/>
        <v>17.843749999999847</v>
      </c>
    </row>
    <row r="3849" spans="1:9" x14ac:dyDescent="0.2">
      <c r="A3849" t="s">
        <v>4234</v>
      </c>
      <c r="B3849">
        <v>5.2385000000000002</v>
      </c>
      <c r="C3849">
        <v>7.3374999999999996E-2</v>
      </c>
      <c r="D3849">
        <v>273</v>
      </c>
      <c r="E3849" t="s">
        <v>4234</v>
      </c>
      <c r="F3849">
        <v>272</v>
      </c>
      <c r="G3849" s="1">
        <v>45198</v>
      </c>
      <c r="H3849" s="6">
        <f t="shared" si="120"/>
        <v>17.854166666666515</v>
      </c>
      <c r="I3849" s="7">
        <f t="shared" si="121"/>
        <v>17.854166666666515</v>
      </c>
    </row>
    <row r="3850" spans="1:9" x14ac:dyDescent="0.2">
      <c r="A3850" t="s">
        <v>4235</v>
      </c>
      <c r="B3850">
        <v>5.258</v>
      </c>
      <c r="C3850">
        <v>7.3649999999999993E-2</v>
      </c>
      <c r="D3850">
        <v>273</v>
      </c>
      <c r="E3850" t="s">
        <v>4235</v>
      </c>
      <c r="F3850">
        <v>273</v>
      </c>
      <c r="G3850" s="1">
        <v>45199</v>
      </c>
      <c r="H3850" s="6">
        <f t="shared" si="120"/>
        <v>17.864583333333183</v>
      </c>
      <c r="I3850" s="7">
        <f t="shared" si="121"/>
        <v>17.864583333333183</v>
      </c>
    </row>
    <row r="3851" spans="1:9" x14ac:dyDescent="0.2">
      <c r="A3851" t="s">
        <v>4236</v>
      </c>
      <c r="B3851">
        <v>5.2530000000000001</v>
      </c>
      <c r="C3851">
        <v>7.3580000000000007E-2</v>
      </c>
      <c r="D3851">
        <v>273</v>
      </c>
      <c r="E3851" t="s">
        <v>4236</v>
      </c>
      <c r="F3851">
        <v>273</v>
      </c>
      <c r="G3851" s="1">
        <v>45199</v>
      </c>
      <c r="H3851" s="6">
        <f t="shared" si="120"/>
        <v>17.874999999999851</v>
      </c>
      <c r="I3851" s="7">
        <f t="shared" si="121"/>
        <v>17.874999999999851</v>
      </c>
    </row>
    <row r="3852" spans="1:9" x14ac:dyDescent="0.2">
      <c r="A3852" t="s">
        <v>4237</v>
      </c>
      <c r="B3852">
        <v>5.2744999999999997</v>
      </c>
      <c r="C3852">
        <v>7.3865E-2</v>
      </c>
      <c r="D3852">
        <v>273</v>
      </c>
      <c r="E3852" t="s">
        <v>4237</v>
      </c>
      <c r="F3852">
        <v>273</v>
      </c>
      <c r="G3852" s="1">
        <v>45199</v>
      </c>
      <c r="H3852" s="6">
        <f t="shared" si="120"/>
        <v>17.885416666666519</v>
      </c>
      <c r="I3852" s="7">
        <f t="shared" si="121"/>
        <v>17.885416666666519</v>
      </c>
    </row>
    <row r="3853" spans="1:9" x14ac:dyDescent="0.2">
      <c r="A3853" t="s">
        <v>4238</v>
      </c>
      <c r="B3853">
        <v>5.2539999999999996</v>
      </c>
      <c r="C3853">
        <v>7.3580000000000007E-2</v>
      </c>
      <c r="D3853">
        <v>273</v>
      </c>
      <c r="E3853" t="s">
        <v>4238</v>
      </c>
      <c r="F3853">
        <v>273</v>
      </c>
      <c r="G3853" s="1">
        <v>45199</v>
      </c>
      <c r="H3853" s="6">
        <f t="shared" si="120"/>
        <v>17.895833333333186</v>
      </c>
      <c r="I3853" s="7">
        <f t="shared" si="121"/>
        <v>17.895833333333186</v>
      </c>
    </row>
    <row r="3854" spans="1:9" x14ac:dyDescent="0.2">
      <c r="A3854" t="s">
        <v>4239</v>
      </c>
      <c r="B3854">
        <v>5.2355</v>
      </c>
      <c r="C3854">
        <v>7.3349999999999999E-2</v>
      </c>
      <c r="D3854">
        <v>273</v>
      </c>
      <c r="E3854" t="s">
        <v>4239</v>
      </c>
      <c r="F3854">
        <v>273</v>
      </c>
      <c r="G3854" s="1">
        <v>45199</v>
      </c>
      <c r="H3854" s="6">
        <f t="shared" si="120"/>
        <v>17.906249999999854</v>
      </c>
      <c r="I3854" s="7">
        <f t="shared" si="121"/>
        <v>17.906249999999854</v>
      </c>
    </row>
    <row r="3855" spans="1:9" x14ac:dyDescent="0.2">
      <c r="A3855" t="s">
        <v>4240</v>
      </c>
      <c r="B3855">
        <v>5.2435</v>
      </c>
      <c r="C3855">
        <v>7.3450000000000001E-2</v>
      </c>
      <c r="D3855">
        <v>273</v>
      </c>
      <c r="E3855" t="s">
        <v>4240</v>
      </c>
      <c r="F3855">
        <v>273</v>
      </c>
      <c r="G3855" s="1">
        <v>45199</v>
      </c>
      <c r="H3855" s="6">
        <f t="shared" si="120"/>
        <v>17.916666666666522</v>
      </c>
      <c r="I3855" s="7">
        <f t="shared" si="121"/>
        <v>17.916666666666522</v>
      </c>
    </row>
    <row r="3856" spans="1:9" x14ac:dyDescent="0.2">
      <c r="A3856" t="s">
        <v>4241</v>
      </c>
      <c r="B3856">
        <v>5.2415000000000003</v>
      </c>
      <c r="C3856">
        <v>7.3395000000000002E-2</v>
      </c>
      <c r="D3856">
        <v>273</v>
      </c>
      <c r="E3856" t="s">
        <v>4241</v>
      </c>
      <c r="F3856">
        <v>273</v>
      </c>
      <c r="G3856" s="1">
        <v>45199</v>
      </c>
      <c r="H3856" s="6">
        <f t="shared" si="120"/>
        <v>17.92708333333319</v>
      </c>
      <c r="I3856" s="7">
        <f t="shared" si="121"/>
        <v>17.92708333333319</v>
      </c>
    </row>
    <row r="3857" spans="1:9" x14ac:dyDescent="0.2">
      <c r="A3857" t="s">
        <v>4242</v>
      </c>
      <c r="B3857">
        <v>5.2415000000000003</v>
      </c>
      <c r="C3857">
        <v>7.3404999999999998E-2</v>
      </c>
      <c r="D3857">
        <v>273</v>
      </c>
      <c r="E3857" t="s">
        <v>4242</v>
      </c>
      <c r="F3857">
        <v>273</v>
      </c>
      <c r="G3857" s="1">
        <v>45199</v>
      </c>
      <c r="H3857" s="6">
        <f t="shared" si="120"/>
        <v>17.937499999999858</v>
      </c>
      <c r="I3857" s="7">
        <f t="shared" si="121"/>
        <v>17.937499999999858</v>
      </c>
    </row>
    <row r="3858" spans="1:9" x14ac:dyDescent="0.2">
      <c r="A3858" t="s">
        <v>4243</v>
      </c>
      <c r="B3858">
        <v>5.2469999999999999</v>
      </c>
      <c r="C3858">
        <v>7.3499999999999996E-2</v>
      </c>
      <c r="D3858">
        <v>273</v>
      </c>
      <c r="E3858" t="s">
        <v>4243</v>
      </c>
      <c r="F3858">
        <v>273</v>
      </c>
      <c r="G3858" s="1">
        <v>45199</v>
      </c>
      <c r="H3858" s="6">
        <f t="shared" si="120"/>
        <v>17.947916666666526</v>
      </c>
      <c r="I3858" s="7">
        <f t="shared" si="121"/>
        <v>17.947916666666526</v>
      </c>
    </row>
    <row r="3859" spans="1:9" x14ac:dyDescent="0.2">
      <c r="A3859" t="s">
        <v>4244</v>
      </c>
      <c r="B3859">
        <v>5.2854999999999999</v>
      </c>
      <c r="C3859">
        <v>7.4024999999999994E-2</v>
      </c>
      <c r="D3859">
        <v>273</v>
      </c>
      <c r="E3859" t="s">
        <v>4244</v>
      </c>
      <c r="F3859">
        <v>273</v>
      </c>
      <c r="G3859" s="1">
        <v>45199</v>
      </c>
      <c r="H3859" s="6">
        <f t="shared" si="120"/>
        <v>17.958333333333194</v>
      </c>
      <c r="I3859" s="7">
        <f t="shared" si="121"/>
        <v>17.958333333333194</v>
      </c>
    </row>
    <row r="3860" spans="1:9" x14ac:dyDescent="0.2">
      <c r="A3860" t="s">
        <v>4245</v>
      </c>
      <c r="B3860">
        <v>5.2625000000000002</v>
      </c>
      <c r="C3860">
        <v>7.3705000000000007E-2</v>
      </c>
      <c r="D3860">
        <v>273</v>
      </c>
      <c r="E3860" t="s">
        <v>4245</v>
      </c>
      <c r="F3860">
        <v>273</v>
      </c>
      <c r="G3860" s="1">
        <v>45199</v>
      </c>
      <c r="H3860" s="6">
        <f t="shared" si="120"/>
        <v>17.968749999999861</v>
      </c>
      <c r="I3860" s="7">
        <f t="shared" si="121"/>
        <v>17.968749999999861</v>
      </c>
    </row>
    <row r="3861" spans="1:9" x14ac:dyDescent="0.2">
      <c r="A3861" t="s">
        <v>4246</v>
      </c>
      <c r="B3861">
        <v>5.2554999999999996</v>
      </c>
      <c r="C3861">
        <v>7.3605000000000004E-2</v>
      </c>
      <c r="D3861">
        <v>273</v>
      </c>
      <c r="E3861" t="s">
        <v>4246</v>
      </c>
      <c r="F3861">
        <v>273</v>
      </c>
      <c r="G3861" s="1">
        <v>45199</v>
      </c>
      <c r="H3861" s="6">
        <f t="shared" si="120"/>
        <v>17.979166666666529</v>
      </c>
      <c r="I3861" s="7">
        <f t="shared" si="121"/>
        <v>17.979166666666529</v>
      </c>
    </row>
    <row r="3862" spans="1:9" x14ac:dyDescent="0.2">
      <c r="A3862" t="s">
        <v>4247</v>
      </c>
      <c r="B3862">
        <v>5.2554999999999996</v>
      </c>
      <c r="C3862">
        <v>7.3630000000000001E-2</v>
      </c>
      <c r="D3862">
        <v>273</v>
      </c>
      <c r="E3862" t="s">
        <v>4247</v>
      </c>
      <c r="F3862">
        <v>273</v>
      </c>
      <c r="G3862" s="1">
        <v>45199</v>
      </c>
      <c r="H3862" s="6">
        <f t="shared" si="120"/>
        <v>17.989583333333197</v>
      </c>
      <c r="I3862" s="7">
        <f t="shared" si="121"/>
        <v>17.989583333333197</v>
      </c>
    </row>
    <row r="3863" spans="1:9" x14ac:dyDescent="0.2">
      <c r="A3863" t="s">
        <v>4248</v>
      </c>
      <c r="B3863">
        <v>5.2385000000000002</v>
      </c>
      <c r="C3863">
        <v>7.3365E-2</v>
      </c>
      <c r="D3863">
        <v>273</v>
      </c>
      <c r="E3863" t="s">
        <v>4248</v>
      </c>
      <c r="F3863">
        <v>273</v>
      </c>
      <c r="G3863" s="1">
        <v>45199</v>
      </c>
      <c r="H3863" s="6">
        <f t="shared" si="120"/>
        <v>17.999999999999865</v>
      </c>
      <c r="I3863" s="7">
        <f t="shared" si="121"/>
        <v>17.999999999999865</v>
      </c>
    </row>
    <row r="3864" spans="1:9" x14ac:dyDescent="0.2">
      <c r="A3864" t="s">
        <v>4249</v>
      </c>
      <c r="B3864">
        <v>5.2625000000000002</v>
      </c>
      <c r="C3864">
        <v>7.3694999999999997E-2</v>
      </c>
      <c r="D3864">
        <v>273</v>
      </c>
      <c r="E3864" t="s">
        <v>4249</v>
      </c>
      <c r="F3864">
        <v>273</v>
      </c>
      <c r="G3864" s="1">
        <v>45199</v>
      </c>
      <c r="H3864" s="6">
        <f t="shared" si="120"/>
        <v>18.010416666666533</v>
      </c>
      <c r="I3864" s="7">
        <f t="shared" si="121"/>
        <v>18.010416666666533</v>
      </c>
    </row>
    <row r="3865" spans="1:9" x14ac:dyDescent="0.2">
      <c r="A3865" t="s">
        <v>4250</v>
      </c>
      <c r="B3865">
        <v>5.2714999999999996</v>
      </c>
      <c r="C3865">
        <v>7.3830000000000007E-2</v>
      </c>
      <c r="D3865">
        <v>273</v>
      </c>
      <c r="E3865" t="s">
        <v>4250</v>
      </c>
      <c r="F3865">
        <v>273</v>
      </c>
      <c r="G3865" s="1">
        <v>45199</v>
      </c>
      <c r="H3865" s="6">
        <f t="shared" si="120"/>
        <v>18.020833333333201</v>
      </c>
      <c r="I3865" s="7">
        <f t="shared" si="121"/>
        <v>18.020833333333201</v>
      </c>
    </row>
    <row r="3866" spans="1:9" x14ac:dyDescent="0.2">
      <c r="A3866" t="s">
        <v>4251</v>
      </c>
      <c r="B3866">
        <v>5.2270000000000003</v>
      </c>
      <c r="C3866">
        <v>7.3200000000000001E-2</v>
      </c>
      <c r="D3866">
        <v>273</v>
      </c>
      <c r="E3866" t="s">
        <v>4251</v>
      </c>
      <c r="F3866">
        <v>273</v>
      </c>
      <c r="G3866" s="1">
        <v>45199</v>
      </c>
      <c r="H3866" s="6">
        <f t="shared" si="120"/>
        <v>18.031249999999869</v>
      </c>
      <c r="I3866" s="7">
        <f t="shared" si="121"/>
        <v>18.031249999999869</v>
      </c>
    </row>
    <row r="3867" spans="1:9" x14ac:dyDescent="0.2">
      <c r="A3867" t="s">
        <v>4252</v>
      </c>
      <c r="B3867">
        <v>5.2805</v>
      </c>
      <c r="C3867">
        <v>7.3969999999999994E-2</v>
      </c>
      <c r="D3867">
        <v>273</v>
      </c>
      <c r="E3867" t="s">
        <v>4252</v>
      </c>
      <c r="F3867">
        <v>273</v>
      </c>
      <c r="G3867" s="1">
        <v>45199</v>
      </c>
      <c r="H3867" s="6">
        <f t="shared" si="120"/>
        <v>18.041666666666536</v>
      </c>
      <c r="I3867" s="7">
        <f t="shared" si="121"/>
        <v>18.041666666666536</v>
      </c>
    </row>
    <row r="3868" spans="1:9" x14ac:dyDescent="0.2">
      <c r="A3868" t="s">
        <v>4253</v>
      </c>
      <c r="B3868">
        <v>5.2934999999999999</v>
      </c>
      <c r="C3868">
        <v>7.4139999999999998E-2</v>
      </c>
      <c r="D3868">
        <v>273</v>
      </c>
      <c r="E3868" t="s">
        <v>4253</v>
      </c>
      <c r="F3868">
        <v>273</v>
      </c>
      <c r="G3868" s="1">
        <v>45199</v>
      </c>
      <c r="H3868" s="6">
        <f t="shared" ref="H3868:H3931" si="122">H3867+$K$1</f>
        <v>18.052083333333204</v>
      </c>
      <c r="I3868" s="7">
        <f t="shared" ref="I3868:I3931" si="123">I3867+$K$1</f>
        <v>18.052083333333204</v>
      </c>
    </row>
    <row r="3869" spans="1:9" x14ac:dyDescent="0.2">
      <c r="A3869" t="s">
        <v>4254</v>
      </c>
      <c r="B3869">
        <v>5.3049999999999997</v>
      </c>
      <c r="C3869">
        <v>7.4315000000000006E-2</v>
      </c>
      <c r="D3869">
        <v>273</v>
      </c>
      <c r="E3869" t="s">
        <v>4254</v>
      </c>
      <c r="F3869">
        <v>273</v>
      </c>
      <c r="G3869" s="1">
        <v>45199</v>
      </c>
      <c r="H3869" s="6">
        <f t="shared" si="122"/>
        <v>18.062499999999872</v>
      </c>
      <c r="I3869" s="7">
        <f t="shared" si="123"/>
        <v>18.062499999999872</v>
      </c>
    </row>
    <row r="3870" spans="1:9" x14ac:dyDescent="0.2">
      <c r="A3870" t="s">
        <v>4255</v>
      </c>
      <c r="B3870">
        <v>5.3404999999999996</v>
      </c>
      <c r="C3870">
        <v>7.4795E-2</v>
      </c>
      <c r="D3870">
        <v>273</v>
      </c>
      <c r="E3870" t="s">
        <v>4255</v>
      </c>
      <c r="F3870">
        <v>273</v>
      </c>
      <c r="G3870" s="1">
        <v>45199</v>
      </c>
      <c r="H3870" s="6">
        <f t="shared" si="122"/>
        <v>18.07291666666654</v>
      </c>
      <c r="I3870" s="7">
        <f t="shared" si="123"/>
        <v>18.07291666666654</v>
      </c>
    </row>
    <row r="3871" spans="1:9" x14ac:dyDescent="0.2">
      <c r="A3871" t="s">
        <v>4256</v>
      </c>
      <c r="B3871">
        <v>5.306</v>
      </c>
      <c r="C3871">
        <v>7.4315000000000006E-2</v>
      </c>
      <c r="D3871">
        <v>273</v>
      </c>
      <c r="E3871" t="s">
        <v>4256</v>
      </c>
      <c r="F3871">
        <v>273</v>
      </c>
      <c r="G3871" s="1">
        <v>45199</v>
      </c>
      <c r="H3871" s="6">
        <f t="shared" si="122"/>
        <v>18.083333333333208</v>
      </c>
      <c r="I3871" s="7">
        <f t="shared" si="123"/>
        <v>18.083333333333208</v>
      </c>
    </row>
    <row r="3872" spans="1:9" x14ac:dyDescent="0.2">
      <c r="A3872" t="s">
        <v>4257</v>
      </c>
      <c r="B3872">
        <v>5.2744999999999997</v>
      </c>
      <c r="C3872">
        <v>7.3880000000000001E-2</v>
      </c>
      <c r="D3872">
        <v>273</v>
      </c>
      <c r="E3872" t="s">
        <v>4257</v>
      </c>
      <c r="F3872">
        <v>273</v>
      </c>
      <c r="G3872" s="1">
        <v>45199</v>
      </c>
      <c r="H3872" s="6">
        <f t="shared" si="122"/>
        <v>18.093749999999876</v>
      </c>
      <c r="I3872" s="7">
        <f t="shared" si="123"/>
        <v>18.093749999999876</v>
      </c>
    </row>
    <row r="3873" spans="1:9" x14ac:dyDescent="0.2">
      <c r="A3873" t="s">
        <v>4258</v>
      </c>
      <c r="B3873">
        <v>5.2960000000000003</v>
      </c>
      <c r="C3873">
        <v>7.4175000000000005E-2</v>
      </c>
      <c r="D3873">
        <v>273</v>
      </c>
      <c r="E3873" t="s">
        <v>4258</v>
      </c>
      <c r="F3873">
        <v>273</v>
      </c>
      <c r="G3873" s="1">
        <v>45199</v>
      </c>
      <c r="H3873" s="6">
        <f t="shared" si="122"/>
        <v>18.104166666666544</v>
      </c>
      <c r="I3873" s="7">
        <f t="shared" si="123"/>
        <v>18.104166666666544</v>
      </c>
    </row>
    <row r="3874" spans="1:9" x14ac:dyDescent="0.2">
      <c r="A3874" t="s">
        <v>4259</v>
      </c>
      <c r="B3874">
        <v>5.2945000000000002</v>
      </c>
      <c r="C3874">
        <v>7.4139999999999998E-2</v>
      </c>
      <c r="D3874">
        <v>273</v>
      </c>
      <c r="E3874" t="s">
        <v>4259</v>
      </c>
      <c r="F3874">
        <v>273</v>
      </c>
      <c r="G3874" s="1">
        <v>45199</v>
      </c>
      <c r="H3874" s="6">
        <f t="shared" si="122"/>
        <v>18.114583333333211</v>
      </c>
      <c r="I3874" s="7">
        <f t="shared" si="123"/>
        <v>18.114583333333211</v>
      </c>
    </row>
    <row r="3875" spans="1:9" x14ac:dyDescent="0.2">
      <c r="A3875" t="s">
        <v>4260</v>
      </c>
      <c r="B3875">
        <v>5.3005000000000004</v>
      </c>
      <c r="C3875">
        <v>7.4245000000000005E-2</v>
      </c>
      <c r="D3875">
        <v>273</v>
      </c>
      <c r="E3875" t="s">
        <v>4260</v>
      </c>
      <c r="F3875">
        <v>273</v>
      </c>
      <c r="G3875" s="1">
        <v>45199</v>
      </c>
      <c r="H3875" s="6">
        <f t="shared" si="122"/>
        <v>18.124999999999879</v>
      </c>
      <c r="I3875" s="7">
        <f t="shared" si="123"/>
        <v>18.124999999999879</v>
      </c>
    </row>
    <row r="3876" spans="1:9" x14ac:dyDescent="0.2">
      <c r="A3876" t="s">
        <v>4261</v>
      </c>
      <c r="B3876">
        <v>5.3274999999999997</v>
      </c>
      <c r="C3876">
        <v>7.4624999999999997E-2</v>
      </c>
      <c r="D3876">
        <v>273</v>
      </c>
      <c r="E3876" t="s">
        <v>4261</v>
      </c>
      <c r="F3876">
        <v>273</v>
      </c>
      <c r="G3876" s="1">
        <v>45199</v>
      </c>
      <c r="H3876" s="6">
        <f t="shared" si="122"/>
        <v>18.135416666666547</v>
      </c>
      <c r="I3876" s="7">
        <f t="shared" si="123"/>
        <v>18.135416666666547</v>
      </c>
    </row>
    <row r="3877" spans="1:9" x14ac:dyDescent="0.2">
      <c r="A3877" t="s">
        <v>4262</v>
      </c>
      <c r="B3877">
        <v>5.3055000000000003</v>
      </c>
      <c r="C3877">
        <v>7.4329999999999993E-2</v>
      </c>
      <c r="D3877">
        <v>273</v>
      </c>
      <c r="E3877" t="s">
        <v>4262</v>
      </c>
      <c r="F3877">
        <v>273</v>
      </c>
      <c r="G3877" s="1">
        <v>45199</v>
      </c>
      <c r="H3877" s="6">
        <f t="shared" si="122"/>
        <v>18.145833333333215</v>
      </c>
      <c r="I3877" s="7">
        <f t="shared" si="123"/>
        <v>18.145833333333215</v>
      </c>
    </row>
    <row r="3878" spans="1:9" x14ac:dyDescent="0.2">
      <c r="A3878" t="s">
        <v>4263</v>
      </c>
      <c r="B3878">
        <v>5.3205</v>
      </c>
      <c r="C3878">
        <v>7.4524999999999994E-2</v>
      </c>
      <c r="D3878">
        <v>273</v>
      </c>
      <c r="E3878" t="s">
        <v>4263</v>
      </c>
      <c r="F3878">
        <v>273</v>
      </c>
      <c r="G3878" s="1">
        <v>45199</v>
      </c>
      <c r="H3878" s="6">
        <f t="shared" si="122"/>
        <v>18.156249999999883</v>
      </c>
      <c r="I3878" s="7">
        <f t="shared" si="123"/>
        <v>18.156249999999883</v>
      </c>
    </row>
    <row r="3879" spans="1:9" x14ac:dyDescent="0.2">
      <c r="A3879" t="s">
        <v>4264</v>
      </c>
      <c r="B3879">
        <v>5.319</v>
      </c>
      <c r="C3879">
        <v>7.4505000000000002E-2</v>
      </c>
      <c r="D3879">
        <v>273</v>
      </c>
      <c r="E3879" t="s">
        <v>4264</v>
      </c>
      <c r="F3879">
        <v>273</v>
      </c>
      <c r="G3879" s="1">
        <v>45199</v>
      </c>
      <c r="H3879" s="6">
        <f t="shared" si="122"/>
        <v>18.166666666666551</v>
      </c>
      <c r="I3879" s="7">
        <f t="shared" si="123"/>
        <v>18.166666666666551</v>
      </c>
    </row>
    <row r="3880" spans="1:9" x14ac:dyDescent="0.2">
      <c r="A3880" t="s">
        <v>4265</v>
      </c>
      <c r="B3880">
        <v>5.3334999999999999</v>
      </c>
      <c r="C3880">
        <v>7.4700000000000003E-2</v>
      </c>
      <c r="D3880">
        <v>273</v>
      </c>
      <c r="E3880" t="s">
        <v>4265</v>
      </c>
      <c r="F3880">
        <v>273</v>
      </c>
      <c r="G3880" s="1">
        <v>45199</v>
      </c>
      <c r="H3880" s="6">
        <f t="shared" si="122"/>
        <v>18.177083333333218</v>
      </c>
      <c r="I3880" s="7">
        <f t="shared" si="123"/>
        <v>18.177083333333218</v>
      </c>
    </row>
    <row r="3881" spans="1:9" x14ac:dyDescent="0.2">
      <c r="A3881" t="s">
        <v>4266</v>
      </c>
      <c r="B3881">
        <v>5.33</v>
      </c>
      <c r="C3881">
        <v>7.4664999999999995E-2</v>
      </c>
      <c r="D3881">
        <v>273</v>
      </c>
      <c r="E3881" t="s">
        <v>4266</v>
      </c>
      <c r="F3881">
        <v>273</v>
      </c>
      <c r="G3881" s="1">
        <v>45199</v>
      </c>
      <c r="H3881" s="6">
        <f t="shared" si="122"/>
        <v>18.187499999999886</v>
      </c>
      <c r="I3881" s="7">
        <f t="shared" si="123"/>
        <v>18.187499999999886</v>
      </c>
    </row>
    <row r="3882" spans="1:9" x14ac:dyDescent="0.2">
      <c r="A3882" t="s">
        <v>4267</v>
      </c>
      <c r="B3882">
        <v>5.3164999999999996</v>
      </c>
      <c r="C3882">
        <v>7.4465000000000003E-2</v>
      </c>
      <c r="D3882">
        <v>273</v>
      </c>
      <c r="E3882" t="s">
        <v>4267</v>
      </c>
      <c r="F3882">
        <v>273</v>
      </c>
      <c r="G3882" s="1">
        <v>45199</v>
      </c>
      <c r="H3882" s="6">
        <f t="shared" si="122"/>
        <v>18.197916666666554</v>
      </c>
      <c r="I3882" s="7">
        <f t="shared" si="123"/>
        <v>18.197916666666554</v>
      </c>
    </row>
    <row r="3883" spans="1:9" x14ac:dyDescent="0.2">
      <c r="A3883" t="s">
        <v>4268</v>
      </c>
      <c r="B3883">
        <v>5.3265000000000002</v>
      </c>
      <c r="C3883">
        <v>7.4605000000000005E-2</v>
      </c>
      <c r="D3883">
        <v>273</v>
      </c>
      <c r="E3883" t="s">
        <v>4268</v>
      </c>
      <c r="F3883">
        <v>273</v>
      </c>
      <c r="G3883" s="1">
        <v>45199</v>
      </c>
      <c r="H3883" s="6">
        <f t="shared" si="122"/>
        <v>18.208333333333222</v>
      </c>
      <c r="I3883" s="7">
        <f t="shared" si="123"/>
        <v>18.208333333333222</v>
      </c>
    </row>
    <row r="3884" spans="1:9" x14ac:dyDescent="0.2">
      <c r="A3884" t="s">
        <v>4269</v>
      </c>
      <c r="B3884">
        <v>5.327</v>
      </c>
      <c r="C3884">
        <v>7.4590000000000004E-2</v>
      </c>
      <c r="D3884">
        <v>273</v>
      </c>
      <c r="E3884" t="s">
        <v>4269</v>
      </c>
      <c r="F3884">
        <v>273</v>
      </c>
      <c r="G3884" s="1">
        <v>45199</v>
      </c>
      <c r="H3884" s="6">
        <f t="shared" si="122"/>
        <v>18.21874999999989</v>
      </c>
      <c r="I3884" s="7">
        <f t="shared" si="123"/>
        <v>18.21874999999989</v>
      </c>
    </row>
    <row r="3885" spans="1:9" x14ac:dyDescent="0.2">
      <c r="A3885" t="s">
        <v>4270</v>
      </c>
      <c r="B3885" s="2" t="s">
        <v>4271</v>
      </c>
      <c r="C3885">
        <v>7.4349999999999999E-2</v>
      </c>
      <c r="D3885">
        <v>273</v>
      </c>
      <c r="E3885" t="s">
        <v>4270</v>
      </c>
      <c r="F3885">
        <v>273</v>
      </c>
      <c r="G3885" s="1">
        <v>45199</v>
      </c>
      <c r="H3885" s="6">
        <f t="shared" si="122"/>
        <v>18.229166666666558</v>
      </c>
      <c r="I3885" s="7">
        <f t="shared" si="123"/>
        <v>18.229166666666558</v>
      </c>
    </row>
    <row r="3886" spans="1:9" x14ac:dyDescent="0.2">
      <c r="A3886" t="s">
        <v>4272</v>
      </c>
      <c r="B3886">
        <v>5.2925000000000004</v>
      </c>
      <c r="C3886">
        <v>7.4124999999999996E-2</v>
      </c>
      <c r="D3886">
        <v>273</v>
      </c>
      <c r="E3886" t="s">
        <v>4272</v>
      </c>
      <c r="F3886">
        <v>273</v>
      </c>
      <c r="G3886" s="1">
        <v>45199</v>
      </c>
      <c r="H3886" s="6">
        <f t="shared" si="122"/>
        <v>18.239583333333226</v>
      </c>
      <c r="I3886" s="7">
        <f t="shared" si="123"/>
        <v>18.239583333333226</v>
      </c>
    </row>
    <row r="3887" spans="1:9" x14ac:dyDescent="0.2">
      <c r="A3887" t="s">
        <v>4273</v>
      </c>
      <c r="B3887">
        <v>5.2910000000000004</v>
      </c>
      <c r="C3887">
        <v>7.4105000000000004E-2</v>
      </c>
      <c r="D3887">
        <v>273</v>
      </c>
      <c r="E3887" t="s">
        <v>4273</v>
      </c>
      <c r="F3887">
        <v>273</v>
      </c>
      <c r="G3887" s="1">
        <v>45199</v>
      </c>
      <c r="H3887" s="6">
        <f t="shared" si="122"/>
        <v>18.249999999999893</v>
      </c>
      <c r="I3887" s="7">
        <f t="shared" si="123"/>
        <v>18.249999999999893</v>
      </c>
    </row>
    <row r="3888" spans="1:9" x14ac:dyDescent="0.2">
      <c r="A3888" t="s">
        <v>4274</v>
      </c>
      <c r="B3888">
        <v>5.2945000000000002</v>
      </c>
      <c r="C3888">
        <v>7.4154999999999999E-2</v>
      </c>
      <c r="D3888">
        <v>273</v>
      </c>
      <c r="E3888" t="s">
        <v>4274</v>
      </c>
      <c r="F3888">
        <v>273</v>
      </c>
      <c r="G3888" s="1">
        <v>45199</v>
      </c>
      <c r="H3888" s="6">
        <f t="shared" si="122"/>
        <v>18.260416666666561</v>
      </c>
      <c r="I3888" s="7">
        <f t="shared" si="123"/>
        <v>18.260416666666561</v>
      </c>
    </row>
    <row r="3889" spans="1:9" x14ac:dyDescent="0.2">
      <c r="A3889" t="s">
        <v>4275</v>
      </c>
      <c r="B3889">
        <v>5.258</v>
      </c>
      <c r="C3889">
        <v>7.3624999999999996E-2</v>
      </c>
      <c r="D3889">
        <v>273</v>
      </c>
      <c r="E3889" t="s">
        <v>4275</v>
      </c>
      <c r="F3889">
        <v>273</v>
      </c>
      <c r="G3889" s="1">
        <v>45199</v>
      </c>
      <c r="H3889" s="6">
        <f t="shared" si="122"/>
        <v>18.270833333333229</v>
      </c>
      <c r="I3889" s="7">
        <f t="shared" si="123"/>
        <v>18.270833333333229</v>
      </c>
    </row>
    <row r="3890" spans="1:9" x14ac:dyDescent="0.2">
      <c r="A3890" t="s">
        <v>4276</v>
      </c>
      <c r="B3890">
        <v>5.2510000000000003</v>
      </c>
      <c r="C3890">
        <v>7.3539999999999994E-2</v>
      </c>
      <c r="D3890">
        <v>273</v>
      </c>
      <c r="E3890" t="s">
        <v>4276</v>
      </c>
      <c r="F3890">
        <v>273</v>
      </c>
      <c r="G3890" s="1">
        <v>45199</v>
      </c>
      <c r="H3890" s="6">
        <f t="shared" si="122"/>
        <v>18.281249999999897</v>
      </c>
      <c r="I3890" s="7">
        <f t="shared" si="123"/>
        <v>18.281249999999897</v>
      </c>
    </row>
    <row r="3891" spans="1:9" x14ac:dyDescent="0.2">
      <c r="A3891" t="s">
        <v>4277</v>
      </c>
      <c r="B3891">
        <v>5.2089999999999996</v>
      </c>
      <c r="C3891">
        <v>7.2969999999999993E-2</v>
      </c>
      <c r="D3891">
        <v>273</v>
      </c>
      <c r="E3891" t="s">
        <v>4277</v>
      </c>
      <c r="F3891">
        <v>273</v>
      </c>
      <c r="G3891" s="1">
        <v>45199</v>
      </c>
      <c r="H3891" s="6">
        <f t="shared" si="122"/>
        <v>18.291666666666565</v>
      </c>
      <c r="I3891" s="7">
        <f t="shared" si="123"/>
        <v>18.291666666666565</v>
      </c>
    </row>
    <row r="3892" spans="1:9" x14ac:dyDescent="0.2">
      <c r="A3892" t="s">
        <v>4278</v>
      </c>
      <c r="B3892">
        <v>5.1879999999999997</v>
      </c>
      <c r="C3892">
        <v>7.2679999999999995E-2</v>
      </c>
      <c r="D3892">
        <v>273</v>
      </c>
      <c r="E3892" t="s">
        <v>4278</v>
      </c>
      <c r="F3892">
        <v>273</v>
      </c>
      <c r="G3892" s="1">
        <v>45199</v>
      </c>
      <c r="H3892" s="6">
        <f t="shared" si="122"/>
        <v>18.302083333333233</v>
      </c>
      <c r="I3892" s="7">
        <f t="shared" si="123"/>
        <v>18.302083333333233</v>
      </c>
    </row>
    <row r="3893" spans="1:9" x14ac:dyDescent="0.2">
      <c r="A3893" t="s">
        <v>4279</v>
      </c>
      <c r="B3893">
        <v>5.1234999999999999</v>
      </c>
      <c r="C3893">
        <v>7.1749999999999994E-2</v>
      </c>
      <c r="D3893">
        <v>273</v>
      </c>
      <c r="E3893" t="s">
        <v>4279</v>
      </c>
      <c r="F3893">
        <v>273</v>
      </c>
      <c r="G3893" s="1">
        <v>45199</v>
      </c>
      <c r="H3893" s="6">
        <f t="shared" si="122"/>
        <v>18.312499999999901</v>
      </c>
      <c r="I3893" s="7">
        <f t="shared" si="123"/>
        <v>18.312499999999901</v>
      </c>
    </row>
    <row r="3894" spans="1:9" x14ac:dyDescent="0.2">
      <c r="A3894" t="s">
        <v>4280</v>
      </c>
      <c r="B3894">
        <v>5.1180000000000003</v>
      </c>
      <c r="C3894">
        <v>7.1705000000000005E-2</v>
      </c>
      <c r="D3894">
        <v>273</v>
      </c>
      <c r="E3894" t="s">
        <v>4280</v>
      </c>
      <c r="F3894">
        <v>273</v>
      </c>
      <c r="G3894" s="1">
        <v>45199</v>
      </c>
      <c r="H3894" s="6">
        <f t="shared" si="122"/>
        <v>18.322916666666568</v>
      </c>
      <c r="I3894" s="7">
        <f t="shared" si="123"/>
        <v>18.322916666666568</v>
      </c>
    </row>
    <row r="3895" spans="1:9" x14ac:dyDescent="0.2">
      <c r="A3895" t="s">
        <v>4281</v>
      </c>
      <c r="B3895">
        <v>5.1079999999999997</v>
      </c>
      <c r="C3895">
        <v>7.1544999999999997E-2</v>
      </c>
      <c r="D3895">
        <v>273</v>
      </c>
      <c r="E3895" t="s">
        <v>4281</v>
      </c>
      <c r="F3895">
        <v>273</v>
      </c>
      <c r="G3895" s="1">
        <v>45199</v>
      </c>
      <c r="H3895" s="6">
        <f t="shared" si="122"/>
        <v>18.333333333333236</v>
      </c>
      <c r="I3895" s="7">
        <f t="shared" si="123"/>
        <v>18.333333333333236</v>
      </c>
    </row>
    <row r="3896" spans="1:9" x14ac:dyDescent="0.2">
      <c r="A3896" t="s">
        <v>4282</v>
      </c>
      <c r="B3896">
        <v>5.0715000000000003</v>
      </c>
      <c r="C3896">
        <v>7.1025000000000005E-2</v>
      </c>
      <c r="D3896">
        <v>273</v>
      </c>
      <c r="E3896" t="s">
        <v>4282</v>
      </c>
      <c r="F3896">
        <v>273</v>
      </c>
      <c r="G3896" s="1">
        <v>45199</v>
      </c>
      <c r="H3896" s="6">
        <f t="shared" si="122"/>
        <v>18.343749999999904</v>
      </c>
      <c r="I3896" s="7">
        <f t="shared" si="123"/>
        <v>18.343749999999904</v>
      </c>
    </row>
    <row r="3897" spans="1:9" x14ac:dyDescent="0.2">
      <c r="A3897" t="s">
        <v>4283</v>
      </c>
      <c r="B3897">
        <v>5.0279999999999996</v>
      </c>
      <c r="C3897">
        <v>7.0434999999999998E-2</v>
      </c>
      <c r="D3897">
        <v>273</v>
      </c>
      <c r="E3897" t="s">
        <v>4283</v>
      </c>
      <c r="F3897">
        <v>273</v>
      </c>
      <c r="G3897" s="1">
        <v>45199</v>
      </c>
      <c r="H3897" s="6">
        <f t="shared" si="122"/>
        <v>18.354166666666572</v>
      </c>
      <c r="I3897" s="7">
        <f t="shared" si="123"/>
        <v>18.354166666666572</v>
      </c>
    </row>
    <row r="3898" spans="1:9" x14ac:dyDescent="0.2">
      <c r="A3898" t="s">
        <v>4284</v>
      </c>
      <c r="B3898" s="2" t="s">
        <v>4285</v>
      </c>
      <c r="C3898">
        <v>7.0109999999999895E-2</v>
      </c>
      <c r="D3898">
        <v>273</v>
      </c>
      <c r="E3898" t="s">
        <v>4284</v>
      </c>
      <c r="F3898">
        <v>273</v>
      </c>
      <c r="G3898" s="1">
        <v>45199</v>
      </c>
      <c r="H3898" s="6">
        <f t="shared" si="122"/>
        <v>18.36458333333324</v>
      </c>
      <c r="I3898" s="7">
        <f t="shared" si="123"/>
        <v>18.36458333333324</v>
      </c>
    </row>
    <row r="3899" spans="1:9" x14ac:dyDescent="0.2">
      <c r="A3899" t="s">
        <v>4286</v>
      </c>
      <c r="B3899">
        <v>4.9974999999999996</v>
      </c>
      <c r="C3899">
        <v>6.9995000000000002E-2</v>
      </c>
      <c r="D3899">
        <v>273</v>
      </c>
      <c r="E3899" t="s">
        <v>4286</v>
      </c>
      <c r="F3899">
        <v>273</v>
      </c>
      <c r="G3899" s="1">
        <v>45199</v>
      </c>
      <c r="H3899" s="6">
        <f t="shared" si="122"/>
        <v>18.374999999999908</v>
      </c>
      <c r="I3899" s="7">
        <f t="shared" si="123"/>
        <v>18.374999999999908</v>
      </c>
    </row>
    <row r="3900" spans="1:9" x14ac:dyDescent="0.2">
      <c r="A3900" t="s">
        <v>4287</v>
      </c>
      <c r="B3900">
        <v>4.9400000000000004</v>
      </c>
      <c r="C3900">
        <v>6.9184999999999997E-2</v>
      </c>
      <c r="D3900">
        <v>273</v>
      </c>
      <c r="E3900" t="s">
        <v>4287</v>
      </c>
      <c r="F3900">
        <v>273</v>
      </c>
      <c r="G3900" s="1">
        <v>45199</v>
      </c>
      <c r="H3900" s="6">
        <f t="shared" si="122"/>
        <v>18.385416666666575</v>
      </c>
      <c r="I3900" s="7">
        <f t="shared" si="123"/>
        <v>18.385416666666575</v>
      </c>
    </row>
    <row r="3901" spans="1:9" x14ac:dyDescent="0.2">
      <c r="A3901" t="s">
        <v>4288</v>
      </c>
      <c r="B3901">
        <v>4.9444999999999997</v>
      </c>
      <c r="C3901">
        <v>6.9254999999999997E-2</v>
      </c>
      <c r="D3901">
        <v>273</v>
      </c>
      <c r="E3901" t="s">
        <v>4288</v>
      </c>
      <c r="F3901">
        <v>273</v>
      </c>
      <c r="G3901" s="1">
        <v>45199</v>
      </c>
      <c r="H3901" s="6">
        <f t="shared" si="122"/>
        <v>18.395833333333243</v>
      </c>
      <c r="I3901" s="7">
        <f t="shared" si="123"/>
        <v>18.395833333333243</v>
      </c>
    </row>
    <row r="3902" spans="1:9" x14ac:dyDescent="0.2">
      <c r="A3902" t="s">
        <v>4289</v>
      </c>
      <c r="B3902">
        <v>4.9705000000000004</v>
      </c>
      <c r="C3902">
        <v>6.9639999999999994E-2</v>
      </c>
      <c r="D3902">
        <v>273</v>
      </c>
      <c r="E3902" t="s">
        <v>4289</v>
      </c>
      <c r="F3902">
        <v>273</v>
      </c>
      <c r="G3902" s="1">
        <v>45199</v>
      </c>
      <c r="H3902" s="6">
        <f t="shared" si="122"/>
        <v>18.406249999999911</v>
      </c>
      <c r="I3902" s="7">
        <f t="shared" si="123"/>
        <v>18.406249999999911</v>
      </c>
    </row>
    <row r="3903" spans="1:9" x14ac:dyDescent="0.2">
      <c r="A3903" t="s">
        <v>4290</v>
      </c>
      <c r="B3903">
        <v>4.9390000000000001</v>
      </c>
      <c r="C3903">
        <v>6.9175E-2</v>
      </c>
      <c r="D3903">
        <v>273</v>
      </c>
      <c r="E3903" t="s">
        <v>4290</v>
      </c>
      <c r="F3903">
        <v>273</v>
      </c>
      <c r="G3903" s="1">
        <v>45199</v>
      </c>
      <c r="H3903" s="6">
        <f t="shared" si="122"/>
        <v>18.416666666666579</v>
      </c>
      <c r="I3903" s="7">
        <f t="shared" si="123"/>
        <v>18.416666666666579</v>
      </c>
    </row>
    <row r="3904" spans="1:9" x14ac:dyDescent="0.2">
      <c r="A3904" t="s">
        <v>4291</v>
      </c>
      <c r="B3904">
        <v>4.9039999999999999</v>
      </c>
      <c r="C3904">
        <v>6.8699999999999997E-2</v>
      </c>
      <c r="D3904">
        <v>273</v>
      </c>
      <c r="E3904" t="s">
        <v>4291</v>
      </c>
      <c r="F3904">
        <v>273</v>
      </c>
      <c r="G3904" s="1">
        <v>45199</v>
      </c>
      <c r="H3904" s="6">
        <f t="shared" si="122"/>
        <v>18.427083333333247</v>
      </c>
      <c r="I3904" s="7">
        <f t="shared" si="123"/>
        <v>18.427083333333247</v>
      </c>
    </row>
    <row r="3905" spans="1:9" x14ac:dyDescent="0.2">
      <c r="A3905" t="s">
        <v>4292</v>
      </c>
      <c r="B3905">
        <v>4.9165000000000001</v>
      </c>
      <c r="C3905">
        <v>6.8875000000000006E-2</v>
      </c>
      <c r="D3905">
        <v>273</v>
      </c>
      <c r="E3905" t="s">
        <v>4292</v>
      </c>
      <c r="F3905">
        <v>273</v>
      </c>
      <c r="G3905" s="1">
        <v>45199</v>
      </c>
      <c r="H3905" s="6">
        <f t="shared" si="122"/>
        <v>18.437499999999915</v>
      </c>
      <c r="I3905" s="7">
        <f t="shared" si="123"/>
        <v>18.437499999999915</v>
      </c>
    </row>
    <row r="3906" spans="1:9" x14ac:dyDescent="0.2">
      <c r="A3906" t="s">
        <v>4293</v>
      </c>
      <c r="B3906">
        <v>4.8935000000000004</v>
      </c>
      <c r="C3906">
        <v>6.8534999999999999E-2</v>
      </c>
      <c r="D3906">
        <v>273</v>
      </c>
      <c r="E3906" t="s">
        <v>4293</v>
      </c>
      <c r="F3906">
        <v>273</v>
      </c>
      <c r="G3906" s="1">
        <v>45199</v>
      </c>
      <c r="H3906" s="6">
        <f t="shared" si="122"/>
        <v>18.447916666666583</v>
      </c>
      <c r="I3906" s="7">
        <f t="shared" si="123"/>
        <v>18.447916666666583</v>
      </c>
    </row>
    <row r="3907" spans="1:9" x14ac:dyDescent="0.2">
      <c r="A3907" t="s">
        <v>4294</v>
      </c>
      <c r="B3907">
        <v>4.9124999999999996</v>
      </c>
      <c r="C3907">
        <v>6.8805000000000005E-2</v>
      </c>
      <c r="D3907">
        <v>273</v>
      </c>
      <c r="E3907" t="s">
        <v>4294</v>
      </c>
      <c r="F3907">
        <v>273</v>
      </c>
      <c r="G3907" s="1">
        <v>45199</v>
      </c>
      <c r="H3907" s="6">
        <f t="shared" si="122"/>
        <v>18.45833333333325</v>
      </c>
      <c r="I3907" s="7">
        <f t="shared" si="123"/>
        <v>18.45833333333325</v>
      </c>
    </row>
    <row r="3908" spans="1:9" x14ac:dyDescent="0.2">
      <c r="A3908" t="s">
        <v>4295</v>
      </c>
      <c r="B3908">
        <v>4.8849999999999998</v>
      </c>
      <c r="C3908">
        <v>6.8440000000000001E-2</v>
      </c>
      <c r="D3908">
        <v>273</v>
      </c>
      <c r="E3908" t="s">
        <v>4295</v>
      </c>
      <c r="F3908">
        <v>273</v>
      </c>
      <c r="G3908" s="1">
        <v>45199</v>
      </c>
      <c r="H3908" s="6">
        <f t="shared" si="122"/>
        <v>18.468749999999918</v>
      </c>
      <c r="I3908" s="7">
        <f t="shared" si="123"/>
        <v>18.468749999999918</v>
      </c>
    </row>
    <row r="3909" spans="1:9" x14ac:dyDescent="0.2">
      <c r="A3909" t="s">
        <v>4296</v>
      </c>
      <c r="B3909">
        <v>4.8695000000000004</v>
      </c>
      <c r="C3909">
        <v>6.8214999999999998E-2</v>
      </c>
      <c r="D3909">
        <v>273</v>
      </c>
      <c r="E3909" t="s">
        <v>4296</v>
      </c>
      <c r="F3909">
        <v>273</v>
      </c>
      <c r="G3909" s="1">
        <v>45199</v>
      </c>
      <c r="H3909" s="6">
        <f t="shared" si="122"/>
        <v>18.479166666666586</v>
      </c>
      <c r="I3909" s="7">
        <f t="shared" si="123"/>
        <v>18.479166666666586</v>
      </c>
    </row>
    <row r="3910" spans="1:9" x14ac:dyDescent="0.2">
      <c r="A3910" t="s">
        <v>4297</v>
      </c>
      <c r="B3910">
        <v>4.8825000000000003</v>
      </c>
      <c r="C3910">
        <v>6.8394999999999997E-2</v>
      </c>
      <c r="D3910">
        <v>273</v>
      </c>
      <c r="E3910" t="s">
        <v>4297</v>
      </c>
      <c r="F3910">
        <v>273</v>
      </c>
      <c r="G3910" s="1">
        <v>45199</v>
      </c>
      <c r="H3910" s="6">
        <f t="shared" si="122"/>
        <v>18.489583333333254</v>
      </c>
      <c r="I3910" s="7">
        <f t="shared" si="123"/>
        <v>18.489583333333254</v>
      </c>
    </row>
    <row r="3911" spans="1:9" x14ac:dyDescent="0.2">
      <c r="A3911" t="s">
        <v>4298</v>
      </c>
      <c r="B3911" s="2" t="s">
        <v>4299</v>
      </c>
      <c r="C3911">
        <v>6.8440000000000001E-2</v>
      </c>
      <c r="D3911">
        <v>273</v>
      </c>
      <c r="E3911" t="s">
        <v>4298</v>
      </c>
      <c r="F3911">
        <v>273</v>
      </c>
      <c r="G3911" s="1">
        <v>45199</v>
      </c>
      <c r="H3911" s="6">
        <f t="shared" si="122"/>
        <v>18.499999999999922</v>
      </c>
      <c r="I3911" s="7">
        <f t="shared" si="123"/>
        <v>18.499999999999922</v>
      </c>
    </row>
    <row r="3912" spans="1:9" x14ac:dyDescent="0.2">
      <c r="A3912" t="s">
        <v>4300</v>
      </c>
      <c r="B3912">
        <v>4.8925000000000001</v>
      </c>
      <c r="C3912">
        <v>6.8510000000000001E-2</v>
      </c>
      <c r="D3912">
        <v>273</v>
      </c>
      <c r="E3912" t="s">
        <v>4300</v>
      </c>
      <c r="F3912">
        <v>273</v>
      </c>
      <c r="G3912" s="1">
        <v>45199</v>
      </c>
      <c r="H3912" s="6">
        <f t="shared" si="122"/>
        <v>18.51041666666659</v>
      </c>
      <c r="I3912" s="7">
        <f t="shared" si="123"/>
        <v>18.51041666666659</v>
      </c>
    </row>
    <row r="3913" spans="1:9" x14ac:dyDescent="0.2">
      <c r="A3913" t="s">
        <v>4301</v>
      </c>
      <c r="B3913">
        <v>4.9115000000000002</v>
      </c>
      <c r="C3913">
        <v>6.8790000000000004E-2</v>
      </c>
      <c r="D3913">
        <v>273</v>
      </c>
      <c r="E3913" t="s">
        <v>4301</v>
      </c>
      <c r="F3913">
        <v>273</v>
      </c>
      <c r="G3913" s="1">
        <v>45199</v>
      </c>
      <c r="H3913" s="6">
        <f t="shared" si="122"/>
        <v>18.520833333333258</v>
      </c>
      <c r="I3913" s="7">
        <f t="shared" si="123"/>
        <v>18.520833333333258</v>
      </c>
    </row>
    <row r="3914" spans="1:9" x14ac:dyDescent="0.2">
      <c r="A3914" t="s">
        <v>4302</v>
      </c>
      <c r="B3914">
        <v>4.883</v>
      </c>
      <c r="C3914">
        <v>6.8394999999999997E-2</v>
      </c>
      <c r="D3914">
        <v>273</v>
      </c>
      <c r="E3914" t="s">
        <v>4302</v>
      </c>
      <c r="F3914">
        <v>273</v>
      </c>
      <c r="G3914" s="1">
        <v>45199</v>
      </c>
      <c r="H3914" s="6">
        <f t="shared" si="122"/>
        <v>18.531249999999925</v>
      </c>
      <c r="I3914" s="7">
        <f t="shared" si="123"/>
        <v>18.531249999999925</v>
      </c>
    </row>
    <row r="3915" spans="1:9" x14ac:dyDescent="0.2">
      <c r="A3915" t="s">
        <v>4303</v>
      </c>
      <c r="B3915">
        <v>4.8834999999999997</v>
      </c>
      <c r="C3915">
        <v>6.8390000000000006E-2</v>
      </c>
      <c r="D3915">
        <v>273</v>
      </c>
      <c r="E3915" t="s">
        <v>4303</v>
      </c>
      <c r="F3915">
        <v>273</v>
      </c>
      <c r="G3915" s="1">
        <v>45199</v>
      </c>
      <c r="H3915" s="6">
        <f t="shared" si="122"/>
        <v>18.541666666666593</v>
      </c>
      <c r="I3915" s="7">
        <f t="shared" si="123"/>
        <v>18.541666666666593</v>
      </c>
    </row>
    <row r="3916" spans="1:9" x14ac:dyDescent="0.2">
      <c r="A3916" t="s">
        <v>4304</v>
      </c>
      <c r="B3916">
        <v>4.8959999999999999</v>
      </c>
      <c r="C3916">
        <v>6.8555000000000005E-2</v>
      </c>
      <c r="D3916">
        <v>273</v>
      </c>
      <c r="E3916" t="s">
        <v>4304</v>
      </c>
      <c r="F3916">
        <v>273</v>
      </c>
      <c r="G3916" s="1">
        <v>45199</v>
      </c>
      <c r="H3916" s="6">
        <f t="shared" si="122"/>
        <v>18.552083333333261</v>
      </c>
      <c r="I3916" s="7">
        <f t="shared" si="123"/>
        <v>18.552083333333261</v>
      </c>
    </row>
    <row r="3917" spans="1:9" x14ac:dyDescent="0.2">
      <c r="A3917" t="s">
        <v>4305</v>
      </c>
      <c r="B3917">
        <v>4.9225000000000003</v>
      </c>
      <c r="C3917">
        <v>6.8940000000000001E-2</v>
      </c>
      <c r="D3917">
        <v>273</v>
      </c>
      <c r="E3917" t="s">
        <v>4305</v>
      </c>
      <c r="F3917">
        <v>273</v>
      </c>
      <c r="G3917" s="1">
        <v>45199</v>
      </c>
      <c r="H3917" s="6">
        <f t="shared" si="122"/>
        <v>18.562499999999929</v>
      </c>
      <c r="I3917" s="7">
        <f t="shared" si="123"/>
        <v>18.562499999999929</v>
      </c>
    </row>
    <row r="3918" spans="1:9" x14ac:dyDescent="0.2">
      <c r="A3918" t="s">
        <v>4306</v>
      </c>
      <c r="B3918">
        <v>4.8855000000000004</v>
      </c>
      <c r="C3918">
        <v>6.8440000000000001E-2</v>
      </c>
      <c r="D3918">
        <v>273</v>
      </c>
      <c r="E3918" t="s">
        <v>4306</v>
      </c>
      <c r="F3918">
        <v>273</v>
      </c>
      <c r="G3918" s="1">
        <v>45199</v>
      </c>
      <c r="H3918" s="6">
        <f t="shared" si="122"/>
        <v>18.572916666666597</v>
      </c>
      <c r="I3918" s="7">
        <f t="shared" si="123"/>
        <v>18.572916666666597</v>
      </c>
    </row>
    <row r="3919" spans="1:9" x14ac:dyDescent="0.2">
      <c r="A3919" t="s">
        <v>4307</v>
      </c>
      <c r="B3919">
        <v>4.9109999999999996</v>
      </c>
      <c r="C3919">
        <v>6.8779999999999994E-2</v>
      </c>
      <c r="D3919">
        <v>273</v>
      </c>
      <c r="E3919" t="s">
        <v>4307</v>
      </c>
      <c r="F3919">
        <v>273</v>
      </c>
      <c r="G3919" s="1">
        <v>45199</v>
      </c>
      <c r="H3919" s="6">
        <f t="shared" si="122"/>
        <v>18.583333333333265</v>
      </c>
      <c r="I3919" s="7">
        <f t="shared" si="123"/>
        <v>18.583333333333265</v>
      </c>
    </row>
    <row r="3920" spans="1:9" x14ac:dyDescent="0.2">
      <c r="A3920" t="s">
        <v>4308</v>
      </c>
      <c r="B3920">
        <v>4.9385000000000003</v>
      </c>
      <c r="C3920">
        <v>6.9154999999999994E-2</v>
      </c>
      <c r="D3920">
        <v>273</v>
      </c>
      <c r="E3920" t="s">
        <v>4308</v>
      </c>
      <c r="F3920">
        <v>273</v>
      </c>
      <c r="G3920" s="1">
        <v>45199</v>
      </c>
      <c r="H3920" s="6">
        <f t="shared" si="122"/>
        <v>18.593749999999932</v>
      </c>
      <c r="I3920" s="7">
        <f t="shared" si="123"/>
        <v>18.593749999999932</v>
      </c>
    </row>
    <row r="3921" spans="1:9" x14ac:dyDescent="0.2">
      <c r="A3921" t="s">
        <v>4309</v>
      </c>
      <c r="B3921">
        <v>4.9349999999999996</v>
      </c>
      <c r="C3921">
        <v>6.9135000000000002E-2</v>
      </c>
      <c r="D3921">
        <v>273</v>
      </c>
      <c r="E3921" t="s">
        <v>4309</v>
      </c>
      <c r="F3921">
        <v>273</v>
      </c>
      <c r="G3921" s="1">
        <v>45199</v>
      </c>
      <c r="H3921" s="6">
        <f t="shared" si="122"/>
        <v>18.6041666666666</v>
      </c>
      <c r="I3921" s="7">
        <f t="shared" si="123"/>
        <v>18.6041666666666</v>
      </c>
    </row>
    <row r="3922" spans="1:9" x14ac:dyDescent="0.2">
      <c r="A3922" t="s">
        <v>4310</v>
      </c>
      <c r="B3922">
        <v>4.9470000000000001</v>
      </c>
      <c r="C3922">
        <v>6.9315000000000002E-2</v>
      </c>
      <c r="D3922">
        <v>274</v>
      </c>
      <c r="E3922" t="s">
        <v>4310</v>
      </c>
      <c r="F3922">
        <v>273</v>
      </c>
      <c r="G3922" s="1">
        <v>45199</v>
      </c>
      <c r="H3922" s="6">
        <f t="shared" si="122"/>
        <v>18.614583333333268</v>
      </c>
      <c r="I3922" s="7">
        <f t="shared" si="123"/>
        <v>18.614583333333268</v>
      </c>
    </row>
    <row r="3923" spans="1:9" x14ac:dyDescent="0.2">
      <c r="A3923" t="s">
        <v>4311</v>
      </c>
      <c r="B3923">
        <v>4.9654999999999996</v>
      </c>
      <c r="C3923">
        <v>6.9544999999999996E-2</v>
      </c>
      <c r="D3923">
        <v>274</v>
      </c>
      <c r="E3923" t="s">
        <v>4311</v>
      </c>
      <c r="F3923">
        <v>273</v>
      </c>
      <c r="G3923" s="1">
        <v>45199</v>
      </c>
      <c r="H3923" s="6">
        <f t="shared" si="122"/>
        <v>18.624999999999936</v>
      </c>
      <c r="I3923" s="7">
        <f t="shared" si="123"/>
        <v>18.624999999999936</v>
      </c>
    </row>
    <row r="3924" spans="1:9" x14ac:dyDescent="0.2">
      <c r="A3924" t="s">
        <v>4312</v>
      </c>
      <c r="B3924">
        <v>5.0060000000000002</v>
      </c>
      <c r="C3924">
        <v>7.0120000000000002E-2</v>
      </c>
      <c r="D3924">
        <v>274</v>
      </c>
      <c r="E3924" t="s">
        <v>4312</v>
      </c>
      <c r="F3924">
        <v>273</v>
      </c>
      <c r="G3924" s="1">
        <v>45199</v>
      </c>
      <c r="H3924" s="6">
        <f t="shared" si="122"/>
        <v>18.635416666666604</v>
      </c>
      <c r="I3924" s="7">
        <f t="shared" si="123"/>
        <v>18.635416666666604</v>
      </c>
    </row>
    <row r="3925" spans="1:9" x14ac:dyDescent="0.2">
      <c r="A3925" t="s">
        <v>4313</v>
      </c>
      <c r="B3925">
        <v>5.0244999999999997</v>
      </c>
      <c r="C3925">
        <v>7.0374999999999993E-2</v>
      </c>
      <c r="D3925">
        <v>274</v>
      </c>
      <c r="E3925" t="s">
        <v>4313</v>
      </c>
      <c r="F3925">
        <v>273</v>
      </c>
      <c r="G3925" s="1">
        <v>45199</v>
      </c>
      <c r="H3925" s="6">
        <f t="shared" si="122"/>
        <v>18.645833333333272</v>
      </c>
      <c r="I3925" s="7">
        <f t="shared" si="123"/>
        <v>18.645833333333272</v>
      </c>
    </row>
    <row r="3926" spans="1:9" x14ac:dyDescent="0.2">
      <c r="A3926" t="s">
        <v>4314</v>
      </c>
      <c r="B3926">
        <v>5.0339999999999998</v>
      </c>
      <c r="C3926">
        <v>7.0514999999999994E-2</v>
      </c>
      <c r="D3926">
        <v>274</v>
      </c>
      <c r="E3926" t="s">
        <v>4314</v>
      </c>
      <c r="F3926">
        <v>273</v>
      </c>
      <c r="G3926" s="1">
        <v>45199</v>
      </c>
      <c r="H3926" s="6">
        <f t="shared" si="122"/>
        <v>18.65624999999994</v>
      </c>
      <c r="I3926" s="7">
        <f t="shared" si="123"/>
        <v>18.65624999999994</v>
      </c>
    </row>
    <row r="3927" spans="1:9" x14ac:dyDescent="0.2">
      <c r="A3927" t="s">
        <v>4315</v>
      </c>
      <c r="B3927">
        <v>5.0994999999999999</v>
      </c>
      <c r="C3927">
        <v>7.1419999999999997E-2</v>
      </c>
      <c r="D3927">
        <v>274</v>
      </c>
      <c r="E3927" t="s">
        <v>4315</v>
      </c>
      <c r="F3927">
        <v>273</v>
      </c>
      <c r="G3927" s="1">
        <v>45199</v>
      </c>
      <c r="H3927" s="6">
        <f t="shared" si="122"/>
        <v>18.666666666666607</v>
      </c>
      <c r="I3927" s="7">
        <f t="shared" si="123"/>
        <v>18.666666666666607</v>
      </c>
    </row>
    <row r="3928" spans="1:9" x14ac:dyDescent="0.2">
      <c r="A3928" t="s">
        <v>4316</v>
      </c>
      <c r="B3928">
        <v>5.1420000000000003</v>
      </c>
      <c r="C3928">
        <v>7.2014999999999996E-2</v>
      </c>
      <c r="D3928">
        <v>274</v>
      </c>
      <c r="E3928" t="s">
        <v>4316</v>
      </c>
      <c r="F3928">
        <v>273</v>
      </c>
      <c r="G3928" s="1">
        <v>45199</v>
      </c>
      <c r="H3928" s="6">
        <f t="shared" si="122"/>
        <v>18.677083333333275</v>
      </c>
      <c r="I3928" s="7">
        <f t="shared" si="123"/>
        <v>18.677083333333275</v>
      </c>
    </row>
    <row r="3929" spans="1:9" x14ac:dyDescent="0.2">
      <c r="A3929" t="s">
        <v>4317</v>
      </c>
      <c r="B3929">
        <v>5.2244999999999999</v>
      </c>
      <c r="C3929">
        <v>7.3169999999999999E-2</v>
      </c>
      <c r="D3929">
        <v>274</v>
      </c>
      <c r="E3929" t="s">
        <v>4317</v>
      </c>
      <c r="F3929">
        <v>273</v>
      </c>
      <c r="G3929" s="1">
        <v>45199</v>
      </c>
      <c r="H3929" s="6">
        <f t="shared" si="122"/>
        <v>18.687499999999943</v>
      </c>
      <c r="I3929" s="7">
        <f t="shared" si="123"/>
        <v>18.687499999999943</v>
      </c>
    </row>
    <row r="3930" spans="1:9" x14ac:dyDescent="0.2">
      <c r="A3930" t="s">
        <v>4318</v>
      </c>
      <c r="B3930">
        <v>5.2634999999999996</v>
      </c>
      <c r="C3930">
        <v>7.374E-2</v>
      </c>
      <c r="D3930">
        <v>274</v>
      </c>
      <c r="E3930" t="s">
        <v>4318</v>
      </c>
      <c r="F3930">
        <v>273</v>
      </c>
      <c r="G3930" s="1">
        <v>45199</v>
      </c>
      <c r="H3930" s="6">
        <f t="shared" si="122"/>
        <v>18.697916666666611</v>
      </c>
      <c r="I3930" s="7">
        <f t="shared" si="123"/>
        <v>18.697916666666611</v>
      </c>
    </row>
    <row r="3931" spans="1:9" x14ac:dyDescent="0.2">
      <c r="A3931" t="s">
        <v>4319</v>
      </c>
      <c r="B3931">
        <v>5.32</v>
      </c>
      <c r="C3931">
        <v>7.4505000000000002E-2</v>
      </c>
      <c r="D3931">
        <v>274</v>
      </c>
      <c r="E3931" t="s">
        <v>4319</v>
      </c>
      <c r="F3931">
        <v>273</v>
      </c>
      <c r="G3931" s="1">
        <v>45199</v>
      </c>
      <c r="H3931" s="6">
        <f t="shared" si="122"/>
        <v>18.708333333333279</v>
      </c>
      <c r="I3931" s="7">
        <f t="shared" si="123"/>
        <v>18.708333333333279</v>
      </c>
    </row>
    <row r="3932" spans="1:9" x14ac:dyDescent="0.2">
      <c r="A3932" t="s">
        <v>4320</v>
      </c>
      <c r="B3932">
        <v>5.3644999999999996</v>
      </c>
      <c r="C3932">
        <v>7.5145000000000003E-2</v>
      </c>
      <c r="D3932">
        <v>274</v>
      </c>
      <c r="E3932" t="s">
        <v>4320</v>
      </c>
      <c r="F3932">
        <v>273</v>
      </c>
      <c r="G3932" s="1">
        <v>45199</v>
      </c>
      <c r="H3932" s="6">
        <f t="shared" ref="H3932:H3995" si="124">H3931+$K$1</f>
        <v>18.718749999999947</v>
      </c>
      <c r="I3932" s="7">
        <f t="shared" ref="I3932:I3995" si="125">I3931+$K$1</f>
        <v>18.718749999999947</v>
      </c>
    </row>
    <row r="3933" spans="1:9" x14ac:dyDescent="0.2">
      <c r="A3933" t="s">
        <v>4321</v>
      </c>
      <c r="B3933">
        <v>5.41</v>
      </c>
      <c r="C3933">
        <v>7.5759999999999994E-2</v>
      </c>
      <c r="D3933">
        <v>274</v>
      </c>
      <c r="E3933" t="s">
        <v>4321</v>
      </c>
      <c r="F3933">
        <v>273</v>
      </c>
      <c r="G3933" s="1">
        <v>45199</v>
      </c>
      <c r="H3933" s="6">
        <f t="shared" si="124"/>
        <v>18.729166666666615</v>
      </c>
      <c r="I3933" s="7">
        <f t="shared" si="125"/>
        <v>18.729166666666615</v>
      </c>
    </row>
    <row r="3934" spans="1:9" x14ac:dyDescent="0.2">
      <c r="A3934" t="s">
        <v>4322</v>
      </c>
      <c r="B3934">
        <v>5.54</v>
      </c>
      <c r="C3934">
        <v>7.7594999999999997E-2</v>
      </c>
      <c r="D3934">
        <v>274</v>
      </c>
      <c r="E3934" t="s">
        <v>4322</v>
      </c>
      <c r="F3934">
        <v>273</v>
      </c>
      <c r="G3934" s="1">
        <v>45199</v>
      </c>
      <c r="H3934" s="6">
        <f t="shared" si="124"/>
        <v>18.739583333333282</v>
      </c>
      <c r="I3934" s="7">
        <f t="shared" si="125"/>
        <v>18.739583333333282</v>
      </c>
    </row>
    <row r="3935" spans="1:9" x14ac:dyDescent="0.2">
      <c r="A3935" t="s">
        <v>4323</v>
      </c>
      <c r="B3935">
        <v>5.5430000000000001</v>
      </c>
      <c r="C3935">
        <v>7.7655000000000002E-2</v>
      </c>
      <c r="D3935">
        <v>274</v>
      </c>
      <c r="E3935" t="s">
        <v>4323</v>
      </c>
      <c r="F3935">
        <v>273</v>
      </c>
      <c r="G3935" s="1">
        <v>45199</v>
      </c>
      <c r="H3935" s="6">
        <f t="shared" si="124"/>
        <v>18.74999999999995</v>
      </c>
      <c r="I3935" s="7">
        <f t="shared" si="125"/>
        <v>18.74999999999995</v>
      </c>
    </row>
    <row r="3936" spans="1:9" x14ac:dyDescent="0.2">
      <c r="A3936" t="s">
        <v>4324</v>
      </c>
      <c r="B3936">
        <v>5.5659999999999998</v>
      </c>
      <c r="C3936">
        <v>7.7960000000000002E-2</v>
      </c>
      <c r="D3936">
        <v>274</v>
      </c>
      <c r="E3936" t="s">
        <v>4324</v>
      </c>
      <c r="F3936">
        <v>273</v>
      </c>
      <c r="G3936" s="1">
        <v>45199</v>
      </c>
      <c r="H3936" s="6">
        <f t="shared" si="124"/>
        <v>18.760416666666618</v>
      </c>
      <c r="I3936" s="7">
        <f t="shared" si="125"/>
        <v>18.760416666666618</v>
      </c>
    </row>
    <row r="3937" spans="1:9" x14ac:dyDescent="0.2">
      <c r="A3937" t="s">
        <v>4325</v>
      </c>
      <c r="B3937">
        <v>5.5404999999999998</v>
      </c>
      <c r="C3937">
        <v>7.7604999999999993E-2</v>
      </c>
      <c r="D3937">
        <v>274</v>
      </c>
      <c r="E3937" t="s">
        <v>4325</v>
      </c>
      <c r="F3937">
        <v>273</v>
      </c>
      <c r="G3937" s="1">
        <v>45199</v>
      </c>
      <c r="H3937" s="6">
        <f t="shared" si="124"/>
        <v>18.770833333333286</v>
      </c>
      <c r="I3937" s="7">
        <f t="shared" si="125"/>
        <v>18.770833333333286</v>
      </c>
    </row>
    <row r="3938" spans="1:9" x14ac:dyDescent="0.2">
      <c r="A3938" t="s">
        <v>4326</v>
      </c>
      <c r="B3938">
        <v>5.6204999999999998</v>
      </c>
      <c r="C3938">
        <v>7.8714999999999993E-2</v>
      </c>
      <c r="D3938">
        <v>274</v>
      </c>
      <c r="E3938" t="s">
        <v>4326</v>
      </c>
      <c r="F3938">
        <v>273</v>
      </c>
      <c r="G3938" s="1">
        <v>45199</v>
      </c>
      <c r="H3938" s="6">
        <f t="shared" si="124"/>
        <v>18.781249999999954</v>
      </c>
      <c r="I3938" s="7">
        <f t="shared" si="125"/>
        <v>18.781249999999954</v>
      </c>
    </row>
    <row r="3939" spans="1:9" x14ac:dyDescent="0.2">
      <c r="A3939" t="s">
        <v>4327</v>
      </c>
      <c r="B3939">
        <v>5.6669999999999998</v>
      </c>
      <c r="C3939">
        <v>7.9369999999999996E-2</v>
      </c>
      <c r="D3939">
        <v>274</v>
      </c>
      <c r="E3939" t="s">
        <v>4327</v>
      </c>
      <c r="F3939">
        <v>273</v>
      </c>
      <c r="G3939" s="1">
        <v>45199</v>
      </c>
      <c r="H3939" s="6">
        <f t="shared" si="124"/>
        <v>18.791666666666622</v>
      </c>
      <c r="I3939" s="7">
        <f t="shared" si="125"/>
        <v>18.791666666666622</v>
      </c>
    </row>
    <row r="3940" spans="1:9" x14ac:dyDescent="0.2">
      <c r="A3940" t="s">
        <v>4328</v>
      </c>
      <c r="B3940">
        <v>5.6875</v>
      </c>
      <c r="C3940">
        <v>7.9659999999999995E-2</v>
      </c>
      <c r="D3940">
        <v>274</v>
      </c>
      <c r="E3940" t="s">
        <v>4328</v>
      </c>
      <c r="F3940">
        <v>273</v>
      </c>
      <c r="G3940" s="1">
        <v>45199</v>
      </c>
      <c r="H3940" s="6">
        <f t="shared" si="124"/>
        <v>18.80208333333329</v>
      </c>
      <c r="I3940" s="7">
        <f t="shared" si="125"/>
        <v>18.80208333333329</v>
      </c>
    </row>
    <row r="3941" spans="1:9" x14ac:dyDescent="0.2">
      <c r="A3941" t="s">
        <v>4329</v>
      </c>
      <c r="B3941">
        <v>5.6935000000000002</v>
      </c>
      <c r="C3941">
        <v>7.9754999999999895E-2</v>
      </c>
      <c r="D3941">
        <v>274</v>
      </c>
      <c r="E3941" t="s">
        <v>4329</v>
      </c>
      <c r="F3941">
        <v>273</v>
      </c>
      <c r="G3941" s="1">
        <v>45199</v>
      </c>
      <c r="H3941" s="6">
        <f t="shared" si="124"/>
        <v>18.812499999999957</v>
      </c>
      <c r="I3941" s="7">
        <f t="shared" si="125"/>
        <v>18.812499999999957</v>
      </c>
    </row>
    <row r="3942" spans="1:9" x14ac:dyDescent="0.2">
      <c r="A3942" t="s">
        <v>4330</v>
      </c>
      <c r="B3942">
        <v>5.6840000000000002</v>
      </c>
      <c r="C3942">
        <v>7.9585000000000003E-2</v>
      </c>
      <c r="D3942">
        <v>274</v>
      </c>
      <c r="E3942" t="s">
        <v>4330</v>
      </c>
      <c r="F3942">
        <v>273</v>
      </c>
      <c r="G3942" s="1">
        <v>45199</v>
      </c>
      <c r="H3942" s="6">
        <f t="shared" si="124"/>
        <v>18.822916666666625</v>
      </c>
      <c r="I3942" s="7">
        <f t="shared" si="125"/>
        <v>18.822916666666625</v>
      </c>
    </row>
    <row r="3943" spans="1:9" x14ac:dyDescent="0.2">
      <c r="A3943" t="s">
        <v>4331</v>
      </c>
      <c r="B3943">
        <v>5.7030000000000003</v>
      </c>
      <c r="C3943">
        <v>7.9875000000000002E-2</v>
      </c>
      <c r="D3943">
        <v>274</v>
      </c>
      <c r="E3943" t="s">
        <v>4331</v>
      </c>
      <c r="F3943">
        <v>273</v>
      </c>
      <c r="G3943" s="1">
        <v>45199</v>
      </c>
      <c r="H3943" s="6">
        <f t="shared" si="124"/>
        <v>18.833333333333293</v>
      </c>
      <c r="I3943" s="7">
        <f t="shared" si="125"/>
        <v>18.833333333333293</v>
      </c>
    </row>
    <row r="3944" spans="1:9" x14ac:dyDescent="0.2">
      <c r="A3944" t="s">
        <v>4332</v>
      </c>
      <c r="B3944">
        <v>5.7164999999999999</v>
      </c>
      <c r="C3944">
        <v>8.0064999999999997E-2</v>
      </c>
      <c r="D3944">
        <v>274</v>
      </c>
      <c r="E3944" t="s">
        <v>4332</v>
      </c>
      <c r="F3944">
        <v>273</v>
      </c>
      <c r="G3944" s="1">
        <v>45199</v>
      </c>
      <c r="H3944" s="6">
        <f t="shared" si="124"/>
        <v>18.843749999999961</v>
      </c>
      <c r="I3944" s="7">
        <f t="shared" si="125"/>
        <v>18.843749999999961</v>
      </c>
    </row>
    <row r="3945" spans="1:9" x14ac:dyDescent="0.2">
      <c r="A3945" t="s">
        <v>4333</v>
      </c>
      <c r="B3945">
        <v>5.7480000000000002</v>
      </c>
      <c r="C3945">
        <v>8.0509999999999998E-2</v>
      </c>
      <c r="D3945">
        <v>274</v>
      </c>
      <c r="E3945" t="s">
        <v>4333</v>
      </c>
      <c r="F3945">
        <v>273</v>
      </c>
      <c r="G3945" s="1">
        <v>45199</v>
      </c>
      <c r="H3945" s="6">
        <f t="shared" si="124"/>
        <v>18.854166666666629</v>
      </c>
      <c r="I3945" s="7">
        <f t="shared" si="125"/>
        <v>18.854166666666629</v>
      </c>
    </row>
    <row r="3946" spans="1:9" x14ac:dyDescent="0.2">
      <c r="A3946" t="s">
        <v>4334</v>
      </c>
      <c r="B3946">
        <v>5.7649999999999997</v>
      </c>
      <c r="C3946">
        <v>8.0759999999999998E-2</v>
      </c>
      <c r="D3946">
        <v>274</v>
      </c>
      <c r="E3946" t="s">
        <v>4334</v>
      </c>
      <c r="F3946">
        <v>274</v>
      </c>
      <c r="G3946" s="1">
        <v>45200</v>
      </c>
      <c r="H3946" s="6">
        <f t="shared" si="124"/>
        <v>18.864583333333297</v>
      </c>
      <c r="I3946" s="7">
        <f t="shared" si="125"/>
        <v>18.864583333333297</v>
      </c>
    </row>
    <row r="3947" spans="1:9" x14ac:dyDescent="0.2">
      <c r="A3947" t="s">
        <v>4335</v>
      </c>
      <c r="B3947">
        <v>5.7164999999999999</v>
      </c>
      <c r="C3947">
        <v>8.0049999999999996E-2</v>
      </c>
      <c r="D3947">
        <v>274</v>
      </c>
      <c r="E3947" t="s">
        <v>4335</v>
      </c>
      <c r="F3947">
        <v>274</v>
      </c>
      <c r="G3947" s="1">
        <v>45200</v>
      </c>
      <c r="H3947" s="6">
        <f t="shared" si="124"/>
        <v>18.874999999999964</v>
      </c>
      <c r="I3947" s="7">
        <f t="shared" si="125"/>
        <v>18.874999999999964</v>
      </c>
    </row>
    <row r="3948" spans="1:9" x14ac:dyDescent="0.2">
      <c r="A3948" t="s">
        <v>4336</v>
      </c>
      <c r="B3948">
        <v>5.7145000000000001</v>
      </c>
      <c r="C3948">
        <v>8.0045000000000005E-2</v>
      </c>
      <c r="D3948">
        <v>274</v>
      </c>
      <c r="E3948" t="s">
        <v>4336</v>
      </c>
      <c r="F3948">
        <v>274</v>
      </c>
      <c r="G3948" s="1">
        <v>45200</v>
      </c>
      <c r="H3948" s="6">
        <f t="shared" si="124"/>
        <v>18.885416666666632</v>
      </c>
      <c r="I3948" s="7">
        <f t="shared" si="125"/>
        <v>18.885416666666632</v>
      </c>
    </row>
    <row r="3949" spans="1:9" x14ac:dyDescent="0.2">
      <c r="A3949" t="s">
        <v>4337</v>
      </c>
      <c r="B3949">
        <v>5.7104999999999997</v>
      </c>
      <c r="C3949">
        <v>7.9985000000000001E-2</v>
      </c>
      <c r="D3949">
        <v>274</v>
      </c>
      <c r="E3949" t="s">
        <v>4337</v>
      </c>
      <c r="F3949">
        <v>274</v>
      </c>
      <c r="G3949" s="1">
        <v>45200</v>
      </c>
      <c r="H3949" s="6">
        <f t="shared" si="124"/>
        <v>18.8958333333333</v>
      </c>
      <c r="I3949" s="7">
        <f t="shared" si="125"/>
        <v>18.8958333333333</v>
      </c>
    </row>
    <row r="3950" spans="1:9" x14ac:dyDescent="0.2">
      <c r="A3950" t="s">
        <v>4338</v>
      </c>
      <c r="B3950">
        <v>5.7065000000000001</v>
      </c>
      <c r="C3950">
        <v>7.9930000000000001E-2</v>
      </c>
      <c r="D3950">
        <v>274</v>
      </c>
      <c r="E3950" t="s">
        <v>4338</v>
      </c>
      <c r="F3950">
        <v>274</v>
      </c>
      <c r="G3950" s="1">
        <v>45200</v>
      </c>
      <c r="H3950" s="6">
        <f t="shared" si="124"/>
        <v>18.906249999999968</v>
      </c>
      <c r="I3950" s="7">
        <f t="shared" si="125"/>
        <v>18.906249999999968</v>
      </c>
    </row>
    <row r="3951" spans="1:9" x14ac:dyDescent="0.2">
      <c r="A3951" t="s">
        <v>4339</v>
      </c>
      <c r="B3951">
        <v>5.7095000000000002</v>
      </c>
      <c r="C3951">
        <v>7.9975000000000004E-2</v>
      </c>
      <c r="D3951">
        <v>274</v>
      </c>
      <c r="E3951" t="s">
        <v>4339</v>
      </c>
      <c r="F3951">
        <v>274</v>
      </c>
      <c r="G3951" s="1">
        <v>45200</v>
      </c>
      <c r="H3951" s="6">
        <f t="shared" si="124"/>
        <v>18.916666666666636</v>
      </c>
      <c r="I3951" s="7">
        <f t="shared" si="125"/>
        <v>18.916666666666636</v>
      </c>
    </row>
    <row r="3952" spans="1:9" x14ac:dyDescent="0.2">
      <c r="A3952" t="s">
        <v>4340</v>
      </c>
      <c r="B3952">
        <v>5.7030000000000003</v>
      </c>
      <c r="C3952">
        <v>7.9880000000000007E-2</v>
      </c>
      <c r="D3952">
        <v>274</v>
      </c>
      <c r="E3952" t="s">
        <v>4340</v>
      </c>
      <c r="F3952">
        <v>274</v>
      </c>
      <c r="G3952" s="1">
        <v>45200</v>
      </c>
      <c r="H3952" s="6">
        <f t="shared" si="124"/>
        <v>18.927083333333304</v>
      </c>
      <c r="I3952" s="7">
        <f t="shared" si="125"/>
        <v>18.927083333333304</v>
      </c>
    </row>
    <row r="3953" spans="1:9" x14ac:dyDescent="0.2">
      <c r="A3953" t="s">
        <v>4341</v>
      </c>
      <c r="B3953">
        <v>5.734</v>
      </c>
      <c r="C3953">
        <v>8.0320000000000003E-2</v>
      </c>
      <c r="D3953">
        <v>274</v>
      </c>
      <c r="E3953" t="s">
        <v>4341</v>
      </c>
      <c r="F3953">
        <v>274</v>
      </c>
      <c r="G3953" s="1">
        <v>45200</v>
      </c>
      <c r="H3953" s="6">
        <f t="shared" si="124"/>
        <v>18.937499999999972</v>
      </c>
      <c r="I3953" s="7">
        <f t="shared" si="125"/>
        <v>18.937499999999972</v>
      </c>
    </row>
    <row r="3954" spans="1:9" x14ac:dyDescent="0.2">
      <c r="A3954" t="s">
        <v>4342</v>
      </c>
      <c r="B3954">
        <v>5.6944999999999997</v>
      </c>
      <c r="C3954">
        <v>7.9765000000000003E-2</v>
      </c>
      <c r="D3954">
        <v>274</v>
      </c>
      <c r="E3954" t="s">
        <v>4342</v>
      </c>
      <c r="F3954">
        <v>274</v>
      </c>
      <c r="G3954" s="1">
        <v>45200</v>
      </c>
      <c r="H3954" s="6">
        <f t="shared" si="124"/>
        <v>18.947916666666639</v>
      </c>
      <c r="I3954" s="7">
        <f t="shared" si="125"/>
        <v>18.947916666666639</v>
      </c>
    </row>
    <row r="3955" spans="1:9" x14ac:dyDescent="0.2">
      <c r="A3955" t="s">
        <v>4343</v>
      </c>
      <c r="B3955">
        <v>5.6715</v>
      </c>
      <c r="C3955">
        <v>7.9445000000000002E-2</v>
      </c>
      <c r="D3955">
        <v>274</v>
      </c>
      <c r="E3955" t="s">
        <v>4343</v>
      </c>
      <c r="F3955">
        <v>274</v>
      </c>
      <c r="G3955" s="1">
        <v>45200</v>
      </c>
      <c r="H3955" s="6">
        <f t="shared" si="124"/>
        <v>18.958333333333307</v>
      </c>
      <c r="I3955" s="7">
        <f t="shared" si="125"/>
        <v>18.958333333333307</v>
      </c>
    </row>
    <row r="3956" spans="1:9" x14ac:dyDescent="0.2">
      <c r="A3956" t="s">
        <v>4344</v>
      </c>
      <c r="B3956">
        <v>5.7015000000000002</v>
      </c>
      <c r="C3956">
        <v>7.9854999999999995E-2</v>
      </c>
      <c r="D3956">
        <v>274</v>
      </c>
      <c r="E3956" t="s">
        <v>4344</v>
      </c>
      <c r="F3956">
        <v>274</v>
      </c>
      <c r="G3956" s="1">
        <v>45200</v>
      </c>
      <c r="H3956" s="6">
        <f t="shared" si="124"/>
        <v>18.968749999999975</v>
      </c>
      <c r="I3956" s="7">
        <f t="shared" si="125"/>
        <v>18.968749999999975</v>
      </c>
    </row>
    <row r="3957" spans="1:9" x14ac:dyDescent="0.2">
      <c r="A3957" t="s">
        <v>4345</v>
      </c>
      <c r="B3957" s="2" t="s">
        <v>4346</v>
      </c>
      <c r="C3957">
        <v>7.9490000000000005E-2</v>
      </c>
      <c r="D3957">
        <v>274</v>
      </c>
      <c r="E3957" t="s">
        <v>4345</v>
      </c>
      <c r="F3957">
        <v>274</v>
      </c>
      <c r="G3957" s="1">
        <v>45200</v>
      </c>
      <c r="H3957" s="6">
        <f t="shared" si="124"/>
        <v>18.979166666666643</v>
      </c>
      <c r="I3957" s="7">
        <f t="shared" si="125"/>
        <v>18.979166666666643</v>
      </c>
    </row>
    <row r="3958" spans="1:9" x14ac:dyDescent="0.2">
      <c r="A3958" t="s">
        <v>4347</v>
      </c>
      <c r="B3958">
        <v>5.681</v>
      </c>
      <c r="C3958">
        <v>7.9579999999999998E-2</v>
      </c>
      <c r="D3958">
        <v>274</v>
      </c>
      <c r="E3958" t="s">
        <v>4347</v>
      </c>
      <c r="F3958">
        <v>274</v>
      </c>
      <c r="G3958" s="1">
        <v>45200</v>
      </c>
      <c r="H3958" s="6">
        <f t="shared" si="124"/>
        <v>18.989583333333311</v>
      </c>
      <c r="I3958" s="7">
        <f t="shared" si="125"/>
        <v>18.989583333333311</v>
      </c>
    </row>
    <row r="3959" spans="1:9" x14ac:dyDescent="0.2">
      <c r="A3959" t="s">
        <v>4348</v>
      </c>
      <c r="B3959">
        <v>5.7095000000000002</v>
      </c>
      <c r="C3959">
        <v>7.9945000000000002E-2</v>
      </c>
      <c r="D3959">
        <v>274</v>
      </c>
      <c r="E3959" t="s">
        <v>4348</v>
      </c>
      <c r="F3959">
        <v>274</v>
      </c>
      <c r="G3959" s="1">
        <v>45200</v>
      </c>
      <c r="H3959" s="6">
        <f t="shared" si="124"/>
        <v>18.999999999999979</v>
      </c>
      <c r="I3959" s="7">
        <f t="shared" si="125"/>
        <v>18.999999999999979</v>
      </c>
    </row>
    <row r="3960" spans="1:9" x14ac:dyDescent="0.2">
      <c r="A3960" t="s">
        <v>4349</v>
      </c>
      <c r="B3960">
        <v>5.6959999999999997</v>
      </c>
      <c r="C3960">
        <v>7.9784999999999995E-2</v>
      </c>
      <c r="D3960">
        <v>274</v>
      </c>
      <c r="E3960" t="s">
        <v>4349</v>
      </c>
      <c r="F3960">
        <v>274</v>
      </c>
      <c r="G3960" s="1">
        <v>45200</v>
      </c>
      <c r="H3960" s="6">
        <f t="shared" si="124"/>
        <v>19.010416666666647</v>
      </c>
      <c r="I3960" s="7">
        <f t="shared" si="125"/>
        <v>19.010416666666647</v>
      </c>
    </row>
    <row r="3961" spans="1:9" x14ac:dyDescent="0.2">
      <c r="A3961" t="s">
        <v>4350</v>
      </c>
      <c r="B3961">
        <v>5.7290000000000001</v>
      </c>
      <c r="C3961">
        <v>8.0235000000000001E-2</v>
      </c>
      <c r="D3961">
        <v>274</v>
      </c>
      <c r="E3961" t="s">
        <v>4350</v>
      </c>
      <c r="F3961">
        <v>274</v>
      </c>
      <c r="G3961" s="1">
        <v>45200</v>
      </c>
      <c r="H3961" s="6">
        <f t="shared" si="124"/>
        <v>19.020833333333314</v>
      </c>
      <c r="I3961" s="7">
        <f t="shared" si="125"/>
        <v>19.020833333333314</v>
      </c>
    </row>
    <row r="3962" spans="1:9" x14ac:dyDescent="0.2">
      <c r="A3962" t="s">
        <v>4351</v>
      </c>
      <c r="B3962">
        <v>5.6515000000000004</v>
      </c>
      <c r="C3962">
        <v>7.9149999999999998E-2</v>
      </c>
      <c r="D3962">
        <v>274</v>
      </c>
      <c r="E3962" t="s">
        <v>4351</v>
      </c>
      <c r="F3962">
        <v>274</v>
      </c>
      <c r="G3962" s="1">
        <v>45200</v>
      </c>
      <c r="H3962" s="6">
        <f t="shared" si="124"/>
        <v>19.031249999999982</v>
      </c>
      <c r="I3962" s="7">
        <f t="shared" si="125"/>
        <v>19.031249999999982</v>
      </c>
    </row>
    <row r="3963" spans="1:9" x14ac:dyDescent="0.2">
      <c r="A3963" t="s">
        <v>4352</v>
      </c>
      <c r="B3963">
        <v>5.6740000000000004</v>
      </c>
      <c r="C3963">
        <v>7.9475000000000004E-2</v>
      </c>
      <c r="D3963">
        <v>274</v>
      </c>
      <c r="E3963" t="s">
        <v>4352</v>
      </c>
      <c r="F3963">
        <v>274</v>
      </c>
      <c r="G3963" s="1">
        <v>45200</v>
      </c>
      <c r="H3963" s="6">
        <f t="shared" si="124"/>
        <v>19.04166666666665</v>
      </c>
      <c r="I3963" s="7">
        <f t="shared" si="125"/>
        <v>19.04166666666665</v>
      </c>
    </row>
    <row r="3964" spans="1:9" x14ac:dyDescent="0.2">
      <c r="A3964" t="s">
        <v>4353</v>
      </c>
      <c r="B3964">
        <v>5.68</v>
      </c>
      <c r="C3964">
        <v>7.9560000000000006E-2</v>
      </c>
      <c r="D3964">
        <v>274</v>
      </c>
      <c r="E3964" t="s">
        <v>4353</v>
      </c>
      <c r="F3964">
        <v>274</v>
      </c>
      <c r="G3964" s="1">
        <v>45200</v>
      </c>
      <c r="H3964" s="6">
        <f t="shared" si="124"/>
        <v>19.052083333333318</v>
      </c>
      <c r="I3964" s="7">
        <f t="shared" si="125"/>
        <v>19.052083333333318</v>
      </c>
    </row>
    <row r="3965" spans="1:9" x14ac:dyDescent="0.2">
      <c r="A3965" t="s">
        <v>4354</v>
      </c>
      <c r="B3965">
        <v>5.6555</v>
      </c>
      <c r="C3965">
        <v>7.9189999999999997E-2</v>
      </c>
      <c r="D3965">
        <v>274</v>
      </c>
      <c r="E3965" t="s">
        <v>4354</v>
      </c>
      <c r="F3965">
        <v>274</v>
      </c>
      <c r="G3965" s="1">
        <v>45200</v>
      </c>
      <c r="H3965" s="6">
        <f t="shared" si="124"/>
        <v>19.062499999999986</v>
      </c>
      <c r="I3965" s="7">
        <f t="shared" si="125"/>
        <v>19.062499999999986</v>
      </c>
    </row>
    <row r="3966" spans="1:9" x14ac:dyDescent="0.2">
      <c r="A3966" t="s">
        <v>4355</v>
      </c>
      <c r="B3966">
        <v>5.6479999999999997</v>
      </c>
      <c r="C3966">
        <v>7.9100000000000004E-2</v>
      </c>
      <c r="D3966">
        <v>274</v>
      </c>
      <c r="E3966" t="s">
        <v>4355</v>
      </c>
      <c r="F3966">
        <v>274</v>
      </c>
      <c r="G3966" s="1">
        <v>45200</v>
      </c>
      <c r="H3966" s="6">
        <f t="shared" si="124"/>
        <v>19.072916666666654</v>
      </c>
      <c r="I3966" s="7">
        <f t="shared" si="125"/>
        <v>19.072916666666654</v>
      </c>
    </row>
    <row r="3967" spans="1:9" x14ac:dyDescent="0.2">
      <c r="A3967" t="s">
        <v>4356</v>
      </c>
      <c r="B3967">
        <v>5.64</v>
      </c>
      <c r="C3967">
        <v>7.9015000000000002E-2</v>
      </c>
      <c r="D3967">
        <v>274</v>
      </c>
      <c r="E3967" t="s">
        <v>4356</v>
      </c>
      <c r="F3967">
        <v>274</v>
      </c>
      <c r="G3967" s="1">
        <v>45200</v>
      </c>
      <c r="H3967" s="6">
        <f t="shared" si="124"/>
        <v>19.083333333333321</v>
      </c>
      <c r="I3967" s="7">
        <f t="shared" si="125"/>
        <v>19.083333333333321</v>
      </c>
    </row>
    <row r="3968" spans="1:9" x14ac:dyDescent="0.2">
      <c r="A3968" t="s">
        <v>4357</v>
      </c>
      <c r="B3968">
        <v>5.6604999999999999</v>
      </c>
      <c r="C3968">
        <v>7.9295000000000004E-2</v>
      </c>
      <c r="D3968">
        <v>274</v>
      </c>
      <c r="E3968" t="s">
        <v>4357</v>
      </c>
      <c r="F3968">
        <v>274</v>
      </c>
      <c r="G3968" s="1">
        <v>45200</v>
      </c>
      <c r="H3968" s="6">
        <f t="shared" si="124"/>
        <v>19.093749999999989</v>
      </c>
      <c r="I3968" s="7">
        <f t="shared" si="125"/>
        <v>19.093749999999989</v>
      </c>
    </row>
    <row r="3969" spans="1:9" x14ac:dyDescent="0.2">
      <c r="A3969" t="s">
        <v>4358</v>
      </c>
      <c r="B3969">
        <v>5.6334999999999997</v>
      </c>
      <c r="C3969">
        <v>7.8914999999999999E-2</v>
      </c>
      <c r="D3969">
        <v>274</v>
      </c>
      <c r="E3969" t="s">
        <v>4358</v>
      </c>
      <c r="F3969">
        <v>274</v>
      </c>
      <c r="G3969" s="1">
        <v>45200</v>
      </c>
      <c r="H3969" s="6">
        <f t="shared" si="124"/>
        <v>19.104166666666657</v>
      </c>
      <c r="I3969" s="7">
        <f t="shared" si="125"/>
        <v>19.104166666666657</v>
      </c>
    </row>
    <row r="3970" spans="1:9" x14ac:dyDescent="0.2">
      <c r="A3970" t="s">
        <v>4359</v>
      </c>
      <c r="B3970">
        <v>5.6665000000000001</v>
      </c>
      <c r="C3970">
        <v>7.936E-2</v>
      </c>
      <c r="D3970">
        <v>274</v>
      </c>
      <c r="E3970" t="s">
        <v>4359</v>
      </c>
      <c r="F3970">
        <v>274</v>
      </c>
      <c r="G3970" s="1">
        <v>45200</v>
      </c>
      <c r="H3970" s="6">
        <f t="shared" si="124"/>
        <v>19.114583333333325</v>
      </c>
      <c r="I3970" s="7">
        <f t="shared" si="125"/>
        <v>19.114583333333325</v>
      </c>
    </row>
    <row r="3971" spans="1:9" x14ac:dyDescent="0.2">
      <c r="A3971" t="s">
        <v>4360</v>
      </c>
      <c r="B3971">
        <v>5.6840000000000002</v>
      </c>
      <c r="C3971">
        <v>7.9625000000000001E-2</v>
      </c>
      <c r="D3971">
        <v>274</v>
      </c>
      <c r="E3971" t="s">
        <v>4360</v>
      </c>
      <c r="F3971">
        <v>274</v>
      </c>
      <c r="G3971" s="1">
        <v>45200</v>
      </c>
      <c r="H3971" s="6">
        <f t="shared" si="124"/>
        <v>19.124999999999993</v>
      </c>
      <c r="I3971" s="7">
        <f t="shared" si="125"/>
        <v>19.124999999999993</v>
      </c>
    </row>
    <row r="3972" spans="1:9" x14ac:dyDescent="0.2">
      <c r="A3972" t="s">
        <v>4361</v>
      </c>
      <c r="B3972">
        <v>5.6369999999999996</v>
      </c>
      <c r="C3972">
        <v>7.8964999999999994E-2</v>
      </c>
      <c r="D3972">
        <v>274</v>
      </c>
      <c r="E3972" t="s">
        <v>4361</v>
      </c>
      <c r="F3972">
        <v>274</v>
      </c>
      <c r="G3972" s="1">
        <v>45200</v>
      </c>
      <c r="H3972" s="6">
        <f t="shared" si="124"/>
        <v>19.135416666666661</v>
      </c>
      <c r="I3972" s="7">
        <f t="shared" si="125"/>
        <v>19.135416666666661</v>
      </c>
    </row>
    <row r="3973" spans="1:9" x14ac:dyDescent="0.2">
      <c r="A3973" t="s">
        <v>4362</v>
      </c>
      <c r="B3973">
        <v>5.6520000000000001</v>
      </c>
      <c r="C3973">
        <v>7.9155000000000003E-2</v>
      </c>
      <c r="D3973">
        <v>274</v>
      </c>
      <c r="E3973" t="s">
        <v>4362</v>
      </c>
      <c r="F3973">
        <v>274</v>
      </c>
      <c r="G3973" s="1">
        <v>45200</v>
      </c>
      <c r="H3973" s="6">
        <f t="shared" si="124"/>
        <v>19.145833333333329</v>
      </c>
      <c r="I3973" s="7">
        <f t="shared" si="125"/>
        <v>19.145833333333329</v>
      </c>
    </row>
    <row r="3974" spans="1:9" x14ac:dyDescent="0.2">
      <c r="A3974" t="s">
        <v>4363</v>
      </c>
      <c r="B3974">
        <v>5.6444999999999999</v>
      </c>
      <c r="C3974">
        <v>7.9075000000000006E-2</v>
      </c>
      <c r="D3974">
        <v>274</v>
      </c>
      <c r="E3974" t="s">
        <v>4363</v>
      </c>
      <c r="F3974">
        <v>274</v>
      </c>
      <c r="G3974" s="1">
        <v>45200</v>
      </c>
      <c r="H3974" s="6">
        <f t="shared" si="124"/>
        <v>19.156249999999996</v>
      </c>
      <c r="I3974" s="7">
        <f t="shared" si="125"/>
        <v>19.156249999999996</v>
      </c>
    </row>
    <row r="3975" spans="1:9" x14ac:dyDescent="0.2">
      <c r="A3975" t="s">
        <v>4364</v>
      </c>
      <c r="B3975">
        <v>5.6795</v>
      </c>
      <c r="C3975">
        <v>7.9564999999999997E-2</v>
      </c>
      <c r="D3975">
        <v>274</v>
      </c>
      <c r="E3975" t="s">
        <v>4364</v>
      </c>
      <c r="F3975">
        <v>274</v>
      </c>
      <c r="G3975" s="1">
        <v>45200</v>
      </c>
      <c r="H3975" s="6">
        <f t="shared" si="124"/>
        <v>19.166666666666664</v>
      </c>
      <c r="I3975" s="7">
        <f t="shared" si="125"/>
        <v>19.166666666666664</v>
      </c>
    </row>
    <row r="3976" spans="1:9" x14ac:dyDescent="0.2">
      <c r="A3976" t="s">
        <v>4365</v>
      </c>
      <c r="B3976">
        <v>5.7065000000000001</v>
      </c>
      <c r="C3976">
        <v>7.9945000000000002E-2</v>
      </c>
      <c r="D3976">
        <v>274</v>
      </c>
      <c r="E3976" t="s">
        <v>4365</v>
      </c>
      <c r="F3976">
        <v>274</v>
      </c>
      <c r="G3976" s="1">
        <v>45200</v>
      </c>
      <c r="H3976" s="6">
        <f t="shared" si="124"/>
        <v>19.177083333333332</v>
      </c>
      <c r="I3976" s="7">
        <f t="shared" si="125"/>
        <v>19.177083333333332</v>
      </c>
    </row>
    <row r="3977" spans="1:9" x14ac:dyDescent="0.2">
      <c r="A3977" t="s">
        <v>4366</v>
      </c>
      <c r="B3977">
        <v>5.6734999999999998</v>
      </c>
      <c r="C3977">
        <v>7.9475000000000004E-2</v>
      </c>
      <c r="D3977">
        <v>274</v>
      </c>
      <c r="E3977" t="s">
        <v>4366</v>
      </c>
      <c r="F3977">
        <v>274</v>
      </c>
      <c r="G3977" s="1">
        <v>45200</v>
      </c>
      <c r="H3977" s="6">
        <f t="shared" si="124"/>
        <v>19.1875</v>
      </c>
      <c r="I3977" s="7">
        <f t="shared" si="125"/>
        <v>19.1875</v>
      </c>
    </row>
    <row r="3978" spans="1:9" x14ac:dyDescent="0.2">
      <c r="A3978" t="s">
        <v>4367</v>
      </c>
      <c r="B3978">
        <v>5.6704999999999997</v>
      </c>
      <c r="C3978">
        <v>7.9439999999999997E-2</v>
      </c>
      <c r="D3978">
        <v>274</v>
      </c>
      <c r="E3978" t="s">
        <v>4367</v>
      </c>
      <c r="F3978">
        <v>274</v>
      </c>
      <c r="G3978" s="1">
        <v>45200</v>
      </c>
      <c r="H3978" s="6">
        <f t="shared" si="124"/>
        <v>19.197916666666668</v>
      </c>
      <c r="I3978" s="7">
        <f t="shared" si="125"/>
        <v>19.197916666666668</v>
      </c>
    </row>
    <row r="3979" spans="1:9" x14ac:dyDescent="0.2">
      <c r="A3979" t="s">
        <v>4368</v>
      </c>
      <c r="B3979">
        <v>5.6844999999999999</v>
      </c>
      <c r="C3979">
        <v>7.9619999999999996E-2</v>
      </c>
      <c r="D3979">
        <v>274</v>
      </c>
      <c r="E3979" t="s">
        <v>4368</v>
      </c>
      <c r="F3979">
        <v>274</v>
      </c>
      <c r="G3979" s="1">
        <v>45200</v>
      </c>
      <c r="H3979" s="6">
        <f t="shared" si="124"/>
        <v>19.208333333333336</v>
      </c>
      <c r="I3979" s="7">
        <f t="shared" si="125"/>
        <v>19.208333333333336</v>
      </c>
    </row>
    <row r="3980" spans="1:9" x14ac:dyDescent="0.2">
      <c r="A3980" t="s">
        <v>4369</v>
      </c>
      <c r="B3980">
        <v>5.6165000000000003</v>
      </c>
      <c r="C3980">
        <v>7.8670000000000004E-2</v>
      </c>
      <c r="D3980">
        <v>274</v>
      </c>
      <c r="E3980" t="s">
        <v>4369</v>
      </c>
      <c r="F3980">
        <v>274</v>
      </c>
      <c r="G3980" s="1">
        <v>45200</v>
      </c>
      <c r="H3980" s="6">
        <f t="shared" si="124"/>
        <v>19.218750000000004</v>
      </c>
      <c r="I3980" s="7">
        <f t="shared" si="125"/>
        <v>19.218750000000004</v>
      </c>
    </row>
    <row r="3981" spans="1:9" x14ac:dyDescent="0.2">
      <c r="A3981" t="s">
        <v>4370</v>
      </c>
      <c r="B3981">
        <v>5.6029999999999998</v>
      </c>
      <c r="C3981">
        <v>7.8479999999999994E-2</v>
      </c>
      <c r="D3981">
        <v>274</v>
      </c>
      <c r="E3981" t="s">
        <v>4370</v>
      </c>
      <c r="F3981">
        <v>274</v>
      </c>
      <c r="G3981" s="1">
        <v>45200</v>
      </c>
      <c r="H3981" s="6">
        <f t="shared" si="124"/>
        <v>19.229166666666671</v>
      </c>
      <c r="I3981" s="7">
        <f t="shared" si="125"/>
        <v>19.229166666666671</v>
      </c>
    </row>
    <row r="3982" spans="1:9" x14ac:dyDescent="0.2">
      <c r="A3982" t="s">
        <v>4371</v>
      </c>
      <c r="B3982">
        <v>5.5984999999999996</v>
      </c>
      <c r="C3982">
        <v>7.8409999999999994E-2</v>
      </c>
      <c r="D3982">
        <v>274</v>
      </c>
      <c r="E3982" t="s">
        <v>4371</v>
      </c>
      <c r="F3982">
        <v>274</v>
      </c>
      <c r="G3982" s="1">
        <v>45200</v>
      </c>
      <c r="H3982" s="6">
        <f t="shared" si="124"/>
        <v>19.239583333333339</v>
      </c>
      <c r="I3982" s="7">
        <f t="shared" si="125"/>
        <v>19.239583333333339</v>
      </c>
    </row>
    <row r="3983" spans="1:9" x14ac:dyDescent="0.2">
      <c r="A3983" t="s">
        <v>4372</v>
      </c>
      <c r="B3983" s="2" t="s">
        <v>4373</v>
      </c>
      <c r="C3983">
        <v>7.7939999999999995E-2</v>
      </c>
      <c r="D3983">
        <v>274</v>
      </c>
      <c r="E3983" t="s">
        <v>4372</v>
      </c>
      <c r="F3983">
        <v>274</v>
      </c>
      <c r="G3983" s="1">
        <v>45200</v>
      </c>
      <c r="H3983" s="6">
        <f t="shared" si="124"/>
        <v>19.250000000000007</v>
      </c>
      <c r="I3983" s="7">
        <f t="shared" si="125"/>
        <v>19.250000000000007</v>
      </c>
    </row>
    <row r="3984" spans="1:9" x14ac:dyDescent="0.2">
      <c r="A3984" t="s">
        <v>4374</v>
      </c>
      <c r="B3984">
        <v>5.52</v>
      </c>
      <c r="C3984">
        <v>7.7314999999999995E-2</v>
      </c>
      <c r="D3984">
        <v>274</v>
      </c>
      <c r="E3984" t="s">
        <v>4374</v>
      </c>
      <c r="F3984">
        <v>274</v>
      </c>
      <c r="G3984" s="1">
        <v>45200</v>
      </c>
      <c r="H3984" s="6">
        <f t="shared" si="124"/>
        <v>19.260416666666675</v>
      </c>
      <c r="I3984" s="7">
        <f t="shared" si="125"/>
        <v>19.260416666666675</v>
      </c>
    </row>
    <row r="3985" spans="1:9" x14ac:dyDescent="0.2">
      <c r="A3985" t="s">
        <v>4375</v>
      </c>
      <c r="B3985">
        <v>5.5134999999999996</v>
      </c>
      <c r="C3985">
        <v>7.7215000000000006E-2</v>
      </c>
      <c r="D3985">
        <v>274</v>
      </c>
      <c r="E3985" t="s">
        <v>4375</v>
      </c>
      <c r="F3985">
        <v>274</v>
      </c>
      <c r="G3985" s="1">
        <v>45200</v>
      </c>
      <c r="H3985" s="6">
        <f t="shared" si="124"/>
        <v>19.270833333333343</v>
      </c>
      <c r="I3985" s="7">
        <f t="shared" si="125"/>
        <v>19.270833333333343</v>
      </c>
    </row>
    <row r="3986" spans="1:9" x14ac:dyDescent="0.2">
      <c r="A3986" t="s">
        <v>4376</v>
      </c>
      <c r="B3986">
        <v>5.4595000000000002</v>
      </c>
      <c r="C3986">
        <v>7.6479999999999895E-2</v>
      </c>
      <c r="D3986">
        <v>274</v>
      </c>
      <c r="E3986" t="s">
        <v>4376</v>
      </c>
      <c r="F3986">
        <v>274</v>
      </c>
      <c r="G3986" s="1">
        <v>45200</v>
      </c>
      <c r="H3986" s="6">
        <f t="shared" si="124"/>
        <v>19.281250000000011</v>
      </c>
      <c r="I3986" s="7">
        <f t="shared" si="125"/>
        <v>19.281250000000011</v>
      </c>
    </row>
    <row r="3987" spans="1:9" x14ac:dyDescent="0.2">
      <c r="A3987" t="s">
        <v>4377</v>
      </c>
      <c r="B3987">
        <v>5.3819999999999997</v>
      </c>
      <c r="C3987">
        <v>7.5399999999999995E-2</v>
      </c>
      <c r="D3987">
        <v>274</v>
      </c>
      <c r="E3987" t="s">
        <v>4377</v>
      </c>
      <c r="F3987">
        <v>274</v>
      </c>
      <c r="G3987" s="1">
        <v>45200</v>
      </c>
      <c r="H3987" s="6">
        <f t="shared" si="124"/>
        <v>19.291666666666679</v>
      </c>
      <c r="I3987" s="7">
        <f t="shared" si="125"/>
        <v>19.291666666666679</v>
      </c>
    </row>
    <row r="3988" spans="1:9" x14ac:dyDescent="0.2">
      <c r="A3988" t="s">
        <v>4378</v>
      </c>
      <c r="B3988">
        <v>5.3624999999999998</v>
      </c>
      <c r="C3988">
        <v>7.5094999999999995E-2</v>
      </c>
      <c r="D3988">
        <v>274</v>
      </c>
      <c r="E3988" t="s">
        <v>4378</v>
      </c>
      <c r="F3988">
        <v>274</v>
      </c>
      <c r="G3988" s="1">
        <v>45200</v>
      </c>
      <c r="H3988" s="6">
        <f t="shared" si="124"/>
        <v>19.302083333333346</v>
      </c>
      <c r="I3988" s="7">
        <f t="shared" si="125"/>
        <v>19.302083333333346</v>
      </c>
    </row>
    <row r="3989" spans="1:9" x14ac:dyDescent="0.2">
      <c r="A3989" t="s">
        <v>4379</v>
      </c>
      <c r="B3989">
        <v>5.2549999999999999</v>
      </c>
      <c r="C3989">
        <v>7.3615E-2</v>
      </c>
      <c r="D3989">
        <v>274</v>
      </c>
      <c r="E3989" t="s">
        <v>4379</v>
      </c>
      <c r="F3989">
        <v>274</v>
      </c>
      <c r="G3989" s="1">
        <v>45200</v>
      </c>
      <c r="H3989" s="6">
        <f t="shared" si="124"/>
        <v>19.312500000000014</v>
      </c>
      <c r="I3989" s="7">
        <f t="shared" si="125"/>
        <v>19.312500000000014</v>
      </c>
    </row>
    <row r="3990" spans="1:9" x14ac:dyDescent="0.2">
      <c r="A3990" t="s">
        <v>4380</v>
      </c>
      <c r="B3990">
        <v>5.2320000000000002</v>
      </c>
      <c r="C3990">
        <v>7.3285000000000003E-2</v>
      </c>
      <c r="D3990">
        <v>274</v>
      </c>
      <c r="E3990" t="s">
        <v>4380</v>
      </c>
      <c r="F3990">
        <v>274</v>
      </c>
      <c r="G3990" s="1">
        <v>45200</v>
      </c>
      <c r="H3990" s="6">
        <f t="shared" si="124"/>
        <v>19.322916666666682</v>
      </c>
      <c r="I3990" s="7">
        <f t="shared" si="125"/>
        <v>19.322916666666682</v>
      </c>
    </row>
    <row r="3991" spans="1:9" x14ac:dyDescent="0.2">
      <c r="A3991" t="s">
        <v>4381</v>
      </c>
      <c r="B3991">
        <v>5.2445000000000004</v>
      </c>
      <c r="C3991">
        <v>7.3469999999999994E-2</v>
      </c>
      <c r="D3991">
        <v>274</v>
      </c>
      <c r="E3991" t="s">
        <v>4381</v>
      </c>
      <c r="F3991">
        <v>274</v>
      </c>
      <c r="G3991" s="1">
        <v>45200</v>
      </c>
      <c r="H3991" s="6">
        <f t="shared" si="124"/>
        <v>19.33333333333335</v>
      </c>
      <c r="I3991" s="7">
        <f t="shared" si="125"/>
        <v>19.33333333333335</v>
      </c>
    </row>
    <row r="3992" spans="1:9" x14ac:dyDescent="0.2">
      <c r="A3992" t="s">
        <v>4382</v>
      </c>
      <c r="B3992">
        <v>5.1615000000000002</v>
      </c>
      <c r="C3992">
        <v>7.2270000000000001E-2</v>
      </c>
      <c r="D3992">
        <v>274</v>
      </c>
      <c r="E3992" t="s">
        <v>4382</v>
      </c>
      <c r="F3992">
        <v>274</v>
      </c>
      <c r="G3992" s="1">
        <v>45200</v>
      </c>
      <c r="H3992" s="6">
        <f t="shared" si="124"/>
        <v>19.343750000000018</v>
      </c>
      <c r="I3992" s="7">
        <f t="shared" si="125"/>
        <v>19.343750000000018</v>
      </c>
    </row>
    <row r="3993" spans="1:9" x14ac:dyDescent="0.2">
      <c r="A3993" t="s">
        <v>4383</v>
      </c>
      <c r="B3993">
        <v>5.1355000000000004</v>
      </c>
      <c r="C3993">
        <v>7.1925000000000003E-2</v>
      </c>
      <c r="D3993">
        <v>274</v>
      </c>
      <c r="E3993" t="s">
        <v>4383</v>
      </c>
      <c r="F3993">
        <v>274</v>
      </c>
      <c r="G3993" s="1">
        <v>45200</v>
      </c>
      <c r="H3993" s="6">
        <f t="shared" si="124"/>
        <v>19.354166666666686</v>
      </c>
      <c r="I3993" s="7">
        <f t="shared" si="125"/>
        <v>19.354166666666686</v>
      </c>
    </row>
    <row r="3994" spans="1:9" x14ac:dyDescent="0.2">
      <c r="A3994" t="s">
        <v>4384</v>
      </c>
      <c r="B3994">
        <v>5.1185</v>
      </c>
      <c r="C3994">
        <v>7.1690000000000004E-2</v>
      </c>
      <c r="D3994">
        <v>274</v>
      </c>
      <c r="E3994" t="s">
        <v>4384</v>
      </c>
      <c r="F3994">
        <v>274</v>
      </c>
      <c r="G3994" s="1">
        <v>45200</v>
      </c>
      <c r="H3994" s="6">
        <f t="shared" si="124"/>
        <v>19.364583333333353</v>
      </c>
      <c r="I3994" s="7">
        <f t="shared" si="125"/>
        <v>19.364583333333353</v>
      </c>
    </row>
    <row r="3995" spans="1:9" x14ac:dyDescent="0.2">
      <c r="A3995" t="s">
        <v>4385</v>
      </c>
      <c r="B3995">
        <v>5.0860000000000003</v>
      </c>
      <c r="C3995">
        <v>7.1215000000000001E-2</v>
      </c>
      <c r="D3995">
        <v>274</v>
      </c>
      <c r="E3995" t="s">
        <v>4385</v>
      </c>
      <c r="F3995">
        <v>274</v>
      </c>
      <c r="G3995" s="1">
        <v>45200</v>
      </c>
      <c r="H3995" s="6">
        <f t="shared" si="124"/>
        <v>19.375000000000021</v>
      </c>
      <c r="I3995" s="7">
        <f t="shared" si="125"/>
        <v>19.375000000000021</v>
      </c>
    </row>
    <row r="3996" spans="1:9" x14ac:dyDescent="0.2">
      <c r="A3996" t="s">
        <v>4386</v>
      </c>
      <c r="B3996">
        <v>5.0274999999999999</v>
      </c>
      <c r="C3996">
        <v>7.0400000000000004E-2</v>
      </c>
      <c r="D3996">
        <v>274</v>
      </c>
      <c r="E3996" t="s">
        <v>4386</v>
      </c>
      <c r="F3996">
        <v>274</v>
      </c>
      <c r="G3996" s="1">
        <v>45200</v>
      </c>
      <c r="H3996" s="6">
        <f t="shared" ref="H3996:H4059" si="126">H3995+$K$1</f>
        <v>19.385416666666689</v>
      </c>
      <c r="I3996" s="7">
        <f t="shared" ref="I3996:I4059" si="127">I3995+$K$1</f>
        <v>19.385416666666689</v>
      </c>
    </row>
    <row r="3997" spans="1:9" x14ac:dyDescent="0.2">
      <c r="A3997" t="s">
        <v>4387</v>
      </c>
      <c r="B3997">
        <v>5.0190000000000001</v>
      </c>
      <c r="C3997">
        <v>7.0294999999999996E-2</v>
      </c>
      <c r="D3997">
        <v>274</v>
      </c>
      <c r="E3997" t="s">
        <v>4387</v>
      </c>
      <c r="F3997">
        <v>274</v>
      </c>
      <c r="G3997" s="1">
        <v>45200</v>
      </c>
      <c r="H3997" s="6">
        <f t="shared" si="126"/>
        <v>19.395833333333357</v>
      </c>
      <c r="I3997" s="7">
        <f t="shared" si="127"/>
        <v>19.395833333333357</v>
      </c>
    </row>
    <row r="3998" spans="1:9" x14ac:dyDescent="0.2">
      <c r="A3998" t="s">
        <v>4388</v>
      </c>
      <c r="B3998">
        <v>4.9824999999999999</v>
      </c>
      <c r="C3998">
        <v>6.9779999999999995E-2</v>
      </c>
      <c r="D3998">
        <v>274</v>
      </c>
      <c r="E3998" t="s">
        <v>4388</v>
      </c>
      <c r="F3998">
        <v>274</v>
      </c>
      <c r="G3998" s="1">
        <v>45200</v>
      </c>
      <c r="H3998" s="6">
        <f t="shared" si="126"/>
        <v>19.406250000000025</v>
      </c>
      <c r="I3998" s="7">
        <f t="shared" si="127"/>
        <v>19.406250000000025</v>
      </c>
    </row>
    <row r="3999" spans="1:9" x14ac:dyDescent="0.2">
      <c r="A3999" t="s">
        <v>4389</v>
      </c>
      <c r="B3999">
        <v>4.9485000000000001</v>
      </c>
      <c r="C3999">
        <v>6.9319999999999896E-2</v>
      </c>
      <c r="D3999">
        <v>274</v>
      </c>
      <c r="E3999" t="s">
        <v>4389</v>
      </c>
      <c r="F3999">
        <v>274</v>
      </c>
      <c r="G3999" s="1">
        <v>45200</v>
      </c>
      <c r="H3999" s="6">
        <f t="shared" si="126"/>
        <v>19.416666666666693</v>
      </c>
      <c r="I3999" s="7">
        <f t="shared" si="127"/>
        <v>19.416666666666693</v>
      </c>
    </row>
    <row r="4000" spans="1:9" x14ac:dyDescent="0.2">
      <c r="A4000" t="s">
        <v>4390</v>
      </c>
      <c r="B4000">
        <v>4.9580000000000002</v>
      </c>
      <c r="C4000">
        <v>6.9440000000000002E-2</v>
      </c>
      <c r="D4000">
        <v>274</v>
      </c>
      <c r="E4000" t="s">
        <v>4390</v>
      </c>
      <c r="F4000">
        <v>274</v>
      </c>
      <c r="G4000" s="1">
        <v>45200</v>
      </c>
      <c r="H4000" s="6">
        <f t="shared" si="126"/>
        <v>19.427083333333361</v>
      </c>
      <c r="I4000" s="7">
        <f t="shared" si="127"/>
        <v>19.427083333333361</v>
      </c>
    </row>
    <row r="4001" spans="1:9" x14ac:dyDescent="0.2">
      <c r="A4001" t="s">
        <v>4391</v>
      </c>
      <c r="B4001">
        <v>4.9020000000000001</v>
      </c>
      <c r="C4001">
        <v>6.8669999999999995E-2</v>
      </c>
      <c r="D4001">
        <v>274</v>
      </c>
      <c r="E4001" t="s">
        <v>4391</v>
      </c>
      <c r="F4001">
        <v>274</v>
      </c>
      <c r="G4001" s="1">
        <v>45200</v>
      </c>
      <c r="H4001" s="6">
        <f t="shared" si="126"/>
        <v>19.437500000000028</v>
      </c>
      <c r="I4001" s="7">
        <f t="shared" si="127"/>
        <v>19.437500000000028</v>
      </c>
    </row>
    <row r="4002" spans="1:9" x14ac:dyDescent="0.2">
      <c r="A4002" t="s">
        <v>4392</v>
      </c>
      <c r="B4002">
        <v>4.9734999999999996</v>
      </c>
      <c r="C4002">
        <v>6.9644999999999999E-2</v>
      </c>
      <c r="D4002">
        <v>274</v>
      </c>
      <c r="E4002" t="s">
        <v>4392</v>
      </c>
      <c r="F4002">
        <v>274</v>
      </c>
      <c r="G4002" s="1">
        <v>45200</v>
      </c>
      <c r="H4002" s="6">
        <f t="shared" si="126"/>
        <v>19.447916666666696</v>
      </c>
      <c r="I4002" s="7">
        <f t="shared" si="127"/>
        <v>19.447916666666696</v>
      </c>
    </row>
    <row r="4003" spans="1:9" x14ac:dyDescent="0.2">
      <c r="A4003" t="s">
        <v>4393</v>
      </c>
      <c r="B4003">
        <v>4.8944999999999999</v>
      </c>
      <c r="C4003">
        <v>6.8544999999999995E-2</v>
      </c>
      <c r="D4003">
        <v>274</v>
      </c>
      <c r="E4003" t="s">
        <v>4393</v>
      </c>
      <c r="F4003">
        <v>274</v>
      </c>
      <c r="G4003" s="1">
        <v>45200</v>
      </c>
      <c r="H4003" s="6">
        <f t="shared" si="126"/>
        <v>19.458333333333364</v>
      </c>
      <c r="I4003" s="7">
        <f t="shared" si="127"/>
        <v>19.458333333333364</v>
      </c>
    </row>
    <row r="4004" spans="1:9" x14ac:dyDescent="0.2">
      <c r="A4004" t="s">
        <v>4394</v>
      </c>
      <c r="B4004">
        <v>4.9130000000000003</v>
      </c>
      <c r="C4004">
        <v>6.8815000000000001E-2</v>
      </c>
      <c r="D4004">
        <v>274</v>
      </c>
      <c r="E4004" t="s">
        <v>4394</v>
      </c>
      <c r="F4004">
        <v>274</v>
      </c>
      <c r="G4004" s="1">
        <v>45200</v>
      </c>
      <c r="H4004" s="6">
        <f t="shared" si="126"/>
        <v>19.468750000000032</v>
      </c>
      <c r="I4004" s="7">
        <f t="shared" si="127"/>
        <v>19.468750000000032</v>
      </c>
    </row>
    <row r="4005" spans="1:9" x14ac:dyDescent="0.2">
      <c r="A4005" t="s">
        <v>4395</v>
      </c>
      <c r="B4005">
        <v>4.9085000000000001</v>
      </c>
      <c r="C4005">
        <v>6.8735000000000004E-2</v>
      </c>
      <c r="D4005">
        <v>274</v>
      </c>
      <c r="E4005" t="s">
        <v>4395</v>
      </c>
      <c r="F4005">
        <v>274</v>
      </c>
      <c r="G4005" s="1">
        <v>45200</v>
      </c>
      <c r="H4005" s="6">
        <f t="shared" si="126"/>
        <v>19.4791666666667</v>
      </c>
      <c r="I4005" s="7">
        <f t="shared" si="127"/>
        <v>19.4791666666667</v>
      </c>
    </row>
    <row r="4006" spans="1:9" x14ac:dyDescent="0.2">
      <c r="A4006" t="s">
        <v>4396</v>
      </c>
      <c r="B4006">
        <v>4.8609999999999998</v>
      </c>
      <c r="C4006">
        <v>6.8080000000000002E-2</v>
      </c>
      <c r="D4006">
        <v>274</v>
      </c>
      <c r="E4006" t="s">
        <v>4396</v>
      </c>
      <c r="F4006">
        <v>274</v>
      </c>
      <c r="G4006" s="1">
        <v>45200</v>
      </c>
      <c r="H4006" s="6">
        <f t="shared" si="126"/>
        <v>19.489583333333368</v>
      </c>
      <c r="I4006" s="7">
        <f t="shared" si="127"/>
        <v>19.489583333333368</v>
      </c>
    </row>
    <row r="4007" spans="1:9" x14ac:dyDescent="0.2">
      <c r="A4007" t="s">
        <v>4397</v>
      </c>
      <c r="B4007">
        <v>4.8815</v>
      </c>
      <c r="C4007">
        <v>6.8379999999999996E-2</v>
      </c>
      <c r="D4007">
        <v>274</v>
      </c>
      <c r="E4007" t="s">
        <v>4397</v>
      </c>
      <c r="F4007">
        <v>274</v>
      </c>
      <c r="G4007" s="1">
        <v>45200</v>
      </c>
      <c r="H4007" s="6">
        <f t="shared" si="126"/>
        <v>19.500000000000036</v>
      </c>
      <c r="I4007" s="7">
        <f t="shared" si="127"/>
        <v>19.500000000000036</v>
      </c>
    </row>
    <row r="4008" spans="1:9" x14ac:dyDescent="0.2">
      <c r="A4008" t="s">
        <v>4398</v>
      </c>
      <c r="B4008">
        <v>4.88</v>
      </c>
      <c r="C4008">
        <v>6.8354999999999999E-2</v>
      </c>
      <c r="D4008">
        <v>274</v>
      </c>
      <c r="E4008" t="s">
        <v>4398</v>
      </c>
      <c r="F4008">
        <v>274</v>
      </c>
      <c r="G4008" s="1">
        <v>45200</v>
      </c>
      <c r="H4008" s="6">
        <f t="shared" si="126"/>
        <v>19.510416666666703</v>
      </c>
      <c r="I4008" s="7">
        <f t="shared" si="127"/>
        <v>19.510416666666703</v>
      </c>
    </row>
    <row r="4009" spans="1:9" x14ac:dyDescent="0.2">
      <c r="A4009" t="s">
        <v>4399</v>
      </c>
      <c r="B4009">
        <v>4.9435000000000002</v>
      </c>
      <c r="C4009">
        <v>6.9235000000000005E-2</v>
      </c>
      <c r="D4009">
        <v>274</v>
      </c>
      <c r="E4009" t="s">
        <v>4399</v>
      </c>
      <c r="F4009">
        <v>274</v>
      </c>
      <c r="G4009" s="1">
        <v>45200</v>
      </c>
      <c r="H4009" s="6">
        <f t="shared" si="126"/>
        <v>19.520833333333371</v>
      </c>
      <c r="I4009" s="7">
        <f t="shared" si="127"/>
        <v>19.520833333333371</v>
      </c>
    </row>
    <row r="4010" spans="1:9" x14ac:dyDescent="0.2">
      <c r="A4010" t="s">
        <v>4400</v>
      </c>
      <c r="B4010">
        <v>4.8920000000000003</v>
      </c>
      <c r="C4010">
        <v>6.8519999999999998E-2</v>
      </c>
      <c r="D4010">
        <v>274</v>
      </c>
      <c r="E4010" t="s">
        <v>4400</v>
      </c>
      <c r="F4010">
        <v>274</v>
      </c>
      <c r="G4010" s="1">
        <v>45200</v>
      </c>
      <c r="H4010" s="6">
        <f t="shared" si="126"/>
        <v>19.531250000000039</v>
      </c>
      <c r="I4010" s="7">
        <f t="shared" si="127"/>
        <v>19.531250000000039</v>
      </c>
    </row>
    <row r="4011" spans="1:9" x14ac:dyDescent="0.2">
      <c r="A4011" t="s">
        <v>4401</v>
      </c>
      <c r="B4011">
        <v>4.8895</v>
      </c>
      <c r="C4011">
        <v>6.8485000000000004E-2</v>
      </c>
      <c r="D4011">
        <v>274</v>
      </c>
      <c r="E4011" t="s">
        <v>4401</v>
      </c>
      <c r="F4011">
        <v>274</v>
      </c>
      <c r="G4011" s="1">
        <v>45200</v>
      </c>
      <c r="H4011" s="6">
        <f t="shared" si="126"/>
        <v>19.541666666666707</v>
      </c>
      <c r="I4011" s="7">
        <f t="shared" si="127"/>
        <v>19.541666666666707</v>
      </c>
    </row>
    <row r="4012" spans="1:9" x14ac:dyDescent="0.2">
      <c r="A4012" t="s">
        <v>4402</v>
      </c>
      <c r="B4012">
        <v>4.952</v>
      </c>
      <c r="C4012">
        <v>6.9360000000000005E-2</v>
      </c>
      <c r="D4012">
        <v>274</v>
      </c>
      <c r="E4012" t="s">
        <v>4402</v>
      </c>
      <c r="F4012">
        <v>274</v>
      </c>
      <c r="G4012" s="1">
        <v>45200</v>
      </c>
      <c r="H4012" s="6">
        <f t="shared" si="126"/>
        <v>19.552083333333375</v>
      </c>
      <c r="I4012" s="7">
        <f t="shared" si="127"/>
        <v>19.552083333333375</v>
      </c>
    </row>
    <row r="4013" spans="1:9" x14ac:dyDescent="0.2">
      <c r="A4013" t="s">
        <v>4403</v>
      </c>
      <c r="B4013">
        <v>4.8940000000000001</v>
      </c>
      <c r="C4013">
        <v>6.855E-2</v>
      </c>
      <c r="D4013">
        <v>274</v>
      </c>
      <c r="E4013" t="s">
        <v>4403</v>
      </c>
      <c r="F4013">
        <v>274</v>
      </c>
      <c r="G4013" s="1">
        <v>45200</v>
      </c>
      <c r="H4013" s="6">
        <f t="shared" si="126"/>
        <v>19.562500000000043</v>
      </c>
      <c r="I4013" s="7">
        <f t="shared" si="127"/>
        <v>19.562500000000043</v>
      </c>
    </row>
    <row r="4014" spans="1:9" x14ac:dyDescent="0.2">
      <c r="A4014" t="s">
        <v>4404</v>
      </c>
      <c r="B4014">
        <v>4.9204999999999997</v>
      </c>
      <c r="C4014">
        <v>6.8894999999999998E-2</v>
      </c>
      <c r="D4014">
        <v>274</v>
      </c>
      <c r="E4014" t="s">
        <v>4404</v>
      </c>
      <c r="F4014">
        <v>274</v>
      </c>
      <c r="G4014" s="1">
        <v>45200</v>
      </c>
      <c r="H4014" s="6">
        <f t="shared" si="126"/>
        <v>19.57291666666671</v>
      </c>
      <c r="I4014" s="7">
        <f t="shared" si="127"/>
        <v>19.57291666666671</v>
      </c>
    </row>
    <row r="4015" spans="1:9" x14ac:dyDescent="0.2">
      <c r="A4015" t="s">
        <v>4405</v>
      </c>
      <c r="B4015">
        <v>4.8970000000000002</v>
      </c>
      <c r="C4015">
        <v>6.8610000000000004E-2</v>
      </c>
      <c r="D4015">
        <v>274</v>
      </c>
      <c r="E4015" t="s">
        <v>4405</v>
      </c>
      <c r="F4015">
        <v>274</v>
      </c>
      <c r="G4015" s="1">
        <v>45200</v>
      </c>
      <c r="H4015" s="6">
        <f t="shared" si="126"/>
        <v>19.583333333333378</v>
      </c>
      <c r="I4015" s="7">
        <f t="shared" si="127"/>
        <v>19.583333333333378</v>
      </c>
    </row>
    <row r="4016" spans="1:9" x14ac:dyDescent="0.2">
      <c r="A4016" t="s">
        <v>4406</v>
      </c>
      <c r="B4016">
        <v>4.8434999999999997</v>
      </c>
      <c r="C4016">
        <v>6.7835000000000006E-2</v>
      </c>
      <c r="D4016">
        <v>274</v>
      </c>
      <c r="E4016" t="s">
        <v>4406</v>
      </c>
      <c r="F4016">
        <v>274</v>
      </c>
      <c r="G4016" s="1">
        <v>45200</v>
      </c>
      <c r="H4016" s="6">
        <f t="shared" si="126"/>
        <v>19.593750000000046</v>
      </c>
      <c r="I4016" s="7">
        <f t="shared" si="127"/>
        <v>19.593750000000046</v>
      </c>
    </row>
    <row r="4017" spans="1:9" x14ac:dyDescent="0.2">
      <c r="A4017" t="s">
        <v>4407</v>
      </c>
      <c r="B4017">
        <v>4.8674999999999997</v>
      </c>
      <c r="C4017">
        <v>6.8174999999999999E-2</v>
      </c>
      <c r="D4017">
        <v>274</v>
      </c>
      <c r="E4017" t="s">
        <v>4407</v>
      </c>
      <c r="F4017">
        <v>274</v>
      </c>
      <c r="G4017" s="1">
        <v>45200</v>
      </c>
      <c r="H4017" s="6">
        <f t="shared" si="126"/>
        <v>19.604166666666714</v>
      </c>
      <c r="I4017" s="7">
        <f t="shared" si="127"/>
        <v>19.604166666666714</v>
      </c>
    </row>
    <row r="4018" spans="1:9" x14ac:dyDescent="0.2">
      <c r="A4018" t="s">
        <v>4408</v>
      </c>
      <c r="B4018">
        <v>4.8769999999999998</v>
      </c>
      <c r="C4018">
        <v>6.8309999999999996E-2</v>
      </c>
      <c r="D4018">
        <v>275</v>
      </c>
      <c r="E4018" t="s">
        <v>4408</v>
      </c>
      <c r="F4018">
        <v>274</v>
      </c>
      <c r="G4018" s="1">
        <v>45200</v>
      </c>
      <c r="H4018" s="6">
        <f t="shared" si="126"/>
        <v>19.614583333333382</v>
      </c>
      <c r="I4018" s="7">
        <f t="shared" si="127"/>
        <v>19.614583333333382</v>
      </c>
    </row>
    <row r="4019" spans="1:9" x14ac:dyDescent="0.2">
      <c r="A4019" t="s">
        <v>4409</v>
      </c>
      <c r="B4019">
        <v>4.8860000000000001</v>
      </c>
      <c r="C4019">
        <v>6.8425E-2</v>
      </c>
      <c r="D4019">
        <v>275</v>
      </c>
      <c r="E4019" t="s">
        <v>4409</v>
      </c>
      <c r="F4019">
        <v>274</v>
      </c>
      <c r="G4019" s="1">
        <v>45200</v>
      </c>
      <c r="H4019" s="6">
        <f t="shared" si="126"/>
        <v>19.62500000000005</v>
      </c>
      <c r="I4019" s="7">
        <f t="shared" si="127"/>
        <v>19.62500000000005</v>
      </c>
    </row>
    <row r="4020" spans="1:9" x14ac:dyDescent="0.2">
      <c r="A4020" t="s">
        <v>4410</v>
      </c>
      <c r="B4020">
        <v>4.8490000000000002</v>
      </c>
      <c r="C4020">
        <v>6.7934999999999995E-2</v>
      </c>
      <c r="D4020">
        <v>275</v>
      </c>
      <c r="E4020" t="s">
        <v>4410</v>
      </c>
      <c r="F4020">
        <v>274</v>
      </c>
      <c r="G4020" s="1">
        <v>45200</v>
      </c>
      <c r="H4020" s="6">
        <f t="shared" si="126"/>
        <v>19.635416666666718</v>
      </c>
      <c r="I4020" s="7">
        <f t="shared" si="127"/>
        <v>19.635416666666718</v>
      </c>
    </row>
    <row r="4021" spans="1:9" x14ac:dyDescent="0.2">
      <c r="A4021" t="s">
        <v>4411</v>
      </c>
      <c r="B4021">
        <v>4.8635000000000002</v>
      </c>
      <c r="C4021">
        <v>6.8129999999999996E-2</v>
      </c>
      <c r="D4021">
        <v>275</v>
      </c>
      <c r="E4021" t="s">
        <v>4411</v>
      </c>
      <c r="F4021">
        <v>274</v>
      </c>
      <c r="G4021" s="1">
        <v>45200</v>
      </c>
      <c r="H4021" s="6">
        <f t="shared" si="126"/>
        <v>19.645833333333385</v>
      </c>
      <c r="I4021" s="7">
        <f t="shared" si="127"/>
        <v>19.645833333333385</v>
      </c>
    </row>
    <row r="4022" spans="1:9" x14ac:dyDescent="0.2">
      <c r="A4022" t="s">
        <v>4412</v>
      </c>
      <c r="B4022">
        <v>4.9035000000000002</v>
      </c>
      <c r="C4022">
        <v>6.8699999999999997E-2</v>
      </c>
      <c r="D4022">
        <v>275</v>
      </c>
      <c r="E4022" t="s">
        <v>4412</v>
      </c>
      <c r="F4022">
        <v>274</v>
      </c>
      <c r="G4022" s="1">
        <v>45200</v>
      </c>
      <c r="H4022" s="6">
        <f t="shared" si="126"/>
        <v>19.656250000000053</v>
      </c>
      <c r="I4022" s="7">
        <f t="shared" si="127"/>
        <v>19.656250000000053</v>
      </c>
    </row>
    <row r="4023" spans="1:9" x14ac:dyDescent="0.2">
      <c r="A4023" t="s">
        <v>4413</v>
      </c>
      <c r="B4023">
        <v>4.8825000000000003</v>
      </c>
      <c r="C4023">
        <v>6.8379999999999996E-2</v>
      </c>
      <c r="D4023">
        <v>275</v>
      </c>
      <c r="E4023" t="s">
        <v>4413</v>
      </c>
      <c r="F4023">
        <v>274</v>
      </c>
      <c r="G4023" s="1">
        <v>45200</v>
      </c>
      <c r="H4023" s="6">
        <f t="shared" si="126"/>
        <v>19.666666666666721</v>
      </c>
      <c r="I4023" s="7">
        <f t="shared" si="127"/>
        <v>19.666666666666721</v>
      </c>
    </row>
    <row r="4024" spans="1:9" x14ac:dyDescent="0.2">
      <c r="A4024" t="s">
        <v>4414</v>
      </c>
      <c r="B4024">
        <v>4.8574999999999999</v>
      </c>
      <c r="C4024">
        <v>6.8044999999999994E-2</v>
      </c>
      <c r="D4024">
        <v>275</v>
      </c>
      <c r="E4024" t="s">
        <v>4414</v>
      </c>
      <c r="F4024">
        <v>274</v>
      </c>
      <c r="G4024" s="1">
        <v>45200</v>
      </c>
      <c r="H4024" s="6">
        <f t="shared" si="126"/>
        <v>19.677083333333389</v>
      </c>
      <c r="I4024" s="7">
        <f t="shared" si="127"/>
        <v>19.677083333333389</v>
      </c>
    </row>
    <row r="4025" spans="1:9" x14ac:dyDescent="0.2">
      <c r="A4025" t="s">
        <v>4415</v>
      </c>
      <c r="B4025">
        <v>4.9284999999999997</v>
      </c>
      <c r="C4025">
        <v>6.9014999999999896E-2</v>
      </c>
      <c r="D4025">
        <v>275</v>
      </c>
      <c r="E4025" t="s">
        <v>4415</v>
      </c>
      <c r="F4025">
        <v>274</v>
      </c>
      <c r="G4025" s="1">
        <v>45200</v>
      </c>
      <c r="H4025" s="6">
        <f t="shared" si="126"/>
        <v>19.687500000000057</v>
      </c>
      <c r="I4025" s="7">
        <f t="shared" si="127"/>
        <v>19.687500000000057</v>
      </c>
    </row>
    <row r="4026" spans="1:9" x14ac:dyDescent="0.2">
      <c r="A4026" t="s">
        <v>4416</v>
      </c>
      <c r="B4026">
        <v>4.9080000000000004</v>
      </c>
      <c r="C4026">
        <v>6.8775000000000003E-2</v>
      </c>
      <c r="D4026">
        <v>275</v>
      </c>
      <c r="E4026" t="s">
        <v>4416</v>
      </c>
      <c r="F4026">
        <v>274</v>
      </c>
      <c r="G4026" s="1">
        <v>45200</v>
      </c>
      <c r="H4026" s="6">
        <f t="shared" si="126"/>
        <v>19.697916666666725</v>
      </c>
      <c r="I4026" s="7">
        <f t="shared" si="127"/>
        <v>19.697916666666725</v>
      </c>
    </row>
    <row r="4027" spans="1:9" x14ac:dyDescent="0.2">
      <c r="A4027" t="s">
        <v>4417</v>
      </c>
      <c r="B4027">
        <v>4.9264999999999999</v>
      </c>
      <c r="C4027">
        <v>6.9004999999999997E-2</v>
      </c>
      <c r="D4027">
        <v>275</v>
      </c>
      <c r="E4027" t="s">
        <v>4417</v>
      </c>
      <c r="F4027">
        <v>274</v>
      </c>
      <c r="G4027" s="1">
        <v>45200</v>
      </c>
      <c r="H4027" s="6">
        <f t="shared" si="126"/>
        <v>19.708333333333393</v>
      </c>
      <c r="I4027" s="7">
        <f t="shared" si="127"/>
        <v>19.708333333333393</v>
      </c>
    </row>
    <row r="4028" spans="1:9" x14ac:dyDescent="0.2">
      <c r="A4028" t="s">
        <v>4418</v>
      </c>
      <c r="B4028">
        <v>4.9634999999999998</v>
      </c>
      <c r="C4028">
        <v>6.9544999999999996E-2</v>
      </c>
      <c r="D4028">
        <v>275</v>
      </c>
      <c r="E4028" t="s">
        <v>4418</v>
      </c>
      <c r="F4028">
        <v>274</v>
      </c>
      <c r="G4028" s="1">
        <v>45200</v>
      </c>
      <c r="H4028" s="6">
        <f t="shared" si="126"/>
        <v>19.71875000000006</v>
      </c>
      <c r="I4028" s="7">
        <f t="shared" si="127"/>
        <v>19.71875000000006</v>
      </c>
    </row>
    <row r="4029" spans="1:9" x14ac:dyDescent="0.2">
      <c r="A4029" t="s">
        <v>4419</v>
      </c>
      <c r="B4029">
        <v>4.944</v>
      </c>
      <c r="C4029">
        <v>6.9220000000000004E-2</v>
      </c>
      <c r="D4029">
        <v>275</v>
      </c>
      <c r="E4029" t="s">
        <v>4419</v>
      </c>
      <c r="F4029">
        <v>274</v>
      </c>
      <c r="G4029" s="1">
        <v>45200</v>
      </c>
      <c r="H4029" s="6">
        <f t="shared" si="126"/>
        <v>19.729166666666728</v>
      </c>
      <c r="I4029" s="7">
        <f t="shared" si="127"/>
        <v>19.729166666666728</v>
      </c>
    </row>
    <row r="4030" spans="1:9" x14ac:dyDescent="0.2">
      <c r="A4030" t="s">
        <v>4420</v>
      </c>
      <c r="B4030" s="2" t="s">
        <v>4421</v>
      </c>
      <c r="C4030">
        <v>7.0184999999999997E-2</v>
      </c>
      <c r="D4030">
        <v>275</v>
      </c>
      <c r="E4030" t="s">
        <v>4420</v>
      </c>
      <c r="F4030">
        <v>274</v>
      </c>
      <c r="G4030" s="1">
        <v>45200</v>
      </c>
      <c r="H4030" s="6">
        <f t="shared" si="126"/>
        <v>19.739583333333396</v>
      </c>
      <c r="I4030" s="7">
        <f t="shared" si="127"/>
        <v>19.739583333333396</v>
      </c>
    </row>
    <row r="4031" spans="1:9" x14ac:dyDescent="0.2">
      <c r="A4031" t="s">
        <v>4422</v>
      </c>
      <c r="B4031">
        <v>5.032</v>
      </c>
      <c r="C4031">
        <v>7.0485000000000006E-2</v>
      </c>
      <c r="D4031">
        <v>275</v>
      </c>
      <c r="E4031" t="s">
        <v>4422</v>
      </c>
      <c r="F4031">
        <v>274</v>
      </c>
      <c r="G4031" s="1">
        <v>45200</v>
      </c>
      <c r="H4031" s="6">
        <f t="shared" si="126"/>
        <v>19.750000000000064</v>
      </c>
      <c r="I4031" s="7">
        <f t="shared" si="127"/>
        <v>19.750000000000064</v>
      </c>
    </row>
    <row r="4032" spans="1:9" x14ac:dyDescent="0.2">
      <c r="A4032" t="s">
        <v>4423</v>
      </c>
      <c r="B4032">
        <v>5.0979999999999999</v>
      </c>
      <c r="C4032">
        <v>7.1410000000000001E-2</v>
      </c>
      <c r="D4032">
        <v>275</v>
      </c>
      <c r="E4032" t="s">
        <v>4423</v>
      </c>
      <c r="F4032">
        <v>274</v>
      </c>
      <c r="G4032" s="1">
        <v>45200</v>
      </c>
      <c r="H4032" s="6">
        <f t="shared" si="126"/>
        <v>19.760416666666732</v>
      </c>
      <c r="I4032" s="7">
        <f t="shared" si="127"/>
        <v>19.760416666666732</v>
      </c>
    </row>
    <row r="4033" spans="1:9" x14ac:dyDescent="0.2">
      <c r="A4033" t="s">
        <v>4424</v>
      </c>
      <c r="B4033">
        <v>5.1204999999999998</v>
      </c>
      <c r="C4033">
        <v>7.1705000000000005E-2</v>
      </c>
      <c r="D4033">
        <v>275</v>
      </c>
      <c r="E4033" t="s">
        <v>4424</v>
      </c>
      <c r="F4033">
        <v>274</v>
      </c>
      <c r="G4033" s="1">
        <v>45200</v>
      </c>
      <c r="H4033" s="6">
        <f t="shared" si="126"/>
        <v>19.7708333333334</v>
      </c>
      <c r="I4033" s="7">
        <f t="shared" si="127"/>
        <v>19.7708333333334</v>
      </c>
    </row>
    <row r="4034" spans="1:9" x14ac:dyDescent="0.2">
      <c r="A4034" t="s">
        <v>4425</v>
      </c>
      <c r="B4034">
        <v>5.1710000000000003</v>
      </c>
      <c r="C4034">
        <v>7.2429999999999994E-2</v>
      </c>
      <c r="D4034">
        <v>275</v>
      </c>
      <c r="E4034" t="s">
        <v>4425</v>
      </c>
      <c r="F4034">
        <v>274</v>
      </c>
      <c r="G4034" s="1">
        <v>45200</v>
      </c>
      <c r="H4034" s="6">
        <f t="shared" si="126"/>
        <v>19.781250000000068</v>
      </c>
      <c r="I4034" s="7">
        <f t="shared" si="127"/>
        <v>19.781250000000068</v>
      </c>
    </row>
    <row r="4035" spans="1:9" x14ac:dyDescent="0.2">
      <c r="A4035" t="s">
        <v>4426</v>
      </c>
      <c r="B4035">
        <v>5.2335000000000003</v>
      </c>
      <c r="C4035">
        <v>7.331E-2</v>
      </c>
      <c r="D4035">
        <v>275</v>
      </c>
      <c r="E4035" t="s">
        <v>4426</v>
      </c>
      <c r="F4035">
        <v>274</v>
      </c>
      <c r="G4035" s="1">
        <v>45200</v>
      </c>
      <c r="H4035" s="6">
        <f t="shared" si="126"/>
        <v>19.791666666666735</v>
      </c>
      <c r="I4035" s="7">
        <f t="shared" si="127"/>
        <v>19.791666666666735</v>
      </c>
    </row>
    <row r="4036" spans="1:9" x14ac:dyDescent="0.2">
      <c r="A4036" t="s">
        <v>4427</v>
      </c>
      <c r="B4036" s="2" t="s">
        <v>4428</v>
      </c>
      <c r="C4036">
        <v>7.3895000000000002E-2</v>
      </c>
      <c r="D4036">
        <v>275</v>
      </c>
      <c r="E4036" t="s">
        <v>4427</v>
      </c>
      <c r="F4036">
        <v>274</v>
      </c>
      <c r="G4036" s="1">
        <v>45200</v>
      </c>
      <c r="H4036" s="6">
        <f t="shared" si="126"/>
        <v>19.802083333333403</v>
      </c>
      <c r="I4036" s="7">
        <f t="shared" si="127"/>
        <v>19.802083333333403</v>
      </c>
    </row>
    <row r="4037" spans="1:9" x14ac:dyDescent="0.2">
      <c r="A4037" t="s">
        <v>4429</v>
      </c>
      <c r="B4037">
        <v>5.3075000000000001</v>
      </c>
      <c r="C4037">
        <v>7.4325000000000002E-2</v>
      </c>
      <c r="D4037">
        <v>275</v>
      </c>
      <c r="E4037" t="s">
        <v>4429</v>
      </c>
      <c r="F4037">
        <v>274</v>
      </c>
      <c r="G4037" s="1">
        <v>45200</v>
      </c>
      <c r="H4037" s="6">
        <f t="shared" si="126"/>
        <v>19.812500000000071</v>
      </c>
      <c r="I4037" s="7">
        <f t="shared" si="127"/>
        <v>19.812500000000071</v>
      </c>
    </row>
    <row r="4038" spans="1:9" x14ac:dyDescent="0.2">
      <c r="A4038" t="s">
        <v>4430</v>
      </c>
      <c r="B4038">
        <v>5.2685000000000004</v>
      </c>
      <c r="C4038">
        <v>7.3785000000000003E-2</v>
      </c>
      <c r="D4038">
        <v>275</v>
      </c>
      <c r="E4038" t="s">
        <v>4430</v>
      </c>
      <c r="F4038">
        <v>274</v>
      </c>
      <c r="G4038" s="1">
        <v>45200</v>
      </c>
      <c r="H4038" s="6">
        <f t="shared" si="126"/>
        <v>19.822916666666739</v>
      </c>
      <c r="I4038" s="7">
        <f t="shared" si="127"/>
        <v>19.822916666666739</v>
      </c>
    </row>
    <row r="4039" spans="1:9" x14ac:dyDescent="0.2">
      <c r="A4039" t="s">
        <v>4431</v>
      </c>
      <c r="B4039">
        <v>5.1749999999999998</v>
      </c>
      <c r="C4039">
        <v>7.2489999999999999E-2</v>
      </c>
      <c r="D4039">
        <v>275</v>
      </c>
      <c r="E4039" t="s">
        <v>4431</v>
      </c>
      <c r="F4039">
        <v>274</v>
      </c>
      <c r="G4039" s="1">
        <v>45200</v>
      </c>
      <c r="H4039" s="6">
        <f t="shared" si="126"/>
        <v>19.833333333333407</v>
      </c>
      <c r="I4039" s="7">
        <f t="shared" si="127"/>
        <v>19.833333333333407</v>
      </c>
    </row>
    <row r="4040" spans="1:9" x14ac:dyDescent="0.2">
      <c r="A4040" t="s">
        <v>4432</v>
      </c>
      <c r="B4040">
        <v>5.2930000000000001</v>
      </c>
      <c r="C4040">
        <v>7.4149999999999994E-2</v>
      </c>
      <c r="D4040">
        <v>275</v>
      </c>
      <c r="E4040" t="s">
        <v>4432</v>
      </c>
      <c r="F4040">
        <v>274</v>
      </c>
      <c r="G4040" s="1">
        <v>45200</v>
      </c>
      <c r="H4040" s="6">
        <f t="shared" si="126"/>
        <v>19.843750000000075</v>
      </c>
      <c r="I4040" s="7">
        <f t="shared" si="127"/>
        <v>19.843750000000075</v>
      </c>
    </row>
    <row r="4041" spans="1:9" x14ac:dyDescent="0.2">
      <c r="A4041" t="s">
        <v>4433</v>
      </c>
      <c r="B4041">
        <v>5.3205</v>
      </c>
      <c r="C4041">
        <v>7.4514999999999998E-2</v>
      </c>
      <c r="D4041">
        <v>275</v>
      </c>
      <c r="E4041" t="s">
        <v>4433</v>
      </c>
      <c r="F4041">
        <v>274</v>
      </c>
      <c r="G4041" s="1">
        <v>45200</v>
      </c>
      <c r="H4041" s="6">
        <f t="shared" si="126"/>
        <v>19.854166666666742</v>
      </c>
      <c r="I4041" s="7">
        <f t="shared" si="127"/>
        <v>19.854166666666742</v>
      </c>
    </row>
    <row r="4042" spans="1:9" x14ac:dyDescent="0.2">
      <c r="A4042" t="s">
        <v>4434</v>
      </c>
      <c r="B4042">
        <v>5.3380000000000001</v>
      </c>
      <c r="C4042">
        <v>7.4755000000000002E-2</v>
      </c>
      <c r="D4042">
        <v>275</v>
      </c>
      <c r="E4042" t="s">
        <v>4434</v>
      </c>
      <c r="F4042">
        <v>275</v>
      </c>
      <c r="G4042" s="1">
        <v>45201</v>
      </c>
      <c r="H4042" s="6">
        <f t="shared" si="126"/>
        <v>19.86458333333341</v>
      </c>
      <c r="I4042" s="7">
        <f t="shared" si="127"/>
        <v>19.86458333333341</v>
      </c>
    </row>
    <row r="4043" spans="1:9" x14ac:dyDescent="0.2">
      <c r="A4043" t="s">
        <v>4435</v>
      </c>
      <c r="B4043">
        <v>5.3754999999999997</v>
      </c>
      <c r="C4043">
        <v>7.5264999999999999E-2</v>
      </c>
      <c r="D4043">
        <v>275</v>
      </c>
      <c r="E4043" t="s">
        <v>4435</v>
      </c>
      <c r="F4043">
        <v>275</v>
      </c>
      <c r="G4043" s="1">
        <v>45201</v>
      </c>
      <c r="H4043" s="6">
        <f t="shared" si="126"/>
        <v>19.875000000000078</v>
      </c>
      <c r="I4043" s="7">
        <f t="shared" si="127"/>
        <v>19.875000000000078</v>
      </c>
    </row>
    <row r="4044" spans="1:9" x14ac:dyDescent="0.2">
      <c r="A4044" t="s">
        <v>4436</v>
      </c>
      <c r="B4044">
        <v>5.3879999999999999</v>
      </c>
      <c r="C4044">
        <v>7.5475E-2</v>
      </c>
      <c r="D4044">
        <v>275</v>
      </c>
      <c r="E4044" t="s">
        <v>4436</v>
      </c>
      <c r="F4044">
        <v>275</v>
      </c>
      <c r="G4044" s="1">
        <v>45201</v>
      </c>
      <c r="H4044" s="6">
        <f t="shared" si="126"/>
        <v>19.885416666666746</v>
      </c>
      <c r="I4044" s="7">
        <f t="shared" si="127"/>
        <v>19.885416666666746</v>
      </c>
    </row>
    <row r="4045" spans="1:9" x14ac:dyDescent="0.2">
      <c r="A4045" t="s">
        <v>4437</v>
      </c>
      <c r="B4045">
        <v>5.3935000000000004</v>
      </c>
      <c r="C4045">
        <v>7.5545000000000001E-2</v>
      </c>
      <c r="D4045">
        <v>275</v>
      </c>
      <c r="E4045" t="s">
        <v>4437</v>
      </c>
      <c r="F4045">
        <v>275</v>
      </c>
      <c r="G4045" s="1">
        <v>45201</v>
      </c>
      <c r="H4045" s="6">
        <f t="shared" si="126"/>
        <v>19.895833333333414</v>
      </c>
      <c r="I4045" s="7">
        <f t="shared" si="127"/>
        <v>19.895833333333414</v>
      </c>
    </row>
    <row r="4046" spans="1:9" x14ac:dyDescent="0.2">
      <c r="A4046" t="s">
        <v>4438</v>
      </c>
      <c r="B4046">
        <v>5.4130000000000003</v>
      </c>
      <c r="C4046">
        <v>7.5810000000000002E-2</v>
      </c>
      <c r="D4046">
        <v>275</v>
      </c>
      <c r="E4046" t="s">
        <v>4438</v>
      </c>
      <c r="F4046">
        <v>275</v>
      </c>
      <c r="G4046" s="1">
        <v>45201</v>
      </c>
      <c r="H4046" s="6">
        <f t="shared" si="126"/>
        <v>19.906250000000082</v>
      </c>
      <c r="I4046" s="7">
        <f t="shared" si="127"/>
        <v>19.906250000000082</v>
      </c>
    </row>
    <row r="4047" spans="1:9" x14ac:dyDescent="0.2">
      <c r="A4047" t="s">
        <v>4439</v>
      </c>
      <c r="B4047">
        <v>5.4</v>
      </c>
      <c r="C4047">
        <v>7.5634999999999994E-2</v>
      </c>
      <c r="D4047">
        <v>275</v>
      </c>
      <c r="E4047" t="s">
        <v>4439</v>
      </c>
      <c r="F4047">
        <v>275</v>
      </c>
      <c r="G4047" s="1">
        <v>45201</v>
      </c>
      <c r="H4047" s="6">
        <f t="shared" si="126"/>
        <v>19.91666666666675</v>
      </c>
      <c r="I4047" s="7">
        <f t="shared" si="127"/>
        <v>19.91666666666675</v>
      </c>
    </row>
    <row r="4048" spans="1:9" x14ac:dyDescent="0.2">
      <c r="A4048" t="s">
        <v>4440</v>
      </c>
      <c r="B4048" s="2" t="s">
        <v>4441</v>
      </c>
      <c r="C4048">
        <v>7.5910000000000005E-2</v>
      </c>
      <c r="D4048">
        <v>275</v>
      </c>
      <c r="E4048" t="s">
        <v>4440</v>
      </c>
      <c r="F4048">
        <v>275</v>
      </c>
      <c r="G4048" s="1">
        <v>45201</v>
      </c>
      <c r="H4048" s="6">
        <f t="shared" si="126"/>
        <v>19.927083333333417</v>
      </c>
      <c r="I4048" s="7">
        <f t="shared" si="127"/>
        <v>19.927083333333417</v>
      </c>
    </row>
    <row r="4049" spans="1:9" x14ac:dyDescent="0.2">
      <c r="A4049" t="s">
        <v>4442</v>
      </c>
      <c r="B4049">
        <v>5.4124999999999996</v>
      </c>
      <c r="C4049">
        <v>7.5810000000000002E-2</v>
      </c>
      <c r="D4049">
        <v>275</v>
      </c>
      <c r="E4049" t="s">
        <v>4442</v>
      </c>
      <c r="F4049">
        <v>275</v>
      </c>
      <c r="G4049" s="1">
        <v>45201</v>
      </c>
      <c r="H4049" s="6">
        <f t="shared" si="126"/>
        <v>19.937500000000085</v>
      </c>
      <c r="I4049" s="7">
        <f t="shared" si="127"/>
        <v>19.937500000000085</v>
      </c>
    </row>
    <row r="4050" spans="1:9" x14ac:dyDescent="0.2">
      <c r="A4050" t="s">
        <v>4443</v>
      </c>
      <c r="B4050">
        <v>5.4290000000000003</v>
      </c>
      <c r="C4050">
        <v>7.6024999999999995E-2</v>
      </c>
      <c r="D4050">
        <v>275</v>
      </c>
      <c r="E4050" t="s">
        <v>4443</v>
      </c>
      <c r="F4050">
        <v>275</v>
      </c>
      <c r="G4050" s="1">
        <v>45201</v>
      </c>
      <c r="H4050" s="6">
        <f t="shared" si="126"/>
        <v>19.947916666666753</v>
      </c>
      <c r="I4050" s="7">
        <f t="shared" si="127"/>
        <v>19.947916666666753</v>
      </c>
    </row>
    <row r="4051" spans="1:9" x14ac:dyDescent="0.2">
      <c r="A4051" t="s">
        <v>4444</v>
      </c>
      <c r="B4051">
        <v>5.3890000000000002</v>
      </c>
      <c r="C4051">
        <v>7.5484999999999997E-2</v>
      </c>
      <c r="D4051">
        <v>275</v>
      </c>
      <c r="E4051" t="s">
        <v>4444</v>
      </c>
      <c r="F4051">
        <v>275</v>
      </c>
      <c r="G4051" s="1">
        <v>45201</v>
      </c>
      <c r="H4051" s="6">
        <f t="shared" si="126"/>
        <v>19.958333333333421</v>
      </c>
      <c r="I4051" s="7">
        <f t="shared" si="127"/>
        <v>19.958333333333421</v>
      </c>
    </row>
    <row r="4052" spans="1:9" x14ac:dyDescent="0.2">
      <c r="A4052" t="s">
        <v>4445</v>
      </c>
      <c r="B4052">
        <v>5.399</v>
      </c>
      <c r="C4052">
        <v>7.5649999999999995E-2</v>
      </c>
      <c r="D4052">
        <v>275</v>
      </c>
      <c r="E4052" t="s">
        <v>4445</v>
      </c>
      <c r="F4052">
        <v>275</v>
      </c>
      <c r="G4052" s="1">
        <v>45201</v>
      </c>
      <c r="H4052" s="6">
        <f t="shared" si="126"/>
        <v>19.968750000000089</v>
      </c>
      <c r="I4052" s="7">
        <f t="shared" si="127"/>
        <v>19.968750000000089</v>
      </c>
    </row>
    <row r="4053" spans="1:9" x14ac:dyDescent="0.2">
      <c r="A4053" t="s">
        <v>4446</v>
      </c>
      <c r="B4053">
        <v>5.4424999999999999</v>
      </c>
      <c r="C4053">
        <v>7.6244999999999993E-2</v>
      </c>
      <c r="D4053">
        <v>275</v>
      </c>
      <c r="E4053" t="s">
        <v>4446</v>
      </c>
      <c r="F4053">
        <v>275</v>
      </c>
      <c r="G4053" s="1">
        <v>45201</v>
      </c>
      <c r="H4053" s="6">
        <f t="shared" si="126"/>
        <v>19.979166666666757</v>
      </c>
      <c r="I4053" s="7">
        <f t="shared" si="127"/>
        <v>19.979166666666757</v>
      </c>
    </row>
    <row r="4054" spans="1:9" x14ac:dyDescent="0.2">
      <c r="A4054" t="s">
        <v>4447</v>
      </c>
      <c r="B4054">
        <v>5.4245000000000001</v>
      </c>
      <c r="C4054">
        <v>7.5969999999999996E-2</v>
      </c>
      <c r="D4054">
        <v>275</v>
      </c>
      <c r="E4054" t="s">
        <v>4447</v>
      </c>
      <c r="F4054">
        <v>275</v>
      </c>
      <c r="G4054" s="1">
        <v>45201</v>
      </c>
      <c r="H4054" s="6">
        <f t="shared" si="126"/>
        <v>19.989583333333425</v>
      </c>
      <c r="I4054" s="7">
        <f t="shared" si="127"/>
        <v>19.989583333333425</v>
      </c>
    </row>
    <row r="4055" spans="1:9" x14ac:dyDescent="0.2">
      <c r="A4055" t="s">
        <v>4448</v>
      </c>
      <c r="B4055">
        <v>5.4215</v>
      </c>
      <c r="C4055">
        <v>7.5929999999999997E-2</v>
      </c>
      <c r="D4055">
        <v>275</v>
      </c>
      <c r="E4055" t="s">
        <v>4448</v>
      </c>
      <c r="F4055">
        <v>275</v>
      </c>
      <c r="G4055" s="1">
        <v>45201</v>
      </c>
      <c r="H4055" s="6">
        <f t="shared" si="126"/>
        <v>20.000000000000092</v>
      </c>
      <c r="I4055" s="7">
        <f t="shared" si="127"/>
        <v>20.000000000000092</v>
      </c>
    </row>
    <row r="4056" spans="1:9" x14ac:dyDescent="0.2">
      <c r="A4056" t="s">
        <v>4449</v>
      </c>
      <c r="B4056">
        <v>5.4215</v>
      </c>
      <c r="C4056">
        <v>7.5950000000000004E-2</v>
      </c>
      <c r="D4056">
        <v>275</v>
      </c>
      <c r="E4056" t="s">
        <v>4449</v>
      </c>
      <c r="F4056">
        <v>275</v>
      </c>
      <c r="G4056" s="1">
        <v>45201</v>
      </c>
      <c r="H4056" s="6">
        <f t="shared" si="126"/>
        <v>20.01041666666676</v>
      </c>
      <c r="I4056" s="7">
        <f t="shared" si="127"/>
        <v>20.01041666666676</v>
      </c>
    </row>
    <row r="4057" spans="1:9" x14ac:dyDescent="0.2">
      <c r="A4057" t="s">
        <v>4450</v>
      </c>
      <c r="B4057">
        <v>5.4314999999999998</v>
      </c>
      <c r="C4057">
        <v>7.6075000000000004E-2</v>
      </c>
      <c r="D4057">
        <v>275</v>
      </c>
      <c r="E4057" t="s">
        <v>4450</v>
      </c>
      <c r="F4057">
        <v>275</v>
      </c>
      <c r="G4057" s="1">
        <v>45201</v>
      </c>
      <c r="H4057" s="6">
        <f t="shared" si="126"/>
        <v>20.020833333333428</v>
      </c>
      <c r="I4057" s="7">
        <f t="shared" si="127"/>
        <v>20.020833333333428</v>
      </c>
    </row>
    <row r="4058" spans="1:9" x14ac:dyDescent="0.2">
      <c r="A4058" t="s">
        <v>4451</v>
      </c>
      <c r="B4058">
        <v>5.4169999999999998</v>
      </c>
      <c r="C4058">
        <v>7.5859999999999997E-2</v>
      </c>
      <c r="D4058">
        <v>275</v>
      </c>
      <c r="E4058" t="s">
        <v>4451</v>
      </c>
      <c r="F4058">
        <v>275</v>
      </c>
      <c r="G4058" s="1">
        <v>45201</v>
      </c>
      <c r="H4058" s="6">
        <f t="shared" si="126"/>
        <v>20.031250000000096</v>
      </c>
      <c r="I4058" s="7">
        <f t="shared" si="127"/>
        <v>20.031250000000096</v>
      </c>
    </row>
    <row r="4059" spans="1:9" x14ac:dyDescent="0.2">
      <c r="A4059" t="s">
        <v>4452</v>
      </c>
      <c r="B4059">
        <v>5.4355000000000002</v>
      </c>
      <c r="C4059">
        <v>7.6145000000000004E-2</v>
      </c>
      <c r="D4059">
        <v>275</v>
      </c>
      <c r="E4059" t="s">
        <v>4452</v>
      </c>
      <c r="F4059">
        <v>275</v>
      </c>
      <c r="G4059" s="1">
        <v>45201</v>
      </c>
      <c r="H4059" s="6">
        <f t="shared" si="126"/>
        <v>20.041666666666764</v>
      </c>
      <c r="I4059" s="7">
        <f t="shared" si="127"/>
        <v>20.041666666666764</v>
      </c>
    </row>
    <row r="4060" spans="1:9" x14ac:dyDescent="0.2">
      <c r="A4060" t="s">
        <v>4453</v>
      </c>
      <c r="B4060">
        <v>5.4184999999999999</v>
      </c>
      <c r="C4060">
        <v>7.5895000000000004E-2</v>
      </c>
      <c r="D4060">
        <v>275</v>
      </c>
      <c r="E4060" t="s">
        <v>4453</v>
      </c>
      <c r="F4060">
        <v>275</v>
      </c>
      <c r="G4060" s="1">
        <v>45201</v>
      </c>
      <c r="H4060" s="6">
        <f t="shared" ref="H4060:H4123" si="128">H4059+$K$1</f>
        <v>20.052083333333432</v>
      </c>
      <c r="I4060" s="7">
        <f t="shared" ref="I4060:I4123" si="129">I4059+$K$1</f>
        <v>20.052083333333432</v>
      </c>
    </row>
    <row r="4061" spans="1:9" x14ac:dyDescent="0.2">
      <c r="A4061" t="s">
        <v>4454</v>
      </c>
      <c r="B4061">
        <v>5.4340000000000002</v>
      </c>
      <c r="C4061">
        <v>7.6124999999999998E-2</v>
      </c>
      <c r="D4061">
        <v>275</v>
      </c>
      <c r="E4061" t="s">
        <v>4454</v>
      </c>
      <c r="F4061">
        <v>275</v>
      </c>
      <c r="G4061" s="1">
        <v>45201</v>
      </c>
      <c r="H4061" s="6">
        <f t="shared" si="128"/>
        <v>20.062500000000099</v>
      </c>
      <c r="I4061" s="7">
        <f t="shared" si="129"/>
        <v>20.062500000000099</v>
      </c>
    </row>
    <row r="4062" spans="1:9" x14ac:dyDescent="0.2">
      <c r="A4062" t="s">
        <v>4455</v>
      </c>
      <c r="B4062">
        <v>5.4240000000000004</v>
      </c>
      <c r="C4062">
        <v>7.5965000000000005E-2</v>
      </c>
      <c r="D4062">
        <v>275</v>
      </c>
      <c r="E4062" t="s">
        <v>4455</v>
      </c>
      <c r="F4062">
        <v>275</v>
      </c>
      <c r="G4062" s="1">
        <v>45201</v>
      </c>
      <c r="H4062" s="6">
        <f t="shared" si="128"/>
        <v>20.072916666666767</v>
      </c>
      <c r="I4062" s="7">
        <f t="shared" si="129"/>
        <v>20.072916666666767</v>
      </c>
    </row>
    <row r="4063" spans="1:9" x14ac:dyDescent="0.2">
      <c r="A4063" t="s">
        <v>4456</v>
      </c>
      <c r="B4063">
        <v>5.3855000000000004</v>
      </c>
      <c r="C4063">
        <v>7.5435000000000002E-2</v>
      </c>
      <c r="D4063">
        <v>275</v>
      </c>
      <c r="E4063" t="s">
        <v>4456</v>
      </c>
      <c r="F4063">
        <v>275</v>
      </c>
      <c r="G4063" s="1">
        <v>45201</v>
      </c>
      <c r="H4063" s="6">
        <f t="shared" si="128"/>
        <v>20.083333333333435</v>
      </c>
      <c r="I4063" s="7">
        <f t="shared" si="129"/>
        <v>20.083333333333435</v>
      </c>
    </row>
    <row r="4064" spans="1:9" x14ac:dyDescent="0.2">
      <c r="A4064" t="s">
        <v>4457</v>
      </c>
      <c r="B4064">
        <v>5.4015000000000004</v>
      </c>
      <c r="C4064">
        <v>7.5660000000000005E-2</v>
      </c>
      <c r="D4064">
        <v>275</v>
      </c>
      <c r="E4064" t="s">
        <v>4457</v>
      </c>
      <c r="F4064">
        <v>275</v>
      </c>
      <c r="G4064" s="1">
        <v>45201</v>
      </c>
      <c r="H4064" s="6">
        <f t="shared" si="128"/>
        <v>20.093750000000103</v>
      </c>
      <c r="I4064" s="7">
        <f t="shared" si="129"/>
        <v>20.093750000000103</v>
      </c>
    </row>
    <row r="4065" spans="1:9" x14ac:dyDescent="0.2">
      <c r="A4065" t="s">
        <v>4458</v>
      </c>
      <c r="B4065">
        <v>5.4119999999999999</v>
      </c>
      <c r="C4065">
        <v>7.5804999999999997E-2</v>
      </c>
      <c r="D4065">
        <v>275</v>
      </c>
      <c r="E4065" t="s">
        <v>4458</v>
      </c>
      <c r="F4065">
        <v>275</v>
      </c>
      <c r="G4065" s="1">
        <v>45201</v>
      </c>
      <c r="H4065" s="6">
        <f t="shared" si="128"/>
        <v>20.104166666666771</v>
      </c>
      <c r="I4065" s="7">
        <f t="shared" si="129"/>
        <v>20.104166666666771</v>
      </c>
    </row>
    <row r="4066" spans="1:9" x14ac:dyDescent="0.2">
      <c r="A4066" t="s">
        <v>4459</v>
      </c>
      <c r="B4066">
        <v>5.3994999999999997</v>
      </c>
      <c r="C4066">
        <v>7.5634999999999994E-2</v>
      </c>
      <c r="D4066">
        <v>275</v>
      </c>
      <c r="E4066" t="s">
        <v>4459</v>
      </c>
      <c r="F4066">
        <v>275</v>
      </c>
      <c r="G4066" s="1">
        <v>45201</v>
      </c>
      <c r="H4066" s="6">
        <f t="shared" si="128"/>
        <v>20.114583333333439</v>
      </c>
      <c r="I4066" s="7">
        <f t="shared" si="129"/>
        <v>20.114583333333439</v>
      </c>
    </row>
    <row r="4067" spans="1:9" x14ac:dyDescent="0.2">
      <c r="A4067" t="s">
        <v>4460</v>
      </c>
      <c r="B4067">
        <v>5.4474999999999998</v>
      </c>
      <c r="C4067">
        <v>7.6289999999999997E-2</v>
      </c>
      <c r="D4067">
        <v>275</v>
      </c>
      <c r="E4067" t="s">
        <v>4460</v>
      </c>
      <c r="F4067">
        <v>275</v>
      </c>
      <c r="G4067" s="1">
        <v>45201</v>
      </c>
      <c r="H4067" s="6">
        <f t="shared" si="128"/>
        <v>20.125000000000107</v>
      </c>
      <c r="I4067" s="7">
        <f t="shared" si="129"/>
        <v>20.125000000000107</v>
      </c>
    </row>
    <row r="4068" spans="1:9" x14ac:dyDescent="0.2">
      <c r="A4068" t="s">
        <v>4461</v>
      </c>
      <c r="B4068">
        <v>5.3964999999999996</v>
      </c>
      <c r="C4068">
        <v>7.5605000000000006E-2</v>
      </c>
      <c r="D4068">
        <v>275</v>
      </c>
      <c r="E4068" t="s">
        <v>4461</v>
      </c>
      <c r="F4068">
        <v>275</v>
      </c>
      <c r="G4068" s="1">
        <v>45201</v>
      </c>
      <c r="H4068" s="6">
        <f t="shared" si="128"/>
        <v>20.135416666666774</v>
      </c>
      <c r="I4068" s="7">
        <f t="shared" si="129"/>
        <v>20.135416666666774</v>
      </c>
    </row>
    <row r="4069" spans="1:9" x14ac:dyDescent="0.2">
      <c r="A4069" t="s">
        <v>4462</v>
      </c>
      <c r="B4069">
        <v>5.4284999999999997</v>
      </c>
      <c r="C4069">
        <v>7.6035000000000005E-2</v>
      </c>
      <c r="D4069">
        <v>275</v>
      </c>
      <c r="E4069" t="s">
        <v>4462</v>
      </c>
      <c r="F4069">
        <v>275</v>
      </c>
      <c r="G4069" s="1">
        <v>45201</v>
      </c>
      <c r="H4069" s="6">
        <f t="shared" si="128"/>
        <v>20.145833333333442</v>
      </c>
      <c r="I4069" s="7">
        <f t="shared" si="129"/>
        <v>20.145833333333442</v>
      </c>
    </row>
    <row r="4070" spans="1:9" x14ac:dyDescent="0.2">
      <c r="A4070" t="s">
        <v>4463</v>
      </c>
      <c r="B4070">
        <v>5.3975</v>
      </c>
      <c r="C4070">
        <v>7.5615000000000002E-2</v>
      </c>
      <c r="D4070">
        <v>275</v>
      </c>
      <c r="E4070" t="s">
        <v>4463</v>
      </c>
      <c r="F4070">
        <v>275</v>
      </c>
      <c r="G4070" s="1">
        <v>45201</v>
      </c>
      <c r="H4070" s="6">
        <f t="shared" si="128"/>
        <v>20.15625000000011</v>
      </c>
      <c r="I4070" s="7">
        <f t="shared" si="129"/>
        <v>20.15625000000011</v>
      </c>
    </row>
    <row r="4071" spans="1:9" x14ac:dyDescent="0.2">
      <c r="A4071" t="s">
        <v>4464</v>
      </c>
      <c r="B4071">
        <v>5.4295</v>
      </c>
      <c r="C4071">
        <v>7.603E-2</v>
      </c>
      <c r="D4071">
        <v>275</v>
      </c>
      <c r="E4071" t="s">
        <v>4464</v>
      </c>
      <c r="F4071">
        <v>275</v>
      </c>
      <c r="G4071" s="1">
        <v>45201</v>
      </c>
      <c r="H4071" s="6">
        <f t="shared" si="128"/>
        <v>20.166666666666778</v>
      </c>
      <c r="I4071" s="7">
        <f t="shared" si="129"/>
        <v>20.166666666666778</v>
      </c>
    </row>
    <row r="4072" spans="1:9" x14ac:dyDescent="0.2">
      <c r="A4072" t="s">
        <v>4465</v>
      </c>
      <c r="B4072">
        <v>5.3929999999999998</v>
      </c>
      <c r="C4072">
        <v>7.5545000000000001E-2</v>
      </c>
      <c r="D4072">
        <v>275</v>
      </c>
      <c r="E4072" t="s">
        <v>4465</v>
      </c>
      <c r="F4072">
        <v>275</v>
      </c>
      <c r="G4072" s="1">
        <v>45201</v>
      </c>
      <c r="H4072" s="6">
        <f t="shared" si="128"/>
        <v>20.177083333333446</v>
      </c>
      <c r="I4072" s="7">
        <f t="shared" si="129"/>
        <v>20.177083333333446</v>
      </c>
    </row>
    <row r="4073" spans="1:9" x14ac:dyDescent="0.2">
      <c r="A4073" t="s">
        <v>4466</v>
      </c>
      <c r="B4073">
        <v>5.3955000000000002</v>
      </c>
      <c r="C4073">
        <v>7.5575000000000003E-2</v>
      </c>
      <c r="D4073">
        <v>275</v>
      </c>
      <c r="E4073" t="s">
        <v>4466</v>
      </c>
      <c r="F4073">
        <v>275</v>
      </c>
      <c r="G4073" s="1">
        <v>45201</v>
      </c>
      <c r="H4073" s="6">
        <f t="shared" si="128"/>
        <v>20.187500000000114</v>
      </c>
      <c r="I4073" s="7">
        <f t="shared" si="129"/>
        <v>20.187500000000114</v>
      </c>
    </row>
    <row r="4074" spans="1:9" x14ac:dyDescent="0.2">
      <c r="A4074" t="s">
        <v>4467</v>
      </c>
      <c r="B4074">
        <v>5.39</v>
      </c>
      <c r="C4074">
        <v>7.5514999999999999E-2</v>
      </c>
      <c r="D4074">
        <v>275</v>
      </c>
      <c r="E4074" t="s">
        <v>4467</v>
      </c>
      <c r="F4074">
        <v>275</v>
      </c>
      <c r="G4074" s="1">
        <v>45201</v>
      </c>
      <c r="H4074" s="6">
        <f t="shared" si="128"/>
        <v>20.197916666666782</v>
      </c>
      <c r="I4074" s="7">
        <f t="shared" si="129"/>
        <v>20.197916666666782</v>
      </c>
    </row>
    <row r="4075" spans="1:9" x14ac:dyDescent="0.2">
      <c r="A4075" t="s">
        <v>4468</v>
      </c>
      <c r="B4075">
        <v>5.3849999999999998</v>
      </c>
      <c r="C4075">
        <v>7.5425000000000006E-2</v>
      </c>
      <c r="D4075">
        <v>275</v>
      </c>
      <c r="E4075" t="s">
        <v>4468</v>
      </c>
      <c r="F4075">
        <v>275</v>
      </c>
      <c r="G4075" s="1">
        <v>45201</v>
      </c>
      <c r="H4075" s="6">
        <f t="shared" si="128"/>
        <v>20.208333333333449</v>
      </c>
      <c r="I4075" s="7">
        <f t="shared" si="129"/>
        <v>20.208333333333449</v>
      </c>
    </row>
    <row r="4076" spans="1:9" x14ac:dyDescent="0.2">
      <c r="A4076" t="s">
        <v>4469</v>
      </c>
      <c r="B4076">
        <v>5.3620000000000001</v>
      </c>
      <c r="C4076">
        <v>7.51E-2</v>
      </c>
      <c r="D4076">
        <v>275</v>
      </c>
      <c r="E4076" t="s">
        <v>4469</v>
      </c>
      <c r="F4076">
        <v>275</v>
      </c>
      <c r="G4076" s="1">
        <v>45201</v>
      </c>
      <c r="H4076" s="6">
        <f t="shared" si="128"/>
        <v>20.218750000000117</v>
      </c>
      <c r="I4076" s="7">
        <f t="shared" si="129"/>
        <v>20.218750000000117</v>
      </c>
    </row>
    <row r="4077" spans="1:9" x14ac:dyDescent="0.2">
      <c r="A4077" t="s">
        <v>4470</v>
      </c>
      <c r="B4077">
        <v>5.3680000000000003</v>
      </c>
      <c r="C4077">
        <v>7.5185000000000002E-2</v>
      </c>
      <c r="D4077">
        <v>275</v>
      </c>
      <c r="E4077" t="s">
        <v>4470</v>
      </c>
      <c r="F4077">
        <v>275</v>
      </c>
      <c r="G4077" s="1">
        <v>45201</v>
      </c>
      <c r="H4077" s="6">
        <f t="shared" si="128"/>
        <v>20.229166666666785</v>
      </c>
      <c r="I4077" s="7">
        <f t="shared" si="129"/>
        <v>20.229166666666785</v>
      </c>
    </row>
    <row r="4078" spans="1:9" x14ac:dyDescent="0.2">
      <c r="A4078" t="s">
        <v>4471</v>
      </c>
      <c r="B4078">
        <v>5.3674999999999997</v>
      </c>
      <c r="C4078">
        <v>7.5200000000000003E-2</v>
      </c>
      <c r="D4078">
        <v>275</v>
      </c>
      <c r="E4078" t="s">
        <v>4471</v>
      </c>
      <c r="F4078">
        <v>275</v>
      </c>
      <c r="G4078" s="1">
        <v>45201</v>
      </c>
      <c r="H4078" s="6">
        <f t="shared" si="128"/>
        <v>20.239583333333453</v>
      </c>
      <c r="I4078" s="7">
        <f t="shared" si="129"/>
        <v>20.239583333333453</v>
      </c>
    </row>
    <row r="4079" spans="1:9" x14ac:dyDescent="0.2">
      <c r="A4079" t="s">
        <v>4472</v>
      </c>
      <c r="B4079" s="2" t="s">
        <v>4473</v>
      </c>
      <c r="C4079">
        <v>7.4694999999999998E-2</v>
      </c>
      <c r="D4079">
        <v>275</v>
      </c>
      <c r="E4079" t="s">
        <v>4472</v>
      </c>
      <c r="F4079">
        <v>275</v>
      </c>
      <c r="G4079" s="1">
        <v>45201</v>
      </c>
      <c r="H4079" s="6">
        <f t="shared" si="128"/>
        <v>20.250000000000121</v>
      </c>
      <c r="I4079" s="7">
        <f t="shared" si="129"/>
        <v>20.250000000000121</v>
      </c>
    </row>
    <row r="4080" spans="1:9" x14ac:dyDescent="0.2">
      <c r="A4080" t="s">
        <v>4474</v>
      </c>
      <c r="B4080">
        <v>5.2649999999999997</v>
      </c>
      <c r="C4080">
        <v>7.3734999999999995E-2</v>
      </c>
      <c r="D4080">
        <v>275</v>
      </c>
      <c r="E4080" t="s">
        <v>4474</v>
      </c>
      <c r="F4080">
        <v>275</v>
      </c>
      <c r="G4080" s="1">
        <v>45201</v>
      </c>
      <c r="H4080" s="6">
        <f t="shared" si="128"/>
        <v>20.260416666666789</v>
      </c>
      <c r="I4080" s="7">
        <f t="shared" si="129"/>
        <v>20.260416666666789</v>
      </c>
    </row>
    <row r="4081" spans="1:9" x14ac:dyDescent="0.2">
      <c r="A4081" t="s">
        <v>4475</v>
      </c>
      <c r="B4081">
        <v>5.2919999999999998</v>
      </c>
      <c r="C4081">
        <v>7.4099999999999999E-2</v>
      </c>
      <c r="D4081">
        <v>275</v>
      </c>
      <c r="E4081" t="s">
        <v>4475</v>
      </c>
      <c r="F4081">
        <v>275</v>
      </c>
      <c r="G4081" s="1">
        <v>45201</v>
      </c>
      <c r="H4081" s="6">
        <f t="shared" si="128"/>
        <v>20.270833333333456</v>
      </c>
      <c r="I4081" s="7">
        <f t="shared" si="129"/>
        <v>20.270833333333456</v>
      </c>
    </row>
    <row r="4082" spans="1:9" x14ac:dyDescent="0.2">
      <c r="A4082" t="s">
        <v>4476</v>
      </c>
      <c r="B4082">
        <v>5.2210000000000001</v>
      </c>
      <c r="C4082">
        <v>7.3120000000000004E-2</v>
      </c>
      <c r="D4082">
        <v>275</v>
      </c>
      <c r="E4082" t="s">
        <v>4476</v>
      </c>
      <c r="F4082">
        <v>275</v>
      </c>
      <c r="G4082" s="1">
        <v>45201</v>
      </c>
      <c r="H4082" s="6">
        <f t="shared" si="128"/>
        <v>20.281250000000124</v>
      </c>
      <c r="I4082" s="7">
        <f t="shared" si="129"/>
        <v>20.281250000000124</v>
      </c>
    </row>
    <row r="4083" spans="1:9" x14ac:dyDescent="0.2">
      <c r="A4083" t="s">
        <v>4477</v>
      </c>
      <c r="B4083" s="2" t="s">
        <v>4478</v>
      </c>
      <c r="C4083">
        <v>7.2385000000000005E-2</v>
      </c>
      <c r="D4083">
        <v>275</v>
      </c>
      <c r="E4083" t="s">
        <v>4477</v>
      </c>
      <c r="F4083">
        <v>275</v>
      </c>
      <c r="G4083" s="1">
        <v>45201</v>
      </c>
      <c r="H4083" s="6">
        <f t="shared" si="128"/>
        <v>20.291666666666792</v>
      </c>
      <c r="I4083" s="7">
        <f t="shared" si="129"/>
        <v>20.291666666666792</v>
      </c>
    </row>
    <row r="4084" spans="1:9" x14ac:dyDescent="0.2">
      <c r="A4084" t="s">
        <v>4479</v>
      </c>
      <c r="B4084">
        <v>5.1375000000000002</v>
      </c>
      <c r="C4084">
        <v>7.1959999999999996E-2</v>
      </c>
      <c r="D4084">
        <v>275</v>
      </c>
      <c r="E4084" t="s">
        <v>4479</v>
      </c>
      <c r="F4084">
        <v>275</v>
      </c>
      <c r="G4084" s="1">
        <v>45201</v>
      </c>
      <c r="H4084" s="6">
        <f t="shared" si="128"/>
        <v>20.30208333333346</v>
      </c>
      <c r="I4084" s="7">
        <f t="shared" si="129"/>
        <v>20.30208333333346</v>
      </c>
    </row>
    <row r="4085" spans="1:9" x14ac:dyDescent="0.2">
      <c r="A4085" t="s">
        <v>4480</v>
      </c>
      <c r="B4085">
        <v>5.0765000000000002</v>
      </c>
      <c r="C4085">
        <v>7.1124999999999994E-2</v>
      </c>
      <c r="D4085">
        <v>275</v>
      </c>
      <c r="E4085" t="s">
        <v>4480</v>
      </c>
      <c r="F4085">
        <v>275</v>
      </c>
      <c r="G4085" s="1">
        <v>45201</v>
      </c>
      <c r="H4085" s="6">
        <f t="shared" si="128"/>
        <v>20.312500000000128</v>
      </c>
      <c r="I4085" s="7">
        <f t="shared" si="129"/>
        <v>20.312500000000128</v>
      </c>
    </row>
    <row r="4086" spans="1:9" x14ac:dyDescent="0.2">
      <c r="A4086" t="s">
        <v>4481</v>
      </c>
      <c r="B4086">
        <v>5.0060000000000002</v>
      </c>
      <c r="C4086">
        <v>7.0120000000000002E-2</v>
      </c>
      <c r="D4086">
        <v>275</v>
      </c>
      <c r="E4086" t="s">
        <v>4481</v>
      </c>
      <c r="F4086">
        <v>275</v>
      </c>
      <c r="G4086" s="1">
        <v>45201</v>
      </c>
      <c r="H4086" s="6">
        <f t="shared" si="128"/>
        <v>20.322916666666796</v>
      </c>
      <c r="I4086" s="7">
        <f t="shared" si="129"/>
        <v>20.322916666666796</v>
      </c>
    </row>
    <row r="4087" spans="1:9" x14ac:dyDescent="0.2">
      <c r="A4087" t="s">
        <v>4482</v>
      </c>
      <c r="B4087" s="2" t="s">
        <v>4483</v>
      </c>
      <c r="C4087">
        <v>6.9839999999999999E-2</v>
      </c>
      <c r="D4087">
        <v>275</v>
      </c>
      <c r="E4087" t="s">
        <v>4482</v>
      </c>
      <c r="F4087">
        <v>275</v>
      </c>
      <c r="G4087" s="1">
        <v>45201</v>
      </c>
      <c r="H4087" s="6">
        <f t="shared" si="128"/>
        <v>20.333333333333464</v>
      </c>
      <c r="I4087" s="7">
        <f t="shared" si="129"/>
        <v>20.333333333333464</v>
      </c>
    </row>
    <row r="4088" spans="1:9" x14ac:dyDescent="0.2">
      <c r="A4088" t="s">
        <v>4484</v>
      </c>
      <c r="B4088">
        <v>4.9290000000000003</v>
      </c>
      <c r="C4088">
        <v>6.9015000000000007E-2</v>
      </c>
      <c r="D4088">
        <v>275</v>
      </c>
      <c r="E4088" t="s">
        <v>4484</v>
      </c>
      <c r="F4088">
        <v>275</v>
      </c>
      <c r="G4088" s="1">
        <v>45201</v>
      </c>
      <c r="H4088" s="6">
        <f t="shared" si="128"/>
        <v>20.343750000000131</v>
      </c>
      <c r="I4088" s="7">
        <f t="shared" si="129"/>
        <v>20.343750000000131</v>
      </c>
    </row>
    <row r="4089" spans="1:9" x14ac:dyDescent="0.2">
      <c r="A4089" t="s">
        <v>4485</v>
      </c>
      <c r="B4089">
        <v>4.9325000000000001</v>
      </c>
      <c r="C4089">
        <v>6.9074999999999998E-2</v>
      </c>
      <c r="D4089">
        <v>275</v>
      </c>
      <c r="E4089" t="s">
        <v>4485</v>
      </c>
      <c r="F4089">
        <v>275</v>
      </c>
      <c r="G4089" s="1">
        <v>45201</v>
      </c>
      <c r="H4089" s="6">
        <f t="shared" si="128"/>
        <v>20.354166666666799</v>
      </c>
      <c r="I4089" s="7">
        <f t="shared" si="129"/>
        <v>20.354166666666799</v>
      </c>
    </row>
    <row r="4090" spans="1:9" x14ac:dyDescent="0.2">
      <c r="A4090" t="s">
        <v>4486</v>
      </c>
      <c r="B4090">
        <v>4.8959999999999999</v>
      </c>
      <c r="C4090">
        <v>6.8565000000000001E-2</v>
      </c>
      <c r="D4090">
        <v>275</v>
      </c>
      <c r="E4090" t="s">
        <v>4486</v>
      </c>
      <c r="F4090">
        <v>275</v>
      </c>
      <c r="G4090" s="1">
        <v>45201</v>
      </c>
      <c r="H4090" s="6">
        <f t="shared" si="128"/>
        <v>20.364583333333467</v>
      </c>
      <c r="I4090" s="7">
        <f t="shared" si="129"/>
        <v>20.364583333333467</v>
      </c>
    </row>
    <row r="4091" spans="1:9" x14ac:dyDescent="0.2">
      <c r="A4091" t="s">
        <v>4487</v>
      </c>
      <c r="B4091">
        <v>4.8875000000000002</v>
      </c>
      <c r="C4091">
        <v>6.8464999999999998E-2</v>
      </c>
      <c r="D4091">
        <v>275</v>
      </c>
      <c r="E4091" t="s">
        <v>4487</v>
      </c>
      <c r="F4091">
        <v>275</v>
      </c>
      <c r="G4091" s="1">
        <v>45201</v>
      </c>
      <c r="H4091" s="6">
        <f t="shared" si="128"/>
        <v>20.375000000000135</v>
      </c>
      <c r="I4091" s="7">
        <f t="shared" si="129"/>
        <v>20.375000000000135</v>
      </c>
    </row>
    <row r="4092" spans="1:9" x14ac:dyDescent="0.2">
      <c r="A4092" t="s">
        <v>4488</v>
      </c>
      <c r="B4092">
        <v>4.8680000000000003</v>
      </c>
      <c r="C4092">
        <v>6.8180000000000004E-2</v>
      </c>
      <c r="D4092">
        <v>275</v>
      </c>
      <c r="E4092" t="s">
        <v>4488</v>
      </c>
      <c r="F4092">
        <v>275</v>
      </c>
      <c r="G4092" s="1">
        <v>45201</v>
      </c>
      <c r="H4092" s="6">
        <f t="shared" si="128"/>
        <v>20.385416666666803</v>
      </c>
      <c r="I4092" s="7">
        <f t="shared" si="129"/>
        <v>20.385416666666803</v>
      </c>
    </row>
    <row r="4093" spans="1:9" x14ac:dyDescent="0.2">
      <c r="A4093" t="s">
        <v>4489</v>
      </c>
      <c r="B4093">
        <v>4.8390000000000004</v>
      </c>
      <c r="C4093">
        <v>6.7760000000000001E-2</v>
      </c>
      <c r="D4093">
        <v>275</v>
      </c>
      <c r="E4093" t="s">
        <v>4489</v>
      </c>
      <c r="F4093">
        <v>275</v>
      </c>
      <c r="G4093" s="1">
        <v>45201</v>
      </c>
      <c r="H4093" s="6">
        <f t="shared" si="128"/>
        <v>20.395833333333471</v>
      </c>
      <c r="I4093" s="7">
        <f t="shared" si="129"/>
        <v>20.395833333333471</v>
      </c>
    </row>
    <row r="4094" spans="1:9" x14ac:dyDescent="0.2">
      <c r="A4094" t="s">
        <v>4490</v>
      </c>
      <c r="B4094">
        <v>4.8099999999999996</v>
      </c>
      <c r="C4094">
        <v>6.7375000000000004E-2</v>
      </c>
      <c r="D4094">
        <v>275</v>
      </c>
      <c r="E4094" t="s">
        <v>4490</v>
      </c>
      <c r="F4094">
        <v>275</v>
      </c>
      <c r="G4094" s="1">
        <v>45201</v>
      </c>
      <c r="H4094" s="6">
        <f t="shared" si="128"/>
        <v>20.406250000000139</v>
      </c>
      <c r="I4094" s="7">
        <f t="shared" si="129"/>
        <v>20.406250000000139</v>
      </c>
    </row>
    <row r="4095" spans="1:9" x14ac:dyDescent="0.2">
      <c r="A4095" t="s">
        <v>4491</v>
      </c>
      <c r="B4095">
        <v>4.8194999999999997</v>
      </c>
      <c r="C4095">
        <v>6.7530000000000007E-2</v>
      </c>
      <c r="D4095">
        <v>275</v>
      </c>
      <c r="E4095" t="s">
        <v>4491</v>
      </c>
      <c r="F4095">
        <v>275</v>
      </c>
      <c r="G4095" s="1">
        <v>45201</v>
      </c>
      <c r="H4095" s="6">
        <f t="shared" si="128"/>
        <v>20.416666666666806</v>
      </c>
      <c r="I4095" s="7">
        <f t="shared" si="129"/>
        <v>20.416666666666806</v>
      </c>
    </row>
    <row r="4096" spans="1:9" x14ac:dyDescent="0.2">
      <c r="A4096" t="s">
        <v>4492</v>
      </c>
      <c r="B4096">
        <v>4.7984999999999998</v>
      </c>
      <c r="C4096">
        <v>6.719E-2</v>
      </c>
      <c r="D4096">
        <v>275</v>
      </c>
      <c r="E4096" t="s">
        <v>4492</v>
      </c>
      <c r="F4096">
        <v>275</v>
      </c>
      <c r="G4096" s="1">
        <v>45201</v>
      </c>
      <c r="H4096" s="6">
        <f t="shared" si="128"/>
        <v>20.427083333333474</v>
      </c>
      <c r="I4096" s="7">
        <f t="shared" si="129"/>
        <v>20.427083333333474</v>
      </c>
    </row>
    <row r="4097" spans="1:9" x14ac:dyDescent="0.2">
      <c r="A4097" t="s">
        <v>4493</v>
      </c>
      <c r="B4097">
        <v>4.7990000000000004</v>
      </c>
      <c r="C4097">
        <v>6.7224999999999993E-2</v>
      </c>
      <c r="D4097">
        <v>275</v>
      </c>
      <c r="E4097" t="s">
        <v>4493</v>
      </c>
      <c r="F4097">
        <v>275</v>
      </c>
      <c r="G4097" s="1">
        <v>45201</v>
      </c>
      <c r="H4097" s="6">
        <f t="shared" si="128"/>
        <v>20.437500000000142</v>
      </c>
      <c r="I4097" s="7">
        <f t="shared" si="129"/>
        <v>20.437500000000142</v>
      </c>
    </row>
    <row r="4098" spans="1:9" x14ac:dyDescent="0.2">
      <c r="A4098" t="s">
        <v>4494</v>
      </c>
      <c r="B4098">
        <v>4.7515000000000001</v>
      </c>
      <c r="C4098">
        <v>6.6544999999999896E-2</v>
      </c>
      <c r="D4098">
        <v>275</v>
      </c>
      <c r="E4098" t="s">
        <v>4494</v>
      </c>
      <c r="F4098">
        <v>275</v>
      </c>
      <c r="G4098" s="1">
        <v>45201</v>
      </c>
      <c r="H4098" s="6">
        <f t="shared" si="128"/>
        <v>20.44791666666681</v>
      </c>
      <c r="I4098" s="7">
        <f t="shared" si="129"/>
        <v>20.44791666666681</v>
      </c>
    </row>
    <row r="4099" spans="1:9" x14ac:dyDescent="0.2">
      <c r="A4099" t="s">
        <v>4495</v>
      </c>
      <c r="B4099">
        <v>4.7634999999999996</v>
      </c>
      <c r="C4099">
        <v>6.6729999999999998E-2</v>
      </c>
      <c r="D4099">
        <v>275</v>
      </c>
      <c r="E4099" t="s">
        <v>4495</v>
      </c>
      <c r="F4099">
        <v>275</v>
      </c>
      <c r="G4099" s="1">
        <v>45201</v>
      </c>
      <c r="H4099" s="6">
        <f t="shared" si="128"/>
        <v>20.458333333333478</v>
      </c>
      <c r="I4099" s="7">
        <f t="shared" si="129"/>
        <v>20.458333333333478</v>
      </c>
    </row>
    <row r="4100" spans="1:9" x14ac:dyDescent="0.2">
      <c r="A4100" t="s">
        <v>4496</v>
      </c>
      <c r="B4100">
        <v>4.7344999999999997</v>
      </c>
      <c r="C4100">
        <v>6.6324999999999995E-2</v>
      </c>
      <c r="D4100">
        <v>275</v>
      </c>
      <c r="E4100" t="s">
        <v>4496</v>
      </c>
      <c r="F4100">
        <v>275</v>
      </c>
      <c r="G4100" s="1">
        <v>45201</v>
      </c>
      <c r="H4100" s="6">
        <f t="shared" si="128"/>
        <v>20.468750000000146</v>
      </c>
      <c r="I4100" s="7">
        <f t="shared" si="129"/>
        <v>20.468750000000146</v>
      </c>
    </row>
    <row r="4101" spans="1:9" x14ac:dyDescent="0.2">
      <c r="A4101" t="s">
        <v>4497</v>
      </c>
      <c r="B4101">
        <v>4.7519999999999998</v>
      </c>
      <c r="C4101">
        <v>6.6564999999999999E-2</v>
      </c>
      <c r="D4101">
        <v>275</v>
      </c>
      <c r="E4101" t="s">
        <v>4497</v>
      </c>
      <c r="F4101">
        <v>275</v>
      </c>
      <c r="G4101" s="1">
        <v>45201</v>
      </c>
      <c r="H4101" s="6">
        <f t="shared" si="128"/>
        <v>20.479166666666814</v>
      </c>
      <c r="I4101" s="7">
        <f t="shared" si="129"/>
        <v>20.479166666666814</v>
      </c>
    </row>
    <row r="4102" spans="1:9" x14ac:dyDescent="0.2">
      <c r="A4102" t="s">
        <v>4498</v>
      </c>
      <c r="B4102">
        <v>4.7595000000000001</v>
      </c>
      <c r="C4102">
        <v>6.6650000000000001E-2</v>
      </c>
      <c r="D4102">
        <v>275</v>
      </c>
      <c r="E4102" t="s">
        <v>4498</v>
      </c>
      <c r="F4102">
        <v>275</v>
      </c>
      <c r="G4102" s="1">
        <v>45201</v>
      </c>
      <c r="H4102" s="6">
        <f t="shared" si="128"/>
        <v>20.489583333333481</v>
      </c>
      <c r="I4102" s="7">
        <f t="shared" si="129"/>
        <v>20.489583333333481</v>
      </c>
    </row>
    <row r="4103" spans="1:9" x14ac:dyDescent="0.2">
      <c r="A4103" t="s">
        <v>4499</v>
      </c>
      <c r="B4103">
        <v>4.7569999999999997</v>
      </c>
      <c r="C4103">
        <v>6.6640000000000005E-2</v>
      </c>
      <c r="D4103">
        <v>275</v>
      </c>
      <c r="E4103" t="s">
        <v>4499</v>
      </c>
      <c r="F4103">
        <v>275</v>
      </c>
      <c r="G4103" s="1">
        <v>45201</v>
      </c>
      <c r="H4103" s="6">
        <f t="shared" si="128"/>
        <v>20.500000000000149</v>
      </c>
      <c r="I4103" s="7">
        <f t="shared" si="129"/>
        <v>20.500000000000149</v>
      </c>
    </row>
    <row r="4104" spans="1:9" x14ac:dyDescent="0.2">
      <c r="A4104" t="s">
        <v>4500</v>
      </c>
      <c r="B4104" s="2" t="s">
        <v>4501</v>
      </c>
      <c r="C4104">
        <v>6.6805000000000003E-2</v>
      </c>
      <c r="D4104">
        <v>275</v>
      </c>
      <c r="E4104" t="s">
        <v>4500</v>
      </c>
      <c r="F4104">
        <v>275</v>
      </c>
      <c r="G4104" s="1">
        <v>45201</v>
      </c>
      <c r="H4104" s="6">
        <f t="shared" si="128"/>
        <v>20.510416666666817</v>
      </c>
      <c r="I4104" s="7">
        <f t="shared" si="129"/>
        <v>20.510416666666817</v>
      </c>
    </row>
    <row r="4105" spans="1:9" x14ac:dyDescent="0.2">
      <c r="A4105" t="s">
        <v>4502</v>
      </c>
      <c r="B4105">
        <v>4.7305000000000001</v>
      </c>
      <c r="C4105">
        <v>6.6254999999999994E-2</v>
      </c>
      <c r="D4105">
        <v>275</v>
      </c>
      <c r="E4105" t="s">
        <v>4502</v>
      </c>
      <c r="F4105">
        <v>275</v>
      </c>
      <c r="G4105" s="1">
        <v>45201</v>
      </c>
      <c r="H4105" s="6">
        <f t="shared" si="128"/>
        <v>20.520833333333485</v>
      </c>
      <c r="I4105" s="7">
        <f t="shared" si="129"/>
        <v>20.520833333333485</v>
      </c>
    </row>
    <row r="4106" spans="1:9" x14ac:dyDescent="0.2">
      <c r="A4106" t="s">
        <v>4503</v>
      </c>
      <c r="B4106">
        <v>4.7145000000000001</v>
      </c>
      <c r="C4106">
        <v>6.6034999999999996E-2</v>
      </c>
      <c r="D4106">
        <v>275</v>
      </c>
      <c r="E4106" t="s">
        <v>4503</v>
      </c>
      <c r="F4106">
        <v>275</v>
      </c>
      <c r="G4106" s="1">
        <v>45201</v>
      </c>
      <c r="H4106" s="6">
        <f t="shared" si="128"/>
        <v>20.531250000000153</v>
      </c>
      <c r="I4106" s="7">
        <f t="shared" si="129"/>
        <v>20.531250000000153</v>
      </c>
    </row>
    <row r="4107" spans="1:9" x14ac:dyDescent="0.2">
      <c r="A4107" t="s">
        <v>4504</v>
      </c>
      <c r="B4107">
        <v>4.7474999999999996</v>
      </c>
      <c r="C4107">
        <v>6.6489999999999994E-2</v>
      </c>
      <c r="D4107">
        <v>275</v>
      </c>
      <c r="E4107" t="s">
        <v>4504</v>
      </c>
      <c r="F4107">
        <v>275</v>
      </c>
      <c r="G4107" s="1">
        <v>45201</v>
      </c>
      <c r="H4107" s="6">
        <f t="shared" si="128"/>
        <v>20.541666666666821</v>
      </c>
      <c r="I4107" s="7">
        <f t="shared" si="129"/>
        <v>20.541666666666821</v>
      </c>
    </row>
    <row r="4108" spans="1:9" x14ac:dyDescent="0.2">
      <c r="A4108" t="s">
        <v>4505</v>
      </c>
      <c r="B4108">
        <v>4.7329999999999997</v>
      </c>
      <c r="C4108">
        <v>6.6280000000000006E-2</v>
      </c>
      <c r="D4108">
        <v>275</v>
      </c>
      <c r="E4108" t="s">
        <v>4505</v>
      </c>
      <c r="F4108">
        <v>275</v>
      </c>
      <c r="G4108" s="1">
        <v>45201</v>
      </c>
      <c r="H4108" s="6">
        <f t="shared" si="128"/>
        <v>20.552083333333488</v>
      </c>
      <c r="I4108" s="7">
        <f t="shared" si="129"/>
        <v>20.552083333333488</v>
      </c>
    </row>
    <row r="4109" spans="1:9" x14ac:dyDescent="0.2">
      <c r="A4109" t="s">
        <v>4506</v>
      </c>
      <c r="B4109">
        <v>4.7515000000000001</v>
      </c>
      <c r="C4109">
        <v>6.6540000000000002E-2</v>
      </c>
      <c r="D4109">
        <v>275</v>
      </c>
      <c r="E4109" t="s">
        <v>4506</v>
      </c>
      <c r="F4109">
        <v>275</v>
      </c>
      <c r="G4109" s="1">
        <v>45201</v>
      </c>
      <c r="H4109" s="6">
        <f t="shared" si="128"/>
        <v>20.562500000000156</v>
      </c>
      <c r="I4109" s="7">
        <f t="shared" si="129"/>
        <v>20.562500000000156</v>
      </c>
    </row>
    <row r="4110" spans="1:9" x14ac:dyDescent="0.2">
      <c r="A4110" t="s">
        <v>4507</v>
      </c>
      <c r="B4110">
        <v>4.7735000000000003</v>
      </c>
      <c r="C4110">
        <v>6.6839999999999997E-2</v>
      </c>
      <c r="D4110">
        <v>275</v>
      </c>
      <c r="E4110" t="s">
        <v>4507</v>
      </c>
      <c r="F4110">
        <v>275</v>
      </c>
      <c r="G4110" s="1">
        <v>45201</v>
      </c>
      <c r="H4110" s="6">
        <f t="shared" si="128"/>
        <v>20.572916666666824</v>
      </c>
      <c r="I4110" s="7">
        <f t="shared" si="129"/>
        <v>20.572916666666824</v>
      </c>
    </row>
    <row r="4111" spans="1:9" x14ac:dyDescent="0.2">
      <c r="A4111" t="s">
        <v>4508</v>
      </c>
      <c r="B4111">
        <v>4.7305000000000001</v>
      </c>
      <c r="C4111">
        <v>6.6239999999999993E-2</v>
      </c>
      <c r="D4111">
        <v>275</v>
      </c>
      <c r="E4111" t="s">
        <v>4508</v>
      </c>
      <c r="F4111">
        <v>275</v>
      </c>
      <c r="G4111" s="1">
        <v>45201</v>
      </c>
      <c r="H4111" s="6">
        <f t="shared" si="128"/>
        <v>20.583333333333492</v>
      </c>
      <c r="I4111" s="7">
        <f t="shared" si="129"/>
        <v>20.583333333333492</v>
      </c>
    </row>
    <row r="4112" spans="1:9" x14ac:dyDescent="0.2">
      <c r="A4112" t="s">
        <v>4509</v>
      </c>
      <c r="B4112">
        <v>4.7480000000000002</v>
      </c>
      <c r="C4112">
        <v>6.6475000000000006E-2</v>
      </c>
      <c r="D4112">
        <v>275</v>
      </c>
      <c r="E4112" t="s">
        <v>4509</v>
      </c>
      <c r="F4112">
        <v>275</v>
      </c>
      <c r="G4112" s="1">
        <v>45201</v>
      </c>
      <c r="H4112" s="6">
        <f t="shared" si="128"/>
        <v>20.59375000000016</v>
      </c>
      <c r="I4112" s="7">
        <f t="shared" si="129"/>
        <v>20.59375000000016</v>
      </c>
    </row>
    <row r="4113" spans="1:9" x14ac:dyDescent="0.2">
      <c r="A4113" t="s">
        <v>4510</v>
      </c>
      <c r="B4113">
        <v>4.7880000000000003</v>
      </c>
      <c r="C4113">
        <v>6.7059999999999995E-2</v>
      </c>
      <c r="D4113">
        <v>275</v>
      </c>
      <c r="E4113" t="s">
        <v>4510</v>
      </c>
      <c r="F4113">
        <v>275</v>
      </c>
      <c r="G4113" s="1">
        <v>45201</v>
      </c>
      <c r="H4113" s="6">
        <f t="shared" si="128"/>
        <v>20.604166666666828</v>
      </c>
      <c r="I4113" s="7">
        <f t="shared" si="129"/>
        <v>20.604166666666828</v>
      </c>
    </row>
    <row r="4114" spans="1:9" x14ac:dyDescent="0.2">
      <c r="A4114" t="s">
        <v>4511</v>
      </c>
      <c r="B4114">
        <v>4.7394999999999996</v>
      </c>
      <c r="C4114">
        <v>6.6379999999999995E-2</v>
      </c>
      <c r="D4114">
        <v>276</v>
      </c>
      <c r="E4114" t="s">
        <v>4511</v>
      </c>
      <c r="F4114">
        <v>275</v>
      </c>
      <c r="G4114" s="1">
        <v>45201</v>
      </c>
      <c r="H4114" s="6">
        <f t="shared" si="128"/>
        <v>20.614583333333496</v>
      </c>
      <c r="I4114" s="7">
        <f t="shared" si="129"/>
        <v>20.614583333333496</v>
      </c>
    </row>
    <row r="4115" spans="1:9" x14ac:dyDescent="0.2">
      <c r="A4115" t="s">
        <v>4512</v>
      </c>
      <c r="B4115">
        <v>4.7869999999999999</v>
      </c>
      <c r="C4115">
        <v>6.7049999999999998E-2</v>
      </c>
      <c r="D4115">
        <v>276</v>
      </c>
      <c r="E4115" t="s">
        <v>4512</v>
      </c>
      <c r="F4115">
        <v>275</v>
      </c>
      <c r="G4115" s="1">
        <v>45201</v>
      </c>
      <c r="H4115" s="6">
        <f t="shared" si="128"/>
        <v>20.625000000000163</v>
      </c>
      <c r="I4115" s="7">
        <f t="shared" si="129"/>
        <v>20.625000000000163</v>
      </c>
    </row>
    <row r="4116" spans="1:9" x14ac:dyDescent="0.2">
      <c r="A4116" t="s">
        <v>4513</v>
      </c>
      <c r="B4116">
        <v>4.7910000000000004</v>
      </c>
      <c r="C4116">
        <v>6.7110000000000003E-2</v>
      </c>
      <c r="D4116">
        <v>276</v>
      </c>
      <c r="E4116" t="s">
        <v>4513</v>
      </c>
      <c r="F4116">
        <v>275</v>
      </c>
      <c r="G4116" s="1">
        <v>45201</v>
      </c>
      <c r="H4116" s="6">
        <f t="shared" si="128"/>
        <v>20.635416666666831</v>
      </c>
      <c r="I4116" s="7">
        <f t="shared" si="129"/>
        <v>20.635416666666831</v>
      </c>
    </row>
    <row r="4117" spans="1:9" x14ac:dyDescent="0.2">
      <c r="A4117" t="s">
        <v>4514</v>
      </c>
      <c r="B4117">
        <v>4.7729999999999997</v>
      </c>
      <c r="C4117">
        <v>6.6839999999999997E-2</v>
      </c>
      <c r="D4117">
        <v>276</v>
      </c>
      <c r="E4117" t="s">
        <v>4514</v>
      </c>
      <c r="F4117">
        <v>275</v>
      </c>
      <c r="G4117" s="1">
        <v>45201</v>
      </c>
      <c r="H4117" s="6">
        <f t="shared" si="128"/>
        <v>20.645833333333499</v>
      </c>
      <c r="I4117" s="7">
        <f t="shared" si="129"/>
        <v>20.645833333333499</v>
      </c>
    </row>
    <row r="4118" spans="1:9" x14ac:dyDescent="0.2">
      <c r="A4118" t="s">
        <v>4515</v>
      </c>
      <c r="B4118">
        <v>4.7714999999999996</v>
      </c>
      <c r="C4118">
        <v>6.6835000000000006E-2</v>
      </c>
      <c r="D4118">
        <v>276</v>
      </c>
      <c r="E4118" t="s">
        <v>4515</v>
      </c>
      <c r="F4118">
        <v>275</v>
      </c>
      <c r="G4118" s="1">
        <v>45201</v>
      </c>
      <c r="H4118" s="6">
        <f t="shared" si="128"/>
        <v>20.656250000000167</v>
      </c>
      <c r="I4118" s="7">
        <f t="shared" si="129"/>
        <v>20.656250000000167</v>
      </c>
    </row>
    <row r="4119" spans="1:9" x14ac:dyDescent="0.2">
      <c r="A4119" t="s">
        <v>4516</v>
      </c>
      <c r="B4119">
        <v>4.8014999999999999</v>
      </c>
      <c r="C4119">
        <v>6.7265000000000005E-2</v>
      </c>
      <c r="D4119">
        <v>276</v>
      </c>
      <c r="E4119" t="s">
        <v>4516</v>
      </c>
      <c r="F4119">
        <v>275</v>
      </c>
      <c r="G4119" s="1">
        <v>45201</v>
      </c>
      <c r="H4119" s="6">
        <f t="shared" si="128"/>
        <v>20.666666666666835</v>
      </c>
      <c r="I4119" s="7">
        <f t="shared" si="129"/>
        <v>20.666666666666835</v>
      </c>
    </row>
    <row r="4120" spans="1:9" x14ac:dyDescent="0.2">
      <c r="A4120" t="s">
        <v>4517</v>
      </c>
      <c r="B4120">
        <v>4.8425000000000002</v>
      </c>
      <c r="C4120">
        <v>6.7805000000000004E-2</v>
      </c>
      <c r="D4120">
        <v>276</v>
      </c>
      <c r="E4120" t="s">
        <v>4517</v>
      </c>
      <c r="F4120">
        <v>275</v>
      </c>
      <c r="G4120" s="1">
        <v>45201</v>
      </c>
      <c r="H4120" s="6">
        <f t="shared" si="128"/>
        <v>20.677083333333503</v>
      </c>
      <c r="I4120" s="7">
        <f t="shared" si="129"/>
        <v>20.677083333333503</v>
      </c>
    </row>
    <row r="4121" spans="1:9" x14ac:dyDescent="0.2">
      <c r="A4121" t="s">
        <v>4518</v>
      </c>
      <c r="B4121">
        <v>4.8665000000000003</v>
      </c>
      <c r="C4121">
        <v>6.8165000000000003E-2</v>
      </c>
      <c r="D4121">
        <v>276</v>
      </c>
      <c r="E4121" t="s">
        <v>4518</v>
      </c>
      <c r="F4121">
        <v>275</v>
      </c>
      <c r="G4121" s="1">
        <v>45201</v>
      </c>
      <c r="H4121" s="6">
        <f t="shared" si="128"/>
        <v>20.687500000000171</v>
      </c>
      <c r="I4121" s="7">
        <f t="shared" si="129"/>
        <v>20.687500000000171</v>
      </c>
    </row>
    <row r="4122" spans="1:9" x14ac:dyDescent="0.2">
      <c r="A4122" t="s">
        <v>4519</v>
      </c>
      <c r="B4122">
        <v>4.9219999999999997</v>
      </c>
      <c r="C4122">
        <v>6.8949999999999997E-2</v>
      </c>
      <c r="D4122">
        <v>276</v>
      </c>
      <c r="E4122" t="s">
        <v>4519</v>
      </c>
      <c r="F4122">
        <v>275</v>
      </c>
      <c r="G4122" s="1">
        <v>45201</v>
      </c>
      <c r="H4122" s="6">
        <f t="shared" si="128"/>
        <v>20.697916666666838</v>
      </c>
      <c r="I4122" s="7">
        <f t="shared" si="129"/>
        <v>20.697916666666838</v>
      </c>
    </row>
    <row r="4123" spans="1:9" x14ac:dyDescent="0.2">
      <c r="A4123" t="s">
        <v>4520</v>
      </c>
      <c r="B4123">
        <v>4.9279999999999999</v>
      </c>
      <c r="C4123">
        <v>6.9025000000000003E-2</v>
      </c>
      <c r="D4123">
        <v>276</v>
      </c>
      <c r="E4123" t="s">
        <v>4520</v>
      </c>
      <c r="F4123">
        <v>275</v>
      </c>
      <c r="G4123" s="1">
        <v>45201</v>
      </c>
      <c r="H4123" s="6">
        <f t="shared" si="128"/>
        <v>20.708333333333506</v>
      </c>
      <c r="I4123" s="7">
        <f t="shared" si="129"/>
        <v>20.708333333333506</v>
      </c>
    </row>
    <row r="4124" spans="1:9" x14ac:dyDescent="0.2">
      <c r="A4124" t="s">
        <v>4521</v>
      </c>
      <c r="B4124">
        <v>4.9904999999999999</v>
      </c>
      <c r="C4124">
        <v>6.9894999999999999E-2</v>
      </c>
      <c r="D4124">
        <v>276</v>
      </c>
      <c r="E4124" t="s">
        <v>4521</v>
      </c>
      <c r="F4124">
        <v>275</v>
      </c>
      <c r="G4124" s="1">
        <v>45201</v>
      </c>
      <c r="H4124" s="6">
        <f t="shared" ref="H4124:H4187" si="130">H4123+$K$1</f>
        <v>20.718750000000174</v>
      </c>
      <c r="I4124" s="7">
        <f t="shared" ref="I4124:I4187" si="131">I4123+$K$1</f>
        <v>20.718750000000174</v>
      </c>
    </row>
    <row r="4125" spans="1:9" x14ac:dyDescent="0.2">
      <c r="A4125" t="s">
        <v>4522</v>
      </c>
      <c r="B4125">
        <v>5.0119999999999996</v>
      </c>
      <c r="C4125">
        <v>7.0205000000000004E-2</v>
      </c>
      <c r="D4125">
        <v>276</v>
      </c>
      <c r="E4125" t="s">
        <v>4522</v>
      </c>
      <c r="F4125">
        <v>275</v>
      </c>
      <c r="G4125" s="1">
        <v>45201</v>
      </c>
      <c r="H4125" s="6">
        <f t="shared" si="130"/>
        <v>20.729166666666842</v>
      </c>
      <c r="I4125" s="7">
        <f t="shared" si="131"/>
        <v>20.729166666666842</v>
      </c>
    </row>
    <row r="4126" spans="1:9" x14ac:dyDescent="0.2">
      <c r="A4126" t="s">
        <v>4523</v>
      </c>
      <c r="B4126">
        <v>5.1254999999999997</v>
      </c>
      <c r="C4126">
        <v>7.1764999999999995E-2</v>
      </c>
      <c r="D4126">
        <v>276</v>
      </c>
      <c r="E4126" t="s">
        <v>4523</v>
      </c>
      <c r="F4126">
        <v>275</v>
      </c>
      <c r="G4126" s="1">
        <v>45201</v>
      </c>
      <c r="H4126" s="6">
        <f t="shared" si="130"/>
        <v>20.73958333333351</v>
      </c>
      <c r="I4126" s="7">
        <f t="shared" si="131"/>
        <v>20.73958333333351</v>
      </c>
    </row>
    <row r="4127" spans="1:9" x14ac:dyDescent="0.2">
      <c r="A4127" t="s">
        <v>4524</v>
      </c>
      <c r="B4127">
        <v>5.1375000000000002</v>
      </c>
      <c r="C4127">
        <v>7.1934999999999999E-2</v>
      </c>
      <c r="D4127">
        <v>276</v>
      </c>
      <c r="E4127" t="s">
        <v>4524</v>
      </c>
      <c r="F4127">
        <v>275</v>
      </c>
      <c r="G4127" s="1">
        <v>45201</v>
      </c>
      <c r="H4127" s="6">
        <f t="shared" si="130"/>
        <v>20.750000000000178</v>
      </c>
      <c r="I4127" s="7">
        <f t="shared" si="131"/>
        <v>20.750000000000178</v>
      </c>
    </row>
    <row r="4128" spans="1:9" x14ac:dyDescent="0.2">
      <c r="A4128" t="s">
        <v>4525</v>
      </c>
      <c r="B4128">
        <v>5.1609999999999996</v>
      </c>
      <c r="C4128">
        <v>7.2294999999999998E-2</v>
      </c>
      <c r="D4128">
        <v>276</v>
      </c>
      <c r="E4128" t="s">
        <v>4525</v>
      </c>
      <c r="F4128">
        <v>275</v>
      </c>
      <c r="G4128" s="1">
        <v>45201</v>
      </c>
      <c r="H4128" s="6">
        <f t="shared" si="130"/>
        <v>20.760416666666845</v>
      </c>
      <c r="I4128" s="7">
        <f t="shared" si="131"/>
        <v>20.760416666666845</v>
      </c>
    </row>
    <row r="4129" spans="1:9" x14ac:dyDescent="0.2">
      <c r="A4129" t="s">
        <v>4526</v>
      </c>
      <c r="B4129">
        <v>5.2205000000000004</v>
      </c>
      <c r="C4129">
        <v>7.3124999999999996E-2</v>
      </c>
      <c r="D4129">
        <v>276</v>
      </c>
      <c r="E4129" t="s">
        <v>4526</v>
      </c>
      <c r="F4129">
        <v>275</v>
      </c>
      <c r="G4129" s="1">
        <v>45201</v>
      </c>
      <c r="H4129" s="6">
        <f t="shared" si="130"/>
        <v>20.770833333333513</v>
      </c>
      <c r="I4129" s="7">
        <f t="shared" si="131"/>
        <v>20.770833333333513</v>
      </c>
    </row>
    <row r="4130" spans="1:9" x14ac:dyDescent="0.2">
      <c r="A4130" t="s">
        <v>4527</v>
      </c>
      <c r="B4130">
        <v>5.2275</v>
      </c>
      <c r="C4130">
        <v>7.3205000000000006E-2</v>
      </c>
      <c r="D4130">
        <v>276</v>
      </c>
      <c r="E4130" t="s">
        <v>4527</v>
      </c>
      <c r="F4130">
        <v>275</v>
      </c>
      <c r="G4130" s="1">
        <v>45201</v>
      </c>
      <c r="H4130" s="6">
        <f t="shared" si="130"/>
        <v>20.781250000000181</v>
      </c>
      <c r="I4130" s="7">
        <f t="shared" si="131"/>
        <v>20.781250000000181</v>
      </c>
    </row>
    <row r="4131" spans="1:9" x14ac:dyDescent="0.2">
      <c r="A4131" t="s">
        <v>4528</v>
      </c>
      <c r="B4131" s="2" t="s">
        <v>4529</v>
      </c>
      <c r="C4131">
        <v>7.3385000000000006E-2</v>
      </c>
      <c r="D4131">
        <v>276</v>
      </c>
      <c r="E4131" t="s">
        <v>4528</v>
      </c>
      <c r="F4131">
        <v>275</v>
      </c>
      <c r="G4131" s="1">
        <v>45201</v>
      </c>
      <c r="H4131" s="6">
        <f t="shared" si="130"/>
        <v>20.791666666666849</v>
      </c>
      <c r="I4131" s="7">
        <f t="shared" si="131"/>
        <v>20.791666666666849</v>
      </c>
    </row>
    <row r="4132" spans="1:9" x14ac:dyDescent="0.2">
      <c r="A4132" t="s">
        <v>4530</v>
      </c>
      <c r="B4132">
        <v>5.3014999999999999</v>
      </c>
      <c r="C4132">
        <v>7.4255000000000002E-2</v>
      </c>
      <c r="D4132">
        <v>276</v>
      </c>
      <c r="E4132" t="s">
        <v>4530</v>
      </c>
      <c r="F4132">
        <v>275</v>
      </c>
      <c r="G4132" s="1">
        <v>45201</v>
      </c>
      <c r="H4132" s="6">
        <f t="shared" si="130"/>
        <v>20.802083333333517</v>
      </c>
      <c r="I4132" s="7">
        <f t="shared" si="131"/>
        <v>20.802083333333517</v>
      </c>
    </row>
    <row r="4133" spans="1:9" x14ac:dyDescent="0.2">
      <c r="A4133" t="s">
        <v>4531</v>
      </c>
      <c r="B4133">
        <v>5.31</v>
      </c>
      <c r="C4133">
        <v>7.4370000000000006E-2</v>
      </c>
      <c r="D4133">
        <v>276</v>
      </c>
      <c r="E4133" t="s">
        <v>4531</v>
      </c>
      <c r="F4133">
        <v>275</v>
      </c>
      <c r="G4133" s="1">
        <v>45201</v>
      </c>
      <c r="H4133" s="6">
        <f t="shared" si="130"/>
        <v>20.812500000000185</v>
      </c>
      <c r="I4133" s="7">
        <f t="shared" si="131"/>
        <v>20.812500000000185</v>
      </c>
    </row>
    <row r="4134" spans="1:9" x14ac:dyDescent="0.2">
      <c r="A4134" t="s">
        <v>4532</v>
      </c>
      <c r="B4134">
        <v>5.3425000000000002</v>
      </c>
      <c r="C4134">
        <v>7.4840000000000004E-2</v>
      </c>
      <c r="D4134">
        <v>276</v>
      </c>
      <c r="E4134" t="s">
        <v>4532</v>
      </c>
      <c r="F4134">
        <v>275</v>
      </c>
      <c r="G4134" s="1">
        <v>45201</v>
      </c>
      <c r="H4134" s="6">
        <f t="shared" si="130"/>
        <v>20.822916666666853</v>
      </c>
      <c r="I4134" s="7">
        <f t="shared" si="131"/>
        <v>20.822916666666853</v>
      </c>
    </row>
    <row r="4135" spans="1:9" x14ac:dyDescent="0.2">
      <c r="A4135" t="s">
        <v>4533</v>
      </c>
      <c r="B4135">
        <v>5.3559999999999999</v>
      </c>
      <c r="C4135">
        <v>7.5009999999999993E-2</v>
      </c>
      <c r="D4135">
        <v>276</v>
      </c>
      <c r="E4135" t="s">
        <v>4533</v>
      </c>
      <c r="F4135">
        <v>275</v>
      </c>
      <c r="G4135" s="1">
        <v>45201</v>
      </c>
      <c r="H4135" s="6">
        <f t="shared" si="130"/>
        <v>20.83333333333352</v>
      </c>
      <c r="I4135" s="7">
        <f t="shared" si="131"/>
        <v>20.83333333333352</v>
      </c>
    </row>
    <row r="4136" spans="1:9" x14ac:dyDescent="0.2">
      <c r="A4136" t="s">
        <v>4534</v>
      </c>
      <c r="B4136">
        <v>5.4</v>
      </c>
      <c r="C4136">
        <v>7.5634999999999994E-2</v>
      </c>
      <c r="D4136">
        <v>276</v>
      </c>
      <c r="E4136" t="s">
        <v>4534</v>
      </c>
      <c r="F4136">
        <v>275</v>
      </c>
      <c r="G4136" s="1">
        <v>45201</v>
      </c>
      <c r="H4136" s="6">
        <f t="shared" si="130"/>
        <v>20.843750000000188</v>
      </c>
      <c r="I4136" s="7">
        <f t="shared" si="131"/>
        <v>20.843750000000188</v>
      </c>
    </row>
    <row r="4137" spans="1:9" x14ac:dyDescent="0.2">
      <c r="A4137" t="s">
        <v>4535</v>
      </c>
      <c r="B4137">
        <v>5.3775000000000004</v>
      </c>
      <c r="C4137">
        <v>7.5310000000000002E-2</v>
      </c>
      <c r="D4137">
        <v>276</v>
      </c>
      <c r="E4137" t="s">
        <v>4535</v>
      </c>
      <c r="F4137">
        <v>275</v>
      </c>
      <c r="G4137" s="1">
        <v>45201</v>
      </c>
      <c r="H4137" s="6">
        <f t="shared" si="130"/>
        <v>20.854166666666856</v>
      </c>
      <c r="I4137" s="7">
        <f t="shared" si="131"/>
        <v>20.854166666666856</v>
      </c>
    </row>
    <row r="4138" spans="1:9" x14ac:dyDescent="0.2">
      <c r="A4138" t="s">
        <v>4536</v>
      </c>
      <c r="B4138">
        <v>5.3620000000000001</v>
      </c>
      <c r="C4138">
        <v>7.51E-2</v>
      </c>
      <c r="D4138">
        <v>276</v>
      </c>
      <c r="E4138" t="s">
        <v>4536</v>
      </c>
      <c r="F4138">
        <v>276</v>
      </c>
      <c r="G4138" s="1">
        <v>45202</v>
      </c>
      <c r="H4138" s="6">
        <f t="shared" si="130"/>
        <v>20.864583333333524</v>
      </c>
      <c r="I4138" s="7">
        <f t="shared" si="131"/>
        <v>20.864583333333524</v>
      </c>
    </row>
    <row r="4139" spans="1:9" x14ac:dyDescent="0.2">
      <c r="A4139" t="s">
        <v>4537</v>
      </c>
      <c r="B4139">
        <v>5.3935000000000004</v>
      </c>
      <c r="C4139">
        <v>7.5549999999999895E-2</v>
      </c>
      <c r="D4139">
        <v>276</v>
      </c>
      <c r="E4139" t="s">
        <v>4537</v>
      </c>
      <c r="F4139">
        <v>276</v>
      </c>
      <c r="G4139" s="1">
        <v>45202</v>
      </c>
      <c r="H4139" s="6">
        <f t="shared" si="130"/>
        <v>20.875000000000192</v>
      </c>
      <c r="I4139" s="7">
        <f t="shared" si="131"/>
        <v>20.875000000000192</v>
      </c>
    </row>
    <row r="4140" spans="1:9" x14ac:dyDescent="0.2">
      <c r="A4140" t="s">
        <v>4538</v>
      </c>
      <c r="B4140">
        <v>5.4119999999999999</v>
      </c>
      <c r="C4140">
        <v>7.5800000000000006E-2</v>
      </c>
      <c r="D4140">
        <v>276</v>
      </c>
      <c r="E4140" t="s">
        <v>4538</v>
      </c>
      <c r="F4140">
        <v>276</v>
      </c>
      <c r="G4140" s="1">
        <v>45202</v>
      </c>
      <c r="H4140" s="6">
        <f t="shared" si="130"/>
        <v>20.88541666666686</v>
      </c>
      <c r="I4140" s="7">
        <f t="shared" si="131"/>
        <v>20.88541666666686</v>
      </c>
    </row>
    <row r="4141" spans="1:9" x14ac:dyDescent="0.2">
      <c r="A4141" t="s">
        <v>4539</v>
      </c>
      <c r="B4141">
        <v>5.3935000000000004</v>
      </c>
      <c r="C4141">
        <v>7.553E-2</v>
      </c>
      <c r="D4141">
        <v>276</v>
      </c>
      <c r="E4141" t="s">
        <v>4539</v>
      </c>
      <c r="F4141">
        <v>276</v>
      </c>
      <c r="G4141" s="1">
        <v>45202</v>
      </c>
      <c r="H4141" s="6">
        <f t="shared" si="130"/>
        <v>20.895833333333528</v>
      </c>
      <c r="I4141" s="7">
        <f t="shared" si="131"/>
        <v>20.895833333333528</v>
      </c>
    </row>
    <row r="4142" spans="1:9" x14ac:dyDescent="0.2">
      <c r="A4142" t="s">
        <v>4540</v>
      </c>
      <c r="B4142">
        <v>5.3914999999999997</v>
      </c>
      <c r="C4142">
        <v>7.5520000000000004E-2</v>
      </c>
      <c r="D4142">
        <v>276</v>
      </c>
      <c r="E4142" t="s">
        <v>4540</v>
      </c>
      <c r="F4142">
        <v>276</v>
      </c>
      <c r="G4142" s="1">
        <v>45202</v>
      </c>
      <c r="H4142" s="6">
        <f t="shared" si="130"/>
        <v>20.906250000000195</v>
      </c>
      <c r="I4142" s="7">
        <f t="shared" si="131"/>
        <v>20.906250000000195</v>
      </c>
    </row>
    <row r="4143" spans="1:9" x14ac:dyDescent="0.2">
      <c r="A4143" t="s">
        <v>4541</v>
      </c>
      <c r="B4143">
        <v>5.4370000000000003</v>
      </c>
      <c r="C4143">
        <v>7.6145000000000004E-2</v>
      </c>
      <c r="D4143">
        <v>276</v>
      </c>
      <c r="E4143" t="s">
        <v>4541</v>
      </c>
      <c r="F4143">
        <v>276</v>
      </c>
      <c r="G4143" s="1">
        <v>45202</v>
      </c>
      <c r="H4143" s="6">
        <f t="shared" si="130"/>
        <v>20.916666666666863</v>
      </c>
      <c r="I4143" s="7">
        <f t="shared" si="131"/>
        <v>20.916666666666863</v>
      </c>
    </row>
    <row r="4144" spans="1:9" x14ac:dyDescent="0.2">
      <c r="A4144" t="s">
        <v>4542</v>
      </c>
      <c r="B4144">
        <v>5.4180000000000001</v>
      </c>
      <c r="C4144">
        <v>7.5880000000000003E-2</v>
      </c>
      <c r="D4144">
        <v>276</v>
      </c>
      <c r="E4144" t="s">
        <v>4542</v>
      </c>
      <c r="F4144">
        <v>276</v>
      </c>
      <c r="G4144" s="1">
        <v>45202</v>
      </c>
      <c r="H4144" s="6">
        <f t="shared" si="130"/>
        <v>20.927083333333531</v>
      </c>
      <c r="I4144" s="7">
        <f t="shared" si="131"/>
        <v>20.927083333333531</v>
      </c>
    </row>
    <row r="4145" spans="1:9" x14ac:dyDescent="0.2">
      <c r="A4145" t="s">
        <v>4543</v>
      </c>
      <c r="B4145">
        <v>5.39</v>
      </c>
      <c r="C4145">
        <v>7.5490000000000002E-2</v>
      </c>
      <c r="D4145">
        <v>276</v>
      </c>
      <c r="E4145" t="s">
        <v>4543</v>
      </c>
      <c r="F4145">
        <v>276</v>
      </c>
      <c r="G4145" s="1">
        <v>45202</v>
      </c>
      <c r="H4145" s="6">
        <f t="shared" si="130"/>
        <v>20.937500000000199</v>
      </c>
      <c r="I4145" s="7">
        <f t="shared" si="131"/>
        <v>20.937500000000199</v>
      </c>
    </row>
    <row r="4146" spans="1:9" x14ac:dyDescent="0.2">
      <c r="A4146" t="s">
        <v>4544</v>
      </c>
      <c r="B4146">
        <v>5.4009999999999998</v>
      </c>
      <c r="C4146">
        <v>7.5655E-2</v>
      </c>
      <c r="D4146">
        <v>276</v>
      </c>
      <c r="E4146" t="s">
        <v>4544</v>
      </c>
      <c r="F4146">
        <v>276</v>
      </c>
      <c r="G4146" s="1">
        <v>45202</v>
      </c>
      <c r="H4146" s="6">
        <f t="shared" si="130"/>
        <v>20.947916666666867</v>
      </c>
      <c r="I4146" s="7">
        <f t="shared" si="131"/>
        <v>20.947916666666867</v>
      </c>
    </row>
    <row r="4147" spans="1:9" x14ac:dyDescent="0.2">
      <c r="A4147" t="s">
        <v>4545</v>
      </c>
      <c r="B4147">
        <v>5.3875000000000002</v>
      </c>
      <c r="C4147">
        <v>7.5454999999999994E-2</v>
      </c>
      <c r="D4147">
        <v>276</v>
      </c>
      <c r="E4147" t="s">
        <v>4545</v>
      </c>
      <c r="F4147">
        <v>276</v>
      </c>
      <c r="G4147" s="1">
        <v>45202</v>
      </c>
      <c r="H4147" s="6">
        <f t="shared" si="130"/>
        <v>20.958333333333535</v>
      </c>
      <c r="I4147" s="7">
        <f t="shared" si="131"/>
        <v>20.958333333333535</v>
      </c>
    </row>
    <row r="4148" spans="1:9" x14ac:dyDescent="0.2">
      <c r="A4148" t="s">
        <v>4546</v>
      </c>
      <c r="B4148">
        <v>5.399</v>
      </c>
      <c r="C4148">
        <v>7.5624999999999998E-2</v>
      </c>
      <c r="D4148">
        <v>276</v>
      </c>
      <c r="E4148" t="s">
        <v>4546</v>
      </c>
      <c r="F4148">
        <v>276</v>
      </c>
      <c r="G4148" s="1">
        <v>45202</v>
      </c>
      <c r="H4148" s="6">
        <f t="shared" si="130"/>
        <v>20.968750000000203</v>
      </c>
      <c r="I4148" s="7">
        <f t="shared" si="131"/>
        <v>20.968750000000203</v>
      </c>
    </row>
    <row r="4149" spans="1:9" x14ac:dyDescent="0.2">
      <c r="A4149" t="s">
        <v>4547</v>
      </c>
      <c r="B4149">
        <v>5.4195000000000002</v>
      </c>
      <c r="C4149">
        <v>7.5899999999999995E-2</v>
      </c>
      <c r="D4149">
        <v>276</v>
      </c>
      <c r="E4149" t="s">
        <v>4547</v>
      </c>
      <c r="F4149">
        <v>276</v>
      </c>
      <c r="G4149" s="1">
        <v>45202</v>
      </c>
      <c r="H4149" s="6">
        <f t="shared" si="130"/>
        <v>20.97916666666687</v>
      </c>
      <c r="I4149" s="7">
        <f t="shared" si="131"/>
        <v>20.97916666666687</v>
      </c>
    </row>
    <row r="4150" spans="1:9" x14ac:dyDescent="0.2">
      <c r="A4150" t="s">
        <v>4548</v>
      </c>
      <c r="B4150">
        <v>5.4195000000000002</v>
      </c>
      <c r="C4150">
        <v>7.5929999999999997E-2</v>
      </c>
      <c r="D4150">
        <v>276</v>
      </c>
      <c r="E4150" t="s">
        <v>4548</v>
      </c>
      <c r="F4150">
        <v>276</v>
      </c>
      <c r="G4150" s="1">
        <v>45202</v>
      </c>
      <c r="H4150" s="6">
        <f t="shared" si="130"/>
        <v>20.989583333333538</v>
      </c>
      <c r="I4150" s="7">
        <f t="shared" si="131"/>
        <v>20.989583333333538</v>
      </c>
    </row>
    <row r="4151" spans="1:9" x14ac:dyDescent="0.2">
      <c r="A4151" t="s">
        <v>4549</v>
      </c>
      <c r="B4151">
        <v>5.4474999999999998</v>
      </c>
      <c r="C4151">
        <v>7.6304999999999998E-2</v>
      </c>
      <c r="D4151">
        <v>276</v>
      </c>
      <c r="E4151" t="s">
        <v>4549</v>
      </c>
      <c r="F4151">
        <v>276</v>
      </c>
      <c r="G4151" s="1">
        <v>45202</v>
      </c>
      <c r="H4151" s="6">
        <f t="shared" si="130"/>
        <v>21.000000000000206</v>
      </c>
      <c r="I4151" s="7">
        <f t="shared" si="131"/>
        <v>21.000000000000206</v>
      </c>
    </row>
    <row r="4152" spans="1:9" x14ac:dyDescent="0.2">
      <c r="A4152" t="s">
        <v>4550</v>
      </c>
      <c r="B4152" s="2" t="s">
        <v>4551</v>
      </c>
      <c r="C4152">
        <v>7.5454999999999994E-2</v>
      </c>
      <c r="D4152">
        <v>276</v>
      </c>
      <c r="E4152" t="s">
        <v>4550</v>
      </c>
      <c r="F4152">
        <v>276</v>
      </c>
      <c r="G4152" s="1">
        <v>45202</v>
      </c>
      <c r="H4152" s="6">
        <f t="shared" si="130"/>
        <v>21.010416666666874</v>
      </c>
      <c r="I4152" s="7">
        <f t="shared" si="131"/>
        <v>21.010416666666874</v>
      </c>
    </row>
    <row r="4153" spans="1:9" x14ac:dyDescent="0.2">
      <c r="A4153" t="s">
        <v>4552</v>
      </c>
      <c r="B4153">
        <v>5.3979999999999997</v>
      </c>
      <c r="C4153">
        <v>7.5620000000000007E-2</v>
      </c>
      <c r="D4153">
        <v>276</v>
      </c>
      <c r="E4153" t="s">
        <v>4552</v>
      </c>
      <c r="F4153">
        <v>276</v>
      </c>
      <c r="G4153" s="1">
        <v>45202</v>
      </c>
      <c r="H4153" s="6">
        <f t="shared" si="130"/>
        <v>21.020833333333542</v>
      </c>
      <c r="I4153" s="7">
        <f t="shared" si="131"/>
        <v>21.020833333333542</v>
      </c>
    </row>
    <row r="4154" spans="1:9" x14ac:dyDescent="0.2">
      <c r="A4154" t="s">
        <v>4553</v>
      </c>
      <c r="B4154">
        <v>5.4035000000000002</v>
      </c>
      <c r="C4154">
        <v>7.5675000000000006E-2</v>
      </c>
      <c r="D4154">
        <v>276</v>
      </c>
      <c r="E4154" t="s">
        <v>4553</v>
      </c>
      <c r="F4154">
        <v>276</v>
      </c>
      <c r="G4154" s="1">
        <v>45202</v>
      </c>
      <c r="H4154" s="6">
        <f t="shared" si="130"/>
        <v>21.03125000000021</v>
      </c>
      <c r="I4154" s="7">
        <f t="shared" si="131"/>
        <v>21.03125000000021</v>
      </c>
    </row>
    <row r="4155" spans="1:9" x14ac:dyDescent="0.2">
      <c r="A4155" t="s">
        <v>4554</v>
      </c>
      <c r="B4155">
        <v>5.4615</v>
      </c>
      <c r="C4155">
        <v>7.6490000000000002E-2</v>
      </c>
      <c r="D4155">
        <v>276</v>
      </c>
      <c r="E4155" t="s">
        <v>4554</v>
      </c>
      <c r="F4155">
        <v>276</v>
      </c>
      <c r="G4155" s="1">
        <v>45202</v>
      </c>
      <c r="H4155" s="6">
        <f t="shared" si="130"/>
        <v>21.041666666666877</v>
      </c>
      <c r="I4155" s="7">
        <f t="shared" si="131"/>
        <v>21.041666666666877</v>
      </c>
    </row>
    <row r="4156" spans="1:9" x14ac:dyDescent="0.2">
      <c r="A4156" t="s">
        <v>4555</v>
      </c>
      <c r="B4156">
        <v>5.4050000000000002</v>
      </c>
      <c r="C4156">
        <v>7.5734999999999997E-2</v>
      </c>
      <c r="D4156">
        <v>276</v>
      </c>
      <c r="E4156" t="s">
        <v>4555</v>
      </c>
      <c r="F4156">
        <v>276</v>
      </c>
      <c r="G4156" s="1">
        <v>45202</v>
      </c>
      <c r="H4156" s="6">
        <f t="shared" si="130"/>
        <v>21.052083333333545</v>
      </c>
      <c r="I4156" s="7">
        <f t="shared" si="131"/>
        <v>21.052083333333545</v>
      </c>
    </row>
    <row r="4157" spans="1:9" x14ac:dyDescent="0.2">
      <c r="A4157" t="s">
        <v>4556</v>
      </c>
      <c r="B4157">
        <v>5.4524999999999997</v>
      </c>
      <c r="C4157">
        <v>7.6350000000000001E-2</v>
      </c>
      <c r="D4157">
        <v>276</v>
      </c>
      <c r="E4157" t="s">
        <v>4556</v>
      </c>
      <c r="F4157">
        <v>276</v>
      </c>
      <c r="G4157" s="1">
        <v>45202</v>
      </c>
      <c r="H4157" s="6">
        <f t="shared" si="130"/>
        <v>21.062500000000213</v>
      </c>
      <c r="I4157" s="7">
        <f t="shared" si="131"/>
        <v>21.062500000000213</v>
      </c>
    </row>
    <row r="4158" spans="1:9" x14ac:dyDescent="0.2">
      <c r="A4158" t="s">
        <v>4557</v>
      </c>
      <c r="B4158">
        <v>5.4720000000000004</v>
      </c>
      <c r="C4158">
        <v>7.664E-2</v>
      </c>
      <c r="D4158">
        <v>276</v>
      </c>
      <c r="E4158" t="s">
        <v>4557</v>
      </c>
      <c r="F4158">
        <v>276</v>
      </c>
      <c r="G4158" s="1">
        <v>45202</v>
      </c>
      <c r="H4158" s="6">
        <f t="shared" si="130"/>
        <v>21.072916666666881</v>
      </c>
      <c r="I4158" s="7">
        <f t="shared" si="131"/>
        <v>21.072916666666881</v>
      </c>
    </row>
    <row r="4159" spans="1:9" x14ac:dyDescent="0.2">
      <c r="A4159" t="s">
        <v>4558</v>
      </c>
      <c r="B4159">
        <v>5.4414999999999996</v>
      </c>
      <c r="C4159">
        <v>7.6219999999999996E-2</v>
      </c>
      <c r="D4159">
        <v>276</v>
      </c>
      <c r="E4159" t="s">
        <v>4558</v>
      </c>
      <c r="F4159">
        <v>276</v>
      </c>
      <c r="G4159" s="1">
        <v>45202</v>
      </c>
      <c r="H4159" s="6">
        <f t="shared" si="130"/>
        <v>21.083333333333549</v>
      </c>
      <c r="I4159" s="7">
        <f t="shared" si="131"/>
        <v>21.083333333333549</v>
      </c>
    </row>
    <row r="4160" spans="1:9" x14ac:dyDescent="0.2">
      <c r="A4160" t="s">
        <v>4559</v>
      </c>
      <c r="B4160">
        <v>5.4260000000000002</v>
      </c>
      <c r="C4160">
        <v>7.6020000000000004E-2</v>
      </c>
      <c r="D4160">
        <v>276</v>
      </c>
      <c r="E4160" t="s">
        <v>4559</v>
      </c>
      <c r="F4160">
        <v>276</v>
      </c>
      <c r="G4160" s="1">
        <v>45202</v>
      </c>
      <c r="H4160" s="6">
        <f t="shared" si="130"/>
        <v>21.093750000000217</v>
      </c>
      <c r="I4160" s="7">
        <f t="shared" si="131"/>
        <v>21.093750000000217</v>
      </c>
    </row>
    <row r="4161" spans="1:9" x14ac:dyDescent="0.2">
      <c r="A4161" t="s">
        <v>4560</v>
      </c>
      <c r="B4161" s="2" t="s">
        <v>4561</v>
      </c>
      <c r="C4161">
        <v>7.6310000000000003E-2</v>
      </c>
      <c r="D4161">
        <v>276</v>
      </c>
      <c r="E4161" t="s">
        <v>4560</v>
      </c>
      <c r="F4161">
        <v>276</v>
      </c>
      <c r="G4161" s="1">
        <v>45202</v>
      </c>
      <c r="H4161" s="6">
        <f t="shared" si="130"/>
        <v>21.104166666666885</v>
      </c>
      <c r="I4161" s="7">
        <f t="shared" si="131"/>
        <v>21.104166666666885</v>
      </c>
    </row>
    <row r="4162" spans="1:9" x14ac:dyDescent="0.2">
      <c r="A4162" t="s">
        <v>4562</v>
      </c>
      <c r="B4162">
        <v>5.4195000000000002</v>
      </c>
      <c r="C4162">
        <v>7.5905E-2</v>
      </c>
      <c r="D4162">
        <v>276</v>
      </c>
      <c r="E4162" t="s">
        <v>4562</v>
      </c>
      <c r="F4162">
        <v>276</v>
      </c>
      <c r="G4162" s="1">
        <v>45202</v>
      </c>
      <c r="H4162" s="6">
        <f t="shared" si="130"/>
        <v>21.114583333333552</v>
      </c>
      <c r="I4162" s="7">
        <f t="shared" si="131"/>
        <v>21.114583333333552</v>
      </c>
    </row>
    <row r="4163" spans="1:9" x14ac:dyDescent="0.2">
      <c r="A4163" t="s">
        <v>4563</v>
      </c>
      <c r="B4163">
        <v>5.4424999999999999</v>
      </c>
      <c r="C4163">
        <v>7.6249999999999998E-2</v>
      </c>
      <c r="D4163">
        <v>276</v>
      </c>
      <c r="E4163" t="s">
        <v>4563</v>
      </c>
      <c r="F4163">
        <v>276</v>
      </c>
      <c r="G4163" s="1">
        <v>45202</v>
      </c>
      <c r="H4163" s="6">
        <f t="shared" si="130"/>
        <v>21.12500000000022</v>
      </c>
      <c r="I4163" s="7">
        <f t="shared" si="131"/>
        <v>21.12500000000022</v>
      </c>
    </row>
    <row r="4164" spans="1:9" x14ac:dyDescent="0.2">
      <c r="A4164" t="s">
        <v>4564</v>
      </c>
      <c r="B4164">
        <v>5.4015000000000004</v>
      </c>
      <c r="C4164">
        <v>7.5655E-2</v>
      </c>
      <c r="D4164">
        <v>276</v>
      </c>
      <c r="E4164" t="s">
        <v>4564</v>
      </c>
      <c r="F4164">
        <v>276</v>
      </c>
      <c r="G4164" s="1">
        <v>45202</v>
      </c>
      <c r="H4164" s="6">
        <f t="shared" si="130"/>
        <v>21.135416666666888</v>
      </c>
      <c r="I4164" s="7">
        <f t="shared" si="131"/>
        <v>21.135416666666888</v>
      </c>
    </row>
    <row r="4165" spans="1:9" x14ac:dyDescent="0.2">
      <c r="A4165" t="s">
        <v>4565</v>
      </c>
      <c r="B4165">
        <v>5.3795000000000002</v>
      </c>
      <c r="C4165">
        <v>7.5340000000000004E-2</v>
      </c>
      <c r="D4165">
        <v>276</v>
      </c>
      <c r="E4165" t="s">
        <v>4565</v>
      </c>
      <c r="F4165">
        <v>276</v>
      </c>
      <c r="G4165" s="1">
        <v>45202</v>
      </c>
      <c r="H4165" s="6">
        <f t="shared" si="130"/>
        <v>21.145833333333556</v>
      </c>
      <c r="I4165" s="7">
        <f t="shared" si="131"/>
        <v>21.145833333333556</v>
      </c>
    </row>
    <row r="4166" spans="1:9" x14ac:dyDescent="0.2">
      <c r="A4166" t="s">
        <v>4566</v>
      </c>
      <c r="B4166">
        <v>5.4074999999999998</v>
      </c>
      <c r="C4166">
        <v>7.5745000000000007E-2</v>
      </c>
      <c r="D4166">
        <v>276</v>
      </c>
      <c r="E4166" t="s">
        <v>4566</v>
      </c>
      <c r="F4166">
        <v>276</v>
      </c>
      <c r="G4166" s="1">
        <v>45202</v>
      </c>
      <c r="H4166" s="6">
        <f t="shared" si="130"/>
        <v>21.156250000000224</v>
      </c>
      <c r="I4166" s="7">
        <f t="shared" si="131"/>
        <v>21.156250000000224</v>
      </c>
    </row>
    <row r="4167" spans="1:9" x14ac:dyDescent="0.2">
      <c r="A4167" t="s">
        <v>4567</v>
      </c>
      <c r="B4167">
        <v>5.3940000000000001</v>
      </c>
      <c r="C4167">
        <v>7.5545000000000001E-2</v>
      </c>
      <c r="D4167">
        <v>276</v>
      </c>
      <c r="E4167" t="s">
        <v>4567</v>
      </c>
      <c r="F4167">
        <v>276</v>
      </c>
      <c r="G4167" s="1">
        <v>45202</v>
      </c>
      <c r="H4167" s="6">
        <f t="shared" si="130"/>
        <v>21.166666666666892</v>
      </c>
      <c r="I4167" s="7">
        <f t="shared" si="131"/>
        <v>21.166666666666892</v>
      </c>
    </row>
    <row r="4168" spans="1:9" x14ac:dyDescent="0.2">
      <c r="A4168" t="s">
        <v>4568</v>
      </c>
      <c r="B4168">
        <v>5.415</v>
      </c>
      <c r="C4168">
        <v>7.5855000000000006E-2</v>
      </c>
      <c r="D4168">
        <v>276</v>
      </c>
      <c r="E4168" t="s">
        <v>4568</v>
      </c>
      <c r="F4168">
        <v>276</v>
      </c>
      <c r="G4168" s="1">
        <v>45202</v>
      </c>
      <c r="H4168" s="6">
        <f t="shared" si="130"/>
        <v>21.17708333333356</v>
      </c>
      <c r="I4168" s="7">
        <f t="shared" si="131"/>
        <v>21.17708333333356</v>
      </c>
    </row>
    <row r="4169" spans="1:9" x14ac:dyDescent="0.2">
      <c r="A4169" t="s">
        <v>4569</v>
      </c>
      <c r="B4169">
        <v>5.4139999999999997</v>
      </c>
      <c r="C4169">
        <v>7.5840000000000005E-2</v>
      </c>
      <c r="D4169">
        <v>276</v>
      </c>
      <c r="E4169" t="s">
        <v>4569</v>
      </c>
      <c r="F4169">
        <v>276</v>
      </c>
      <c r="G4169" s="1">
        <v>45202</v>
      </c>
      <c r="H4169" s="6">
        <f t="shared" si="130"/>
        <v>21.187500000000227</v>
      </c>
      <c r="I4169" s="7">
        <f t="shared" si="131"/>
        <v>21.187500000000227</v>
      </c>
    </row>
    <row r="4170" spans="1:9" x14ac:dyDescent="0.2">
      <c r="A4170" t="s">
        <v>4570</v>
      </c>
      <c r="B4170">
        <v>5.3739999999999997</v>
      </c>
      <c r="C4170">
        <v>7.5264999999999999E-2</v>
      </c>
      <c r="D4170">
        <v>276</v>
      </c>
      <c r="E4170" t="s">
        <v>4570</v>
      </c>
      <c r="F4170">
        <v>276</v>
      </c>
      <c r="G4170" s="1">
        <v>45202</v>
      </c>
      <c r="H4170" s="6">
        <f t="shared" si="130"/>
        <v>21.197916666666895</v>
      </c>
      <c r="I4170" s="7">
        <f t="shared" si="131"/>
        <v>21.197916666666895</v>
      </c>
    </row>
    <row r="4171" spans="1:9" x14ac:dyDescent="0.2">
      <c r="A4171" t="s">
        <v>4571</v>
      </c>
      <c r="B4171">
        <v>5.3630000000000004</v>
      </c>
      <c r="C4171">
        <v>7.5109999999999996E-2</v>
      </c>
      <c r="D4171">
        <v>276</v>
      </c>
      <c r="E4171" t="s">
        <v>4571</v>
      </c>
      <c r="F4171">
        <v>276</v>
      </c>
      <c r="G4171" s="1">
        <v>45202</v>
      </c>
      <c r="H4171" s="6">
        <f t="shared" si="130"/>
        <v>21.208333333333563</v>
      </c>
      <c r="I4171" s="7">
        <f t="shared" si="131"/>
        <v>21.208333333333563</v>
      </c>
    </row>
    <row r="4172" spans="1:9" x14ac:dyDescent="0.2">
      <c r="A4172" t="s">
        <v>4572</v>
      </c>
      <c r="B4172">
        <v>5.3695000000000004</v>
      </c>
      <c r="C4172">
        <v>7.5225E-2</v>
      </c>
      <c r="D4172">
        <v>276</v>
      </c>
      <c r="E4172" t="s">
        <v>4572</v>
      </c>
      <c r="F4172">
        <v>276</v>
      </c>
      <c r="G4172" s="1">
        <v>45202</v>
      </c>
      <c r="H4172" s="6">
        <f t="shared" si="130"/>
        <v>21.218750000000231</v>
      </c>
      <c r="I4172" s="7">
        <f t="shared" si="131"/>
        <v>21.218750000000231</v>
      </c>
    </row>
    <row r="4173" spans="1:9" x14ac:dyDescent="0.2">
      <c r="A4173" t="s">
        <v>4573</v>
      </c>
      <c r="B4173">
        <v>5.3795000000000002</v>
      </c>
      <c r="C4173">
        <v>7.5355000000000005E-2</v>
      </c>
      <c r="D4173">
        <v>276</v>
      </c>
      <c r="E4173" t="s">
        <v>4573</v>
      </c>
      <c r="F4173">
        <v>276</v>
      </c>
      <c r="G4173" s="1">
        <v>45202</v>
      </c>
      <c r="H4173" s="6">
        <f t="shared" si="130"/>
        <v>21.229166666666899</v>
      </c>
      <c r="I4173" s="7">
        <f t="shared" si="131"/>
        <v>21.229166666666899</v>
      </c>
    </row>
    <row r="4174" spans="1:9" x14ac:dyDescent="0.2">
      <c r="A4174" t="s">
        <v>4574</v>
      </c>
      <c r="B4174">
        <v>5.3570000000000002</v>
      </c>
      <c r="C4174">
        <v>7.5024999999999994E-2</v>
      </c>
      <c r="D4174">
        <v>276</v>
      </c>
      <c r="E4174" t="s">
        <v>4574</v>
      </c>
      <c r="F4174">
        <v>276</v>
      </c>
      <c r="G4174" s="1">
        <v>45202</v>
      </c>
      <c r="H4174" s="6">
        <f t="shared" si="130"/>
        <v>21.239583333333567</v>
      </c>
      <c r="I4174" s="7">
        <f t="shared" si="131"/>
        <v>21.239583333333567</v>
      </c>
    </row>
    <row r="4175" spans="1:9" x14ac:dyDescent="0.2">
      <c r="A4175" t="s">
        <v>4575</v>
      </c>
      <c r="B4175">
        <v>5.3345000000000002</v>
      </c>
      <c r="C4175">
        <v>7.4719999999999995E-2</v>
      </c>
      <c r="D4175">
        <v>276</v>
      </c>
      <c r="E4175" t="s">
        <v>4575</v>
      </c>
      <c r="F4175">
        <v>276</v>
      </c>
      <c r="G4175" s="1">
        <v>45202</v>
      </c>
      <c r="H4175" s="6">
        <f t="shared" si="130"/>
        <v>21.250000000000234</v>
      </c>
      <c r="I4175" s="7">
        <f t="shared" si="131"/>
        <v>21.250000000000234</v>
      </c>
    </row>
    <row r="4176" spans="1:9" x14ac:dyDescent="0.2">
      <c r="A4176" t="s">
        <v>4576</v>
      </c>
      <c r="B4176">
        <v>5.2664999999999997</v>
      </c>
      <c r="C4176">
        <v>7.3764999999999997E-2</v>
      </c>
      <c r="D4176">
        <v>276</v>
      </c>
      <c r="E4176" t="s">
        <v>4576</v>
      </c>
      <c r="F4176">
        <v>276</v>
      </c>
      <c r="G4176" s="1">
        <v>45202</v>
      </c>
      <c r="H4176" s="6">
        <f t="shared" si="130"/>
        <v>21.260416666666902</v>
      </c>
      <c r="I4176" s="7">
        <f t="shared" si="131"/>
        <v>21.260416666666902</v>
      </c>
    </row>
    <row r="4177" spans="1:9" x14ac:dyDescent="0.2">
      <c r="A4177" t="s">
        <v>4577</v>
      </c>
      <c r="B4177">
        <v>5.2560000000000002</v>
      </c>
      <c r="C4177">
        <v>7.3609999999999995E-2</v>
      </c>
      <c r="D4177">
        <v>276</v>
      </c>
      <c r="E4177" t="s">
        <v>4577</v>
      </c>
      <c r="F4177">
        <v>276</v>
      </c>
      <c r="G4177" s="1">
        <v>45202</v>
      </c>
      <c r="H4177" s="6">
        <f t="shared" si="130"/>
        <v>21.27083333333357</v>
      </c>
      <c r="I4177" s="7">
        <f t="shared" si="131"/>
        <v>21.27083333333357</v>
      </c>
    </row>
    <row r="4178" spans="1:9" x14ac:dyDescent="0.2">
      <c r="A4178" t="s">
        <v>4578</v>
      </c>
      <c r="B4178">
        <v>5.2149999999999999</v>
      </c>
      <c r="C4178">
        <v>7.3050000000000004E-2</v>
      </c>
      <c r="D4178">
        <v>276</v>
      </c>
      <c r="E4178" t="s">
        <v>4578</v>
      </c>
      <c r="F4178">
        <v>276</v>
      </c>
      <c r="G4178" s="1">
        <v>45202</v>
      </c>
      <c r="H4178" s="6">
        <f t="shared" si="130"/>
        <v>21.281250000000238</v>
      </c>
      <c r="I4178" s="7">
        <f t="shared" si="131"/>
        <v>21.281250000000238</v>
      </c>
    </row>
    <row r="4179" spans="1:9" x14ac:dyDescent="0.2">
      <c r="A4179" t="s">
        <v>4579</v>
      </c>
      <c r="B4179">
        <v>5.1760000000000002</v>
      </c>
      <c r="C4179">
        <v>7.2510000000000005E-2</v>
      </c>
      <c r="D4179">
        <v>276</v>
      </c>
      <c r="E4179" t="s">
        <v>4579</v>
      </c>
      <c r="F4179">
        <v>276</v>
      </c>
      <c r="G4179" s="1">
        <v>45202</v>
      </c>
      <c r="H4179" s="6">
        <f t="shared" si="130"/>
        <v>21.291666666666906</v>
      </c>
      <c r="I4179" s="7">
        <f t="shared" si="131"/>
        <v>21.291666666666906</v>
      </c>
    </row>
    <row r="4180" spans="1:9" x14ac:dyDescent="0.2">
      <c r="A4180" t="s">
        <v>4580</v>
      </c>
      <c r="B4180">
        <v>5.1459999999999999</v>
      </c>
      <c r="C4180">
        <v>7.2090000000000001E-2</v>
      </c>
      <c r="D4180">
        <v>276</v>
      </c>
      <c r="E4180" t="s">
        <v>4580</v>
      </c>
      <c r="F4180">
        <v>276</v>
      </c>
      <c r="G4180" s="1">
        <v>45202</v>
      </c>
      <c r="H4180" s="6">
        <f t="shared" si="130"/>
        <v>21.302083333333574</v>
      </c>
      <c r="I4180" s="7">
        <f t="shared" si="131"/>
        <v>21.302083333333574</v>
      </c>
    </row>
    <row r="4181" spans="1:9" x14ac:dyDescent="0.2">
      <c r="A4181" t="s">
        <v>4581</v>
      </c>
      <c r="B4181">
        <v>5.0054999999999996</v>
      </c>
      <c r="C4181">
        <v>7.0110000000000006E-2</v>
      </c>
      <c r="D4181">
        <v>276</v>
      </c>
      <c r="E4181" t="s">
        <v>4581</v>
      </c>
      <c r="F4181">
        <v>276</v>
      </c>
      <c r="G4181" s="1">
        <v>45202</v>
      </c>
      <c r="H4181" s="6">
        <f t="shared" si="130"/>
        <v>21.312500000000242</v>
      </c>
      <c r="I4181" s="7">
        <f t="shared" si="131"/>
        <v>21.312500000000242</v>
      </c>
    </row>
    <row r="4182" spans="1:9" x14ac:dyDescent="0.2">
      <c r="A4182" t="s">
        <v>4582</v>
      </c>
      <c r="B4182">
        <v>5.0214999999999996</v>
      </c>
      <c r="C4182">
        <v>7.034E-2</v>
      </c>
      <c r="D4182">
        <v>276</v>
      </c>
      <c r="E4182" t="s">
        <v>4582</v>
      </c>
      <c r="F4182">
        <v>276</v>
      </c>
      <c r="G4182" s="1">
        <v>45202</v>
      </c>
      <c r="H4182" s="6">
        <f t="shared" si="130"/>
        <v>21.322916666666909</v>
      </c>
      <c r="I4182" s="7">
        <f t="shared" si="131"/>
        <v>21.322916666666909</v>
      </c>
    </row>
    <row r="4183" spans="1:9" x14ac:dyDescent="0.2">
      <c r="A4183" t="s">
        <v>4583</v>
      </c>
      <c r="B4183">
        <v>4.9855</v>
      </c>
      <c r="C4183">
        <v>6.9819999999999993E-2</v>
      </c>
      <c r="D4183">
        <v>276</v>
      </c>
      <c r="E4183" t="s">
        <v>4583</v>
      </c>
      <c r="F4183">
        <v>276</v>
      </c>
      <c r="G4183" s="1">
        <v>45202</v>
      </c>
      <c r="H4183" s="6">
        <f t="shared" si="130"/>
        <v>21.333333333333577</v>
      </c>
      <c r="I4183" s="7">
        <f t="shared" si="131"/>
        <v>21.333333333333577</v>
      </c>
    </row>
    <row r="4184" spans="1:9" x14ac:dyDescent="0.2">
      <c r="A4184" t="s">
        <v>4584</v>
      </c>
      <c r="B4184">
        <v>4.9444999999999997</v>
      </c>
      <c r="C4184">
        <v>6.9250000000000006E-2</v>
      </c>
      <c r="D4184">
        <v>276</v>
      </c>
      <c r="E4184" t="s">
        <v>4584</v>
      </c>
      <c r="F4184">
        <v>276</v>
      </c>
      <c r="G4184" s="1">
        <v>45202</v>
      </c>
      <c r="H4184" s="6">
        <f t="shared" si="130"/>
        <v>21.343750000000245</v>
      </c>
      <c r="I4184" s="7">
        <f t="shared" si="131"/>
        <v>21.343750000000245</v>
      </c>
    </row>
    <row r="4185" spans="1:9" x14ac:dyDescent="0.2">
      <c r="A4185" t="s">
        <v>4585</v>
      </c>
      <c r="B4185">
        <v>4.8920000000000003</v>
      </c>
      <c r="C4185">
        <v>6.8495E-2</v>
      </c>
      <c r="D4185">
        <v>276</v>
      </c>
      <c r="E4185" t="s">
        <v>4585</v>
      </c>
      <c r="F4185">
        <v>276</v>
      </c>
      <c r="G4185" s="1">
        <v>45202</v>
      </c>
      <c r="H4185" s="6">
        <f t="shared" si="130"/>
        <v>21.354166666666913</v>
      </c>
      <c r="I4185" s="7">
        <f t="shared" si="131"/>
        <v>21.354166666666913</v>
      </c>
    </row>
    <row r="4186" spans="1:9" x14ac:dyDescent="0.2">
      <c r="A4186" t="s">
        <v>4586</v>
      </c>
      <c r="B4186">
        <v>4.8754999999999997</v>
      </c>
      <c r="C4186">
        <v>6.8284999999999998E-2</v>
      </c>
      <c r="D4186">
        <v>276</v>
      </c>
      <c r="E4186" t="s">
        <v>4586</v>
      </c>
      <c r="F4186">
        <v>276</v>
      </c>
      <c r="G4186" s="1">
        <v>45202</v>
      </c>
      <c r="H4186" s="6">
        <f t="shared" si="130"/>
        <v>21.364583333333581</v>
      </c>
      <c r="I4186" s="7">
        <f t="shared" si="131"/>
        <v>21.364583333333581</v>
      </c>
    </row>
    <row r="4187" spans="1:9" x14ac:dyDescent="0.2">
      <c r="A4187" t="s">
        <v>4587</v>
      </c>
      <c r="B4187">
        <v>4.8855000000000004</v>
      </c>
      <c r="C4187">
        <v>6.8419999999999995E-2</v>
      </c>
      <c r="D4187">
        <v>276</v>
      </c>
      <c r="E4187" t="s">
        <v>4587</v>
      </c>
      <c r="F4187">
        <v>276</v>
      </c>
      <c r="G4187" s="1">
        <v>45202</v>
      </c>
      <c r="H4187" s="6">
        <f t="shared" si="130"/>
        <v>21.375000000000249</v>
      </c>
      <c r="I4187" s="7">
        <f t="shared" si="131"/>
        <v>21.375000000000249</v>
      </c>
    </row>
    <row r="4188" spans="1:9" x14ac:dyDescent="0.2">
      <c r="A4188" t="s">
        <v>4588</v>
      </c>
      <c r="B4188">
        <v>4.8609999999999998</v>
      </c>
      <c r="C4188">
        <v>6.8080000000000002E-2</v>
      </c>
      <c r="D4188">
        <v>276</v>
      </c>
      <c r="E4188" t="s">
        <v>4588</v>
      </c>
      <c r="F4188">
        <v>276</v>
      </c>
      <c r="G4188" s="1">
        <v>45202</v>
      </c>
      <c r="H4188" s="6">
        <f t="shared" ref="H4188:H4251" si="132">H4187+$K$1</f>
        <v>21.385416666666917</v>
      </c>
      <c r="I4188" s="7">
        <f t="shared" ref="I4188:I4251" si="133">I4187+$K$1</f>
        <v>21.385416666666917</v>
      </c>
    </row>
    <row r="4189" spans="1:9" x14ac:dyDescent="0.2">
      <c r="A4189" t="s">
        <v>4589</v>
      </c>
      <c r="B4189">
        <v>4.8365</v>
      </c>
      <c r="C4189">
        <v>6.7745E-2</v>
      </c>
      <c r="D4189">
        <v>276</v>
      </c>
      <c r="E4189" t="s">
        <v>4589</v>
      </c>
      <c r="F4189">
        <v>276</v>
      </c>
      <c r="G4189" s="1">
        <v>45202</v>
      </c>
      <c r="H4189" s="6">
        <f t="shared" si="132"/>
        <v>21.395833333333584</v>
      </c>
      <c r="I4189" s="7">
        <f t="shared" si="133"/>
        <v>21.395833333333584</v>
      </c>
    </row>
    <row r="4190" spans="1:9" x14ac:dyDescent="0.2">
      <c r="A4190" t="s">
        <v>4590</v>
      </c>
      <c r="B4190">
        <v>4.8310000000000004</v>
      </c>
      <c r="C4190">
        <v>6.7650000000000002E-2</v>
      </c>
      <c r="D4190">
        <v>276</v>
      </c>
      <c r="E4190" t="s">
        <v>4590</v>
      </c>
      <c r="F4190">
        <v>276</v>
      </c>
      <c r="G4190" s="1">
        <v>45202</v>
      </c>
      <c r="H4190" s="6">
        <f t="shared" si="132"/>
        <v>21.406250000000252</v>
      </c>
      <c r="I4190" s="7">
        <f t="shared" si="133"/>
        <v>21.406250000000252</v>
      </c>
    </row>
    <row r="4191" spans="1:9" x14ac:dyDescent="0.2">
      <c r="A4191" t="s">
        <v>4591</v>
      </c>
      <c r="B4191" s="2" t="s">
        <v>4592</v>
      </c>
      <c r="C4191">
        <v>6.8089999999999998E-2</v>
      </c>
      <c r="D4191">
        <v>276</v>
      </c>
      <c r="E4191" t="s">
        <v>4591</v>
      </c>
      <c r="F4191">
        <v>276</v>
      </c>
      <c r="G4191" s="1">
        <v>45202</v>
      </c>
      <c r="H4191" s="6">
        <f t="shared" si="132"/>
        <v>21.41666666666692</v>
      </c>
      <c r="I4191" s="7">
        <f t="shared" si="133"/>
        <v>21.41666666666692</v>
      </c>
    </row>
    <row r="4192" spans="1:9" x14ac:dyDescent="0.2">
      <c r="A4192" t="s">
        <v>4593</v>
      </c>
      <c r="B4192">
        <v>4.8064999999999998</v>
      </c>
      <c r="C4192">
        <v>6.7324999999999996E-2</v>
      </c>
      <c r="D4192">
        <v>276</v>
      </c>
      <c r="E4192" t="s">
        <v>4593</v>
      </c>
      <c r="F4192">
        <v>276</v>
      </c>
      <c r="G4192" s="1">
        <v>45202</v>
      </c>
      <c r="H4192" s="6">
        <f t="shared" si="132"/>
        <v>21.427083333333588</v>
      </c>
      <c r="I4192" s="7">
        <f t="shared" si="133"/>
        <v>21.427083333333588</v>
      </c>
    </row>
    <row r="4193" spans="1:9" x14ac:dyDescent="0.2">
      <c r="A4193" t="s">
        <v>4594</v>
      </c>
      <c r="B4193">
        <v>4.8445</v>
      </c>
      <c r="C4193">
        <v>6.7849999999999994E-2</v>
      </c>
      <c r="D4193">
        <v>276</v>
      </c>
      <c r="E4193" t="s">
        <v>4594</v>
      </c>
      <c r="F4193">
        <v>276</v>
      </c>
      <c r="G4193" s="1">
        <v>45202</v>
      </c>
      <c r="H4193" s="6">
        <f t="shared" si="132"/>
        <v>21.437500000000256</v>
      </c>
      <c r="I4193" s="7">
        <f t="shared" si="133"/>
        <v>21.437500000000256</v>
      </c>
    </row>
    <row r="4194" spans="1:9" x14ac:dyDescent="0.2">
      <c r="A4194" t="s">
        <v>4595</v>
      </c>
      <c r="B4194">
        <v>4.8109999999999999</v>
      </c>
      <c r="C4194">
        <v>6.7379999999999995E-2</v>
      </c>
      <c r="D4194">
        <v>276</v>
      </c>
      <c r="E4194" t="s">
        <v>4595</v>
      </c>
      <c r="F4194">
        <v>276</v>
      </c>
      <c r="G4194" s="1">
        <v>45202</v>
      </c>
      <c r="H4194" s="6">
        <f t="shared" si="132"/>
        <v>21.447916666666924</v>
      </c>
      <c r="I4194" s="7">
        <f t="shared" si="133"/>
        <v>21.447916666666924</v>
      </c>
    </row>
    <row r="4195" spans="1:9" x14ac:dyDescent="0.2">
      <c r="A4195" t="s">
        <v>4596</v>
      </c>
      <c r="B4195">
        <v>4.8579999999999997</v>
      </c>
      <c r="C4195">
        <v>6.8044999999999994E-2</v>
      </c>
      <c r="D4195">
        <v>276</v>
      </c>
      <c r="E4195" t="s">
        <v>4596</v>
      </c>
      <c r="F4195">
        <v>276</v>
      </c>
      <c r="G4195" s="1">
        <v>45202</v>
      </c>
      <c r="H4195" s="6">
        <f t="shared" si="132"/>
        <v>21.458333333333591</v>
      </c>
      <c r="I4195" s="7">
        <f t="shared" si="133"/>
        <v>21.458333333333591</v>
      </c>
    </row>
    <row r="4196" spans="1:9" x14ac:dyDescent="0.2">
      <c r="A4196" t="s">
        <v>4597</v>
      </c>
      <c r="B4196">
        <v>4.8144999999999998</v>
      </c>
      <c r="C4196">
        <v>6.7409999999999998E-2</v>
      </c>
      <c r="D4196">
        <v>276</v>
      </c>
      <c r="E4196" t="s">
        <v>4597</v>
      </c>
      <c r="F4196">
        <v>276</v>
      </c>
      <c r="G4196" s="1">
        <v>45202</v>
      </c>
      <c r="H4196" s="6">
        <f t="shared" si="132"/>
        <v>21.468750000000259</v>
      </c>
      <c r="I4196" s="7">
        <f t="shared" si="133"/>
        <v>21.468750000000259</v>
      </c>
    </row>
    <row r="4197" spans="1:9" x14ac:dyDescent="0.2">
      <c r="A4197" t="s">
        <v>4598</v>
      </c>
      <c r="B4197">
        <v>4.8529999999999998</v>
      </c>
      <c r="C4197">
        <v>6.7964999999999998E-2</v>
      </c>
      <c r="D4197">
        <v>276</v>
      </c>
      <c r="E4197" t="s">
        <v>4598</v>
      </c>
      <c r="F4197">
        <v>276</v>
      </c>
      <c r="G4197" s="1">
        <v>45202</v>
      </c>
      <c r="H4197" s="6">
        <f t="shared" si="132"/>
        <v>21.479166666666927</v>
      </c>
      <c r="I4197" s="7">
        <f t="shared" si="133"/>
        <v>21.479166666666927</v>
      </c>
    </row>
    <row r="4198" spans="1:9" x14ac:dyDescent="0.2">
      <c r="A4198" t="s">
        <v>4599</v>
      </c>
      <c r="B4198">
        <v>4.7965</v>
      </c>
      <c r="C4198">
        <v>6.7174999999999999E-2</v>
      </c>
      <c r="D4198">
        <v>276</v>
      </c>
      <c r="E4198" t="s">
        <v>4599</v>
      </c>
      <c r="F4198">
        <v>276</v>
      </c>
      <c r="G4198" s="1">
        <v>45202</v>
      </c>
      <c r="H4198" s="6">
        <f t="shared" si="132"/>
        <v>21.489583333333595</v>
      </c>
      <c r="I4198" s="7">
        <f t="shared" si="133"/>
        <v>21.489583333333595</v>
      </c>
    </row>
    <row r="4199" spans="1:9" x14ac:dyDescent="0.2">
      <c r="A4199" t="s">
        <v>4600</v>
      </c>
      <c r="B4199">
        <v>4.8544999999999998</v>
      </c>
      <c r="C4199">
        <v>6.8004999999999996E-2</v>
      </c>
      <c r="D4199">
        <v>276</v>
      </c>
      <c r="E4199" t="s">
        <v>4600</v>
      </c>
      <c r="F4199">
        <v>276</v>
      </c>
      <c r="G4199" s="1">
        <v>45202</v>
      </c>
      <c r="H4199" s="6">
        <f t="shared" si="132"/>
        <v>21.500000000000263</v>
      </c>
      <c r="I4199" s="7">
        <f t="shared" si="133"/>
        <v>21.500000000000263</v>
      </c>
    </row>
    <row r="4200" spans="1:9" x14ac:dyDescent="0.2">
      <c r="A4200" t="s">
        <v>4601</v>
      </c>
      <c r="B4200">
        <v>4.8550000000000004</v>
      </c>
      <c r="C4200">
        <v>6.8010000000000001E-2</v>
      </c>
      <c r="D4200">
        <v>276</v>
      </c>
      <c r="E4200" t="s">
        <v>4601</v>
      </c>
      <c r="F4200">
        <v>276</v>
      </c>
      <c r="G4200" s="1">
        <v>45202</v>
      </c>
      <c r="H4200" s="6">
        <f t="shared" si="132"/>
        <v>21.510416666666931</v>
      </c>
      <c r="I4200" s="7">
        <f t="shared" si="133"/>
        <v>21.510416666666931</v>
      </c>
    </row>
    <row r="4201" spans="1:9" x14ac:dyDescent="0.2">
      <c r="A4201" t="s">
        <v>4602</v>
      </c>
      <c r="B4201">
        <v>4.8715000000000002</v>
      </c>
      <c r="C4201">
        <v>6.8229999999999999E-2</v>
      </c>
      <c r="D4201">
        <v>276</v>
      </c>
      <c r="E4201" t="s">
        <v>4602</v>
      </c>
      <c r="F4201">
        <v>276</v>
      </c>
      <c r="G4201" s="1">
        <v>45202</v>
      </c>
      <c r="H4201" s="6">
        <f t="shared" si="132"/>
        <v>21.520833333333599</v>
      </c>
      <c r="I4201" s="7">
        <f t="shared" si="133"/>
        <v>21.520833333333599</v>
      </c>
    </row>
    <row r="4202" spans="1:9" x14ac:dyDescent="0.2">
      <c r="A4202" t="s">
        <v>4603</v>
      </c>
      <c r="B4202">
        <v>4.8724999999999996</v>
      </c>
      <c r="C4202">
        <v>6.8235000000000004E-2</v>
      </c>
      <c r="D4202">
        <v>276</v>
      </c>
      <c r="E4202" t="s">
        <v>4603</v>
      </c>
      <c r="F4202">
        <v>276</v>
      </c>
      <c r="G4202" s="1">
        <v>45202</v>
      </c>
      <c r="H4202" s="6">
        <f t="shared" si="132"/>
        <v>21.531250000000266</v>
      </c>
      <c r="I4202" s="7">
        <f t="shared" si="133"/>
        <v>21.531250000000266</v>
      </c>
    </row>
    <row r="4203" spans="1:9" x14ac:dyDescent="0.2">
      <c r="A4203" t="s">
        <v>4604</v>
      </c>
      <c r="B4203">
        <v>4.9065000000000003</v>
      </c>
      <c r="C4203">
        <v>6.8709999999999993E-2</v>
      </c>
      <c r="D4203">
        <v>276</v>
      </c>
      <c r="E4203" t="s">
        <v>4604</v>
      </c>
      <c r="F4203">
        <v>276</v>
      </c>
      <c r="G4203" s="1">
        <v>45202</v>
      </c>
      <c r="H4203" s="6">
        <f t="shared" si="132"/>
        <v>21.541666666666934</v>
      </c>
      <c r="I4203" s="7">
        <f t="shared" si="133"/>
        <v>21.541666666666934</v>
      </c>
    </row>
    <row r="4204" spans="1:9" x14ac:dyDescent="0.2">
      <c r="A4204" t="s">
        <v>4605</v>
      </c>
      <c r="B4204">
        <v>4.8840000000000003</v>
      </c>
      <c r="C4204">
        <v>6.8400000000000002E-2</v>
      </c>
      <c r="D4204">
        <v>276</v>
      </c>
      <c r="E4204" t="s">
        <v>4605</v>
      </c>
      <c r="F4204">
        <v>276</v>
      </c>
      <c r="G4204" s="1">
        <v>45202</v>
      </c>
      <c r="H4204" s="6">
        <f t="shared" si="132"/>
        <v>21.552083333333602</v>
      </c>
      <c r="I4204" s="7">
        <f t="shared" si="133"/>
        <v>21.552083333333602</v>
      </c>
    </row>
    <row r="4205" spans="1:9" x14ac:dyDescent="0.2">
      <c r="A4205" t="s">
        <v>4606</v>
      </c>
      <c r="B4205">
        <v>4.8955000000000002</v>
      </c>
      <c r="C4205">
        <v>6.8574999999999997E-2</v>
      </c>
      <c r="D4205">
        <v>276</v>
      </c>
      <c r="E4205" t="s">
        <v>4606</v>
      </c>
      <c r="F4205">
        <v>276</v>
      </c>
      <c r="G4205" s="1">
        <v>45202</v>
      </c>
      <c r="H4205" s="6">
        <f t="shared" si="132"/>
        <v>21.56250000000027</v>
      </c>
      <c r="I4205" s="7">
        <f t="shared" si="133"/>
        <v>21.56250000000027</v>
      </c>
    </row>
    <row r="4206" spans="1:9" x14ac:dyDescent="0.2">
      <c r="A4206" t="s">
        <v>4607</v>
      </c>
      <c r="B4206">
        <v>4.8959999999999999</v>
      </c>
      <c r="C4206">
        <v>6.8589999999999998E-2</v>
      </c>
      <c r="D4206">
        <v>276</v>
      </c>
      <c r="E4206" t="s">
        <v>4607</v>
      </c>
      <c r="F4206">
        <v>276</v>
      </c>
      <c r="G4206" s="1">
        <v>45202</v>
      </c>
      <c r="H4206" s="6">
        <f t="shared" si="132"/>
        <v>21.572916666666938</v>
      </c>
      <c r="I4206" s="7">
        <f t="shared" si="133"/>
        <v>21.572916666666938</v>
      </c>
    </row>
    <row r="4207" spans="1:9" x14ac:dyDescent="0.2">
      <c r="A4207" t="s">
        <v>4608</v>
      </c>
      <c r="B4207">
        <v>4.9059999999999997</v>
      </c>
      <c r="C4207">
        <v>6.8709999999999993E-2</v>
      </c>
      <c r="D4207">
        <v>276</v>
      </c>
      <c r="E4207" t="s">
        <v>4608</v>
      </c>
      <c r="F4207">
        <v>276</v>
      </c>
      <c r="G4207" s="1">
        <v>45202</v>
      </c>
      <c r="H4207" s="6">
        <f t="shared" si="132"/>
        <v>21.583333333333606</v>
      </c>
      <c r="I4207" s="7">
        <f t="shared" si="133"/>
        <v>21.583333333333606</v>
      </c>
    </row>
    <row r="4208" spans="1:9" x14ac:dyDescent="0.2">
      <c r="A4208" t="s">
        <v>4609</v>
      </c>
      <c r="B4208">
        <v>4.8994999999999997</v>
      </c>
      <c r="C4208">
        <v>6.8650000000000003E-2</v>
      </c>
      <c r="D4208">
        <v>276</v>
      </c>
      <c r="E4208" t="s">
        <v>4609</v>
      </c>
      <c r="F4208">
        <v>276</v>
      </c>
      <c r="G4208" s="1">
        <v>45202</v>
      </c>
      <c r="H4208" s="6">
        <f t="shared" si="132"/>
        <v>21.593750000000274</v>
      </c>
      <c r="I4208" s="7">
        <f t="shared" si="133"/>
        <v>21.593750000000274</v>
      </c>
    </row>
    <row r="4209" spans="1:9" x14ac:dyDescent="0.2">
      <c r="A4209" t="s">
        <v>4610</v>
      </c>
      <c r="B4209">
        <v>4.9279999999999999</v>
      </c>
      <c r="C4209">
        <v>6.9029999999999994E-2</v>
      </c>
      <c r="D4209">
        <v>276</v>
      </c>
      <c r="E4209" t="s">
        <v>4610</v>
      </c>
      <c r="F4209">
        <v>276</v>
      </c>
      <c r="G4209" s="1">
        <v>45202</v>
      </c>
      <c r="H4209" s="6">
        <f t="shared" si="132"/>
        <v>21.604166666666941</v>
      </c>
      <c r="I4209" s="7">
        <f t="shared" si="133"/>
        <v>21.604166666666941</v>
      </c>
    </row>
    <row r="4210" spans="1:9" x14ac:dyDescent="0.2">
      <c r="A4210" t="s">
        <v>4611</v>
      </c>
      <c r="B4210">
        <v>4.9375</v>
      </c>
      <c r="C4210">
        <v>6.9175E-2</v>
      </c>
      <c r="D4210">
        <v>277</v>
      </c>
      <c r="E4210" t="s">
        <v>4611</v>
      </c>
      <c r="F4210">
        <v>276</v>
      </c>
      <c r="G4210" s="1">
        <v>45202</v>
      </c>
      <c r="H4210" s="6">
        <f t="shared" si="132"/>
        <v>21.614583333333609</v>
      </c>
      <c r="I4210" s="7">
        <f t="shared" si="133"/>
        <v>21.614583333333609</v>
      </c>
    </row>
    <row r="4211" spans="1:9" x14ac:dyDescent="0.2">
      <c r="A4211" t="s">
        <v>4612</v>
      </c>
      <c r="B4211" s="2" t="s">
        <v>4613</v>
      </c>
      <c r="C4211">
        <v>6.9224999999999995E-2</v>
      </c>
      <c r="D4211">
        <v>277</v>
      </c>
      <c r="E4211" t="s">
        <v>4612</v>
      </c>
      <c r="F4211">
        <v>276</v>
      </c>
      <c r="G4211" s="1">
        <v>45202</v>
      </c>
      <c r="H4211" s="6">
        <f t="shared" si="132"/>
        <v>21.625000000000277</v>
      </c>
      <c r="I4211" s="7">
        <f t="shared" si="133"/>
        <v>21.625000000000277</v>
      </c>
    </row>
    <row r="4212" spans="1:9" x14ac:dyDescent="0.2">
      <c r="A4212" t="s">
        <v>4614</v>
      </c>
      <c r="B4212">
        <v>4.9424999999999999</v>
      </c>
      <c r="C4212">
        <v>6.9239999999999996E-2</v>
      </c>
      <c r="D4212">
        <v>277</v>
      </c>
      <c r="E4212" t="s">
        <v>4614</v>
      </c>
      <c r="F4212">
        <v>276</v>
      </c>
      <c r="G4212" s="1">
        <v>45202</v>
      </c>
      <c r="H4212" s="6">
        <f t="shared" si="132"/>
        <v>21.635416666666945</v>
      </c>
      <c r="I4212" s="7">
        <f t="shared" si="133"/>
        <v>21.635416666666945</v>
      </c>
    </row>
    <row r="4213" spans="1:9" x14ac:dyDescent="0.2">
      <c r="A4213" t="s">
        <v>4615</v>
      </c>
      <c r="B4213">
        <v>4.9509999999999996</v>
      </c>
      <c r="C4213">
        <v>6.9360000000000005E-2</v>
      </c>
      <c r="D4213">
        <v>277</v>
      </c>
      <c r="E4213" t="s">
        <v>4615</v>
      </c>
      <c r="F4213">
        <v>276</v>
      </c>
      <c r="G4213" s="1">
        <v>45202</v>
      </c>
      <c r="H4213" s="6">
        <f t="shared" si="132"/>
        <v>21.645833333333613</v>
      </c>
      <c r="I4213" s="7">
        <f t="shared" si="133"/>
        <v>21.645833333333613</v>
      </c>
    </row>
    <row r="4214" spans="1:9" x14ac:dyDescent="0.2">
      <c r="A4214" t="s">
        <v>4616</v>
      </c>
      <c r="B4214">
        <v>4.9710000000000001</v>
      </c>
      <c r="C4214">
        <v>6.9639999999999994E-2</v>
      </c>
      <c r="D4214">
        <v>277</v>
      </c>
      <c r="E4214" t="s">
        <v>4616</v>
      </c>
      <c r="F4214">
        <v>276</v>
      </c>
      <c r="G4214" s="1">
        <v>45202</v>
      </c>
      <c r="H4214" s="6">
        <f t="shared" si="132"/>
        <v>21.656250000000281</v>
      </c>
      <c r="I4214" s="7">
        <f t="shared" si="133"/>
        <v>21.656250000000281</v>
      </c>
    </row>
    <row r="4215" spans="1:9" x14ac:dyDescent="0.2">
      <c r="A4215" t="s">
        <v>4617</v>
      </c>
      <c r="B4215">
        <v>4.9210000000000003</v>
      </c>
      <c r="C4215">
        <v>6.8930000000000005E-2</v>
      </c>
      <c r="D4215">
        <v>277</v>
      </c>
      <c r="E4215" t="s">
        <v>4617</v>
      </c>
      <c r="F4215">
        <v>276</v>
      </c>
      <c r="G4215" s="1">
        <v>45202</v>
      </c>
      <c r="H4215" s="6">
        <f t="shared" si="132"/>
        <v>21.666666666666949</v>
      </c>
      <c r="I4215" s="7">
        <f t="shared" si="133"/>
        <v>21.666666666666949</v>
      </c>
    </row>
    <row r="4216" spans="1:9" x14ac:dyDescent="0.2">
      <c r="A4216" t="s">
        <v>4618</v>
      </c>
      <c r="B4216">
        <v>4.9645000000000001</v>
      </c>
      <c r="C4216">
        <v>6.9525000000000003E-2</v>
      </c>
      <c r="D4216">
        <v>277</v>
      </c>
      <c r="E4216" t="s">
        <v>4618</v>
      </c>
      <c r="F4216">
        <v>276</v>
      </c>
      <c r="G4216" s="1">
        <v>45202</v>
      </c>
      <c r="H4216" s="6">
        <f t="shared" si="132"/>
        <v>21.677083333333616</v>
      </c>
      <c r="I4216" s="7">
        <f t="shared" si="133"/>
        <v>21.677083333333616</v>
      </c>
    </row>
    <row r="4217" spans="1:9" x14ac:dyDescent="0.2">
      <c r="A4217" t="s">
        <v>4619</v>
      </c>
      <c r="B4217">
        <v>4.9215</v>
      </c>
      <c r="C4217">
        <v>6.8934999999999996E-2</v>
      </c>
      <c r="D4217">
        <v>277</v>
      </c>
      <c r="E4217" t="s">
        <v>4619</v>
      </c>
      <c r="F4217">
        <v>276</v>
      </c>
      <c r="G4217" s="1">
        <v>45202</v>
      </c>
      <c r="H4217" s="6">
        <f t="shared" si="132"/>
        <v>21.687500000000284</v>
      </c>
      <c r="I4217" s="7">
        <f t="shared" si="133"/>
        <v>21.687500000000284</v>
      </c>
    </row>
    <row r="4218" spans="1:9" x14ac:dyDescent="0.2">
      <c r="A4218" t="s">
        <v>4620</v>
      </c>
      <c r="B4218">
        <v>4.9835000000000003</v>
      </c>
      <c r="C4218">
        <v>6.9815000000000002E-2</v>
      </c>
      <c r="D4218">
        <v>277</v>
      </c>
      <c r="E4218" t="s">
        <v>4620</v>
      </c>
      <c r="F4218">
        <v>276</v>
      </c>
      <c r="G4218" s="1">
        <v>45202</v>
      </c>
      <c r="H4218" s="6">
        <f t="shared" si="132"/>
        <v>21.697916666666952</v>
      </c>
      <c r="I4218" s="7">
        <f t="shared" si="133"/>
        <v>21.697916666666952</v>
      </c>
    </row>
    <row r="4219" spans="1:9" x14ac:dyDescent="0.2">
      <c r="A4219" t="s">
        <v>4621</v>
      </c>
      <c r="B4219">
        <v>4.9714999999999998</v>
      </c>
      <c r="C4219">
        <v>6.9629999999999997E-2</v>
      </c>
      <c r="D4219">
        <v>277</v>
      </c>
      <c r="E4219" t="s">
        <v>4621</v>
      </c>
      <c r="F4219">
        <v>276</v>
      </c>
      <c r="G4219" s="1">
        <v>45202</v>
      </c>
      <c r="H4219" s="6">
        <f t="shared" si="132"/>
        <v>21.70833333333362</v>
      </c>
      <c r="I4219" s="7">
        <f t="shared" si="133"/>
        <v>21.70833333333362</v>
      </c>
    </row>
    <row r="4220" spans="1:9" x14ac:dyDescent="0.2">
      <c r="A4220" t="s">
        <v>4622</v>
      </c>
      <c r="B4220">
        <v>5.0175000000000001</v>
      </c>
      <c r="C4220">
        <v>7.0264999999999994E-2</v>
      </c>
      <c r="D4220">
        <v>277</v>
      </c>
      <c r="E4220" t="s">
        <v>4622</v>
      </c>
      <c r="F4220">
        <v>276</v>
      </c>
      <c r="G4220" s="1">
        <v>45202</v>
      </c>
      <c r="H4220" s="6">
        <f t="shared" si="132"/>
        <v>21.718750000000288</v>
      </c>
      <c r="I4220" s="7">
        <f t="shared" si="133"/>
        <v>21.718750000000288</v>
      </c>
    </row>
    <row r="4221" spans="1:9" x14ac:dyDescent="0.2">
      <c r="A4221" t="s">
        <v>4623</v>
      </c>
      <c r="B4221">
        <v>4.9195000000000002</v>
      </c>
      <c r="C4221">
        <v>6.8900000000000003E-2</v>
      </c>
      <c r="D4221">
        <v>277</v>
      </c>
      <c r="E4221" t="s">
        <v>4623</v>
      </c>
      <c r="F4221">
        <v>276</v>
      </c>
      <c r="G4221" s="1">
        <v>45202</v>
      </c>
      <c r="H4221" s="6">
        <f t="shared" si="132"/>
        <v>21.729166666666956</v>
      </c>
      <c r="I4221" s="7">
        <f t="shared" si="133"/>
        <v>21.729166666666956</v>
      </c>
    </row>
    <row r="4222" spans="1:9" x14ac:dyDescent="0.2">
      <c r="A4222" t="s">
        <v>4624</v>
      </c>
      <c r="B4222" s="2" t="s">
        <v>4625</v>
      </c>
      <c r="C4222">
        <v>7.0764999999999995E-2</v>
      </c>
      <c r="D4222">
        <v>277</v>
      </c>
      <c r="E4222" t="s">
        <v>4624</v>
      </c>
      <c r="F4222">
        <v>276</v>
      </c>
      <c r="G4222" s="1">
        <v>45202</v>
      </c>
      <c r="H4222" s="6">
        <f t="shared" si="132"/>
        <v>21.739583333333623</v>
      </c>
      <c r="I4222" s="7">
        <f t="shared" si="133"/>
        <v>21.739583333333623</v>
      </c>
    </row>
    <row r="4223" spans="1:9" x14ac:dyDescent="0.2">
      <c r="A4223" t="s">
        <v>4626</v>
      </c>
      <c r="B4223">
        <v>5.0854999999999997</v>
      </c>
      <c r="C4223">
        <v>7.1230000000000002E-2</v>
      </c>
      <c r="D4223">
        <v>277</v>
      </c>
      <c r="E4223" t="s">
        <v>4626</v>
      </c>
      <c r="F4223">
        <v>276</v>
      </c>
      <c r="G4223" s="1">
        <v>45202</v>
      </c>
      <c r="H4223" s="6">
        <f t="shared" si="132"/>
        <v>21.750000000000291</v>
      </c>
      <c r="I4223" s="7">
        <f t="shared" si="133"/>
        <v>21.750000000000291</v>
      </c>
    </row>
    <row r="4224" spans="1:9" x14ac:dyDescent="0.2">
      <c r="A4224" t="s">
        <v>4627</v>
      </c>
      <c r="B4224">
        <v>5.1470000000000002</v>
      </c>
      <c r="C4224">
        <v>7.2095000000000006E-2</v>
      </c>
      <c r="D4224">
        <v>277</v>
      </c>
      <c r="E4224" t="s">
        <v>4627</v>
      </c>
      <c r="F4224">
        <v>276</v>
      </c>
      <c r="G4224" s="1">
        <v>45202</v>
      </c>
      <c r="H4224" s="6">
        <f t="shared" si="132"/>
        <v>21.760416666666959</v>
      </c>
      <c r="I4224" s="7">
        <f t="shared" si="133"/>
        <v>21.760416666666959</v>
      </c>
    </row>
    <row r="4225" spans="1:9" x14ac:dyDescent="0.2">
      <c r="A4225" t="s">
        <v>4628</v>
      </c>
      <c r="B4225">
        <v>5.2389999999999999</v>
      </c>
      <c r="C4225">
        <v>7.3389999999999997E-2</v>
      </c>
      <c r="D4225">
        <v>277</v>
      </c>
      <c r="E4225" t="s">
        <v>4628</v>
      </c>
      <c r="F4225">
        <v>276</v>
      </c>
      <c r="G4225" s="1">
        <v>45202</v>
      </c>
      <c r="H4225" s="6">
        <f t="shared" si="132"/>
        <v>21.770833333333627</v>
      </c>
      <c r="I4225" s="7">
        <f t="shared" si="133"/>
        <v>21.770833333333627</v>
      </c>
    </row>
    <row r="4226" spans="1:9" x14ac:dyDescent="0.2">
      <c r="A4226" t="s">
        <v>4629</v>
      </c>
      <c r="B4226">
        <v>5.234</v>
      </c>
      <c r="C4226">
        <v>7.3319999999999996E-2</v>
      </c>
      <c r="D4226">
        <v>277</v>
      </c>
      <c r="E4226" t="s">
        <v>4629</v>
      </c>
      <c r="F4226">
        <v>276</v>
      </c>
      <c r="G4226" s="1">
        <v>45202</v>
      </c>
      <c r="H4226" s="6">
        <f t="shared" si="132"/>
        <v>21.781250000000295</v>
      </c>
      <c r="I4226" s="7">
        <f t="shared" si="133"/>
        <v>21.781250000000295</v>
      </c>
    </row>
    <row r="4227" spans="1:9" x14ac:dyDescent="0.2">
      <c r="A4227" t="s">
        <v>4630</v>
      </c>
      <c r="B4227">
        <v>5.2755000000000001</v>
      </c>
      <c r="C4227">
        <v>7.3889999999999997E-2</v>
      </c>
      <c r="D4227">
        <v>277</v>
      </c>
      <c r="E4227" t="s">
        <v>4630</v>
      </c>
      <c r="F4227">
        <v>276</v>
      </c>
      <c r="G4227" s="1">
        <v>45202</v>
      </c>
      <c r="H4227" s="6">
        <f t="shared" si="132"/>
        <v>21.791666666666963</v>
      </c>
      <c r="I4227" s="7">
        <f t="shared" si="133"/>
        <v>21.791666666666963</v>
      </c>
    </row>
    <row r="4228" spans="1:9" x14ac:dyDescent="0.2">
      <c r="A4228" t="s">
        <v>4631</v>
      </c>
      <c r="B4228">
        <v>5.3209999999999997</v>
      </c>
      <c r="C4228">
        <v>7.4539999999999995E-2</v>
      </c>
      <c r="D4228">
        <v>277</v>
      </c>
      <c r="E4228" t="s">
        <v>4631</v>
      </c>
      <c r="F4228">
        <v>276</v>
      </c>
      <c r="G4228" s="1">
        <v>45202</v>
      </c>
      <c r="H4228" s="6">
        <f t="shared" si="132"/>
        <v>21.802083333333631</v>
      </c>
      <c r="I4228" s="7">
        <f t="shared" si="133"/>
        <v>21.802083333333631</v>
      </c>
    </row>
    <row r="4229" spans="1:9" x14ac:dyDescent="0.2">
      <c r="A4229" t="s">
        <v>4632</v>
      </c>
      <c r="B4229">
        <v>5.3445</v>
      </c>
      <c r="C4229">
        <v>7.4859999999999996E-2</v>
      </c>
      <c r="D4229">
        <v>277</v>
      </c>
      <c r="E4229" t="s">
        <v>4632</v>
      </c>
      <c r="F4229">
        <v>276</v>
      </c>
      <c r="G4229" s="1">
        <v>45202</v>
      </c>
      <c r="H4229" s="6">
        <f t="shared" si="132"/>
        <v>21.812500000000298</v>
      </c>
      <c r="I4229" s="7">
        <f t="shared" si="133"/>
        <v>21.812500000000298</v>
      </c>
    </row>
    <row r="4230" spans="1:9" x14ac:dyDescent="0.2">
      <c r="A4230" t="s">
        <v>4633</v>
      </c>
      <c r="B4230">
        <v>5.3505000000000003</v>
      </c>
      <c r="C4230">
        <v>7.4929999999999997E-2</v>
      </c>
      <c r="D4230">
        <v>277</v>
      </c>
      <c r="E4230" t="s">
        <v>4633</v>
      </c>
      <c r="F4230">
        <v>276</v>
      </c>
      <c r="G4230" s="1">
        <v>45202</v>
      </c>
      <c r="H4230" s="6">
        <f t="shared" si="132"/>
        <v>21.822916666666966</v>
      </c>
      <c r="I4230" s="7">
        <f t="shared" si="133"/>
        <v>21.822916666666966</v>
      </c>
    </row>
    <row r="4231" spans="1:9" x14ac:dyDescent="0.2">
      <c r="A4231" t="s">
        <v>4634</v>
      </c>
      <c r="B4231">
        <v>5.3730000000000002</v>
      </c>
      <c r="C4231">
        <v>7.5274999999999995E-2</v>
      </c>
      <c r="D4231">
        <v>277</v>
      </c>
      <c r="E4231" t="s">
        <v>4634</v>
      </c>
      <c r="F4231">
        <v>276</v>
      </c>
      <c r="G4231" s="1">
        <v>45202</v>
      </c>
      <c r="H4231" s="6">
        <f t="shared" si="132"/>
        <v>21.833333333333634</v>
      </c>
      <c r="I4231" s="7">
        <f t="shared" si="133"/>
        <v>21.833333333333634</v>
      </c>
    </row>
    <row r="4232" spans="1:9" x14ac:dyDescent="0.2">
      <c r="A4232" t="s">
        <v>4635</v>
      </c>
      <c r="B4232">
        <v>5.3745000000000003</v>
      </c>
      <c r="C4232">
        <v>7.528E-2</v>
      </c>
      <c r="D4232">
        <v>277</v>
      </c>
      <c r="E4232" t="s">
        <v>4635</v>
      </c>
      <c r="F4232">
        <v>276</v>
      </c>
      <c r="G4232" s="1">
        <v>45202</v>
      </c>
      <c r="H4232" s="6">
        <f t="shared" si="132"/>
        <v>21.843750000000302</v>
      </c>
      <c r="I4232" s="7">
        <f t="shared" si="133"/>
        <v>21.843750000000302</v>
      </c>
    </row>
    <row r="4233" spans="1:9" x14ac:dyDescent="0.2">
      <c r="A4233" t="s">
        <v>4636</v>
      </c>
      <c r="B4233">
        <v>5.4139999999999997</v>
      </c>
      <c r="C4233">
        <v>7.5825000000000004E-2</v>
      </c>
      <c r="D4233">
        <v>277</v>
      </c>
      <c r="E4233" t="s">
        <v>4636</v>
      </c>
      <c r="F4233">
        <v>276</v>
      </c>
      <c r="G4233" s="1">
        <v>45202</v>
      </c>
      <c r="H4233" s="6">
        <f t="shared" si="132"/>
        <v>21.85416666666697</v>
      </c>
      <c r="I4233" s="7">
        <f t="shared" si="133"/>
        <v>21.85416666666697</v>
      </c>
    </row>
    <row r="4234" spans="1:9" x14ac:dyDescent="0.2">
      <c r="A4234" t="s">
        <v>4637</v>
      </c>
      <c r="B4234">
        <v>5.383</v>
      </c>
      <c r="C4234">
        <v>7.5389999999999999E-2</v>
      </c>
      <c r="D4234">
        <v>277</v>
      </c>
      <c r="E4234" t="s">
        <v>4637</v>
      </c>
      <c r="F4234">
        <v>277</v>
      </c>
      <c r="G4234" s="1">
        <v>45203</v>
      </c>
      <c r="H4234" s="6">
        <f t="shared" si="132"/>
        <v>21.864583333333638</v>
      </c>
      <c r="I4234" s="7">
        <f t="shared" si="133"/>
        <v>21.864583333333638</v>
      </c>
    </row>
    <row r="4235" spans="1:9" x14ac:dyDescent="0.2">
      <c r="A4235" t="s">
        <v>4638</v>
      </c>
      <c r="B4235">
        <v>5.4204999999999997</v>
      </c>
      <c r="C4235">
        <v>7.5935000000000002E-2</v>
      </c>
      <c r="D4235">
        <v>277</v>
      </c>
      <c r="E4235" t="s">
        <v>4638</v>
      </c>
      <c r="F4235">
        <v>277</v>
      </c>
      <c r="G4235" s="1">
        <v>45203</v>
      </c>
      <c r="H4235" s="6">
        <f t="shared" si="132"/>
        <v>21.875000000000306</v>
      </c>
      <c r="I4235" s="7">
        <f t="shared" si="133"/>
        <v>21.875000000000306</v>
      </c>
    </row>
    <row r="4236" spans="1:9" x14ac:dyDescent="0.2">
      <c r="A4236" t="s">
        <v>4639</v>
      </c>
      <c r="B4236">
        <v>5.4165000000000001</v>
      </c>
      <c r="C4236">
        <v>7.5874999999999998E-2</v>
      </c>
      <c r="D4236">
        <v>277</v>
      </c>
      <c r="E4236" t="s">
        <v>4639</v>
      </c>
      <c r="F4236">
        <v>277</v>
      </c>
      <c r="G4236" s="1">
        <v>45203</v>
      </c>
      <c r="H4236" s="6">
        <f t="shared" si="132"/>
        <v>21.885416666666973</v>
      </c>
      <c r="I4236" s="7">
        <f t="shared" si="133"/>
        <v>21.885416666666973</v>
      </c>
    </row>
    <row r="4237" spans="1:9" x14ac:dyDescent="0.2">
      <c r="A4237" t="s">
        <v>4640</v>
      </c>
      <c r="B4237" s="2" t="s">
        <v>4641</v>
      </c>
      <c r="C4237">
        <v>7.5965000000000005E-2</v>
      </c>
      <c r="D4237">
        <v>277</v>
      </c>
      <c r="E4237" t="s">
        <v>4640</v>
      </c>
      <c r="F4237">
        <v>277</v>
      </c>
      <c r="G4237" s="1">
        <v>45203</v>
      </c>
      <c r="H4237" s="6">
        <f t="shared" si="132"/>
        <v>21.895833333333641</v>
      </c>
      <c r="I4237" s="7">
        <f t="shared" si="133"/>
        <v>21.895833333333641</v>
      </c>
    </row>
    <row r="4238" spans="1:9" x14ac:dyDescent="0.2">
      <c r="A4238" t="s">
        <v>4642</v>
      </c>
      <c r="B4238">
        <v>5.4234999999999998</v>
      </c>
      <c r="C4238">
        <v>7.5954999999999995E-2</v>
      </c>
      <c r="D4238">
        <v>277</v>
      </c>
      <c r="E4238" t="s">
        <v>4642</v>
      </c>
      <c r="F4238">
        <v>277</v>
      </c>
      <c r="G4238" s="1">
        <v>45203</v>
      </c>
      <c r="H4238" s="6">
        <f t="shared" si="132"/>
        <v>21.906250000000309</v>
      </c>
      <c r="I4238" s="7">
        <f t="shared" si="133"/>
        <v>21.906250000000309</v>
      </c>
    </row>
    <row r="4239" spans="1:9" x14ac:dyDescent="0.2">
      <c r="A4239" t="s">
        <v>4643</v>
      </c>
      <c r="B4239">
        <v>5.4210000000000003</v>
      </c>
      <c r="C4239">
        <v>7.5929999999999997E-2</v>
      </c>
      <c r="D4239">
        <v>277</v>
      </c>
      <c r="E4239" t="s">
        <v>4643</v>
      </c>
      <c r="F4239">
        <v>277</v>
      </c>
      <c r="G4239" s="1">
        <v>45203</v>
      </c>
      <c r="H4239" s="6">
        <f t="shared" si="132"/>
        <v>21.916666666666977</v>
      </c>
      <c r="I4239" s="7">
        <f t="shared" si="133"/>
        <v>21.916666666666977</v>
      </c>
    </row>
    <row r="4240" spans="1:9" x14ac:dyDescent="0.2">
      <c r="A4240" t="s">
        <v>4644</v>
      </c>
      <c r="B4240">
        <v>5.4154999999999998</v>
      </c>
      <c r="C4240">
        <v>7.5855000000000006E-2</v>
      </c>
      <c r="D4240">
        <v>277</v>
      </c>
      <c r="E4240" t="s">
        <v>4644</v>
      </c>
      <c r="F4240">
        <v>277</v>
      </c>
      <c r="G4240" s="1">
        <v>45203</v>
      </c>
      <c r="H4240" s="6">
        <f t="shared" si="132"/>
        <v>21.927083333333645</v>
      </c>
      <c r="I4240" s="7">
        <f t="shared" si="133"/>
        <v>21.927083333333645</v>
      </c>
    </row>
    <row r="4241" spans="1:9" x14ac:dyDescent="0.2">
      <c r="A4241" t="s">
        <v>4645</v>
      </c>
      <c r="B4241">
        <v>5.4305000000000003</v>
      </c>
      <c r="C4241">
        <v>7.6054999999999998E-2</v>
      </c>
      <c r="D4241">
        <v>277</v>
      </c>
      <c r="E4241" t="s">
        <v>4645</v>
      </c>
      <c r="F4241">
        <v>277</v>
      </c>
      <c r="G4241" s="1">
        <v>45203</v>
      </c>
      <c r="H4241" s="6">
        <f t="shared" si="132"/>
        <v>21.937500000000313</v>
      </c>
      <c r="I4241" s="7">
        <f t="shared" si="133"/>
        <v>21.937500000000313</v>
      </c>
    </row>
    <row r="4242" spans="1:9" x14ac:dyDescent="0.2">
      <c r="A4242" t="s">
        <v>4646</v>
      </c>
      <c r="B4242">
        <v>5.43</v>
      </c>
      <c r="C4242">
        <v>7.6054999999999998E-2</v>
      </c>
      <c r="D4242">
        <v>277</v>
      </c>
      <c r="E4242" t="s">
        <v>4646</v>
      </c>
      <c r="F4242">
        <v>277</v>
      </c>
      <c r="G4242" s="1">
        <v>45203</v>
      </c>
      <c r="H4242" s="6">
        <f t="shared" si="132"/>
        <v>21.94791666666698</v>
      </c>
      <c r="I4242" s="7">
        <f t="shared" si="133"/>
        <v>21.94791666666698</v>
      </c>
    </row>
    <row r="4243" spans="1:9" x14ac:dyDescent="0.2">
      <c r="A4243" t="s">
        <v>4647</v>
      </c>
      <c r="B4243">
        <v>5.4085000000000001</v>
      </c>
      <c r="C4243">
        <v>7.5759999999999994E-2</v>
      </c>
      <c r="D4243">
        <v>277</v>
      </c>
      <c r="E4243" t="s">
        <v>4647</v>
      </c>
      <c r="F4243">
        <v>277</v>
      </c>
      <c r="G4243" s="1">
        <v>45203</v>
      </c>
      <c r="H4243" s="6">
        <f t="shared" si="132"/>
        <v>21.958333333333648</v>
      </c>
      <c r="I4243" s="7">
        <f t="shared" si="133"/>
        <v>21.958333333333648</v>
      </c>
    </row>
    <row r="4244" spans="1:9" x14ac:dyDescent="0.2">
      <c r="A4244" t="s">
        <v>4648</v>
      </c>
      <c r="B4244">
        <v>5.4465000000000003</v>
      </c>
      <c r="C4244">
        <v>7.6285000000000006E-2</v>
      </c>
      <c r="D4244">
        <v>277</v>
      </c>
      <c r="E4244" t="s">
        <v>4648</v>
      </c>
      <c r="F4244">
        <v>277</v>
      </c>
      <c r="G4244" s="1">
        <v>45203</v>
      </c>
      <c r="H4244" s="6">
        <f t="shared" si="132"/>
        <v>21.968750000000316</v>
      </c>
      <c r="I4244" s="7">
        <f t="shared" si="133"/>
        <v>21.968750000000316</v>
      </c>
    </row>
    <row r="4245" spans="1:9" x14ac:dyDescent="0.2">
      <c r="A4245" t="s">
        <v>4649</v>
      </c>
      <c r="B4245">
        <v>5.4349999999999996</v>
      </c>
      <c r="C4245">
        <v>7.6115000000000002E-2</v>
      </c>
      <c r="D4245">
        <v>277</v>
      </c>
      <c r="E4245" t="s">
        <v>4649</v>
      </c>
      <c r="F4245">
        <v>277</v>
      </c>
      <c r="G4245" s="1">
        <v>45203</v>
      </c>
      <c r="H4245" s="6">
        <f t="shared" si="132"/>
        <v>21.979166666666984</v>
      </c>
      <c r="I4245" s="7">
        <f t="shared" si="133"/>
        <v>21.979166666666984</v>
      </c>
    </row>
    <row r="4246" spans="1:9" x14ac:dyDescent="0.2">
      <c r="A4246" t="s">
        <v>4650</v>
      </c>
      <c r="B4246">
        <v>5.4424999999999999</v>
      </c>
      <c r="C4246">
        <v>7.6249999999999998E-2</v>
      </c>
      <c r="D4246">
        <v>277</v>
      </c>
      <c r="E4246" t="s">
        <v>4650</v>
      </c>
      <c r="F4246">
        <v>277</v>
      </c>
      <c r="G4246" s="1">
        <v>45203</v>
      </c>
      <c r="H4246" s="6">
        <f t="shared" si="132"/>
        <v>21.989583333333652</v>
      </c>
      <c r="I4246" s="7">
        <f t="shared" si="133"/>
        <v>21.989583333333652</v>
      </c>
    </row>
    <row r="4247" spans="1:9" x14ac:dyDescent="0.2">
      <c r="A4247" t="s">
        <v>4651</v>
      </c>
      <c r="B4247">
        <v>5.3789999999999996</v>
      </c>
      <c r="C4247">
        <v>7.5355000000000005E-2</v>
      </c>
      <c r="D4247">
        <v>277</v>
      </c>
      <c r="E4247" t="s">
        <v>4651</v>
      </c>
      <c r="F4247">
        <v>277</v>
      </c>
      <c r="G4247" s="1">
        <v>45203</v>
      </c>
      <c r="H4247" s="6">
        <f t="shared" si="132"/>
        <v>22.00000000000032</v>
      </c>
      <c r="I4247" s="7">
        <f t="shared" si="133"/>
        <v>22.00000000000032</v>
      </c>
    </row>
    <row r="4248" spans="1:9" x14ac:dyDescent="0.2">
      <c r="A4248" t="s">
        <v>4652</v>
      </c>
      <c r="B4248">
        <v>5.4210000000000003</v>
      </c>
      <c r="C4248">
        <v>7.5899999999999995E-2</v>
      </c>
      <c r="D4248">
        <v>277</v>
      </c>
      <c r="E4248" t="s">
        <v>4652</v>
      </c>
      <c r="F4248">
        <v>277</v>
      </c>
      <c r="G4248" s="1">
        <v>45203</v>
      </c>
      <c r="H4248" s="6">
        <f t="shared" si="132"/>
        <v>22.010416666666988</v>
      </c>
      <c r="I4248" s="7">
        <f t="shared" si="133"/>
        <v>22.010416666666988</v>
      </c>
    </row>
    <row r="4249" spans="1:9" x14ac:dyDescent="0.2">
      <c r="A4249" t="s">
        <v>4653</v>
      </c>
      <c r="B4249">
        <v>5.3879999999999999</v>
      </c>
      <c r="C4249">
        <v>7.5459999999999999E-2</v>
      </c>
      <c r="D4249">
        <v>277</v>
      </c>
      <c r="E4249" t="s">
        <v>4653</v>
      </c>
      <c r="F4249">
        <v>277</v>
      </c>
      <c r="G4249" s="1">
        <v>45203</v>
      </c>
      <c r="H4249" s="6">
        <f t="shared" si="132"/>
        <v>22.020833333333655</v>
      </c>
      <c r="I4249" s="7">
        <f t="shared" si="133"/>
        <v>22.020833333333655</v>
      </c>
    </row>
    <row r="4250" spans="1:9" x14ac:dyDescent="0.2">
      <c r="A4250" t="s">
        <v>4654</v>
      </c>
      <c r="B4250">
        <v>5.4130000000000003</v>
      </c>
      <c r="C4250">
        <v>7.5814999999999994E-2</v>
      </c>
      <c r="D4250">
        <v>277</v>
      </c>
      <c r="E4250" t="s">
        <v>4654</v>
      </c>
      <c r="F4250">
        <v>277</v>
      </c>
      <c r="G4250" s="1">
        <v>45203</v>
      </c>
      <c r="H4250" s="6">
        <f t="shared" si="132"/>
        <v>22.031250000000323</v>
      </c>
      <c r="I4250" s="7">
        <f t="shared" si="133"/>
        <v>22.031250000000323</v>
      </c>
    </row>
    <row r="4251" spans="1:9" x14ac:dyDescent="0.2">
      <c r="A4251" t="s">
        <v>4655</v>
      </c>
      <c r="B4251" s="2" t="s">
        <v>4656</v>
      </c>
      <c r="C4251">
        <v>7.5734999999999997E-2</v>
      </c>
      <c r="D4251">
        <v>277</v>
      </c>
      <c r="E4251" t="s">
        <v>4655</v>
      </c>
      <c r="F4251">
        <v>277</v>
      </c>
      <c r="G4251" s="1">
        <v>45203</v>
      </c>
      <c r="H4251" s="6">
        <f t="shared" si="132"/>
        <v>22.041666666666991</v>
      </c>
      <c r="I4251" s="7">
        <f t="shared" si="133"/>
        <v>22.041666666666991</v>
      </c>
    </row>
    <row r="4252" spans="1:9" x14ac:dyDescent="0.2">
      <c r="A4252" t="s">
        <v>4657</v>
      </c>
      <c r="B4252">
        <v>5.3879999999999999</v>
      </c>
      <c r="C4252">
        <v>7.5459999999999999E-2</v>
      </c>
      <c r="D4252">
        <v>277</v>
      </c>
      <c r="E4252" t="s">
        <v>4657</v>
      </c>
      <c r="F4252">
        <v>277</v>
      </c>
      <c r="G4252" s="1">
        <v>45203</v>
      </c>
      <c r="H4252" s="6">
        <f t="shared" ref="H4252:H4315" si="134">H4251+$K$1</f>
        <v>22.052083333333659</v>
      </c>
      <c r="I4252" s="7">
        <f t="shared" ref="I4252:I4315" si="135">I4251+$K$1</f>
        <v>22.052083333333659</v>
      </c>
    </row>
    <row r="4253" spans="1:9" x14ac:dyDescent="0.2">
      <c r="A4253" t="s">
        <v>4658</v>
      </c>
      <c r="B4253">
        <v>5.3944999999999999</v>
      </c>
      <c r="C4253">
        <v>7.5560000000000002E-2</v>
      </c>
      <c r="D4253">
        <v>277</v>
      </c>
      <c r="E4253" t="s">
        <v>4658</v>
      </c>
      <c r="F4253">
        <v>277</v>
      </c>
      <c r="G4253" s="1">
        <v>45203</v>
      </c>
      <c r="H4253" s="6">
        <f t="shared" si="134"/>
        <v>22.062500000000327</v>
      </c>
      <c r="I4253" s="7">
        <f t="shared" si="135"/>
        <v>22.062500000000327</v>
      </c>
    </row>
    <row r="4254" spans="1:9" x14ac:dyDescent="0.2">
      <c r="A4254" t="s">
        <v>4659</v>
      </c>
      <c r="B4254">
        <v>5.3605</v>
      </c>
      <c r="C4254">
        <v>7.5084999999999999E-2</v>
      </c>
      <c r="D4254">
        <v>277</v>
      </c>
      <c r="E4254" t="s">
        <v>4659</v>
      </c>
      <c r="F4254">
        <v>277</v>
      </c>
      <c r="G4254" s="1">
        <v>45203</v>
      </c>
      <c r="H4254" s="6">
        <f t="shared" si="134"/>
        <v>22.072916666666995</v>
      </c>
      <c r="I4254" s="7">
        <f t="shared" si="135"/>
        <v>22.072916666666995</v>
      </c>
    </row>
    <row r="4255" spans="1:9" x14ac:dyDescent="0.2">
      <c r="A4255" t="s">
        <v>4660</v>
      </c>
      <c r="B4255">
        <v>5.3605</v>
      </c>
      <c r="C4255">
        <v>7.5090000000000004E-2</v>
      </c>
      <c r="D4255">
        <v>277</v>
      </c>
      <c r="E4255" t="s">
        <v>4660</v>
      </c>
      <c r="F4255">
        <v>277</v>
      </c>
      <c r="G4255" s="1">
        <v>45203</v>
      </c>
      <c r="H4255" s="6">
        <f t="shared" si="134"/>
        <v>22.083333333333663</v>
      </c>
      <c r="I4255" s="7">
        <f t="shared" si="135"/>
        <v>22.083333333333663</v>
      </c>
    </row>
    <row r="4256" spans="1:9" x14ac:dyDescent="0.2">
      <c r="A4256" t="s">
        <v>4661</v>
      </c>
      <c r="B4256">
        <v>5.3884999999999996</v>
      </c>
      <c r="C4256">
        <v>7.5490000000000002E-2</v>
      </c>
      <c r="D4256">
        <v>277</v>
      </c>
      <c r="E4256" t="s">
        <v>4661</v>
      </c>
      <c r="F4256">
        <v>277</v>
      </c>
      <c r="G4256" s="1">
        <v>45203</v>
      </c>
      <c r="H4256" s="6">
        <f t="shared" si="134"/>
        <v>22.09375000000033</v>
      </c>
      <c r="I4256" s="7">
        <f t="shared" si="135"/>
        <v>22.09375000000033</v>
      </c>
    </row>
    <row r="4257" spans="1:9" x14ac:dyDescent="0.2">
      <c r="A4257" t="s">
        <v>4662</v>
      </c>
      <c r="B4257">
        <v>5.3739999999999997</v>
      </c>
      <c r="C4257">
        <v>7.5264999999999999E-2</v>
      </c>
      <c r="D4257">
        <v>277</v>
      </c>
      <c r="E4257" t="s">
        <v>4662</v>
      </c>
      <c r="F4257">
        <v>277</v>
      </c>
      <c r="G4257" s="1">
        <v>45203</v>
      </c>
      <c r="H4257" s="6">
        <f t="shared" si="134"/>
        <v>22.104166666666998</v>
      </c>
      <c r="I4257" s="7">
        <f t="shared" si="135"/>
        <v>22.104166666666998</v>
      </c>
    </row>
    <row r="4258" spans="1:9" x14ac:dyDescent="0.2">
      <c r="A4258" t="s">
        <v>4663</v>
      </c>
      <c r="B4258">
        <v>5.3719999999999999</v>
      </c>
      <c r="C4258">
        <v>7.5234999999999996E-2</v>
      </c>
      <c r="D4258">
        <v>277</v>
      </c>
      <c r="E4258" t="s">
        <v>4663</v>
      </c>
      <c r="F4258">
        <v>277</v>
      </c>
      <c r="G4258" s="1">
        <v>45203</v>
      </c>
      <c r="H4258" s="6">
        <f t="shared" si="134"/>
        <v>22.114583333333666</v>
      </c>
      <c r="I4258" s="7">
        <f t="shared" si="135"/>
        <v>22.114583333333666</v>
      </c>
    </row>
    <row r="4259" spans="1:9" x14ac:dyDescent="0.2">
      <c r="A4259" t="s">
        <v>4664</v>
      </c>
      <c r="B4259">
        <v>5.3815</v>
      </c>
      <c r="C4259">
        <v>7.5359999999999996E-2</v>
      </c>
      <c r="D4259">
        <v>277</v>
      </c>
      <c r="E4259" t="s">
        <v>4664</v>
      </c>
      <c r="F4259">
        <v>277</v>
      </c>
      <c r="G4259" s="1">
        <v>45203</v>
      </c>
      <c r="H4259" s="6">
        <f t="shared" si="134"/>
        <v>22.125000000000334</v>
      </c>
      <c r="I4259" s="7">
        <f t="shared" si="135"/>
        <v>22.125000000000334</v>
      </c>
    </row>
    <row r="4260" spans="1:9" x14ac:dyDescent="0.2">
      <c r="A4260" t="s">
        <v>4665</v>
      </c>
      <c r="B4260">
        <v>5.3925000000000001</v>
      </c>
      <c r="C4260">
        <v>7.5514999999999999E-2</v>
      </c>
      <c r="D4260">
        <v>277</v>
      </c>
      <c r="E4260" t="s">
        <v>4665</v>
      </c>
      <c r="F4260">
        <v>277</v>
      </c>
      <c r="G4260" s="1">
        <v>45203</v>
      </c>
      <c r="H4260" s="6">
        <f t="shared" si="134"/>
        <v>22.135416666667002</v>
      </c>
      <c r="I4260" s="7">
        <f t="shared" si="135"/>
        <v>22.135416666667002</v>
      </c>
    </row>
    <row r="4261" spans="1:9" x14ac:dyDescent="0.2">
      <c r="A4261" t="s">
        <v>4666</v>
      </c>
      <c r="B4261">
        <v>5.3434999999999997</v>
      </c>
      <c r="C4261">
        <v>7.485E-2</v>
      </c>
      <c r="D4261">
        <v>277</v>
      </c>
      <c r="E4261" t="s">
        <v>4666</v>
      </c>
      <c r="F4261">
        <v>277</v>
      </c>
      <c r="G4261" s="1">
        <v>45203</v>
      </c>
      <c r="H4261" s="6">
        <f t="shared" si="134"/>
        <v>22.14583333333367</v>
      </c>
      <c r="I4261" s="7">
        <f t="shared" si="135"/>
        <v>22.14583333333367</v>
      </c>
    </row>
    <row r="4262" spans="1:9" x14ac:dyDescent="0.2">
      <c r="A4262" t="s">
        <v>4667</v>
      </c>
      <c r="B4262">
        <v>5.3710000000000004</v>
      </c>
      <c r="C4262">
        <v>7.5225E-2</v>
      </c>
      <c r="D4262">
        <v>277</v>
      </c>
      <c r="E4262" t="s">
        <v>4667</v>
      </c>
      <c r="F4262">
        <v>277</v>
      </c>
      <c r="G4262" s="1">
        <v>45203</v>
      </c>
      <c r="H4262" s="6">
        <f t="shared" si="134"/>
        <v>22.156250000000338</v>
      </c>
      <c r="I4262" s="7">
        <f t="shared" si="135"/>
        <v>22.156250000000338</v>
      </c>
    </row>
    <row r="4263" spans="1:9" x14ac:dyDescent="0.2">
      <c r="A4263" t="s">
        <v>4668</v>
      </c>
      <c r="B4263">
        <v>5.3620000000000001</v>
      </c>
      <c r="C4263">
        <v>7.5115000000000001E-2</v>
      </c>
      <c r="D4263">
        <v>277</v>
      </c>
      <c r="E4263" t="s">
        <v>4668</v>
      </c>
      <c r="F4263">
        <v>277</v>
      </c>
      <c r="G4263" s="1">
        <v>45203</v>
      </c>
      <c r="H4263" s="6">
        <f t="shared" si="134"/>
        <v>22.166666666667005</v>
      </c>
      <c r="I4263" s="7">
        <f t="shared" si="135"/>
        <v>22.166666666667005</v>
      </c>
    </row>
    <row r="4264" spans="1:9" x14ac:dyDescent="0.2">
      <c r="A4264" t="s">
        <v>4669</v>
      </c>
      <c r="B4264">
        <v>5.335</v>
      </c>
      <c r="C4264">
        <v>7.4764999999999998E-2</v>
      </c>
      <c r="D4264">
        <v>277</v>
      </c>
      <c r="E4264" t="s">
        <v>4669</v>
      </c>
      <c r="F4264">
        <v>277</v>
      </c>
      <c r="G4264" s="1">
        <v>45203</v>
      </c>
      <c r="H4264" s="6">
        <f t="shared" si="134"/>
        <v>22.177083333333673</v>
      </c>
      <c r="I4264" s="7">
        <f t="shared" si="135"/>
        <v>22.177083333333673</v>
      </c>
    </row>
    <row r="4265" spans="1:9" x14ac:dyDescent="0.2">
      <c r="A4265" t="s">
        <v>4670</v>
      </c>
      <c r="B4265">
        <v>5.3985000000000003</v>
      </c>
      <c r="C4265">
        <v>7.5615000000000002E-2</v>
      </c>
      <c r="D4265">
        <v>277</v>
      </c>
      <c r="E4265" t="s">
        <v>4670</v>
      </c>
      <c r="F4265">
        <v>277</v>
      </c>
      <c r="G4265" s="1">
        <v>45203</v>
      </c>
      <c r="H4265" s="6">
        <f t="shared" si="134"/>
        <v>22.187500000000341</v>
      </c>
      <c r="I4265" s="7">
        <f t="shared" si="135"/>
        <v>22.187500000000341</v>
      </c>
    </row>
    <row r="4266" spans="1:9" x14ac:dyDescent="0.2">
      <c r="A4266" t="s">
        <v>4671</v>
      </c>
      <c r="B4266">
        <v>5.3330000000000002</v>
      </c>
      <c r="C4266">
        <v>7.4700000000000003E-2</v>
      </c>
      <c r="D4266">
        <v>277</v>
      </c>
      <c r="E4266" t="s">
        <v>4671</v>
      </c>
      <c r="F4266">
        <v>277</v>
      </c>
      <c r="G4266" s="1">
        <v>45203</v>
      </c>
      <c r="H4266" s="6">
        <f t="shared" si="134"/>
        <v>22.197916666667009</v>
      </c>
      <c r="I4266" s="7">
        <f t="shared" si="135"/>
        <v>22.197916666667009</v>
      </c>
    </row>
    <row r="4267" spans="1:9" x14ac:dyDescent="0.2">
      <c r="A4267" t="s">
        <v>4672</v>
      </c>
      <c r="B4267">
        <v>5.3730000000000002</v>
      </c>
      <c r="C4267">
        <v>7.5249999999999997E-2</v>
      </c>
      <c r="D4267">
        <v>277</v>
      </c>
      <c r="E4267" t="s">
        <v>4672</v>
      </c>
      <c r="F4267">
        <v>277</v>
      </c>
      <c r="G4267" s="1">
        <v>45203</v>
      </c>
      <c r="H4267" s="6">
        <f t="shared" si="134"/>
        <v>22.208333333333677</v>
      </c>
      <c r="I4267" s="7">
        <f t="shared" si="135"/>
        <v>22.208333333333677</v>
      </c>
    </row>
    <row r="4268" spans="1:9" x14ac:dyDescent="0.2">
      <c r="A4268" t="s">
        <v>4673</v>
      </c>
      <c r="B4268">
        <v>5.3365</v>
      </c>
      <c r="C4268">
        <v>7.4755000000000002E-2</v>
      </c>
      <c r="D4268">
        <v>277</v>
      </c>
      <c r="E4268" t="s">
        <v>4673</v>
      </c>
      <c r="F4268">
        <v>277</v>
      </c>
      <c r="G4268" s="1">
        <v>45203</v>
      </c>
      <c r="H4268" s="6">
        <f t="shared" si="134"/>
        <v>22.218750000000345</v>
      </c>
      <c r="I4268" s="7">
        <f t="shared" si="135"/>
        <v>22.218750000000345</v>
      </c>
    </row>
    <row r="4269" spans="1:9" x14ac:dyDescent="0.2">
      <c r="A4269" t="s">
        <v>4674</v>
      </c>
      <c r="B4269">
        <v>5.3285</v>
      </c>
      <c r="C4269">
        <v>7.4639999999999998E-2</v>
      </c>
      <c r="D4269">
        <v>277</v>
      </c>
      <c r="E4269" t="s">
        <v>4674</v>
      </c>
      <c r="F4269">
        <v>277</v>
      </c>
      <c r="G4269" s="1">
        <v>45203</v>
      </c>
      <c r="H4269" s="6">
        <f t="shared" si="134"/>
        <v>22.229166666667012</v>
      </c>
      <c r="I4269" s="7">
        <f t="shared" si="135"/>
        <v>22.229166666667012</v>
      </c>
    </row>
    <row r="4270" spans="1:9" x14ac:dyDescent="0.2">
      <c r="A4270" t="s">
        <v>4675</v>
      </c>
      <c r="B4270">
        <v>5.3209999999999997</v>
      </c>
      <c r="C4270">
        <v>7.4529999999999999E-2</v>
      </c>
      <c r="D4270">
        <v>277</v>
      </c>
      <c r="E4270" t="s">
        <v>4675</v>
      </c>
      <c r="F4270">
        <v>277</v>
      </c>
      <c r="G4270" s="1">
        <v>45203</v>
      </c>
      <c r="H4270" s="6">
        <f t="shared" si="134"/>
        <v>22.23958333333368</v>
      </c>
      <c r="I4270" s="7">
        <f t="shared" si="135"/>
        <v>22.23958333333368</v>
      </c>
    </row>
    <row r="4271" spans="1:9" x14ac:dyDescent="0.2">
      <c r="A4271" t="s">
        <v>4676</v>
      </c>
      <c r="B4271">
        <v>5.3185000000000002</v>
      </c>
      <c r="C4271">
        <v>7.4495000000000006E-2</v>
      </c>
      <c r="D4271">
        <v>277</v>
      </c>
      <c r="E4271" t="s">
        <v>4676</v>
      </c>
      <c r="F4271">
        <v>277</v>
      </c>
      <c r="G4271" s="1">
        <v>45203</v>
      </c>
      <c r="H4271" s="6">
        <f t="shared" si="134"/>
        <v>22.250000000000348</v>
      </c>
      <c r="I4271" s="7">
        <f t="shared" si="135"/>
        <v>22.250000000000348</v>
      </c>
    </row>
    <row r="4272" spans="1:9" x14ac:dyDescent="0.2">
      <c r="A4272" t="s">
        <v>4677</v>
      </c>
      <c r="B4272">
        <v>5.2889999999999997</v>
      </c>
      <c r="C4272">
        <v>7.4069999999999997E-2</v>
      </c>
      <c r="D4272">
        <v>277</v>
      </c>
      <c r="E4272" t="s">
        <v>4677</v>
      </c>
      <c r="F4272">
        <v>277</v>
      </c>
      <c r="G4272" s="1">
        <v>45203</v>
      </c>
      <c r="H4272" s="6">
        <f t="shared" si="134"/>
        <v>22.260416666667016</v>
      </c>
      <c r="I4272" s="7">
        <f t="shared" si="135"/>
        <v>22.260416666667016</v>
      </c>
    </row>
    <row r="4273" spans="1:9" x14ac:dyDescent="0.2">
      <c r="A4273" t="s">
        <v>4678</v>
      </c>
      <c r="B4273">
        <v>5.2645</v>
      </c>
      <c r="C4273">
        <v>7.3730000000000004E-2</v>
      </c>
      <c r="D4273">
        <v>277</v>
      </c>
      <c r="E4273" t="s">
        <v>4678</v>
      </c>
      <c r="F4273">
        <v>277</v>
      </c>
      <c r="G4273" s="1">
        <v>45203</v>
      </c>
      <c r="H4273" s="6">
        <f t="shared" si="134"/>
        <v>22.270833333333684</v>
      </c>
      <c r="I4273" s="7">
        <f t="shared" si="135"/>
        <v>22.270833333333684</v>
      </c>
    </row>
    <row r="4274" spans="1:9" x14ac:dyDescent="0.2">
      <c r="A4274" t="s">
        <v>4679</v>
      </c>
      <c r="B4274">
        <v>5.2169999999999996</v>
      </c>
      <c r="C4274">
        <v>7.306E-2</v>
      </c>
      <c r="D4274">
        <v>277</v>
      </c>
      <c r="E4274" t="s">
        <v>4679</v>
      </c>
      <c r="F4274">
        <v>277</v>
      </c>
      <c r="G4274" s="1">
        <v>45203</v>
      </c>
      <c r="H4274" s="6">
        <f t="shared" si="134"/>
        <v>22.281250000000352</v>
      </c>
      <c r="I4274" s="7">
        <f t="shared" si="135"/>
        <v>22.281250000000352</v>
      </c>
    </row>
    <row r="4275" spans="1:9" x14ac:dyDescent="0.2">
      <c r="A4275" t="s">
        <v>4680</v>
      </c>
      <c r="B4275">
        <v>5.1905000000000001</v>
      </c>
      <c r="C4275">
        <v>7.2730000000000003E-2</v>
      </c>
      <c r="D4275">
        <v>277</v>
      </c>
      <c r="E4275" t="s">
        <v>4680</v>
      </c>
      <c r="F4275">
        <v>277</v>
      </c>
      <c r="G4275" s="1">
        <v>45203</v>
      </c>
      <c r="H4275" s="6">
        <f t="shared" si="134"/>
        <v>22.29166666666702</v>
      </c>
      <c r="I4275" s="7">
        <f t="shared" si="135"/>
        <v>22.29166666666702</v>
      </c>
    </row>
    <row r="4276" spans="1:9" x14ac:dyDescent="0.2">
      <c r="A4276" t="s">
        <v>4681</v>
      </c>
      <c r="B4276">
        <v>5.1550000000000002</v>
      </c>
      <c r="C4276">
        <v>7.2209999999999996E-2</v>
      </c>
      <c r="D4276">
        <v>277</v>
      </c>
      <c r="E4276" t="s">
        <v>4681</v>
      </c>
      <c r="F4276">
        <v>277</v>
      </c>
      <c r="G4276" s="1">
        <v>45203</v>
      </c>
      <c r="H4276" s="6">
        <f t="shared" si="134"/>
        <v>22.302083333333687</v>
      </c>
      <c r="I4276" s="7">
        <f t="shared" si="135"/>
        <v>22.302083333333687</v>
      </c>
    </row>
    <row r="4277" spans="1:9" x14ac:dyDescent="0.2">
      <c r="A4277" t="s">
        <v>4682</v>
      </c>
      <c r="B4277">
        <v>5.0925000000000002</v>
      </c>
      <c r="C4277">
        <v>7.1334999999999996E-2</v>
      </c>
      <c r="D4277">
        <v>277</v>
      </c>
      <c r="E4277" t="s">
        <v>4682</v>
      </c>
      <c r="F4277">
        <v>277</v>
      </c>
      <c r="G4277" s="1">
        <v>45203</v>
      </c>
      <c r="H4277" s="6">
        <f t="shared" si="134"/>
        <v>22.312500000000355</v>
      </c>
      <c r="I4277" s="7">
        <f t="shared" si="135"/>
        <v>22.312500000000355</v>
      </c>
    </row>
    <row r="4278" spans="1:9" x14ac:dyDescent="0.2">
      <c r="A4278" t="s">
        <v>4683</v>
      </c>
      <c r="B4278">
        <v>5.0434999999999999</v>
      </c>
      <c r="C4278">
        <v>7.0650000000000004E-2</v>
      </c>
      <c r="D4278">
        <v>277</v>
      </c>
      <c r="E4278" t="s">
        <v>4683</v>
      </c>
      <c r="F4278">
        <v>277</v>
      </c>
      <c r="G4278" s="1">
        <v>45203</v>
      </c>
      <c r="H4278" s="6">
        <f t="shared" si="134"/>
        <v>22.322916666667023</v>
      </c>
      <c r="I4278" s="7">
        <f t="shared" si="135"/>
        <v>22.322916666667023</v>
      </c>
    </row>
    <row r="4279" spans="1:9" x14ac:dyDescent="0.2">
      <c r="A4279" t="s">
        <v>4684</v>
      </c>
      <c r="B4279">
        <v>5.0134999999999996</v>
      </c>
      <c r="C4279">
        <v>7.0215E-2</v>
      </c>
      <c r="D4279">
        <v>277</v>
      </c>
      <c r="E4279" t="s">
        <v>4684</v>
      </c>
      <c r="F4279">
        <v>277</v>
      </c>
      <c r="G4279" s="1">
        <v>45203</v>
      </c>
      <c r="H4279" s="6">
        <f t="shared" si="134"/>
        <v>22.333333333333691</v>
      </c>
      <c r="I4279" s="7">
        <f t="shared" si="135"/>
        <v>22.333333333333691</v>
      </c>
    </row>
    <row r="4280" spans="1:9" x14ac:dyDescent="0.2">
      <c r="A4280" t="s">
        <v>4685</v>
      </c>
      <c r="B4280">
        <v>4.9794999999999998</v>
      </c>
      <c r="C4280">
        <v>6.973E-2</v>
      </c>
      <c r="D4280">
        <v>277</v>
      </c>
      <c r="E4280" t="s">
        <v>4685</v>
      </c>
      <c r="F4280">
        <v>277</v>
      </c>
      <c r="G4280" s="1">
        <v>45203</v>
      </c>
      <c r="H4280" s="6">
        <f t="shared" si="134"/>
        <v>22.343750000000359</v>
      </c>
      <c r="I4280" s="7">
        <f t="shared" si="135"/>
        <v>22.343750000000359</v>
      </c>
    </row>
    <row r="4281" spans="1:9" x14ac:dyDescent="0.2">
      <c r="A4281" t="s">
        <v>4686</v>
      </c>
      <c r="B4281">
        <v>5</v>
      </c>
      <c r="C4281">
        <v>7.0029999999999995E-2</v>
      </c>
      <c r="D4281">
        <v>277</v>
      </c>
      <c r="E4281" t="s">
        <v>4686</v>
      </c>
      <c r="F4281">
        <v>277</v>
      </c>
      <c r="G4281" s="1">
        <v>45203</v>
      </c>
      <c r="H4281" s="6">
        <f t="shared" si="134"/>
        <v>22.354166666667027</v>
      </c>
      <c r="I4281" s="7">
        <f t="shared" si="135"/>
        <v>22.354166666667027</v>
      </c>
    </row>
    <row r="4282" spans="1:9" x14ac:dyDescent="0.2">
      <c r="A4282" t="s">
        <v>4687</v>
      </c>
      <c r="B4282">
        <v>4.9329999999999998</v>
      </c>
      <c r="C4282">
        <v>6.9080000000000003E-2</v>
      </c>
      <c r="D4282">
        <v>277</v>
      </c>
      <c r="E4282" t="s">
        <v>4687</v>
      </c>
      <c r="F4282">
        <v>277</v>
      </c>
      <c r="G4282" s="1">
        <v>45203</v>
      </c>
      <c r="H4282" s="6">
        <f t="shared" si="134"/>
        <v>22.364583333333695</v>
      </c>
      <c r="I4282" s="7">
        <f t="shared" si="135"/>
        <v>22.364583333333695</v>
      </c>
    </row>
    <row r="4283" spans="1:9" x14ac:dyDescent="0.2">
      <c r="A4283" t="s">
        <v>4688</v>
      </c>
      <c r="B4283">
        <v>4.8875000000000002</v>
      </c>
      <c r="C4283">
        <v>6.8459999999999993E-2</v>
      </c>
      <c r="D4283">
        <v>277</v>
      </c>
      <c r="E4283" t="s">
        <v>4688</v>
      </c>
      <c r="F4283">
        <v>277</v>
      </c>
      <c r="G4283" s="1">
        <v>45203</v>
      </c>
      <c r="H4283" s="6">
        <f t="shared" si="134"/>
        <v>22.375000000000362</v>
      </c>
      <c r="I4283" s="7">
        <f t="shared" si="135"/>
        <v>22.375000000000362</v>
      </c>
    </row>
    <row r="4284" spans="1:9" x14ac:dyDescent="0.2">
      <c r="A4284" t="s">
        <v>4689</v>
      </c>
      <c r="B4284">
        <v>4.8470000000000004</v>
      </c>
      <c r="C4284">
        <v>6.7894999999999997E-2</v>
      </c>
      <c r="D4284">
        <v>277</v>
      </c>
      <c r="E4284" t="s">
        <v>4689</v>
      </c>
      <c r="F4284">
        <v>277</v>
      </c>
      <c r="G4284" s="1">
        <v>45203</v>
      </c>
      <c r="H4284" s="6">
        <f t="shared" si="134"/>
        <v>22.38541666666703</v>
      </c>
      <c r="I4284" s="7">
        <f t="shared" si="135"/>
        <v>22.38541666666703</v>
      </c>
    </row>
    <row r="4285" spans="1:9" x14ac:dyDescent="0.2">
      <c r="A4285" t="s">
        <v>4690</v>
      </c>
      <c r="B4285">
        <v>4.8654999999999999</v>
      </c>
      <c r="C4285">
        <v>6.8135000000000001E-2</v>
      </c>
      <c r="D4285">
        <v>277</v>
      </c>
      <c r="E4285" t="s">
        <v>4690</v>
      </c>
      <c r="F4285">
        <v>277</v>
      </c>
      <c r="G4285" s="1">
        <v>45203</v>
      </c>
      <c r="H4285" s="6">
        <f t="shared" si="134"/>
        <v>22.395833333333698</v>
      </c>
      <c r="I4285" s="7">
        <f t="shared" si="135"/>
        <v>22.395833333333698</v>
      </c>
    </row>
    <row r="4286" spans="1:9" x14ac:dyDescent="0.2">
      <c r="A4286" t="s">
        <v>4691</v>
      </c>
      <c r="B4286">
        <v>4.7664999999999997</v>
      </c>
      <c r="C4286">
        <v>6.6784999999999997E-2</v>
      </c>
      <c r="D4286">
        <v>277</v>
      </c>
      <c r="E4286" t="s">
        <v>4691</v>
      </c>
      <c r="F4286">
        <v>277</v>
      </c>
      <c r="G4286" s="1">
        <v>45203</v>
      </c>
      <c r="H4286" s="6">
        <f t="shared" si="134"/>
        <v>22.406250000000366</v>
      </c>
      <c r="I4286" s="7">
        <f t="shared" si="135"/>
        <v>22.406250000000366</v>
      </c>
    </row>
    <row r="4287" spans="1:9" x14ac:dyDescent="0.2">
      <c r="A4287" t="s">
        <v>4692</v>
      </c>
      <c r="B4287">
        <v>4.8010000000000002</v>
      </c>
      <c r="C4287">
        <v>6.7239999999999994E-2</v>
      </c>
      <c r="D4287">
        <v>277</v>
      </c>
      <c r="E4287" t="s">
        <v>4692</v>
      </c>
      <c r="F4287">
        <v>277</v>
      </c>
      <c r="G4287" s="1">
        <v>45203</v>
      </c>
      <c r="H4287" s="6">
        <f t="shared" si="134"/>
        <v>22.416666666667034</v>
      </c>
      <c r="I4287" s="7">
        <f t="shared" si="135"/>
        <v>22.416666666667034</v>
      </c>
    </row>
    <row r="4288" spans="1:9" x14ac:dyDescent="0.2">
      <c r="A4288" t="s">
        <v>4693</v>
      </c>
      <c r="B4288">
        <v>4.8345000000000002</v>
      </c>
      <c r="C4288">
        <v>6.7699999999999996E-2</v>
      </c>
      <c r="D4288">
        <v>277</v>
      </c>
      <c r="E4288" t="s">
        <v>4693</v>
      </c>
      <c r="F4288">
        <v>277</v>
      </c>
      <c r="G4288" s="1">
        <v>45203</v>
      </c>
      <c r="H4288" s="6">
        <f t="shared" si="134"/>
        <v>22.427083333333702</v>
      </c>
      <c r="I4288" s="7">
        <f t="shared" si="135"/>
        <v>22.427083333333702</v>
      </c>
    </row>
    <row r="4289" spans="1:9" x14ac:dyDescent="0.2">
      <c r="A4289" t="s">
        <v>4694</v>
      </c>
      <c r="B4289">
        <v>4.8129999999999997</v>
      </c>
      <c r="C4289">
        <v>6.7415000000000003E-2</v>
      </c>
      <c r="D4289">
        <v>277</v>
      </c>
      <c r="E4289" t="s">
        <v>4694</v>
      </c>
      <c r="F4289">
        <v>277</v>
      </c>
      <c r="G4289" s="1">
        <v>45203</v>
      </c>
      <c r="H4289" s="6">
        <f t="shared" si="134"/>
        <v>22.437500000000369</v>
      </c>
      <c r="I4289" s="7">
        <f t="shared" si="135"/>
        <v>22.437500000000369</v>
      </c>
    </row>
    <row r="4290" spans="1:9" x14ac:dyDescent="0.2">
      <c r="A4290" t="s">
        <v>4695</v>
      </c>
      <c r="B4290">
        <v>4.8224999999999998</v>
      </c>
      <c r="C4290">
        <v>6.7555000000000004E-2</v>
      </c>
      <c r="D4290">
        <v>277</v>
      </c>
      <c r="E4290" t="s">
        <v>4695</v>
      </c>
      <c r="F4290">
        <v>277</v>
      </c>
      <c r="G4290" s="1">
        <v>45203</v>
      </c>
      <c r="H4290" s="6">
        <f t="shared" si="134"/>
        <v>22.447916666667037</v>
      </c>
      <c r="I4290" s="7">
        <f t="shared" si="135"/>
        <v>22.447916666667037</v>
      </c>
    </row>
    <row r="4291" spans="1:9" x14ac:dyDescent="0.2">
      <c r="A4291" t="s">
        <v>4696</v>
      </c>
      <c r="B4291">
        <v>4.8070000000000004</v>
      </c>
      <c r="C4291">
        <v>6.7320000000000005E-2</v>
      </c>
      <c r="D4291">
        <v>277</v>
      </c>
      <c r="E4291" t="s">
        <v>4696</v>
      </c>
      <c r="F4291">
        <v>277</v>
      </c>
      <c r="G4291" s="1">
        <v>45203</v>
      </c>
      <c r="H4291" s="6">
        <f t="shared" si="134"/>
        <v>22.458333333333705</v>
      </c>
      <c r="I4291" s="7">
        <f t="shared" si="135"/>
        <v>22.458333333333705</v>
      </c>
    </row>
    <row r="4292" spans="1:9" x14ac:dyDescent="0.2">
      <c r="A4292" t="s">
        <v>4697</v>
      </c>
      <c r="B4292">
        <v>4.8239999999999998</v>
      </c>
      <c r="C4292">
        <v>6.7565E-2</v>
      </c>
      <c r="D4292">
        <v>277</v>
      </c>
      <c r="E4292" t="s">
        <v>4697</v>
      </c>
      <c r="F4292">
        <v>277</v>
      </c>
      <c r="G4292" s="1">
        <v>45203</v>
      </c>
      <c r="H4292" s="6">
        <f t="shared" si="134"/>
        <v>22.468750000000373</v>
      </c>
      <c r="I4292" s="7">
        <f t="shared" si="135"/>
        <v>22.468750000000373</v>
      </c>
    </row>
    <row r="4293" spans="1:9" x14ac:dyDescent="0.2">
      <c r="A4293" t="s">
        <v>4698</v>
      </c>
      <c r="B4293">
        <v>4.8064999999999998</v>
      </c>
      <c r="C4293">
        <v>6.7330000000000001E-2</v>
      </c>
      <c r="D4293">
        <v>277</v>
      </c>
      <c r="E4293" t="s">
        <v>4698</v>
      </c>
      <c r="F4293">
        <v>277</v>
      </c>
      <c r="G4293" s="1">
        <v>45203</v>
      </c>
      <c r="H4293" s="6">
        <f t="shared" si="134"/>
        <v>22.479166666667041</v>
      </c>
      <c r="I4293" s="7">
        <f t="shared" si="135"/>
        <v>22.479166666667041</v>
      </c>
    </row>
    <row r="4294" spans="1:9" x14ac:dyDescent="0.2">
      <c r="A4294" t="s">
        <v>4699</v>
      </c>
      <c r="B4294">
        <v>4.7869999999999999</v>
      </c>
      <c r="C4294">
        <v>6.7040000000000002E-2</v>
      </c>
      <c r="D4294">
        <v>277</v>
      </c>
      <c r="E4294" t="s">
        <v>4699</v>
      </c>
      <c r="F4294">
        <v>277</v>
      </c>
      <c r="G4294" s="1">
        <v>45203</v>
      </c>
      <c r="H4294" s="6">
        <f t="shared" si="134"/>
        <v>22.489583333333709</v>
      </c>
      <c r="I4294" s="7">
        <f t="shared" si="135"/>
        <v>22.489583333333709</v>
      </c>
    </row>
    <row r="4295" spans="1:9" x14ac:dyDescent="0.2">
      <c r="A4295" t="s">
        <v>4700</v>
      </c>
      <c r="B4295">
        <v>4.7759999999999998</v>
      </c>
      <c r="C4295">
        <v>6.6894999999999996E-2</v>
      </c>
      <c r="D4295">
        <v>277</v>
      </c>
      <c r="E4295" t="s">
        <v>4700</v>
      </c>
      <c r="F4295">
        <v>277</v>
      </c>
      <c r="G4295" s="1">
        <v>45203</v>
      </c>
      <c r="H4295" s="6">
        <f t="shared" si="134"/>
        <v>22.500000000000377</v>
      </c>
      <c r="I4295" s="7">
        <f t="shared" si="135"/>
        <v>22.500000000000377</v>
      </c>
    </row>
    <row r="4296" spans="1:9" x14ac:dyDescent="0.2">
      <c r="A4296" t="s">
        <v>4701</v>
      </c>
      <c r="B4296">
        <v>4.7595000000000001</v>
      </c>
      <c r="C4296">
        <v>6.6654999999999895E-2</v>
      </c>
      <c r="D4296">
        <v>277</v>
      </c>
      <c r="E4296" t="s">
        <v>4701</v>
      </c>
      <c r="F4296">
        <v>277</v>
      </c>
      <c r="G4296" s="1">
        <v>45203</v>
      </c>
      <c r="H4296" s="6">
        <f t="shared" si="134"/>
        <v>22.510416666667044</v>
      </c>
      <c r="I4296" s="7">
        <f t="shared" si="135"/>
        <v>22.510416666667044</v>
      </c>
    </row>
    <row r="4297" spans="1:9" x14ac:dyDescent="0.2">
      <c r="A4297" t="s">
        <v>4702</v>
      </c>
      <c r="B4297">
        <v>4.7934999999999999</v>
      </c>
      <c r="C4297">
        <v>6.7159999999999997E-2</v>
      </c>
      <c r="D4297">
        <v>277</v>
      </c>
      <c r="E4297" t="s">
        <v>4702</v>
      </c>
      <c r="F4297">
        <v>277</v>
      </c>
      <c r="G4297" s="1">
        <v>45203</v>
      </c>
      <c r="H4297" s="6">
        <f t="shared" si="134"/>
        <v>22.520833333333712</v>
      </c>
      <c r="I4297" s="7">
        <f t="shared" si="135"/>
        <v>22.520833333333712</v>
      </c>
    </row>
    <row r="4298" spans="1:9" x14ac:dyDescent="0.2">
      <c r="A4298" t="s">
        <v>4703</v>
      </c>
      <c r="B4298">
        <v>4.7895000000000003</v>
      </c>
      <c r="C4298">
        <v>6.7095000000000002E-2</v>
      </c>
      <c r="D4298">
        <v>277</v>
      </c>
      <c r="E4298" t="s">
        <v>4703</v>
      </c>
      <c r="F4298">
        <v>277</v>
      </c>
      <c r="G4298" s="1">
        <v>45203</v>
      </c>
      <c r="H4298" s="6">
        <f t="shared" si="134"/>
        <v>22.53125000000038</v>
      </c>
      <c r="I4298" s="7">
        <f t="shared" si="135"/>
        <v>22.53125000000038</v>
      </c>
    </row>
    <row r="4299" spans="1:9" x14ac:dyDescent="0.2">
      <c r="A4299" t="s">
        <v>4704</v>
      </c>
      <c r="B4299">
        <v>4.7709999999999999</v>
      </c>
      <c r="C4299">
        <v>6.6814999999999999E-2</v>
      </c>
      <c r="D4299">
        <v>277</v>
      </c>
      <c r="E4299" t="s">
        <v>4704</v>
      </c>
      <c r="F4299">
        <v>277</v>
      </c>
      <c r="G4299" s="1">
        <v>45203</v>
      </c>
      <c r="H4299" s="6">
        <f t="shared" si="134"/>
        <v>22.541666666667048</v>
      </c>
      <c r="I4299" s="7">
        <f t="shared" si="135"/>
        <v>22.541666666667048</v>
      </c>
    </row>
    <row r="4300" spans="1:9" x14ac:dyDescent="0.2">
      <c r="A4300" t="s">
        <v>4705</v>
      </c>
      <c r="B4300">
        <v>4.7805</v>
      </c>
      <c r="C4300">
        <v>6.6960000000000006E-2</v>
      </c>
      <c r="D4300">
        <v>277</v>
      </c>
      <c r="E4300" t="s">
        <v>4705</v>
      </c>
      <c r="F4300">
        <v>277</v>
      </c>
      <c r="G4300" s="1">
        <v>45203</v>
      </c>
      <c r="H4300" s="6">
        <f t="shared" si="134"/>
        <v>22.552083333333716</v>
      </c>
      <c r="I4300" s="7">
        <f t="shared" si="135"/>
        <v>22.552083333333716</v>
      </c>
    </row>
    <row r="4301" spans="1:9" x14ac:dyDescent="0.2">
      <c r="A4301" t="s">
        <v>4706</v>
      </c>
      <c r="B4301">
        <v>4.8144999999999998</v>
      </c>
      <c r="C4301">
        <v>6.7419999999999994E-2</v>
      </c>
      <c r="D4301">
        <v>277</v>
      </c>
      <c r="E4301" t="s">
        <v>4706</v>
      </c>
      <c r="F4301">
        <v>277</v>
      </c>
      <c r="G4301" s="1">
        <v>45203</v>
      </c>
      <c r="H4301" s="6">
        <f t="shared" si="134"/>
        <v>22.562500000000384</v>
      </c>
      <c r="I4301" s="7">
        <f t="shared" si="135"/>
        <v>22.562500000000384</v>
      </c>
    </row>
    <row r="4302" spans="1:9" x14ac:dyDescent="0.2">
      <c r="A4302" t="s">
        <v>4707</v>
      </c>
      <c r="B4302">
        <v>4.7530000000000001</v>
      </c>
      <c r="C4302">
        <v>6.6555000000000003E-2</v>
      </c>
      <c r="D4302">
        <v>277</v>
      </c>
      <c r="E4302" t="s">
        <v>4707</v>
      </c>
      <c r="F4302">
        <v>277</v>
      </c>
      <c r="G4302" s="1">
        <v>45203</v>
      </c>
      <c r="H4302" s="6">
        <f t="shared" si="134"/>
        <v>22.572916666667052</v>
      </c>
      <c r="I4302" s="7">
        <f t="shared" si="135"/>
        <v>22.572916666667052</v>
      </c>
    </row>
    <row r="4303" spans="1:9" x14ac:dyDescent="0.2">
      <c r="A4303" t="s">
        <v>4708</v>
      </c>
      <c r="B4303">
        <v>4.7154999999999996</v>
      </c>
      <c r="C4303">
        <v>6.6055000000000003E-2</v>
      </c>
      <c r="D4303">
        <v>277</v>
      </c>
      <c r="E4303" t="s">
        <v>4708</v>
      </c>
      <c r="F4303">
        <v>277</v>
      </c>
      <c r="G4303" s="1">
        <v>45203</v>
      </c>
      <c r="H4303" s="6">
        <f t="shared" si="134"/>
        <v>22.583333333333719</v>
      </c>
      <c r="I4303" s="7">
        <f t="shared" si="135"/>
        <v>22.583333333333719</v>
      </c>
    </row>
    <row r="4304" spans="1:9" x14ac:dyDescent="0.2">
      <c r="A4304" t="s">
        <v>4709</v>
      </c>
      <c r="B4304">
        <v>4.742</v>
      </c>
      <c r="C4304">
        <v>6.6424999999999998E-2</v>
      </c>
      <c r="D4304">
        <v>277</v>
      </c>
      <c r="E4304" t="s">
        <v>4709</v>
      </c>
      <c r="F4304">
        <v>277</v>
      </c>
      <c r="G4304" s="1">
        <v>45203</v>
      </c>
      <c r="H4304" s="6">
        <f t="shared" si="134"/>
        <v>22.593750000000387</v>
      </c>
      <c r="I4304" s="7">
        <f t="shared" si="135"/>
        <v>22.593750000000387</v>
      </c>
    </row>
    <row r="4305" spans="1:9" x14ac:dyDescent="0.2">
      <c r="A4305" t="s">
        <v>4710</v>
      </c>
      <c r="B4305">
        <v>4.7404999999999999</v>
      </c>
      <c r="C4305">
        <v>6.6409999999999997E-2</v>
      </c>
      <c r="D4305">
        <v>277</v>
      </c>
      <c r="E4305" t="s">
        <v>4710</v>
      </c>
      <c r="F4305">
        <v>277</v>
      </c>
      <c r="G4305" s="1">
        <v>45203</v>
      </c>
      <c r="H4305" s="6">
        <f t="shared" si="134"/>
        <v>22.604166666667055</v>
      </c>
      <c r="I4305" s="7">
        <f t="shared" si="135"/>
        <v>22.604166666667055</v>
      </c>
    </row>
    <row r="4306" spans="1:9" x14ac:dyDescent="0.2">
      <c r="A4306" t="s">
        <v>4711</v>
      </c>
      <c r="B4306">
        <v>4.7534999999999998</v>
      </c>
      <c r="C4306">
        <v>6.6589999999999996E-2</v>
      </c>
      <c r="D4306">
        <v>278</v>
      </c>
      <c r="E4306" t="s">
        <v>4711</v>
      </c>
      <c r="F4306">
        <v>277</v>
      </c>
      <c r="G4306" s="1">
        <v>45203</v>
      </c>
      <c r="H4306" s="6">
        <f t="shared" si="134"/>
        <v>22.614583333333723</v>
      </c>
      <c r="I4306" s="7">
        <f t="shared" si="135"/>
        <v>22.614583333333723</v>
      </c>
    </row>
    <row r="4307" spans="1:9" x14ac:dyDescent="0.2">
      <c r="A4307" t="s">
        <v>4712</v>
      </c>
      <c r="B4307">
        <v>4.694</v>
      </c>
      <c r="C4307">
        <v>6.5735000000000002E-2</v>
      </c>
      <c r="D4307">
        <v>278</v>
      </c>
      <c r="E4307" t="s">
        <v>4712</v>
      </c>
      <c r="F4307">
        <v>277</v>
      </c>
      <c r="G4307" s="1">
        <v>45203</v>
      </c>
      <c r="H4307" s="6">
        <f t="shared" si="134"/>
        <v>22.625000000000391</v>
      </c>
      <c r="I4307" s="7">
        <f t="shared" si="135"/>
        <v>22.625000000000391</v>
      </c>
    </row>
    <row r="4308" spans="1:9" x14ac:dyDescent="0.2">
      <c r="A4308" t="s">
        <v>4713</v>
      </c>
      <c r="B4308">
        <v>4.7084999999999999</v>
      </c>
      <c r="C4308">
        <v>6.5964999999999996E-2</v>
      </c>
      <c r="D4308">
        <v>278</v>
      </c>
      <c r="E4308" t="s">
        <v>4713</v>
      </c>
      <c r="F4308">
        <v>277</v>
      </c>
      <c r="G4308" s="1">
        <v>45203</v>
      </c>
      <c r="H4308" s="6">
        <f t="shared" si="134"/>
        <v>22.635416666667059</v>
      </c>
      <c r="I4308" s="7">
        <f t="shared" si="135"/>
        <v>22.635416666667059</v>
      </c>
    </row>
    <row r="4309" spans="1:9" x14ac:dyDescent="0.2">
      <c r="A4309" t="s">
        <v>4714</v>
      </c>
      <c r="B4309">
        <v>4.7539999999999996</v>
      </c>
      <c r="C4309">
        <v>6.6570000000000004E-2</v>
      </c>
      <c r="D4309">
        <v>278</v>
      </c>
      <c r="E4309" t="s">
        <v>4714</v>
      </c>
      <c r="F4309">
        <v>277</v>
      </c>
      <c r="G4309" s="1">
        <v>45203</v>
      </c>
      <c r="H4309" s="6">
        <f t="shared" si="134"/>
        <v>22.645833333333727</v>
      </c>
      <c r="I4309" s="7">
        <f t="shared" si="135"/>
        <v>22.645833333333727</v>
      </c>
    </row>
    <row r="4310" spans="1:9" x14ac:dyDescent="0.2">
      <c r="A4310" t="s">
        <v>4715</v>
      </c>
      <c r="B4310">
        <v>4.7469999999999999</v>
      </c>
      <c r="C4310">
        <v>6.6489999999999994E-2</v>
      </c>
      <c r="D4310">
        <v>278</v>
      </c>
      <c r="E4310" t="s">
        <v>4715</v>
      </c>
      <c r="F4310">
        <v>277</v>
      </c>
      <c r="G4310" s="1">
        <v>45203</v>
      </c>
      <c r="H4310" s="6">
        <f t="shared" si="134"/>
        <v>22.656250000000394</v>
      </c>
      <c r="I4310" s="7">
        <f t="shared" si="135"/>
        <v>22.656250000000394</v>
      </c>
    </row>
    <row r="4311" spans="1:9" x14ac:dyDescent="0.2">
      <c r="A4311" t="s">
        <v>4716</v>
      </c>
      <c r="B4311" s="2" t="s">
        <v>4717</v>
      </c>
      <c r="C4311">
        <v>6.7379999999999995E-2</v>
      </c>
      <c r="D4311">
        <v>278</v>
      </c>
      <c r="E4311" t="s">
        <v>4716</v>
      </c>
      <c r="F4311">
        <v>277</v>
      </c>
      <c r="G4311" s="1">
        <v>45203</v>
      </c>
      <c r="H4311" s="6">
        <f t="shared" si="134"/>
        <v>22.666666666667062</v>
      </c>
      <c r="I4311" s="7">
        <f t="shared" si="135"/>
        <v>22.666666666667062</v>
      </c>
    </row>
    <row r="4312" spans="1:9" x14ac:dyDescent="0.2">
      <c r="A4312" t="s">
        <v>4718</v>
      </c>
      <c r="B4312">
        <v>4.8025000000000002</v>
      </c>
      <c r="C4312">
        <v>6.7275000000000001E-2</v>
      </c>
      <c r="D4312">
        <v>278</v>
      </c>
      <c r="E4312" t="s">
        <v>4718</v>
      </c>
      <c r="F4312">
        <v>277</v>
      </c>
      <c r="G4312" s="1">
        <v>45203</v>
      </c>
      <c r="H4312" s="6">
        <f t="shared" si="134"/>
        <v>22.67708333333373</v>
      </c>
      <c r="I4312" s="7">
        <f t="shared" si="135"/>
        <v>22.67708333333373</v>
      </c>
    </row>
    <row r="4313" spans="1:9" x14ac:dyDescent="0.2">
      <c r="A4313" t="s">
        <v>4719</v>
      </c>
      <c r="B4313">
        <v>4.8025000000000002</v>
      </c>
      <c r="C4313">
        <v>6.7275000000000001E-2</v>
      </c>
      <c r="D4313">
        <v>278</v>
      </c>
      <c r="E4313" t="s">
        <v>4719</v>
      </c>
      <c r="F4313">
        <v>277</v>
      </c>
      <c r="G4313" s="1">
        <v>45203</v>
      </c>
      <c r="H4313" s="6">
        <f t="shared" si="134"/>
        <v>22.687500000000398</v>
      </c>
      <c r="I4313" s="7">
        <f t="shared" si="135"/>
        <v>22.687500000000398</v>
      </c>
    </row>
    <row r="4314" spans="1:9" x14ac:dyDescent="0.2">
      <c r="A4314" t="s">
        <v>4720</v>
      </c>
      <c r="B4314">
        <v>4.8445</v>
      </c>
      <c r="C4314">
        <v>6.7854999999999999E-2</v>
      </c>
      <c r="D4314">
        <v>278</v>
      </c>
      <c r="E4314" t="s">
        <v>4720</v>
      </c>
      <c r="F4314">
        <v>277</v>
      </c>
      <c r="G4314" s="1">
        <v>45203</v>
      </c>
      <c r="H4314" s="6">
        <f t="shared" si="134"/>
        <v>22.697916666667066</v>
      </c>
      <c r="I4314" s="7">
        <f t="shared" si="135"/>
        <v>22.697916666667066</v>
      </c>
    </row>
    <row r="4315" spans="1:9" x14ac:dyDescent="0.2">
      <c r="A4315" t="s">
        <v>4721</v>
      </c>
      <c r="B4315">
        <v>4.8600000000000003</v>
      </c>
      <c r="C4315">
        <v>6.8074999999999997E-2</v>
      </c>
      <c r="D4315">
        <v>278</v>
      </c>
      <c r="E4315" t="s">
        <v>4721</v>
      </c>
      <c r="F4315">
        <v>277</v>
      </c>
      <c r="G4315" s="1">
        <v>45203</v>
      </c>
      <c r="H4315" s="6">
        <f t="shared" si="134"/>
        <v>22.708333333333734</v>
      </c>
      <c r="I4315" s="7">
        <f t="shared" si="135"/>
        <v>22.708333333333734</v>
      </c>
    </row>
    <row r="4316" spans="1:9" x14ac:dyDescent="0.2">
      <c r="A4316" t="s">
        <v>4722</v>
      </c>
      <c r="B4316">
        <v>4.9009999999999998</v>
      </c>
      <c r="C4316">
        <v>6.8650000000000003E-2</v>
      </c>
      <c r="D4316">
        <v>278</v>
      </c>
      <c r="E4316" t="s">
        <v>4722</v>
      </c>
      <c r="F4316">
        <v>277</v>
      </c>
      <c r="G4316" s="1">
        <v>45203</v>
      </c>
      <c r="H4316" s="6">
        <f t="shared" ref="H4316:H4379" si="136">H4315+$K$1</f>
        <v>22.718750000000401</v>
      </c>
      <c r="I4316" s="7">
        <f t="shared" ref="I4316:I4379" si="137">I4315+$K$1</f>
        <v>22.718750000000401</v>
      </c>
    </row>
    <row r="4317" spans="1:9" x14ac:dyDescent="0.2">
      <c r="A4317" t="s">
        <v>4723</v>
      </c>
      <c r="B4317">
        <v>4.8955000000000002</v>
      </c>
      <c r="C4317">
        <v>6.8565000000000001E-2</v>
      </c>
      <c r="D4317">
        <v>278</v>
      </c>
      <c r="E4317" t="s">
        <v>4723</v>
      </c>
      <c r="F4317">
        <v>277</v>
      </c>
      <c r="G4317" s="1">
        <v>45203</v>
      </c>
      <c r="H4317" s="6">
        <f t="shared" si="136"/>
        <v>22.729166666667069</v>
      </c>
      <c r="I4317" s="7">
        <f t="shared" si="137"/>
        <v>22.729166666667069</v>
      </c>
    </row>
    <row r="4318" spans="1:9" x14ac:dyDescent="0.2">
      <c r="A4318" t="s">
        <v>4724</v>
      </c>
      <c r="B4318">
        <v>4.9249999999999998</v>
      </c>
      <c r="C4318">
        <v>6.8989999999999996E-2</v>
      </c>
      <c r="D4318">
        <v>278</v>
      </c>
      <c r="E4318" t="s">
        <v>4724</v>
      </c>
      <c r="F4318">
        <v>277</v>
      </c>
      <c r="G4318" s="1">
        <v>45203</v>
      </c>
      <c r="H4318" s="6">
        <f t="shared" si="136"/>
        <v>22.739583333333737</v>
      </c>
      <c r="I4318" s="7">
        <f t="shared" si="137"/>
        <v>22.739583333333737</v>
      </c>
    </row>
    <row r="4319" spans="1:9" x14ac:dyDescent="0.2">
      <c r="A4319" t="s">
        <v>4725</v>
      </c>
      <c r="B4319">
        <v>4.9504999999999999</v>
      </c>
      <c r="C4319">
        <v>6.9330000000000003E-2</v>
      </c>
      <c r="D4319">
        <v>278</v>
      </c>
      <c r="E4319" t="s">
        <v>4725</v>
      </c>
      <c r="F4319">
        <v>277</v>
      </c>
      <c r="G4319" s="1">
        <v>45203</v>
      </c>
      <c r="H4319" s="6">
        <f t="shared" si="136"/>
        <v>22.750000000000405</v>
      </c>
      <c r="I4319" s="7">
        <f t="shared" si="137"/>
        <v>22.750000000000405</v>
      </c>
    </row>
    <row r="4320" spans="1:9" x14ac:dyDescent="0.2">
      <c r="A4320" t="s">
        <v>4726</v>
      </c>
      <c r="B4320">
        <v>5.0015000000000001</v>
      </c>
      <c r="C4320">
        <v>7.0035E-2</v>
      </c>
      <c r="D4320">
        <v>278</v>
      </c>
      <c r="E4320" t="s">
        <v>4726</v>
      </c>
      <c r="F4320">
        <v>277</v>
      </c>
      <c r="G4320" s="1">
        <v>45203</v>
      </c>
      <c r="H4320" s="6">
        <f t="shared" si="136"/>
        <v>22.760416666667073</v>
      </c>
      <c r="I4320" s="7">
        <f t="shared" si="137"/>
        <v>22.760416666667073</v>
      </c>
    </row>
    <row r="4321" spans="1:9" x14ac:dyDescent="0.2">
      <c r="A4321" t="s">
        <v>4727</v>
      </c>
      <c r="B4321">
        <v>4.9980000000000002</v>
      </c>
      <c r="C4321">
        <v>6.9985000000000006E-2</v>
      </c>
      <c r="D4321">
        <v>278</v>
      </c>
      <c r="E4321" t="s">
        <v>4727</v>
      </c>
      <c r="F4321">
        <v>277</v>
      </c>
      <c r="G4321" s="1">
        <v>45203</v>
      </c>
      <c r="H4321" s="6">
        <f t="shared" si="136"/>
        <v>22.770833333333741</v>
      </c>
      <c r="I4321" s="7">
        <f t="shared" si="137"/>
        <v>22.770833333333741</v>
      </c>
    </row>
    <row r="4322" spans="1:9" x14ac:dyDescent="0.2">
      <c r="A4322" t="s">
        <v>4728</v>
      </c>
      <c r="B4322">
        <v>5.016</v>
      </c>
      <c r="C4322">
        <v>7.0264999999999994E-2</v>
      </c>
      <c r="D4322">
        <v>278</v>
      </c>
      <c r="E4322" t="s">
        <v>4728</v>
      </c>
      <c r="F4322">
        <v>277</v>
      </c>
      <c r="G4322" s="1">
        <v>45203</v>
      </c>
      <c r="H4322" s="6">
        <f t="shared" si="136"/>
        <v>22.781250000000409</v>
      </c>
      <c r="I4322" s="7">
        <f t="shared" si="137"/>
        <v>22.781250000000409</v>
      </c>
    </row>
    <row r="4323" spans="1:9" x14ac:dyDescent="0.2">
      <c r="A4323" t="s">
        <v>4729</v>
      </c>
      <c r="B4323">
        <v>5.048</v>
      </c>
      <c r="C4323">
        <v>7.0709999999999995E-2</v>
      </c>
      <c r="D4323">
        <v>278</v>
      </c>
      <c r="E4323" t="s">
        <v>4729</v>
      </c>
      <c r="F4323">
        <v>277</v>
      </c>
      <c r="G4323" s="1">
        <v>45203</v>
      </c>
      <c r="H4323" s="6">
        <f t="shared" si="136"/>
        <v>22.791666666667076</v>
      </c>
      <c r="I4323" s="7">
        <f t="shared" si="137"/>
        <v>22.791666666667076</v>
      </c>
    </row>
    <row r="4324" spans="1:9" x14ac:dyDescent="0.2">
      <c r="A4324" t="s">
        <v>4730</v>
      </c>
      <c r="B4324">
        <v>5.1379999999999999</v>
      </c>
      <c r="C4324">
        <v>7.1955000000000005E-2</v>
      </c>
      <c r="D4324">
        <v>278</v>
      </c>
      <c r="E4324" t="s">
        <v>4730</v>
      </c>
      <c r="F4324">
        <v>277</v>
      </c>
      <c r="G4324" s="1">
        <v>45203</v>
      </c>
      <c r="H4324" s="6">
        <f t="shared" si="136"/>
        <v>22.802083333333744</v>
      </c>
      <c r="I4324" s="7">
        <f t="shared" si="137"/>
        <v>22.802083333333744</v>
      </c>
    </row>
    <row r="4325" spans="1:9" x14ac:dyDescent="0.2">
      <c r="A4325" t="s">
        <v>4731</v>
      </c>
      <c r="B4325">
        <v>5.1440000000000001</v>
      </c>
      <c r="C4325">
        <v>7.2035000000000002E-2</v>
      </c>
      <c r="D4325">
        <v>278</v>
      </c>
      <c r="E4325" t="s">
        <v>4731</v>
      </c>
      <c r="F4325">
        <v>277</v>
      </c>
      <c r="G4325" s="1">
        <v>45203</v>
      </c>
      <c r="H4325" s="6">
        <f t="shared" si="136"/>
        <v>22.812500000000412</v>
      </c>
      <c r="I4325" s="7">
        <f t="shared" si="137"/>
        <v>22.812500000000412</v>
      </c>
    </row>
    <row r="4326" spans="1:9" x14ac:dyDescent="0.2">
      <c r="A4326" t="s">
        <v>4732</v>
      </c>
      <c r="B4326">
        <v>5.1660000000000004</v>
      </c>
      <c r="C4326">
        <v>7.2349999999999998E-2</v>
      </c>
      <c r="D4326">
        <v>278</v>
      </c>
      <c r="E4326" t="s">
        <v>4732</v>
      </c>
      <c r="F4326">
        <v>277</v>
      </c>
      <c r="G4326" s="1">
        <v>45203</v>
      </c>
      <c r="H4326" s="6">
        <f t="shared" si="136"/>
        <v>22.82291666666708</v>
      </c>
      <c r="I4326" s="7">
        <f t="shared" si="137"/>
        <v>22.82291666666708</v>
      </c>
    </row>
    <row r="4327" spans="1:9" x14ac:dyDescent="0.2">
      <c r="A4327" t="s">
        <v>4733</v>
      </c>
      <c r="B4327">
        <v>5.1980000000000004</v>
      </c>
      <c r="C4327">
        <v>7.2800000000000004E-2</v>
      </c>
      <c r="D4327">
        <v>278</v>
      </c>
      <c r="E4327" t="s">
        <v>4733</v>
      </c>
      <c r="F4327">
        <v>277</v>
      </c>
      <c r="G4327" s="1">
        <v>45203</v>
      </c>
      <c r="H4327" s="6">
        <f t="shared" si="136"/>
        <v>22.833333333333748</v>
      </c>
      <c r="I4327" s="7">
        <f t="shared" si="137"/>
        <v>22.833333333333748</v>
      </c>
    </row>
    <row r="4328" spans="1:9" x14ac:dyDescent="0.2">
      <c r="A4328" t="s">
        <v>4734</v>
      </c>
      <c r="B4328">
        <v>5.1749999999999998</v>
      </c>
      <c r="C4328">
        <v>7.2480000000000003E-2</v>
      </c>
      <c r="D4328">
        <v>278</v>
      </c>
      <c r="E4328" t="s">
        <v>4734</v>
      </c>
      <c r="F4328">
        <v>277</v>
      </c>
      <c r="G4328" s="1">
        <v>45203</v>
      </c>
      <c r="H4328" s="6">
        <f t="shared" si="136"/>
        <v>22.843750000000416</v>
      </c>
      <c r="I4328" s="7">
        <f t="shared" si="137"/>
        <v>22.843750000000416</v>
      </c>
    </row>
    <row r="4329" spans="1:9" x14ac:dyDescent="0.2">
      <c r="A4329" t="s">
        <v>4735</v>
      </c>
      <c r="B4329">
        <v>5.2394999999999996</v>
      </c>
      <c r="C4329">
        <v>7.3389999999999997E-2</v>
      </c>
      <c r="D4329">
        <v>278</v>
      </c>
      <c r="E4329" t="s">
        <v>4735</v>
      </c>
      <c r="F4329">
        <v>277</v>
      </c>
      <c r="G4329" s="1">
        <v>45203</v>
      </c>
      <c r="H4329" s="6">
        <f t="shared" si="136"/>
        <v>22.854166666667084</v>
      </c>
      <c r="I4329" s="7">
        <f t="shared" si="137"/>
        <v>22.854166666667084</v>
      </c>
    </row>
    <row r="4330" spans="1:9" x14ac:dyDescent="0.2">
      <c r="A4330" t="s">
        <v>4736</v>
      </c>
      <c r="B4330">
        <v>5.2240000000000002</v>
      </c>
      <c r="C4330">
        <v>7.3164999999999994E-2</v>
      </c>
      <c r="D4330">
        <v>278</v>
      </c>
      <c r="E4330" t="s">
        <v>4736</v>
      </c>
      <c r="F4330">
        <v>278</v>
      </c>
      <c r="G4330" s="1">
        <v>45204</v>
      </c>
      <c r="H4330" s="6">
        <f t="shared" si="136"/>
        <v>22.864583333333751</v>
      </c>
      <c r="I4330" s="7">
        <f t="shared" si="137"/>
        <v>22.864583333333751</v>
      </c>
    </row>
    <row r="4331" spans="1:9" x14ac:dyDescent="0.2">
      <c r="A4331" t="s">
        <v>4737</v>
      </c>
      <c r="B4331" s="2" t="s">
        <v>4738</v>
      </c>
      <c r="C4331">
        <v>7.3245000000000005E-2</v>
      </c>
      <c r="D4331">
        <v>278</v>
      </c>
      <c r="E4331" t="s">
        <v>4737</v>
      </c>
      <c r="F4331">
        <v>278</v>
      </c>
      <c r="G4331" s="1">
        <v>45204</v>
      </c>
      <c r="H4331" s="6">
        <f t="shared" si="136"/>
        <v>22.875000000000419</v>
      </c>
      <c r="I4331" s="7">
        <f t="shared" si="137"/>
        <v>22.875000000000419</v>
      </c>
    </row>
    <row r="4332" spans="1:9" x14ac:dyDescent="0.2">
      <c r="A4332" t="s">
        <v>4739</v>
      </c>
      <c r="B4332">
        <v>5.25</v>
      </c>
      <c r="C4332">
        <v>7.3520000000000002E-2</v>
      </c>
      <c r="D4332">
        <v>278</v>
      </c>
      <c r="E4332" t="s">
        <v>4739</v>
      </c>
      <c r="F4332">
        <v>278</v>
      </c>
      <c r="G4332" s="1">
        <v>45204</v>
      </c>
      <c r="H4332" s="6">
        <f t="shared" si="136"/>
        <v>22.885416666667087</v>
      </c>
      <c r="I4332" s="7">
        <f t="shared" si="137"/>
        <v>22.885416666667087</v>
      </c>
    </row>
    <row r="4333" spans="1:9" x14ac:dyDescent="0.2">
      <c r="A4333" t="s">
        <v>4740</v>
      </c>
      <c r="B4333">
        <v>5.2389999999999999</v>
      </c>
      <c r="C4333">
        <v>7.3380000000000001E-2</v>
      </c>
      <c r="D4333">
        <v>278</v>
      </c>
      <c r="E4333" t="s">
        <v>4740</v>
      </c>
      <c r="F4333">
        <v>278</v>
      </c>
      <c r="G4333" s="1">
        <v>45204</v>
      </c>
      <c r="H4333" s="6">
        <f t="shared" si="136"/>
        <v>22.895833333333755</v>
      </c>
      <c r="I4333" s="7">
        <f t="shared" si="137"/>
        <v>22.895833333333755</v>
      </c>
    </row>
    <row r="4334" spans="1:9" x14ac:dyDescent="0.2">
      <c r="A4334" t="s">
        <v>4741</v>
      </c>
      <c r="B4334">
        <v>5.2614999999999998</v>
      </c>
      <c r="C4334">
        <v>7.3700000000000002E-2</v>
      </c>
      <c r="D4334">
        <v>278</v>
      </c>
      <c r="E4334" t="s">
        <v>4741</v>
      </c>
      <c r="F4334">
        <v>278</v>
      </c>
      <c r="G4334" s="1">
        <v>45204</v>
      </c>
      <c r="H4334" s="6">
        <f t="shared" si="136"/>
        <v>22.906250000000423</v>
      </c>
      <c r="I4334" s="7">
        <f t="shared" si="137"/>
        <v>22.906250000000423</v>
      </c>
    </row>
    <row r="4335" spans="1:9" x14ac:dyDescent="0.2">
      <c r="A4335" t="s">
        <v>4742</v>
      </c>
      <c r="B4335">
        <v>5.2575000000000003</v>
      </c>
      <c r="C4335">
        <v>7.3660000000000003E-2</v>
      </c>
      <c r="D4335">
        <v>278</v>
      </c>
      <c r="E4335" t="s">
        <v>4742</v>
      </c>
      <c r="F4335">
        <v>278</v>
      </c>
      <c r="G4335" s="1">
        <v>45204</v>
      </c>
      <c r="H4335" s="6">
        <f t="shared" si="136"/>
        <v>22.916666666667091</v>
      </c>
      <c r="I4335" s="7">
        <f t="shared" si="137"/>
        <v>22.916666666667091</v>
      </c>
    </row>
    <row r="4336" spans="1:9" x14ac:dyDescent="0.2">
      <c r="A4336" t="s">
        <v>4743</v>
      </c>
      <c r="B4336">
        <v>5.2435</v>
      </c>
      <c r="C4336">
        <v>7.3440000000000005E-2</v>
      </c>
      <c r="D4336">
        <v>278</v>
      </c>
      <c r="E4336" t="s">
        <v>4743</v>
      </c>
      <c r="F4336">
        <v>278</v>
      </c>
      <c r="G4336" s="1">
        <v>45204</v>
      </c>
      <c r="H4336" s="6">
        <f t="shared" si="136"/>
        <v>22.927083333333758</v>
      </c>
      <c r="I4336" s="7">
        <f t="shared" si="137"/>
        <v>22.927083333333758</v>
      </c>
    </row>
    <row r="4337" spans="1:9" x14ac:dyDescent="0.2">
      <c r="A4337" t="s">
        <v>4744</v>
      </c>
      <c r="B4337">
        <v>5.2664999999999997</v>
      </c>
      <c r="C4337">
        <v>7.3764999999999997E-2</v>
      </c>
      <c r="D4337">
        <v>278</v>
      </c>
      <c r="E4337" t="s">
        <v>4744</v>
      </c>
      <c r="F4337">
        <v>278</v>
      </c>
      <c r="G4337" s="1">
        <v>45204</v>
      </c>
      <c r="H4337" s="6">
        <f t="shared" si="136"/>
        <v>22.937500000000426</v>
      </c>
      <c r="I4337" s="7">
        <f t="shared" si="137"/>
        <v>22.937500000000426</v>
      </c>
    </row>
    <row r="4338" spans="1:9" x14ac:dyDescent="0.2">
      <c r="A4338" t="s">
        <v>4745</v>
      </c>
      <c r="B4338">
        <v>5.3265000000000002</v>
      </c>
      <c r="C4338">
        <v>7.46E-2</v>
      </c>
      <c r="D4338">
        <v>278</v>
      </c>
      <c r="E4338" t="s">
        <v>4745</v>
      </c>
      <c r="F4338">
        <v>278</v>
      </c>
      <c r="G4338" s="1">
        <v>45204</v>
      </c>
      <c r="H4338" s="6">
        <f t="shared" si="136"/>
        <v>22.947916666667094</v>
      </c>
      <c r="I4338" s="7">
        <f t="shared" si="137"/>
        <v>22.947916666667094</v>
      </c>
    </row>
    <row r="4339" spans="1:9" x14ac:dyDescent="0.2">
      <c r="A4339" t="s">
        <v>4746</v>
      </c>
      <c r="B4339">
        <v>5.2885</v>
      </c>
      <c r="C4339">
        <v>7.4079999999999993E-2</v>
      </c>
      <c r="D4339">
        <v>278</v>
      </c>
      <c r="E4339" t="s">
        <v>4746</v>
      </c>
      <c r="F4339">
        <v>278</v>
      </c>
      <c r="G4339" s="1">
        <v>45204</v>
      </c>
      <c r="H4339" s="6">
        <f t="shared" si="136"/>
        <v>22.958333333333762</v>
      </c>
      <c r="I4339" s="7">
        <f t="shared" si="137"/>
        <v>22.958333333333762</v>
      </c>
    </row>
    <row r="4340" spans="1:9" x14ac:dyDescent="0.2">
      <c r="A4340" t="s">
        <v>4747</v>
      </c>
      <c r="B4340">
        <v>5.2670000000000003</v>
      </c>
      <c r="C4340">
        <v>7.3749999999999996E-2</v>
      </c>
      <c r="D4340">
        <v>278</v>
      </c>
      <c r="E4340" t="s">
        <v>4747</v>
      </c>
      <c r="F4340">
        <v>278</v>
      </c>
      <c r="G4340" s="1">
        <v>45204</v>
      </c>
      <c r="H4340" s="6">
        <f t="shared" si="136"/>
        <v>22.96875000000043</v>
      </c>
      <c r="I4340" s="7">
        <f t="shared" si="137"/>
        <v>22.96875000000043</v>
      </c>
    </row>
    <row r="4341" spans="1:9" x14ac:dyDescent="0.2">
      <c r="A4341" t="s">
        <v>4748</v>
      </c>
      <c r="B4341">
        <v>5.2969999999999997</v>
      </c>
      <c r="C4341">
        <v>7.4204999999999993E-2</v>
      </c>
      <c r="D4341">
        <v>278</v>
      </c>
      <c r="E4341" t="s">
        <v>4748</v>
      </c>
      <c r="F4341">
        <v>278</v>
      </c>
      <c r="G4341" s="1">
        <v>45204</v>
      </c>
      <c r="H4341" s="6">
        <f t="shared" si="136"/>
        <v>22.979166666667098</v>
      </c>
      <c r="I4341" s="7">
        <f t="shared" si="137"/>
        <v>22.979166666667098</v>
      </c>
    </row>
    <row r="4342" spans="1:9" x14ac:dyDescent="0.2">
      <c r="A4342" t="s">
        <v>4749</v>
      </c>
      <c r="B4342">
        <v>5.3109999999999999</v>
      </c>
      <c r="C4342">
        <v>7.4380000000000002E-2</v>
      </c>
      <c r="D4342">
        <v>278</v>
      </c>
      <c r="E4342" t="s">
        <v>4749</v>
      </c>
      <c r="F4342">
        <v>278</v>
      </c>
      <c r="G4342" s="1">
        <v>45204</v>
      </c>
      <c r="H4342" s="6">
        <f t="shared" si="136"/>
        <v>22.989583333333766</v>
      </c>
      <c r="I4342" s="7">
        <f t="shared" si="137"/>
        <v>22.989583333333766</v>
      </c>
    </row>
    <row r="4343" spans="1:9" x14ac:dyDescent="0.2">
      <c r="A4343" t="s">
        <v>4750</v>
      </c>
      <c r="B4343">
        <v>5.2714999999999996</v>
      </c>
      <c r="C4343">
        <v>7.3849999999999999E-2</v>
      </c>
      <c r="D4343">
        <v>278</v>
      </c>
      <c r="E4343" t="s">
        <v>4750</v>
      </c>
      <c r="F4343">
        <v>278</v>
      </c>
      <c r="G4343" s="1">
        <v>45204</v>
      </c>
      <c r="H4343" s="6">
        <f t="shared" si="136"/>
        <v>23.000000000000433</v>
      </c>
      <c r="I4343" s="7">
        <f t="shared" si="137"/>
        <v>23.000000000000433</v>
      </c>
    </row>
    <row r="4344" spans="1:9" x14ac:dyDescent="0.2">
      <c r="A4344" t="s">
        <v>4751</v>
      </c>
      <c r="B4344">
        <v>5.2945000000000002</v>
      </c>
      <c r="C4344">
        <v>7.4160000000000004E-2</v>
      </c>
      <c r="D4344">
        <v>278</v>
      </c>
      <c r="E4344" t="s">
        <v>4751</v>
      </c>
      <c r="F4344">
        <v>278</v>
      </c>
      <c r="G4344" s="1">
        <v>45204</v>
      </c>
      <c r="H4344" s="6">
        <f t="shared" si="136"/>
        <v>23.010416666667101</v>
      </c>
      <c r="I4344" s="7">
        <f t="shared" si="137"/>
        <v>23.010416666667101</v>
      </c>
    </row>
    <row r="4345" spans="1:9" x14ac:dyDescent="0.2">
      <c r="A4345" t="s">
        <v>4752</v>
      </c>
      <c r="B4345">
        <v>5.2614999999999998</v>
      </c>
      <c r="C4345">
        <v>7.3709999999999998E-2</v>
      </c>
      <c r="D4345">
        <v>278</v>
      </c>
      <c r="E4345" t="s">
        <v>4752</v>
      </c>
      <c r="F4345">
        <v>278</v>
      </c>
      <c r="G4345" s="1">
        <v>45204</v>
      </c>
      <c r="H4345" s="6">
        <f t="shared" si="136"/>
        <v>23.020833333333769</v>
      </c>
      <c r="I4345" s="7">
        <f t="shared" si="137"/>
        <v>23.020833333333769</v>
      </c>
    </row>
    <row r="4346" spans="1:9" x14ac:dyDescent="0.2">
      <c r="A4346" t="s">
        <v>4753</v>
      </c>
      <c r="B4346">
        <v>5.266</v>
      </c>
      <c r="C4346">
        <v>7.3760000000000006E-2</v>
      </c>
      <c r="D4346">
        <v>278</v>
      </c>
      <c r="E4346" t="s">
        <v>4753</v>
      </c>
      <c r="F4346">
        <v>278</v>
      </c>
      <c r="G4346" s="1">
        <v>45204</v>
      </c>
      <c r="H4346" s="6">
        <f t="shared" si="136"/>
        <v>23.031250000000437</v>
      </c>
      <c r="I4346" s="7">
        <f t="shared" si="137"/>
        <v>23.031250000000437</v>
      </c>
    </row>
    <row r="4347" spans="1:9" x14ac:dyDescent="0.2">
      <c r="A4347" t="s">
        <v>4754</v>
      </c>
      <c r="B4347">
        <v>5.3250000000000002</v>
      </c>
      <c r="C4347">
        <v>7.4590000000000004E-2</v>
      </c>
      <c r="D4347">
        <v>278</v>
      </c>
      <c r="E4347" t="s">
        <v>4754</v>
      </c>
      <c r="F4347">
        <v>278</v>
      </c>
      <c r="G4347" s="1">
        <v>45204</v>
      </c>
      <c r="H4347" s="6">
        <f t="shared" si="136"/>
        <v>23.041666666667105</v>
      </c>
      <c r="I4347" s="7">
        <f t="shared" si="137"/>
        <v>23.041666666667105</v>
      </c>
    </row>
    <row r="4348" spans="1:9" x14ac:dyDescent="0.2">
      <c r="A4348" t="s">
        <v>4755</v>
      </c>
      <c r="B4348">
        <v>5.2824999999999998</v>
      </c>
      <c r="C4348">
        <v>7.3980000000000004E-2</v>
      </c>
      <c r="D4348">
        <v>278</v>
      </c>
      <c r="E4348" t="s">
        <v>4755</v>
      </c>
      <c r="F4348">
        <v>278</v>
      </c>
      <c r="G4348" s="1">
        <v>45204</v>
      </c>
      <c r="H4348" s="6">
        <f t="shared" si="136"/>
        <v>23.052083333333773</v>
      </c>
      <c r="I4348" s="7">
        <f t="shared" si="137"/>
        <v>23.052083333333773</v>
      </c>
    </row>
    <row r="4349" spans="1:9" x14ac:dyDescent="0.2">
      <c r="A4349" t="s">
        <v>4756</v>
      </c>
      <c r="B4349">
        <v>5.2270000000000003</v>
      </c>
      <c r="C4349">
        <v>7.3219999999999993E-2</v>
      </c>
      <c r="D4349">
        <v>278</v>
      </c>
      <c r="E4349" t="s">
        <v>4756</v>
      </c>
      <c r="F4349">
        <v>278</v>
      </c>
      <c r="G4349" s="1">
        <v>45204</v>
      </c>
      <c r="H4349" s="6">
        <f t="shared" si="136"/>
        <v>23.062500000000441</v>
      </c>
      <c r="I4349" s="7">
        <f t="shared" si="137"/>
        <v>23.062500000000441</v>
      </c>
    </row>
    <row r="4350" spans="1:9" x14ac:dyDescent="0.2">
      <c r="A4350" t="s">
        <v>4757</v>
      </c>
      <c r="B4350">
        <v>5.2404999999999999</v>
      </c>
      <c r="C4350">
        <v>7.3385000000000006E-2</v>
      </c>
      <c r="D4350">
        <v>278</v>
      </c>
      <c r="E4350" t="s">
        <v>4757</v>
      </c>
      <c r="F4350">
        <v>278</v>
      </c>
      <c r="G4350" s="1">
        <v>45204</v>
      </c>
      <c r="H4350" s="6">
        <f t="shared" si="136"/>
        <v>23.072916666667108</v>
      </c>
      <c r="I4350" s="7">
        <f t="shared" si="137"/>
        <v>23.072916666667108</v>
      </c>
    </row>
    <row r="4351" spans="1:9" x14ac:dyDescent="0.2">
      <c r="A4351" t="s">
        <v>4758</v>
      </c>
      <c r="B4351">
        <v>5.28</v>
      </c>
      <c r="C4351">
        <v>7.3950000000000002E-2</v>
      </c>
      <c r="D4351">
        <v>278</v>
      </c>
      <c r="E4351" t="s">
        <v>4758</v>
      </c>
      <c r="F4351">
        <v>278</v>
      </c>
      <c r="G4351" s="1">
        <v>45204</v>
      </c>
      <c r="H4351" s="6">
        <f t="shared" si="136"/>
        <v>23.083333333333776</v>
      </c>
      <c r="I4351" s="7">
        <f t="shared" si="137"/>
        <v>23.083333333333776</v>
      </c>
    </row>
    <row r="4352" spans="1:9" x14ac:dyDescent="0.2">
      <c r="A4352" t="s">
        <v>4759</v>
      </c>
      <c r="B4352">
        <v>5.2450000000000001</v>
      </c>
      <c r="C4352">
        <v>7.3455000000000006E-2</v>
      </c>
      <c r="D4352">
        <v>278</v>
      </c>
      <c r="E4352" t="s">
        <v>4759</v>
      </c>
      <c r="F4352">
        <v>278</v>
      </c>
      <c r="G4352" s="1">
        <v>45204</v>
      </c>
      <c r="H4352" s="6">
        <f t="shared" si="136"/>
        <v>23.093750000000444</v>
      </c>
      <c r="I4352" s="7">
        <f t="shared" si="137"/>
        <v>23.093750000000444</v>
      </c>
    </row>
    <row r="4353" spans="1:9" x14ac:dyDescent="0.2">
      <c r="A4353" t="s">
        <v>4760</v>
      </c>
      <c r="B4353" s="2" t="s">
        <v>3945</v>
      </c>
      <c r="C4353">
        <v>7.3694999999999997E-2</v>
      </c>
      <c r="D4353">
        <v>278</v>
      </c>
      <c r="E4353" t="s">
        <v>4760</v>
      </c>
      <c r="F4353">
        <v>278</v>
      </c>
      <c r="G4353" s="1">
        <v>45204</v>
      </c>
      <c r="H4353" s="6">
        <f t="shared" si="136"/>
        <v>23.104166666667112</v>
      </c>
      <c r="I4353" s="7">
        <f t="shared" si="137"/>
        <v>23.104166666667112</v>
      </c>
    </row>
    <row r="4354" spans="1:9" x14ac:dyDescent="0.2">
      <c r="A4354" t="s">
        <v>4761</v>
      </c>
      <c r="B4354">
        <v>5.2320000000000002</v>
      </c>
      <c r="C4354">
        <v>7.3279999999999998E-2</v>
      </c>
      <c r="D4354">
        <v>278</v>
      </c>
      <c r="E4354" t="s">
        <v>4761</v>
      </c>
      <c r="F4354">
        <v>278</v>
      </c>
      <c r="G4354" s="1">
        <v>45204</v>
      </c>
      <c r="H4354" s="6">
        <f t="shared" si="136"/>
        <v>23.11458333333378</v>
      </c>
      <c r="I4354" s="7">
        <f t="shared" si="137"/>
        <v>23.11458333333378</v>
      </c>
    </row>
    <row r="4355" spans="1:9" x14ac:dyDescent="0.2">
      <c r="A4355" t="s">
        <v>4762</v>
      </c>
      <c r="B4355">
        <v>5.2560000000000002</v>
      </c>
      <c r="C4355">
        <v>7.3620000000000005E-2</v>
      </c>
      <c r="D4355">
        <v>278</v>
      </c>
      <c r="E4355" t="s">
        <v>4762</v>
      </c>
      <c r="F4355">
        <v>278</v>
      </c>
      <c r="G4355" s="1">
        <v>45204</v>
      </c>
      <c r="H4355" s="6">
        <f t="shared" si="136"/>
        <v>23.125000000000448</v>
      </c>
      <c r="I4355" s="7">
        <f t="shared" si="137"/>
        <v>23.125000000000448</v>
      </c>
    </row>
    <row r="4356" spans="1:9" x14ac:dyDescent="0.2">
      <c r="A4356" t="s">
        <v>4763</v>
      </c>
      <c r="B4356" s="2" t="s">
        <v>4764</v>
      </c>
      <c r="C4356">
        <v>7.3495000000000005E-2</v>
      </c>
      <c r="D4356">
        <v>278</v>
      </c>
      <c r="E4356" t="s">
        <v>4763</v>
      </c>
      <c r="F4356">
        <v>278</v>
      </c>
      <c r="G4356" s="1">
        <v>45204</v>
      </c>
      <c r="H4356" s="6">
        <f t="shared" si="136"/>
        <v>23.135416666667115</v>
      </c>
      <c r="I4356" s="7">
        <f t="shared" si="137"/>
        <v>23.135416666667115</v>
      </c>
    </row>
    <row r="4357" spans="1:9" x14ac:dyDescent="0.2">
      <c r="A4357" t="s">
        <v>4765</v>
      </c>
      <c r="B4357" s="2" t="s">
        <v>4766</v>
      </c>
      <c r="C4357">
        <v>7.3124999999999996E-2</v>
      </c>
      <c r="D4357">
        <v>278</v>
      </c>
      <c r="E4357" t="s">
        <v>4765</v>
      </c>
      <c r="F4357">
        <v>278</v>
      </c>
      <c r="G4357" s="1">
        <v>45204</v>
      </c>
      <c r="H4357" s="6">
        <f t="shared" si="136"/>
        <v>23.145833333333783</v>
      </c>
      <c r="I4357" s="7">
        <f t="shared" si="137"/>
        <v>23.145833333333783</v>
      </c>
    </row>
    <row r="4358" spans="1:9" x14ac:dyDescent="0.2">
      <c r="A4358" t="s">
        <v>4767</v>
      </c>
      <c r="B4358">
        <v>5.2234999999999996</v>
      </c>
      <c r="C4358">
        <v>7.3190000000000005E-2</v>
      </c>
      <c r="D4358">
        <v>278</v>
      </c>
      <c r="E4358" t="s">
        <v>4767</v>
      </c>
      <c r="F4358">
        <v>278</v>
      </c>
      <c r="G4358" s="1">
        <v>45204</v>
      </c>
      <c r="H4358" s="6">
        <f t="shared" si="136"/>
        <v>23.156250000000451</v>
      </c>
      <c r="I4358" s="7">
        <f t="shared" si="137"/>
        <v>23.156250000000451</v>
      </c>
    </row>
    <row r="4359" spans="1:9" x14ac:dyDescent="0.2">
      <c r="A4359" t="s">
        <v>4768</v>
      </c>
      <c r="B4359">
        <v>5.2374999999999998</v>
      </c>
      <c r="C4359">
        <v>7.3334999999999997E-2</v>
      </c>
      <c r="D4359">
        <v>278</v>
      </c>
      <c r="E4359" t="s">
        <v>4768</v>
      </c>
      <c r="F4359">
        <v>278</v>
      </c>
      <c r="G4359" s="1">
        <v>45204</v>
      </c>
      <c r="H4359" s="6">
        <f t="shared" si="136"/>
        <v>23.166666666667119</v>
      </c>
      <c r="I4359" s="7">
        <f t="shared" si="137"/>
        <v>23.166666666667119</v>
      </c>
    </row>
    <row r="4360" spans="1:9" x14ac:dyDescent="0.2">
      <c r="A4360" t="s">
        <v>4769</v>
      </c>
      <c r="B4360">
        <v>5.2039999999999997</v>
      </c>
      <c r="C4360">
        <v>7.2889999999999996E-2</v>
      </c>
      <c r="D4360">
        <v>278</v>
      </c>
      <c r="E4360" t="s">
        <v>4769</v>
      </c>
      <c r="F4360">
        <v>278</v>
      </c>
      <c r="G4360" s="1">
        <v>45204</v>
      </c>
      <c r="H4360" s="6">
        <f t="shared" si="136"/>
        <v>23.177083333333787</v>
      </c>
      <c r="I4360" s="7">
        <f t="shared" si="137"/>
        <v>23.177083333333787</v>
      </c>
    </row>
    <row r="4361" spans="1:9" x14ac:dyDescent="0.2">
      <c r="A4361" t="s">
        <v>4770</v>
      </c>
      <c r="B4361">
        <v>5.2149999999999999</v>
      </c>
      <c r="C4361">
        <v>7.3050000000000004E-2</v>
      </c>
      <c r="D4361">
        <v>278</v>
      </c>
      <c r="E4361" t="s">
        <v>4770</v>
      </c>
      <c r="F4361">
        <v>278</v>
      </c>
      <c r="G4361" s="1">
        <v>45204</v>
      </c>
      <c r="H4361" s="6">
        <f t="shared" si="136"/>
        <v>23.187500000000455</v>
      </c>
      <c r="I4361" s="7">
        <f t="shared" si="137"/>
        <v>23.187500000000455</v>
      </c>
    </row>
    <row r="4362" spans="1:9" x14ac:dyDescent="0.2">
      <c r="A4362" t="s">
        <v>4771</v>
      </c>
      <c r="B4362">
        <v>5.1619999999999999</v>
      </c>
      <c r="C4362">
        <v>7.2309999999999999E-2</v>
      </c>
      <c r="D4362">
        <v>278</v>
      </c>
      <c r="E4362" t="s">
        <v>4771</v>
      </c>
      <c r="F4362">
        <v>278</v>
      </c>
      <c r="G4362" s="1">
        <v>45204</v>
      </c>
      <c r="H4362" s="6">
        <f t="shared" si="136"/>
        <v>23.197916666667123</v>
      </c>
      <c r="I4362" s="7">
        <f t="shared" si="137"/>
        <v>23.197916666667123</v>
      </c>
    </row>
    <row r="4363" spans="1:9" x14ac:dyDescent="0.2">
      <c r="A4363" t="s">
        <v>4772</v>
      </c>
      <c r="B4363">
        <v>5.1920000000000002</v>
      </c>
      <c r="C4363">
        <v>7.2719999999999896E-2</v>
      </c>
      <c r="D4363">
        <v>278</v>
      </c>
      <c r="E4363" t="s">
        <v>4772</v>
      </c>
      <c r="F4363">
        <v>278</v>
      </c>
      <c r="G4363" s="1">
        <v>45204</v>
      </c>
      <c r="H4363" s="6">
        <f t="shared" si="136"/>
        <v>23.20833333333379</v>
      </c>
      <c r="I4363" s="7">
        <f t="shared" si="137"/>
        <v>23.20833333333379</v>
      </c>
    </row>
    <row r="4364" spans="1:9" x14ac:dyDescent="0.2">
      <c r="A4364" t="s">
        <v>4773</v>
      </c>
      <c r="B4364" s="2" t="s">
        <v>4774</v>
      </c>
      <c r="C4364">
        <v>7.2499999999999995E-2</v>
      </c>
      <c r="D4364">
        <v>278</v>
      </c>
      <c r="E4364" t="s">
        <v>4773</v>
      </c>
      <c r="F4364">
        <v>278</v>
      </c>
      <c r="G4364" s="1">
        <v>45204</v>
      </c>
      <c r="H4364" s="6">
        <f t="shared" si="136"/>
        <v>23.218750000000458</v>
      </c>
      <c r="I4364" s="7">
        <f t="shared" si="137"/>
        <v>23.218750000000458</v>
      </c>
    </row>
    <row r="4365" spans="1:9" x14ac:dyDescent="0.2">
      <c r="A4365" t="s">
        <v>4775</v>
      </c>
      <c r="B4365">
        <v>5.1509999999999998</v>
      </c>
      <c r="C4365">
        <v>7.2135000000000005E-2</v>
      </c>
      <c r="D4365">
        <v>278</v>
      </c>
      <c r="E4365" t="s">
        <v>4775</v>
      </c>
      <c r="F4365">
        <v>278</v>
      </c>
      <c r="G4365" s="1">
        <v>45204</v>
      </c>
      <c r="H4365" s="6">
        <f t="shared" si="136"/>
        <v>23.229166666667126</v>
      </c>
      <c r="I4365" s="7">
        <f t="shared" si="137"/>
        <v>23.229166666667126</v>
      </c>
    </row>
    <row r="4366" spans="1:9" x14ac:dyDescent="0.2">
      <c r="A4366" t="s">
        <v>4776</v>
      </c>
      <c r="B4366">
        <v>5.1269999999999998</v>
      </c>
      <c r="C4366">
        <v>7.1794999999999998E-2</v>
      </c>
      <c r="D4366">
        <v>278</v>
      </c>
      <c r="E4366" t="s">
        <v>4776</v>
      </c>
      <c r="F4366">
        <v>278</v>
      </c>
      <c r="G4366" s="1">
        <v>45204</v>
      </c>
      <c r="H4366" s="6">
        <f t="shared" si="136"/>
        <v>23.239583333333794</v>
      </c>
      <c r="I4366" s="7">
        <f t="shared" si="137"/>
        <v>23.239583333333794</v>
      </c>
    </row>
    <row r="4367" spans="1:9" x14ac:dyDescent="0.2">
      <c r="A4367" t="s">
        <v>4777</v>
      </c>
      <c r="B4367">
        <v>5.1260000000000003</v>
      </c>
      <c r="C4367">
        <v>7.1790000000000007E-2</v>
      </c>
      <c r="D4367">
        <v>278</v>
      </c>
      <c r="E4367" t="s">
        <v>4777</v>
      </c>
      <c r="F4367">
        <v>278</v>
      </c>
      <c r="G4367" s="1">
        <v>45204</v>
      </c>
      <c r="H4367" s="6">
        <f t="shared" si="136"/>
        <v>23.250000000000462</v>
      </c>
      <c r="I4367" s="7">
        <f t="shared" si="137"/>
        <v>23.250000000000462</v>
      </c>
    </row>
    <row r="4368" spans="1:9" x14ac:dyDescent="0.2">
      <c r="A4368" t="s">
        <v>4778</v>
      </c>
      <c r="B4368">
        <v>5.0570000000000004</v>
      </c>
      <c r="C4368">
        <v>7.0860000000000006E-2</v>
      </c>
      <c r="D4368">
        <v>278</v>
      </c>
      <c r="E4368" t="s">
        <v>4778</v>
      </c>
      <c r="F4368">
        <v>278</v>
      </c>
      <c r="G4368" s="1">
        <v>45204</v>
      </c>
      <c r="H4368" s="6">
        <f t="shared" si="136"/>
        <v>23.26041666666713</v>
      </c>
      <c r="I4368" s="7">
        <f t="shared" si="137"/>
        <v>23.26041666666713</v>
      </c>
    </row>
    <row r="4369" spans="1:9" x14ac:dyDescent="0.2">
      <c r="A4369" t="s">
        <v>4779</v>
      </c>
      <c r="B4369">
        <v>5.0609999999999999</v>
      </c>
      <c r="C4369">
        <v>7.0885000000000004E-2</v>
      </c>
      <c r="D4369">
        <v>278</v>
      </c>
      <c r="E4369" t="s">
        <v>4779</v>
      </c>
      <c r="F4369">
        <v>278</v>
      </c>
      <c r="G4369" s="1">
        <v>45204</v>
      </c>
      <c r="H4369" s="6">
        <f t="shared" si="136"/>
        <v>23.270833333333798</v>
      </c>
      <c r="I4369" s="7">
        <f t="shared" si="137"/>
        <v>23.270833333333798</v>
      </c>
    </row>
    <row r="4370" spans="1:9" x14ac:dyDescent="0.2">
      <c r="A4370" t="s">
        <v>4780</v>
      </c>
      <c r="B4370">
        <v>4.968</v>
      </c>
      <c r="C4370">
        <v>6.9569999999999896E-2</v>
      </c>
      <c r="D4370">
        <v>278</v>
      </c>
      <c r="E4370" t="s">
        <v>4780</v>
      </c>
      <c r="F4370">
        <v>278</v>
      </c>
      <c r="G4370" s="1">
        <v>45204</v>
      </c>
      <c r="H4370" s="6">
        <f t="shared" si="136"/>
        <v>23.281250000000465</v>
      </c>
      <c r="I4370" s="7">
        <f t="shared" si="137"/>
        <v>23.281250000000465</v>
      </c>
    </row>
    <row r="4371" spans="1:9" x14ac:dyDescent="0.2">
      <c r="A4371" t="s">
        <v>4781</v>
      </c>
      <c r="B4371">
        <v>5.0149999999999997</v>
      </c>
      <c r="C4371">
        <v>7.0260000000000003E-2</v>
      </c>
      <c r="D4371">
        <v>278</v>
      </c>
      <c r="E4371" t="s">
        <v>4781</v>
      </c>
      <c r="F4371">
        <v>278</v>
      </c>
      <c r="G4371" s="1">
        <v>45204</v>
      </c>
      <c r="H4371" s="6">
        <f t="shared" si="136"/>
        <v>23.291666666667133</v>
      </c>
      <c r="I4371" s="7">
        <f t="shared" si="137"/>
        <v>23.291666666667133</v>
      </c>
    </row>
    <row r="4372" spans="1:9" x14ac:dyDescent="0.2">
      <c r="A4372" t="s">
        <v>4782</v>
      </c>
      <c r="B4372">
        <v>4.952</v>
      </c>
      <c r="C4372">
        <v>6.9349999999999995E-2</v>
      </c>
      <c r="D4372">
        <v>278</v>
      </c>
      <c r="E4372" t="s">
        <v>4782</v>
      </c>
      <c r="F4372">
        <v>278</v>
      </c>
      <c r="G4372" s="1">
        <v>45204</v>
      </c>
      <c r="H4372" s="6">
        <f t="shared" si="136"/>
        <v>23.302083333333801</v>
      </c>
      <c r="I4372" s="7">
        <f t="shared" si="137"/>
        <v>23.302083333333801</v>
      </c>
    </row>
    <row r="4373" spans="1:9" x14ac:dyDescent="0.2">
      <c r="A4373" t="s">
        <v>4783</v>
      </c>
      <c r="B4373">
        <v>4.8490000000000002</v>
      </c>
      <c r="C4373">
        <v>6.7909999999999998E-2</v>
      </c>
      <c r="D4373">
        <v>278</v>
      </c>
      <c r="E4373" t="s">
        <v>4783</v>
      </c>
      <c r="F4373">
        <v>278</v>
      </c>
      <c r="G4373" s="1">
        <v>45204</v>
      </c>
      <c r="H4373" s="6">
        <f t="shared" si="136"/>
        <v>23.312500000000469</v>
      </c>
      <c r="I4373" s="7">
        <f t="shared" si="137"/>
        <v>23.312500000000469</v>
      </c>
    </row>
    <row r="4374" spans="1:9" x14ac:dyDescent="0.2">
      <c r="A4374" t="s">
        <v>4784</v>
      </c>
      <c r="B4374">
        <v>4.7824999999999998</v>
      </c>
      <c r="C4374">
        <v>6.6985000000000003E-2</v>
      </c>
      <c r="D4374">
        <v>278</v>
      </c>
      <c r="E4374" t="s">
        <v>4784</v>
      </c>
      <c r="F4374">
        <v>278</v>
      </c>
      <c r="G4374" s="1">
        <v>45204</v>
      </c>
      <c r="H4374" s="6">
        <f t="shared" si="136"/>
        <v>23.322916666667137</v>
      </c>
      <c r="I4374" s="7">
        <f t="shared" si="137"/>
        <v>23.322916666667137</v>
      </c>
    </row>
    <row r="4375" spans="1:9" x14ac:dyDescent="0.2">
      <c r="A4375" t="s">
        <v>4785</v>
      </c>
      <c r="B4375">
        <v>4.7815000000000003</v>
      </c>
      <c r="C4375">
        <v>6.6964999999999997E-2</v>
      </c>
      <c r="D4375">
        <v>278</v>
      </c>
      <c r="E4375" t="s">
        <v>4785</v>
      </c>
      <c r="F4375">
        <v>278</v>
      </c>
      <c r="G4375" s="1">
        <v>45204</v>
      </c>
      <c r="H4375" s="6">
        <f t="shared" si="136"/>
        <v>23.333333333333805</v>
      </c>
      <c r="I4375" s="7">
        <f t="shared" si="137"/>
        <v>23.333333333333805</v>
      </c>
    </row>
    <row r="4376" spans="1:9" x14ac:dyDescent="0.2">
      <c r="A4376" t="s">
        <v>4786</v>
      </c>
      <c r="B4376">
        <v>4.407</v>
      </c>
      <c r="C4376">
        <v>6.1725000000000002E-2</v>
      </c>
      <c r="D4376">
        <v>278</v>
      </c>
      <c r="E4376" t="s">
        <v>4786</v>
      </c>
      <c r="F4376">
        <v>278</v>
      </c>
      <c r="G4376" s="1">
        <v>45204</v>
      </c>
      <c r="H4376" s="6">
        <f t="shared" si="136"/>
        <v>23.343750000000473</v>
      </c>
      <c r="I4376" s="7">
        <f t="shared" si="137"/>
        <v>23.343750000000473</v>
      </c>
    </row>
    <row r="4377" spans="1:9" x14ac:dyDescent="0.2">
      <c r="A4377" t="s">
        <v>4787</v>
      </c>
      <c r="B4377">
        <v>4.6835000000000004</v>
      </c>
      <c r="C4377">
        <v>6.5600000000000006E-2</v>
      </c>
      <c r="D4377">
        <v>278</v>
      </c>
      <c r="E4377" t="s">
        <v>4787</v>
      </c>
      <c r="F4377">
        <v>278</v>
      </c>
      <c r="G4377" s="1">
        <v>45204</v>
      </c>
      <c r="H4377" s="6">
        <f t="shared" si="136"/>
        <v>23.35416666666714</v>
      </c>
      <c r="I4377" s="7">
        <f t="shared" si="137"/>
        <v>23.35416666666714</v>
      </c>
    </row>
    <row r="4378" spans="1:9" x14ac:dyDescent="0.2">
      <c r="A4378" t="s">
        <v>4788</v>
      </c>
      <c r="B4378">
        <v>4.6565000000000003</v>
      </c>
      <c r="C4378">
        <v>6.5229999999999996E-2</v>
      </c>
      <c r="D4378">
        <v>278</v>
      </c>
      <c r="E4378" t="s">
        <v>4788</v>
      </c>
      <c r="F4378">
        <v>278</v>
      </c>
      <c r="G4378" s="1">
        <v>45204</v>
      </c>
      <c r="H4378" s="6">
        <f t="shared" si="136"/>
        <v>23.364583333333808</v>
      </c>
      <c r="I4378" s="7">
        <f t="shared" si="137"/>
        <v>23.364583333333808</v>
      </c>
    </row>
    <row r="4379" spans="1:9" x14ac:dyDescent="0.2">
      <c r="A4379" t="s">
        <v>4789</v>
      </c>
      <c r="B4379">
        <v>4.6550000000000002</v>
      </c>
      <c r="C4379">
        <v>6.5195000000000003E-2</v>
      </c>
      <c r="D4379">
        <v>278</v>
      </c>
      <c r="E4379" t="s">
        <v>4789</v>
      </c>
      <c r="F4379">
        <v>278</v>
      </c>
      <c r="G4379" s="1">
        <v>45204</v>
      </c>
      <c r="H4379" s="6">
        <f t="shared" si="136"/>
        <v>23.375000000000476</v>
      </c>
      <c r="I4379" s="7">
        <f t="shared" si="137"/>
        <v>23.375000000000476</v>
      </c>
    </row>
    <row r="4380" spans="1:9" x14ac:dyDescent="0.2">
      <c r="A4380" t="s">
        <v>4790</v>
      </c>
      <c r="B4380">
        <v>4.67</v>
      </c>
      <c r="C4380">
        <v>6.5405000000000005E-2</v>
      </c>
      <c r="D4380">
        <v>278</v>
      </c>
      <c r="E4380" t="s">
        <v>4790</v>
      </c>
      <c r="F4380">
        <v>278</v>
      </c>
      <c r="G4380" s="1">
        <v>45204</v>
      </c>
      <c r="H4380" s="6">
        <f t="shared" ref="H4380:H4443" si="138">H4379+$K$1</f>
        <v>23.385416666667144</v>
      </c>
      <c r="I4380" s="7">
        <f t="shared" ref="I4380:I4443" si="139">I4379+$K$1</f>
        <v>23.385416666667144</v>
      </c>
    </row>
    <row r="4381" spans="1:9" x14ac:dyDescent="0.2">
      <c r="A4381" t="s">
        <v>4791</v>
      </c>
      <c r="B4381">
        <v>4.6144999999999996</v>
      </c>
      <c r="C4381">
        <v>6.4629999999999896E-2</v>
      </c>
      <c r="D4381">
        <v>278</v>
      </c>
      <c r="E4381" t="s">
        <v>4791</v>
      </c>
      <c r="F4381">
        <v>278</v>
      </c>
      <c r="G4381" s="1">
        <v>45204</v>
      </c>
      <c r="H4381" s="6">
        <f t="shared" si="138"/>
        <v>23.395833333333812</v>
      </c>
      <c r="I4381" s="7">
        <f t="shared" si="139"/>
        <v>23.395833333333812</v>
      </c>
    </row>
    <row r="4382" spans="1:9" x14ac:dyDescent="0.2">
      <c r="A4382" t="s">
        <v>4792</v>
      </c>
      <c r="B4382">
        <v>4.6589999999999998</v>
      </c>
      <c r="C4382">
        <v>6.5275E-2</v>
      </c>
      <c r="D4382">
        <v>278</v>
      </c>
      <c r="E4382" t="s">
        <v>4792</v>
      </c>
      <c r="F4382">
        <v>278</v>
      </c>
      <c r="G4382" s="1">
        <v>45204</v>
      </c>
      <c r="H4382" s="6">
        <f t="shared" si="138"/>
        <v>23.40625000000048</v>
      </c>
      <c r="I4382" s="7">
        <f t="shared" si="139"/>
        <v>23.40625000000048</v>
      </c>
    </row>
    <row r="4383" spans="1:9" x14ac:dyDescent="0.2">
      <c r="A4383" t="s">
        <v>4793</v>
      </c>
      <c r="B4383" s="2" t="s">
        <v>4794</v>
      </c>
      <c r="C4383">
        <v>6.4725000000000005E-2</v>
      </c>
      <c r="D4383">
        <v>278</v>
      </c>
      <c r="E4383" t="s">
        <v>4793</v>
      </c>
      <c r="F4383">
        <v>278</v>
      </c>
      <c r="G4383" s="1">
        <v>45204</v>
      </c>
      <c r="H4383" s="6">
        <f t="shared" si="138"/>
        <v>23.416666666667147</v>
      </c>
      <c r="I4383" s="7">
        <f t="shared" si="139"/>
        <v>23.416666666667147</v>
      </c>
    </row>
    <row r="4384" spans="1:9" x14ac:dyDescent="0.2">
      <c r="A4384" t="s">
        <v>4795</v>
      </c>
      <c r="B4384">
        <v>4.6654999999999998</v>
      </c>
      <c r="C4384">
        <v>6.5369999999999998E-2</v>
      </c>
      <c r="D4384">
        <v>278</v>
      </c>
      <c r="E4384" t="s">
        <v>4795</v>
      </c>
      <c r="F4384">
        <v>278</v>
      </c>
      <c r="G4384" s="1">
        <v>45204</v>
      </c>
      <c r="H4384" s="6">
        <f t="shared" si="138"/>
        <v>23.427083333333815</v>
      </c>
      <c r="I4384" s="7">
        <f t="shared" si="139"/>
        <v>23.427083333333815</v>
      </c>
    </row>
    <row r="4385" spans="1:9" x14ac:dyDescent="0.2">
      <c r="A4385" t="s">
        <v>4796</v>
      </c>
      <c r="B4385">
        <v>4.6005000000000003</v>
      </c>
      <c r="C4385">
        <v>6.4454999999999998E-2</v>
      </c>
      <c r="D4385">
        <v>278</v>
      </c>
      <c r="E4385" t="s">
        <v>4796</v>
      </c>
      <c r="F4385">
        <v>278</v>
      </c>
      <c r="G4385" s="1">
        <v>45204</v>
      </c>
      <c r="H4385" s="6">
        <f t="shared" si="138"/>
        <v>23.437500000000483</v>
      </c>
      <c r="I4385" s="7">
        <f t="shared" si="139"/>
        <v>23.437500000000483</v>
      </c>
    </row>
    <row r="4386" spans="1:9" x14ac:dyDescent="0.2">
      <c r="A4386" t="s">
        <v>4797</v>
      </c>
      <c r="B4386">
        <v>4.6539999999999999</v>
      </c>
      <c r="C4386">
        <v>6.5174999999999997E-2</v>
      </c>
      <c r="D4386">
        <v>278</v>
      </c>
      <c r="E4386" t="s">
        <v>4797</v>
      </c>
      <c r="F4386">
        <v>278</v>
      </c>
      <c r="G4386" s="1">
        <v>45204</v>
      </c>
      <c r="H4386" s="6">
        <f t="shared" si="138"/>
        <v>23.447916666667151</v>
      </c>
      <c r="I4386" s="7">
        <f t="shared" si="139"/>
        <v>23.447916666667151</v>
      </c>
    </row>
    <row r="4387" spans="1:9" x14ac:dyDescent="0.2">
      <c r="A4387" t="s">
        <v>4798</v>
      </c>
      <c r="B4387">
        <v>4.6044999999999998</v>
      </c>
      <c r="C4387">
        <v>6.4490000000000006E-2</v>
      </c>
      <c r="D4387">
        <v>278</v>
      </c>
      <c r="E4387" t="s">
        <v>4798</v>
      </c>
      <c r="F4387">
        <v>278</v>
      </c>
      <c r="G4387" s="1">
        <v>45204</v>
      </c>
      <c r="H4387" s="6">
        <f t="shared" si="138"/>
        <v>23.458333333333819</v>
      </c>
      <c r="I4387" s="7">
        <f t="shared" si="139"/>
        <v>23.458333333333819</v>
      </c>
    </row>
    <row r="4388" spans="1:9" x14ac:dyDescent="0.2">
      <c r="A4388" t="s">
        <v>4799</v>
      </c>
      <c r="B4388">
        <v>4.593</v>
      </c>
      <c r="C4388">
        <v>6.4314999999999997E-2</v>
      </c>
      <c r="D4388">
        <v>278</v>
      </c>
      <c r="E4388" t="s">
        <v>4799</v>
      </c>
      <c r="F4388">
        <v>278</v>
      </c>
      <c r="G4388" s="1">
        <v>45204</v>
      </c>
      <c r="H4388" s="6">
        <f t="shared" si="138"/>
        <v>23.468750000000487</v>
      </c>
      <c r="I4388" s="7">
        <f t="shared" si="139"/>
        <v>23.468750000000487</v>
      </c>
    </row>
    <row r="4389" spans="1:9" x14ac:dyDescent="0.2">
      <c r="A4389" t="s">
        <v>4800</v>
      </c>
      <c r="B4389">
        <v>4.6284999999999998</v>
      </c>
      <c r="C4389">
        <v>6.4835000000000004E-2</v>
      </c>
      <c r="D4389">
        <v>278</v>
      </c>
      <c r="E4389" t="s">
        <v>4800</v>
      </c>
      <c r="F4389">
        <v>278</v>
      </c>
      <c r="G4389" s="1">
        <v>45204</v>
      </c>
      <c r="H4389" s="6">
        <f t="shared" si="138"/>
        <v>23.479166666667155</v>
      </c>
      <c r="I4389" s="7">
        <f t="shared" si="139"/>
        <v>23.479166666667155</v>
      </c>
    </row>
    <row r="4390" spans="1:9" x14ac:dyDescent="0.2">
      <c r="A4390" t="s">
        <v>4801</v>
      </c>
      <c r="B4390">
        <v>4.601</v>
      </c>
      <c r="C4390">
        <v>6.4445000000000002E-2</v>
      </c>
      <c r="D4390">
        <v>278</v>
      </c>
      <c r="E4390" t="s">
        <v>4801</v>
      </c>
      <c r="F4390">
        <v>278</v>
      </c>
      <c r="G4390" s="1">
        <v>45204</v>
      </c>
      <c r="H4390" s="6">
        <f t="shared" si="138"/>
        <v>23.489583333333822</v>
      </c>
      <c r="I4390" s="7">
        <f t="shared" si="139"/>
        <v>23.489583333333822</v>
      </c>
    </row>
    <row r="4391" spans="1:9" x14ac:dyDescent="0.2">
      <c r="A4391" t="s">
        <v>4802</v>
      </c>
      <c r="B4391">
        <v>4.5884999999999998</v>
      </c>
      <c r="C4391">
        <v>6.4265000000000003E-2</v>
      </c>
      <c r="D4391">
        <v>278</v>
      </c>
      <c r="E4391" t="s">
        <v>4802</v>
      </c>
      <c r="F4391">
        <v>278</v>
      </c>
      <c r="G4391" s="1">
        <v>45204</v>
      </c>
      <c r="H4391" s="6">
        <f t="shared" si="138"/>
        <v>23.50000000000049</v>
      </c>
      <c r="I4391" s="7">
        <f t="shared" si="139"/>
        <v>23.50000000000049</v>
      </c>
    </row>
    <row r="4392" spans="1:9" x14ac:dyDescent="0.2">
      <c r="A4392" t="s">
        <v>4803</v>
      </c>
      <c r="B4392">
        <v>4.5845000000000002</v>
      </c>
      <c r="C4392">
        <v>6.4204999999999998E-2</v>
      </c>
      <c r="D4392">
        <v>278</v>
      </c>
      <c r="E4392" t="s">
        <v>4803</v>
      </c>
      <c r="F4392">
        <v>278</v>
      </c>
      <c r="G4392" s="1">
        <v>45204</v>
      </c>
      <c r="H4392" s="6">
        <f t="shared" si="138"/>
        <v>23.510416666667158</v>
      </c>
      <c r="I4392" s="7">
        <f t="shared" si="139"/>
        <v>23.510416666667158</v>
      </c>
    </row>
    <row r="4393" spans="1:9" x14ac:dyDescent="0.2">
      <c r="A4393" t="s">
        <v>4804</v>
      </c>
      <c r="B4393">
        <v>4.5709999999999997</v>
      </c>
      <c r="C4393">
        <v>6.4045000000000005E-2</v>
      </c>
      <c r="D4393">
        <v>278</v>
      </c>
      <c r="E4393" t="s">
        <v>4804</v>
      </c>
      <c r="F4393">
        <v>278</v>
      </c>
      <c r="G4393" s="1">
        <v>45204</v>
      </c>
      <c r="H4393" s="6">
        <f t="shared" si="138"/>
        <v>23.520833333333826</v>
      </c>
      <c r="I4393" s="7">
        <f t="shared" si="139"/>
        <v>23.520833333333826</v>
      </c>
    </row>
    <row r="4394" spans="1:9" x14ac:dyDescent="0.2">
      <c r="A4394" t="s">
        <v>4805</v>
      </c>
      <c r="B4394">
        <v>4.577</v>
      </c>
      <c r="C4394">
        <v>6.4115000000000005E-2</v>
      </c>
      <c r="D4394">
        <v>278</v>
      </c>
      <c r="E4394" t="s">
        <v>4805</v>
      </c>
      <c r="F4394">
        <v>278</v>
      </c>
      <c r="G4394" s="1">
        <v>45204</v>
      </c>
      <c r="H4394" s="6">
        <f t="shared" si="138"/>
        <v>23.531250000000494</v>
      </c>
      <c r="I4394" s="7">
        <f t="shared" si="139"/>
        <v>23.531250000000494</v>
      </c>
    </row>
    <row r="4395" spans="1:9" x14ac:dyDescent="0.2">
      <c r="A4395" t="s">
        <v>4806</v>
      </c>
      <c r="B4395">
        <v>4.5209999999999999</v>
      </c>
      <c r="C4395">
        <v>6.3325000000000006E-2</v>
      </c>
      <c r="D4395">
        <v>278</v>
      </c>
      <c r="E4395" t="s">
        <v>4806</v>
      </c>
      <c r="F4395">
        <v>278</v>
      </c>
      <c r="G4395" s="1">
        <v>45204</v>
      </c>
      <c r="H4395" s="6">
        <f t="shared" si="138"/>
        <v>23.541666666667162</v>
      </c>
      <c r="I4395" s="7">
        <f t="shared" si="139"/>
        <v>23.541666666667162</v>
      </c>
    </row>
    <row r="4396" spans="1:9" x14ac:dyDescent="0.2">
      <c r="A4396" t="s">
        <v>4807</v>
      </c>
      <c r="B4396" s="2" t="s">
        <v>4808</v>
      </c>
      <c r="C4396">
        <v>6.3395000000000007E-2</v>
      </c>
      <c r="D4396">
        <v>278</v>
      </c>
      <c r="E4396" t="s">
        <v>4807</v>
      </c>
      <c r="F4396">
        <v>278</v>
      </c>
      <c r="G4396" s="1">
        <v>45204</v>
      </c>
      <c r="H4396" s="6">
        <f t="shared" si="138"/>
        <v>23.55208333333383</v>
      </c>
      <c r="I4396" s="7">
        <f t="shared" si="139"/>
        <v>23.55208333333383</v>
      </c>
    </row>
    <row r="4397" spans="1:9" x14ac:dyDescent="0.2">
      <c r="A4397" t="s">
        <v>4809</v>
      </c>
      <c r="B4397">
        <v>4.5214999999999996</v>
      </c>
      <c r="C4397">
        <v>6.3314999999999996E-2</v>
      </c>
      <c r="D4397">
        <v>278</v>
      </c>
      <c r="E4397" t="s">
        <v>4809</v>
      </c>
      <c r="F4397">
        <v>278</v>
      </c>
      <c r="G4397" s="1">
        <v>45204</v>
      </c>
      <c r="H4397" s="6">
        <f t="shared" si="138"/>
        <v>23.562500000000497</v>
      </c>
      <c r="I4397" s="7">
        <f t="shared" si="139"/>
        <v>23.562500000000497</v>
      </c>
    </row>
    <row r="4398" spans="1:9" x14ac:dyDescent="0.2">
      <c r="A4398" t="s">
        <v>4810</v>
      </c>
      <c r="B4398">
        <v>4.5744999999999996</v>
      </c>
      <c r="C4398">
        <v>6.4074999999999993E-2</v>
      </c>
      <c r="D4398">
        <v>278</v>
      </c>
      <c r="E4398" t="s">
        <v>4810</v>
      </c>
      <c r="F4398">
        <v>278</v>
      </c>
      <c r="G4398" s="1">
        <v>45204</v>
      </c>
      <c r="H4398" s="6">
        <f t="shared" si="138"/>
        <v>23.572916666667165</v>
      </c>
      <c r="I4398" s="7">
        <f t="shared" si="139"/>
        <v>23.572916666667165</v>
      </c>
    </row>
    <row r="4399" spans="1:9" x14ac:dyDescent="0.2">
      <c r="A4399" t="s">
        <v>4811</v>
      </c>
      <c r="B4399">
        <v>4.58</v>
      </c>
      <c r="C4399">
        <v>6.4140000000000003E-2</v>
      </c>
      <c r="D4399">
        <v>278</v>
      </c>
      <c r="E4399" t="s">
        <v>4811</v>
      </c>
      <c r="F4399">
        <v>278</v>
      </c>
      <c r="G4399" s="1">
        <v>45204</v>
      </c>
      <c r="H4399" s="6">
        <f t="shared" si="138"/>
        <v>23.583333333333833</v>
      </c>
      <c r="I4399" s="7">
        <f t="shared" si="139"/>
        <v>23.583333333333833</v>
      </c>
    </row>
    <row r="4400" spans="1:9" x14ac:dyDescent="0.2">
      <c r="A4400" t="s">
        <v>4812</v>
      </c>
      <c r="B4400">
        <v>4.5575000000000001</v>
      </c>
      <c r="C4400">
        <v>6.3844999999999999E-2</v>
      </c>
      <c r="D4400">
        <v>278</v>
      </c>
      <c r="E4400" t="s">
        <v>4812</v>
      </c>
      <c r="F4400">
        <v>278</v>
      </c>
      <c r="G4400" s="1">
        <v>45204</v>
      </c>
      <c r="H4400" s="6">
        <f t="shared" si="138"/>
        <v>23.593750000000501</v>
      </c>
      <c r="I4400" s="7">
        <f t="shared" si="139"/>
        <v>23.593750000000501</v>
      </c>
    </row>
    <row r="4401" spans="1:9" x14ac:dyDescent="0.2">
      <c r="A4401" t="s">
        <v>4813</v>
      </c>
      <c r="B4401">
        <v>4.5570000000000004</v>
      </c>
      <c r="C4401">
        <v>6.3825000000000007E-2</v>
      </c>
      <c r="D4401">
        <v>278</v>
      </c>
      <c r="E4401" t="s">
        <v>4813</v>
      </c>
      <c r="F4401">
        <v>278</v>
      </c>
      <c r="G4401" s="1">
        <v>45204</v>
      </c>
      <c r="H4401" s="6">
        <f t="shared" si="138"/>
        <v>23.604166666667169</v>
      </c>
      <c r="I4401" s="7">
        <f t="shared" si="139"/>
        <v>23.604166666667169</v>
      </c>
    </row>
    <row r="4402" spans="1:9" x14ac:dyDescent="0.2">
      <c r="A4402" t="s">
        <v>4814</v>
      </c>
      <c r="B4402">
        <v>4.5735000000000001</v>
      </c>
      <c r="C4402">
        <v>6.4055000000000001E-2</v>
      </c>
      <c r="D4402">
        <v>279</v>
      </c>
      <c r="E4402" t="s">
        <v>4814</v>
      </c>
      <c r="F4402">
        <v>278</v>
      </c>
      <c r="G4402" s="1">
        <v>45204</v>
      </c>
      <c r="H4402" s="6">
        <f t="shared" si="138"/>
        <v>23.614583333333837</v>
      </c>
      <c r="I4402" s="7">
        <f t="shared" si="139"/>
        <v>23.614583333333837</v>
      </c>
    </row>
    <row r="4403" spans="1:9" x14ac:dyDescent="0.2">
      <c r="A4403" t="s">
        <v>4815</v>
      </c>
      <c r="B4403" s="2" t="s">
        <v>4816</v>
      </c>
      <c r="C4403">
        <v>6.4049999999999996E-2</v>
      </c>
      <c r="D4403">
        <v>279</v>
      </c>
      <c r="E4403" t="s">
        <v>4815</v>
      </c>
      <c r="F4403">
        <v>278</v>
      </c>
      <c r="G4403" s="1">
        <v>45204</v>
      </c>
      <c r="H4403" s="6">
        <f t="shared" si="138"/>
        <v>23.625000000000504</v>
      </c>
      <c r="I4403" s="7">
        <f t="shared" si="139"/>
        <v>23.625000000000504</v>
      </c>
    </row>
    <row r="4404" spans="1:9" x14ac:dyDescent="0.2">
      <c r="A4404" t="s">
        <v>4817</v>
      </c>
      <c r="B4404">
        <v>4.59</v>
      </c>
      <c r="C4404">
        <v>6.4284999999999995E-2</v>
      </c>
      <c r="D4404">
        <v>279</v>
      </c>
      <c r="E4404" t="s">
        <v>4817</v>
      </c>
      <c r="F4404">
        <v>278</v>
      </c>
      <c r="G4404" s="1">
        <v>45204</v>
      </c>
      <c r="H4404" s="6">
        <f t="shared" si="138"/>
        <v>23.635416666667172</v>
      </c>
      <c r="I4404" s="7">
        <f t="shared" si="139"/>
        <v>23.635416666667172</v>
      </c>
    </row>
    <row r="4405" spans="1:9" x14ac:dyDescent="0.2">
      <c r="A4405" t="s">
        <v>4818</v>
      </c>
      <c r="B4405">
        <v>4.6050000000000004</v>
      </c>
      <c r="C4405">
        <v>6.4500000000000002E-2</v>
      </c>
      <c r="D4405">
        <v>279</v>
      </c>
      <c r="E4405" t="s">
        <v>4818</v>
      </c>
      <c r="F4405">
        <v>278</v>
      </c>
      <c r="G4405" s="1">
        <v>45204</v>
      </c>
      <c r="H4405" s="6">
        <f t="shared" si="138"/>
        <v>23.64583333333384</v>
      </c>
      <c r="I4405" s="7">
        <f t="shared" si="139"/>
        <v>23.64583333333384</v>
      </c>
    </row>
    <row r="4406" spans="1:9" x14ac:dyDescent="0.2">
      <c r="A4406" t="s">
        <v>4819</v>
      </c>
      <c r="B4406">
        <v>4.5999999999999996</v>
      </c>
      <c r="C4406">
        <v>6.4430000000000001E-2</v>
      </c>
      <c r="D4406">
        <v>279</v>
      </c>
      <c r="E4406" t="s">
        <v>4819</v>
      </c>
      <c r="F4406">
        <v>278</v>
      </c>
      <c r="G4406" s="1">
        <v>45204</v>
      </c>
      <c r="H4406" s="6">
        <f t="shared" si="138"/>
        <v>23.656250000000508</v>
      </c>
      <c r="I4406" s="7">
        <f t="shared" si="139"/>
        <v>23.656250000000508</v>
      </c>
    </row>
    <row r="4407" spans="1:9" x14ac:dyDescent="0.2">
      <c r="A4407" t="s">
        <v>4820</v>
      </c>
      <c r="B4407">
        <v>4.6109999999999998</v>
      </c>
      <c r="C4407">
        <v>6.4579999999999999E-2</v>
      </c>
      <c r="D4407">
        <v>279</v>
      </c>
      <c r="E4407" t="s">
        <v>4820</v>
      </c>
      <c r="F4407">
        <v>278</v>
      </c>
      <c r="G4407" s="1">
        <v>45204</v>
      </c>
      <c r="H4407" s="6">
        <f t="shared" si="138"/>
        <v>23.666666666667176</v>
      </c>
      <c r="I4407" s="7">
        <f t="shared" si="139"/>
        <v>23.666666666667176</v>
      </c>
    </row>
    <row r="4408" spans="1:9" x14ac:dyDescent="0.2">
      <c r="A4408" t="s">
        <v>4821</v>
      </c>
      <c r="B4408">
        <v>4.6405000000000003</v>
      </c>
      <c r="C4408">
        <v>6.5009999999999998E-2</v>
      </c>
      <c r="D4408">
        <v>279</v>
      </c>
      <c r="E4408" t="s">
        <v>4821</v>
      </c>
      <c r="F4408">
        <v>278</v>
      </c>
      <c r="G4408" s="1">
        <v>45204</v>
      </c>
      <c r="H4408" s="6">
        <f t="shared" si="138"/>
        <v>23.677083333333844</v>
      </c>
      <c r="I4408" s="7">
        <f t="shared" si="139"/>
        <v>23.677083333333844</v>
      </c>
    </row>
    <row r="4409" spans="1:9" x14ac:dyDescent="0.2">
      <c r="A4409" t="s">
        <v>4822</v>
      </c>
      <c r="B4409">
        <v>4.6725000000000003</v>
      </c>
      <c r="C4409">
        <v>6.5454999999999999E-2</v>
      </c>
      <c r="D4409">
        <v>279</v>
      </c>
      <c r="E4409" t="s">
        <v>4822</v>
      </c>
      <c r="F4409">
        <v>278</v>
      </c>
      <c r="G4409" s="1">
        <v>45204</v>
      </c>
      <c r="H4409" s="6">
        <f t="shared" si="138"/>
        <v>23.687500000000512</v>
      </c>
      <c r="I4409" s="7">
        <f t="shared" si="139"/>
        <v>23.687500000000512</v>
      </c>
    </row>
    <row r="4410" spans="1:9" x14ac:dyDescent="0.2">
      <c r="A4410" t="s">
        <v>4823</v>
      </c>
      <c r="B4410">
        <v>4.6589999999999998</v>
      </c>
      <c r="C4410">
        <v>6.5239999999999895E-2</v>
      </c>
      <c r="D4410">
        <v>279</v>
      </c>
      <c r="E4410" t="s">
        <v>4823</v>
      </c>
      <c r="F4410">
        <v>278</v>
      </c>
      <c r="G4410" s="1">
        <v>45204</v>
      </c>
      <c r="H4410" s="6">
        <f t="shared" si="138"/>
        <v>23.697916666667179</v>
      </c>
      <c r="I4410" s="7">
        <f t="shared" si="139"/>
        <v>23.697916666667179</v>
      </c>
    </row>
    <row r="4411" spans="1:9" x14ac:dyDescent="0.2">
      <c r="A4411" t="s">
        <v>4824</v>
      </c>
      <c r="B4411">
        <v>4.6355000000000004</v>
      </c>
      <c r="C4411">
        <v>6.4909999999999995E-2</v>
      </c>
      <c r="D4411">
        <v>279</v>
      </c>
      <c r="E4411" t="s">
        <v>4824</v>
      </c>
      <c r="F4411">
        <v>278</v>
      </c>
      <c r="G4411" s="1">
        <v>45204</v>
      </c>
      <c r="H4411" s="6">
        <f t="shared" si="138"/>
        <v>23.708333333333847</v>
      </c>
      <c r="I4411" s="7">
        <f t="shared" si="139"/>
        <v>23.708333333333847</v>
      </c>
    </row>
    <row r="4412" spans="1:9" x14ac:dyDescent="0.2">
      <c r="A4412" t="s">
        <v>4825</v>
      </c>
      <c r="B4412">
        <v>4.7065000000000001</v>
      </c>
      <c r="C4412">
        <v>6.5915000000000001E-2</v>
      </c>
      <c r="D4412">
        <v>279</v>
      </c>
      <c r="E4412" t="s">
        <v>4825</v>
      </c>
      <c r="F4412">
        <v>278</v>
      </c>
      <c r="G4412" s="1">
        <v>45204</v>
      </c>
      <c r="H4412" s="6">
        <f t="shared" si="138"/>
        <v>23.718750000000515</v>
      </c>
      <c r="I4412" s="7">
        <f t="shared" si="139"/>
        <v>23.718750000000515</v>
      </c>
    </row>
    <row r="4413" spans="1:9" x14ac:dyDescent="0.2">
      <c r="A4413" t="s">
        <v>4826</v>
      </c>
      <c r="B4413">
        <v>4.742</v>
      </c>
      <c r="C4413">
        <v>6.6419999999999896E-2</v>
      </c>
      <c r="D4413">
        <v>279</v>
      </c>
      <c r="E4413" t="s">
        <v>4826</v>
      </c>
      <c r="F4413">
        <v>278</v>
      </c>
      <c r="G4413" s="1">
        <v>45204</v>
      </c>
      <c r="H4413" s="6">
        <f t="shared" si="138"/>
        <v>23.729166666667183</v>
      </c>
      <c r="I4413" s="7">
        <f t="shared" si="139"/>
        <v>23.729166666667183</v>
      </c>
    </row>
    <row r="4414" spans="1:9" x14ac:dyDescent="0.2">
      <c r="A4414" t="s">
        <v>4827</v>
      </c>
      <c r="B4414">
        <v>4.8045</v>
      </c>
      <c r="C4414">
        <v>6.7299999999999999E-2</v>
      </c>
      <c r="D4414">
        <v>279</v>
      </c>
      <c r="E4414" t="s">
        <v>4827</v>
      </c>
      <c r="F4414">
        <v>278</v>
      </c>
      <c r="G4414" s="1">
        <v>45204</v>
      </c>
      <c r="H4414" s="6">
        <f t="shared" si="138"/>
        <v>23.739583333333851</v>
      </c>
      <c r="I4414" s="7">
        <f t="shared" si="139"/>
        <v>23.739583333333851</v>
      </c>
    </row>
    <row r="4415" spans="1:9" x14ac:dyDescent="0.2">
      <c r="A4415" t="s">
        <v>4828</v>
      </c>
      <c r="B4415">
        <v>4.7534999999999998</v>
      </c>
      <c r="C4415">
        <v>6.6610000000000003E-2</v>
      </c>
      <c r="D4415">
        <v>279</v>
      </c>
      <c r="E4415" t="s">
        <v>4828</v>
      </c>
      <c r="F4415">
        <v>278</v>
      </c>
      <c r="G4415" s="1">
        <v>45204</v>
      </c>
      <c r="H4415" s="6">
        <f t="shared" si="138"/>
        <v>23.750000000000519</v>
      </c>
      <c r="I4415" s="7">
        <f t="shared" si="139"/>
        <v>23.750000000000519</v>
      </c>
    </row>
    <row r="4416" spans="1:9" x14ac:dyDescent="0.2">
      <c r="A4416" t="s">
        <v>4829</v>
      </c>
      <c r="B4416">
        <v>4.8499999999999996</v>
      </c>
      <c r="C4416">
        <v>6.7934999999999995E-2</v>
      </c>
      <c r="D4416">
        <v>279</v>
      </c>
      <c r="E4416" t="s">
        <v>4829</v>
      </c>
      <c r="F4416">
        <v>278</v>
      </c>
      <c r="G4416" s="1">
        <v>45204</v>
      </c>
      <c r="H4416" s="6">
        <f t="shared" si="138"/>
        <v>23.760416666667187</v>
      </c>
      <c r="I4416" s="7">
        <f t="shared" si="139"/>
        <v>23.760416666667187</v>
      </c>
    </row>
    <row r="4417" spans="1:9" x14ac:dyDescent="0.2">
      <c r="A4417" t="s">
        <v>4830</v>
      </c>
      <c r="B4417">
        <v>4.8555000000000001</v>
      </c>
      <c r="C4417">
        <v>6.7989999999999995E-2</v>
      </c>
      <c r="D4417">
        <v>279</v>
      </c>
      <c r="E4417" t="s">
        <v>4830</v>
      </c>
      <c r="F4417">
        <v>278</v>
      </c>
      <c r="G4417" s="1">
        <v>45204</v>
      </c>
      <c r="H4417" s="6">
        <f t="shared" si="138"/>
        <v>23.770833333333854</v>
      </c>
      <c r="I4417" s="7">
        <f t="shared" si="139"/>
        <v>23.770833333333854</v>
      </c>
    </row>
    <row r="4418" spans="1:9" x14ac:dyDescent="0.2">
      <c r="A4418" t="s">
        <v>4831</v>
      </c>
      <c r="B4418">
        <v>4.9264999999999999</v>
      </c>
      <c r="C4418">
        <v>6.9004999999999997E-2</v>
      </c>
      <c r="D4418">
        <v>279</v>
      </c>
      <c r="E4418" t="s">
        <v>4831</v>
      </c>
      <c r="F4418">
        <v>278</v>
      </c>
      <c r="G4418" s="1">
        <v>45204</v>
      </c>
      <c r="H4418" s="6">
        <f t="shared" si="138"/>
        <v>23.781250000000522</v>
      </c>
      <c r="I4418" s="7">
        <f t="shared" si="139"/>
        <v>23.781250000000522</v>
      </c>
    </row>
    <row r="4419" spans="1:9" x14ac:dyDescent="0.2">
      <c r="A4419" t="s">
        <v>4832</v>
      </c>
      <c r="B4419">
        <v>4.9734999999999996</v>
      </c>
      <c r="C4419">
        <v>6.9654999999999995E-2</v>
      </c>
      <c r="D4419">
        <v>279</v>
      </c>
      <c r="E4419" t="s">
        <v>4832</v>
      </c>
      <c r="F4419">
        <v>278</v>
      </c>
      <c r="G4419" s="1">
        <v>45204</v>
      </c>
      <c r="H4419" s="6">
        <f t="shared" si="138"/>
        <v>23.79166666666719</v>
      </c>
      <c r="I4419" s="7">
        <f t="shared" si="139"/>
        <v>23.79166666666719</v>
      </c>
    </row>
    <row r="4420" spans="1:9" x14ac:dyDescent="0.2">
      <c r="A4420" t="s">
        <v>4833</v>
      </c>
      <c r="B4420">
        <v>4.9744999999999999</v>
      </c>
      <c r="C4420">
        <v>6.966E-2</v>
      </c>
      <c r="D4420">
        <v>279</v>
      </c>
      <c r="E4420" t="s">
        <v>4833</v>
      </c>
      <c r="F4420">
        <v>278</v>
      </c>
      <c r="G4420" s="1">
        <v>45204</v>
      </c>
      <c r="H4420" s="6">
        <f t="shared" si="138"/>
        <v>23.802083333333858</v>
      </c>
      <c r="I4420" s="7">
        <f t="shared" si="139"/>
        <v>23.802083333333858</v>
      </c>
    </row>
    <row r="4421" spans="1:9" x14ac:dyDescent="0.2">
      <c r="A4421" t="s">
        <v>4834</v>
      </c>
      <c r="B4421">
        <v>5.1020000000000003</v>
      </c>
      <c r="C4421">
        <v>7.1474999999999997E-2</v>
      </c>
      <c r="D4421">
        <v>279</v>
      </c>
      <c r="E4421" t="s">
        <v>4834</v>
      </c>
      <c r="F4421">
        <v>278</v>
      </c>
      <c r="G4421" s="1">
        <v>45204</v>
      </c>
      <c r="H4421" s="6">
        <f t="shared" si="138"/>
        <v>23.812500000000526</v>
      </c>
      <c r="I4421" s="7">
        <f t="shared" si="139"/>
        <v>23.812500000000526</v>
      </c>
    </row>
    <row r="4422" spans="1:9" x14ac:dyDescent="0.2">
      <c r="A4422" t="s">
        <v>4835</v>
      </c>
      <c r="B4422">
        <v>5.0854999999999997</v>
      </c>
      <c r="C4422">
        <v>7.1235000000000007E-2</v>
      </c>
      <c r="D4422">
        <v>279</v>
      </c>
      <c r="E4422" t="s">
        <v>4835</v>
      </c>
      <c r="F4422">
        <v>278</v>
      </c>
      <c r="G4422" s="1">
        <v>45204</v>
      </c>
      <c r="H4422" s="6">
        <f t="shared" si="138"/>
        <v>23.822916666667194</v>
      </c>
      <c r="I4422" s="7">
        <f t="shared" si="139"/>
        <v>23.822916666667194</v>
      </c>
    </row>
    <row r="4423" spans="1:9" x14ac:dyDescent="0.2">
      <c r="A4423" t="s">
        <v>4836</v>
      </c>
      <c r="B4423">
        <v>5.0540000000000003</v>
      </c>
      <c r="C4423">
        <v>7.0800000000000002E-2</v>
      </c>
      <c r="D4423">
        <v>279</v>
      </c>
      <c r="E4423" t="s">
        <v>4836</v>
      </c>
      <c r="F4423">
        <v>278</v>
      </c>
      <c r="G4423" s="1">
        <v>45204</v>
      </c>
      <c r="H4423" s="6">
        <f t="shared" si="138"/>
        <v>23.833333333333862</v>
      </c>
      <c r="I4423" s="7">
        <f t="shared" si="139"/>
        <v>23.833333333333862</v>
      </c>
    </row>
    <row r="4424" spans="1:9" x14ac:dyDescent="0.2">
      <c r="A4424" t="s">
        <v>4837</v>
      </c>
      <c r="B4424">
        <v>5.1604999999999999</v>
      </c>
      <c r="C4424">
        <v>7.2279999999999997E-2</v>
      </c>
      <c r="D4424">
        <v>279</v>
      </c>
      <c r="E4424" t="s">
        <v>4837</v>
      </c>
      <c r="F4424">
        <v>278</v>
      </c>
      <c r="G4424" s="1">
        <v>45204</v>
      </c>
      <c r="H4424" s="6">
        <f t="shared" si="138"/>
        <v>23.843750000000529</v>
      </c>
      <c r="I4424" s="7">
        <f t="shared" si="139"/>
        <v>23.843750000000529</v>
      </c>
    </row>
    <row r="4425" spans="1:9" x14ac:dyDescent="0.2">
      <c r="A4425" t="s">
        <v>4838</v>
      </c>
      <c r="B4425">
        <v>5.109</v>
      </c>
      <c r="C4425">
        <v>7.1565000000000004E-2</v>
      </c>
      <c r="D4425">
        <v>279</v>
      </c>
      <c r="E4425" t="s">
        <v>4838</v>
      </c>
      <c r="F4425">
        <v>278</v>
      </c>
      <c r="G4425" s="1">
        <v>45204</v>
      </c>
      <c r="H4425" s="6">
        <f t="shared" si="138"/>
        <v>23.854166666667197</v>
      </c>
      <c r="I4425" s="7">
        <f t="shared" si="139"/>
        <v>23.854166666667197</v>
      </c>
    </row>
    <row r="4426" spans="1:9" x14ac:dyDescent="0.2">
      <c r="A4426" t="s">
        <v>4839</v>
      </c>
      <c r="B4426">
        <v>5.0570000000000004</v>
      </c>
      <c r="C4426">
        <v>7.0815000000000003E-2</v>
      </c>
      <c r="D4426">
        <v>279</v>
      </c>
      <c r="E4426" t="s">
        <v>4839</v>
      </c>
      <c r="F4426">
        <v>279</v>
      </c>
      <c r="G4426" s="1">
        <v>45205</v>
      </c>
      <c r="H4426" s="6">
        <f t="shared" si="138"/>
        <v>23.864583333333865</v>
      </c>
      <c r="I4426" s="7">
        <f t="shared" si="139"/>
        <v>23.864583333333865</v>
      </c>
    </row>
    <row r="4427" spans="1:9" x14ac:dyDescent="0.2">
      <c r="A4427" t="s">
        <v>4840</v>
      </c>
      <c r="B4427">
        <v>5.1375000000000002</v>
      </c>
      <c r="C4427">
        <v>7.1970000000000006E-2</v>
      </c>
      <c r="D4427">
        <v>279</v>
      </c>
      <c r="E4427" t="s">
        <v>4840</v>
      </c>
      <c r="F4427">
        <v>279</v>
      </c>
      <c r="G4427" s="1">
        <v>45205</v>
      </c>
      <c r="H4427" s="6">
        <f t="shared" si="138"/>
        <v>23.875000000000533</v>
      </c>
      <c r="I4427" s="7">
        <f t="shared" si="139"/>
        <v>23.875000000000533</v>
      </c>
    </row>
    <row r="4428" spans="1:9" x14ac:dyDescent="0.2">
      <c r="A4428" t="s">
        <v>4841</v>
      </c>
      <c r="B4428">
        <v>5.1455000000000002</v>
      </c>
      <c r="C4428">
        <v>7.2084999999999996E-2</v>
      </c>
      <c r="D4428">
        <v>279</v>
      </c>
      <c r="E4428" t="s">
        <v>4841</v>
      </c>
      <c r="F4428">
        <v>279</v>
      </c>
      <c r="G4428" s="1">
        <v>45205</v>
      </c>
      <c r="H4428" s="6">
        <f t="shared" si="138"/>
        <v>23.885416666667201</v>
      </c>
      <c r="I4428" s="7">
        <f t="shared" si="139"/>
        <v>23.885416666667201</v>
      </c>
    </row>
    <row r="4429" spans="1:9" x14ac:dyDescent="0.2">
      <c r="A4429" t="s">
        <v>4842</v>
      </c>
      <c r="B4429">
        <v>5.1604999999999999</v>
      </c>
      <c r="C4429">
        <v>7.2279999999999997E-2</v>
      </c>
      <c r="D4429">
        <v>279</v>
      </c>
      <c r="E4429" t="s">
        <v>4842</v>
      </c>
      <c r="F4429">
        <v>279</v>
      </c>
      <c r="G4429" s="1">
        <v>45205</v>
      </c>
      <c r="H4429" s="6">
        <f t="shared" si="138"/>
        <v>23.895833333333869</v>
      </c>
      <c r="I4429" s="7">
        <f t="shared" si="139"/>
        <v>23.895833333333869</v>
      </c>
    </row>
    <row r="4430" spans="1:9" x14ac:dyDescent="0.2">
      <c r="A4430" t="s">
        <v>4843</v>
      </c>
      <c r="B4430">
        <v>5.1139999999999999</v>
      </c>
      <c r="C4430">
        <v>7.1635000000000004E-2</v>
      </c>
      <c r="D4430">
        <v>279</v>
      </c>
      <c r="E4430" t="s">
        <v>4843</v>
      </c>
      <c r="F4430">
        <v>279</v>
      </c>
      <c r="G4430" s="1">
        <v>45205</v>
      </c>
      <c r="H4430" s="6">
        <f t="shared" si="138"/>
        <v>23.906250000000536</v>
      </c>
      <c r="I4430" s="7">
        <f t="shared" si="139"/>
        <v>23.906250000000536</v>
      </c>
    </row>
    <row r="4431" spans="1:9" x14ac:dyDescent="0.2">
      <c r="A4431" t="s">
        <v>4844</v>
      </c>
      <c r="B4431">
        <v>5.1109999999999998</v>
      </c>
      <c r="C4431">
        <v>7.1595000000000006E-2</v>
      </c>
      <c r="D4431">
        <v>279</v>
      </c>
      <c r="E4431" t="s">
        <v>4844</v>
      </c>
      <c r="F4431">
        <v>279</v>
      </c>
      <c r="G4431" s="1">
        <v>45205</v>
      </c>
      <c r="H4431" s="6">
        <f t="shared" si="138"/>
        <v>23.916666666667204</v>
      </c>
      <c r="I4431" s="7">
        <f t="shared" si="139"/>
        <v>23.916666666667204</v>
      </c>
    </row>
    <row r="4432" spans="1:9" x14ac:dyDescent="0.2">
      <c r="A4432" t="s">
        <v>4845</v>
      </c>
      <c r="B4432">
        <v>5.1275000000000004</v>
      </c>
      <c r="C4432">
        <v>7.1834999999999996E-2</v>
      </c>
      <c r="D4432">
        <v>279</v>
      </c>
      <c r="E4432" t="s">
        <v>4845</v>
      </c>
      <c r="F4432">
        <v>279</v>
      </c>
      <c r="G4432" s="1">
        <v>45205</v>
      </c>
      <c r="H4432" s="6">
        <f t="shared" si="138"/>
        <v>23.927083333333872</v>
      </c>
      <c r="I4432" s="7">
        <f t="shared" si="139"/>
        <v>23.927083333333872</v>
      </c>
    </row>
    <row r="4433" spans="1:9" x14ac:dyDescent="0.2">
      <c r="A4433" t="s">
        <v>4846</v>
      </c>
      <c r="B4433">
        <v>5.1795</v>
      </c>
      <c r="C4433">
        <v>7.2539999999999993E-2</v>
      </c>
      <c r="D4433">
        <v>279</v>
      </c>
      <c r="E4433" t="s">
        <v>4846</v>
      </c>
      <c r="F4433">
        <v>279</v>
      </c>
      <c r="G4433" s="1">
        <v>45205</v>
      </c>
      <c r="H4433" s="6">
        <f t="shared" si="138"/>
        <v>23.93750000000054</v>
      </c>
      <c r="I4433" s="7">
        <f t="shared" si="139"/>
        <v>23.93750000000054</v>
      </c>
    </row>
    <row r="4434" spans="1:9" x14ac:dyDescent="0.2">
      <c r="A4434" t="s">
        <v>4847</v>
      </c>
      <c r="B4434">
        <v>5.1429999999999998</v>
      </c>
      <c r="C4434">
        <v>7.2039999999999896E-2</v>
      </c>
      <c r="D4434">
        <v>279</v>
      </c>
      <c r="E4434" t="s">
        <v>4847</v>
      </c>
      <c r="F4434">
        <v>279</v>
      </c>
      <c r="G4434" s="1">
        <v>45205</v>
      </c>
      <c r="H4434" s="6">
        <f t="shared" si="138"/>
        <v>23.947916666667208</v>
      </c>
      <c r="I4434" s="7">
        <f t="shared" si="139"/>
        <v>23.947916666667208</v>
      </c>
    </row>
    <row r="4435" spans="1:9" x14ac:dyDescent="0.2">
      <c r="A4435" t="s">
        <v>4848</v>
      </c>
      <c r="B4435">
        <v>5.1609999999999996</v>
      </c>
      <c r="C4435">
        <v>7.2270000000000001E-2</v>
      </c>
      <c r="D4435">
        <v>279</v>
      </c>
      <c r="E4435" t="s">
        <v>4848</v>
      </c>
      <c r="F4435">
        <v>279</v>
      </c>
      <c r="G4435" s="1">
        <v>45205</v>
      </c>
      <c r="H4435" s="6">
        <f t="shared" si="138"/>
        <v>23.958333333333876</v>
      </c>
      <c r="I4435" s="7">
        <f t="shared" si="139"/>
        <v>23.958333333333876</v>
      </c>
    </row>
    <row r="4436" spans="1:9" x14ac:dyDescent="0.2">
      <c r="A4436" t="s">
        <v>4849</v>
      </c>
      <c r="B4436">
        <v>5.1725000000000003</v>
      </c>
      <c r="C4436">
        <v>7.2434999999999999E-2</v>
      </c>
      <c r="D4436">
        <v>279</v>
      </c>
      <c r="E4436" t="s">
        <v>4849</v>
      </c>
      <c r="F4436">
        <v>279</v>
      </c>
      <c r="G4436" s="1">
        <v>45205</v>
      </c>
      <c r="H4436" s="6">
        <f t="shared" si="138"/>
        <v>23.968750000000544</v>
      </c>
      <c r="I4436" s="7">
        <f t="shared" si="139"/>
        <v>23.968750000000544</v>
      </c>
    </row>
    <row r="4437" spans="1:9" x14ac:dyDescent="0.2">
      <c r="A4437" t="s">
        <v>4850</v>
      </c>
      <c r="B4437">
        <v>5.1580000000000004</v>
      </c>
      <c r="C4437">
        <v>7.2230000000000003E-2</v>
      </c>
      <c r="D4437">
        <v>279</v>
      </c>
      <c r="E4437" t="s">
        <v>4850</v>
      </c>
      <c r="F4437">
        <v>279</v>
      </c>
      <c r="G4437" s="1">
        <v>45205</v>
      </c>
      <c r="H4437" s="6">
        <f t="shared" si="138"/>
        <v>23.979166666667211</v>
      </c>
      <c r="I4437" s="7">
        <f t="shared" si="139"/>
        <v>23.979166666667211</v>
      </c>
    </row>
    <row r="4438" spans="1:9" x14ac:dyDescent="0.2">
      <c r="A4438" t="s">
        <v>4851</v>
      </c>
      <c r="B4438">
        <v>5.1505000000000001</v>
      </c>
      <c r="C4438">
        <v>7.2135000000000005E-2</v>
      </c>
      <c r="D4438">
        <v>279</v>
      </c>
      <c r="E4438" t="s">
        <v>4851</v>
      </c>
      <c r="F4438">
        <v>279</v>
      </c>
      <c r="G4438" s="1">
        <v>45205</v>
      </c>
      <c r="H4438" s="6">
        <f t="shared" si="138"/>
        <v>23.989583333333879</v>
      </c>
      <c r="I4438" s="7">
        <f t="shared" si="139"/>
        <v>23.989583333333879</v>
      </c>
    </row>
    <row r="4439" spans="1:9" x14ac:dyDescent="0.2">
      <c r="A4439" t="s">
        <v>4852</v>
      </c>
      <c r="B4439">
        <v>5.1295000000000002</v>
      </c>
      <c r="C4439">
        <v>7.1845000000000006E-2</v>
      </c>
      <c r="D4439">
        <v>279</v>
      </c>
      <c r="E4439" t="s">
        <v>4852</v>
      </c>
      <c r="F4439">
        <v>279</v>
      </c>
      <c r="G4439" s="1">
        <v>45205</v>
      </c>
      <c r="H4439" s="6">
        <f t="shared" si="138"/>
        <v>24.000000000000547</v>
      </c>
      <c r="I4439" s="7">
        <f t="shared" si="139"/>
        <v>24.000000000000547</v>
      </c>
    </row>
    <row r="4440" spans="1:9" x14ac:dyDescent="0.2">
      <c r="A4440" t="s">
        <v>4853</v>
      </c>
      <c r="B4440" s="2" t="s">
        <v>4854</v>
      </c>
      <c r="C4440">
        <v>7.2700000000000001E-2</v>
      </c>
      <c r="D4440">
        <v>279</v>
      </c>
      <c r="E4440" t="s">
        <v>4853</v>
      </c>
      <c r="F4440">
        <v>279</v>
      </c>
      <c r="G4440" s="1">
        <v>45205</v>
      </c>
      <c r="H4440" s="6">
        <f t="shared" si="138"/>
        <v>24.010416666667215</v>
      </c>
      <c r="I4440" s="7">
        <f t="shared" si="139"/>
        <v>24.010416666667215</v>
      </c>
    </row>
    <row r="4441" spans="1:9" x14ac:dyDescent="0.2">
      <c r="A4441" t="s">
        <v>4855</v>
      </c>
      <c r="B4441">
        <v>5.1105</v>
      </c>
      <c r="C4441">
        <v>7.1609999999999993E-2</v>
      </c>
      <c r="D4441">
        <v>279</v>
      </c>
      <c r="E4441" t="s">
        <v>4855</v>
      </c>
      <c r="F4441">
        <v>279</v>
      </c>
      <c r="G4441" s="1">
        <v>45205</v>
      </c>
      <c r="H4441" s="6">
        <f t="shared" si="138"/>
        <v>24.020833333333883</v>
      </c>
      <c r="I4441" s="7">
        <f t="shared" si="139"/>
        <v>24.020833333333883</v>
      </c>
    </row>
    <row r="4442" spans="1:9" x14ac:dyDescent="0.2">
      <c r="A4442" t="s">
        <v>4856</v>
      </c>
      <c r="B4442">
        <v>5.1414999999999997</v>
      </c>
      <c r="C4442">
        <v>7.2005E-2</v>
      </c>
      <c r="D4442">
        <v>279</v>
      </c>
      <c r="E4442" t="s">
        <v>4856</v>
      </c>
      <c r="F4442">
        <v>279</v>
      </c>
      <c r="G4442" s="1">
        <v>45205</v>
      </c>
      <c r="H4442" s="6">
        <f t="shared" si="138"/>
        <v>24.031250000000551</v>
      </c>
      <c r="I4442" s="7">
        <f t="shared" si="139"/>
        <v>24.031250000000551</v>
      </c>
    </row>
    <row r="4443" spans="1:9" x14ac:dyDescent="0.2">
      <c r="A4443" t="s">
        <v>4857</v>
      </c>
      <c r="B4443">
        <v>5.1529999999999996</v>
      </c>
      <c r="C4443">
        <v>7.2169999999999998E-2</v>
      </c>
      <c r="D4443">
        <v>279</v>
      </c>
      <c r="E4443" t="s">
        <v>4857</v>
      </c>
      <c r="F4443">
        <v>279</v>
      </c>
      <c r="G4443" s="1">
        <v>45205</v>
      </c>
      <c r="H4443" s="6">
        <f t="shared" si="138"/>
        <v>24.041666666667219</v>
      </c>
      <c r="I4443" s="7">
        <f t="shared" si="139"/>
        <v>24.041666666667219</v>
      </c>
    </row>
    <row r="4444" spans="1:9" x14ac:dyDescent="0.2">
      <c r="A4444" t="s">
        <v>4858</v>
      </c>
      <c r="B4444">
        <v>5.23</v>
      </c>
      <c r="C4444">
        <v>7.3260000000000006E-2</v>
      </c>
      <c r="D4444">
        <v>279</v>
      </c>
      <c r="E4444" t="s">
        <v>4858</v>
      </c>
      <c r="F4444">
        <v>279</v>
      </c>
      <c r="G4444" s="1">
        <v>45205</v>
      </c>
      <c r="H4444" s="6">
        <f t="shared" ref="H4444:H4507" si="140">H4443+$K$1</f>
        <v>24.052083333333886</v>
      </c>
      <c r="I4444" s="7">
        <f t="shared" ref="I4444:I4507" si="141">I4443+$K$1</f>
        <v>24.052083333333886</v>
      </c>
    </row>
    <row r="4445" spans="1:9" x14ac:dyDescent="0.2">
      <c r="A4445" t="s">
        <v>4859</v>
      </c>
      <c r="B4445">
        <v>5.149</v>
      </c>
      <c r="C4445">
        <v>7.213E-2</v>
      </c>
      <c r="D4445">
        <v>279</v>
      </c>
      <c r="E4445" t="s">
        <v>4859</v>
      </c>
      <c r="F4445">
        <v>279</v>
      </c>
      <c r="G4445" s="1">
        <v>45205</v>
      </c>
      <c r="H4445" s="6">
        <f t="shared" si="140"/>
        <v>24.062500000000554</v>
      </c>
      <c r="I4445" s="7">
        <f t="shared" si="141"/>
        <v>24.062500000000554</v>
      </c>
    </row>
    <row r="4446" spans="1:9" x14ac:dyDescent="0.2">
      <c r="A4446" t="s">
        <v>4860</v>
      </c>
      <c r="B4446">
        <v>5.1675000000000004</v>
      </c>
      <c r="C4446">
        <v>7.2389999999999996E-2</v>
      </c>
      <c r="D4446">
        <v>279</v>
      </c>
      <c r="E4446" t="s">
        <v>4860</v>
      </c>
      <c r="F4446">
        <v>279</v>
      </c>
      <c r="G4446" s="1">
        <v>45205</v>
      </c>
      <c r="H4446" s="6">
        <f t="shared" si="140"/>
        <v>24.072916666667222</v>
      </c>
      <c r="I4446" s="7">
        <f t="shared" si="141"/>
        <v>24.072916666667222</v>
      </c>
    </row>
    <row r="4447" spans="1:9" x14ac:dyDescent="0.2">
      <c r="A4447" t="s">
        <v>4861</v>
      </c>
      <c r="B4447">
        <v>5.1994999999999996</v>
      </c>
      <c r="C4447">
        <v>7.2819999999999996E-2</v>
      </c>
      <c r="D4447">
        <v>279</v>
      </c>
      <c r="E4447" t="s">
        <v>4861</v>
      </c>
      <c r="F4447">
        <v>279</v>
      </c>
      <c r="G4447" s="1">
        <v>45205</v>
      </c>
      <c r="H4447" s="6">
        <f t="shared" si="140"/>
        <v>24.08333333333389</v>
      </c>
      <c r="I4447" s="7">
        <f t="shared" si="141"/>
        <v>24.08333333333389</v>
      </c>
    </row>
    <row r="4448" spans="1:9" x14ac:dyDescent="0.2">
      <c r="A4448" t="s">
        <v>4862</v>
      </c>
      <c r="B4448">
        <v>5.1449999999999996</v>
      </c>
      <c r="C4448">
        <v>7.2065000000000004E-2</v>
      </c>
      <c r="D4448">
        <v>279</v>
      </c>
      <c r="E4448" t="s">
        <v>4862</v>
      </c>
      <c r="F4448">
        <v>279</v>
      </c>
      <c r="G4448" s="1">
        <v>45205</v>
      </c>
      <c r="H4448" s="6">
        <f t="shared" si="140"/>
        <v>24.093750000000558</v>
      </c>
      <c r="I4448" s="7">
        <f t="shared" si="141"/>
        <v>24.093750000000558</v>
      </c>
    </row>
    <row r="4449" spans="1:9" x14ac:dyDescent="0.2">
      <c r="A4449" t="s">
        <v>4863</v>
      </c>
      <c r="B4449">
        <v>5.181</v>
      </c>
      <c r="C4449">
        <v>7.2550000000000003E-2</v>
      </c>
      <c r="D4449">
        <v>279</v>
      </c>
      <c r="E4449" t="s">
        <v>4863</v>
      </c>
      <c r="F4449">
        <v>279</v>
      </c>
      <c r="G4449" s="1">
        <v>45205</v>
      </c>
      <c r="H4449" s="6">
        <f t="shared" si="140"/>
        <v>24.104166666667226</v>
      </c>
      <c r="I4449" s="7">
        <f t="shared" si="141"/>
        <v>24.104166666667226</v>
      </c>
    </row>
    <row r="4450" spans="1:9" x14ac:dyDescent="0.2">
      <c r="A4450" t="s">
        <v>4864</v>
      </c>
      <c r="B4450">
        <v>5.1284999999999998</v>
      </c>
      <c r="C4450">
        <v>7.1845000000000006E-2</v>
      </c>
      <c r="D4450">
        <v>279</v>
      </c>
      <c r="E4450" t="s">
        <v>4864</v>
      </c>
      <c r="F4450">
        <v>279</v>
      </c>
      <c r="G4450" s="1">
        <v>45205</v>
      </c>
      <c r="H4450" s="6">
        <f t="shared" si="140"/>
        <v>24.114583333333893</v>
      </c>
      <c r="I4450" s="7">
        <f t="shared" si="141"/>
        <v>24.114583333333893</v>
      </c>
    </row>
    <row r="4451" spans="1:9" x14ac:dyDescent="0.2">
      <c r="A4451" t="s">
        <v>4865</v>
      </c>
      <c r="B4451">
        <v>5.1144999999999996</v>
      </c>
      <c r="C4451">
        <v>7.1629999999999999E-2</v>
      </c>
      <c r="D4451">
        <v>279</v>
      </c>
      <c r="E4451" t="s">
        <v>4865</v>
      </c>
      <c r="F4451">
        <v>279</v>
      </c>
      <c r="G4451" s="1">
        <v>45205</v>
      </c>
      <c r="H4451" s="6">
        <f t="shared" si="140"/>
        <v>24.125000000000561</v>
      </c>
      <c r="I4451" s="7">
        <f t="shared" si="141"/>
        <v>24.125000000000561</v>
      </c>
    </row>
    <row r="4452" spans="1:9" x14ac:dyDescent="0.2">
      <c r="A4452" t="s">
        <v>4866</v>
      </c>
      <c r="B4452">
        <v>5.0960000000000001</v>
      </c>
      <c r="C4452">
        <v>7.1389999999999995E-2</v>
      </c>
      <c r="D4452">
        <v>279</v>
      </c>
      <c r="E4452" t="s">
        <v>4866</v>
      </c>
      <c r="F4452">
        <v>279</v>
      </c>
      <c r="G4452" s="1">
        <v>45205</v>
      </c>
      <c r="H4452" s="6">
        <f t="shared" si="140"/>
        <v>24.135416666667229</v>
      </c>
      <c r="I4452" s="7">
        <f t="shared" si="141"/>
        <v>24.135416666667229</v>
      </c>
    </row>
    <row r="4453" spans="1:9" x14ac:dyDescent="0.2">
      <c r="A4453" t="s">
        <v>4867</v>
      </c>
      <c r="B4453">
        <v>5.15</v>
      </c>
      <c r="C4453">
        <v>7.2135000000000005E-2</v>
      </c>
      <c r="D4453">
        <v>279</v>
      </c>
      <c r="E4453" t="s">
        <v>4867</v>
      </c>
      <c r="F4453">
        <v>279</v>
      </c>
      <c r="G4453" s="1">
        <v>45205</v>
      </c>
      <c r="H4453" s="6">
        <f t="shared" si="140"/>
        <v>24.145833333333897</v>
      </c>
      <c r="I4453" s="7">
        <f t="shared" si="141"/>
        <v>24.145833333333897</v>
      </c>
    </row>
    <row r="4454" spans="1:9" x14ac:dyDescent="0.2">
      <c r="A4454" t="s">
        <v>4868</v>
      </c>
      <c r="B4454">
        <v>5.0705</v>
      </c>
      <c r="C4454">
        <v>7.1010000000000004E-2</v>
      </c>
      <c r="D4454">
        <v>279</v>
      </c>
      <c r="E4454" t="s">
        <v>4868</v>
      </c>
      <c r="F4454">
        <v>279</v>
      </c>
      <c r="G4454" s="1">
        <v>45205</v>
      </c>
      <c r="H4454" s="6">
        <f t="shared" si="140"/>
        <v>24.156250000000565</v>
      </c>
      <c r="I4454" s="7">
        <f t="shared" si="141"/>
        <v>24.156250000000565</v>
      </c>
    </row>
    <row r="4455" spans="1:9" x14ac:dyDescent="0.2">
      <c r="A4455" t="s">
        <v>4869</v>
      </c>
      <c r="B4455">
        <v>5.1159999999999997</v>
      </c>
      <c r="C4455">
        <v>7.1650000000000005E-2</v>
      </c>
      <c r="D4455">
        <v>279</v>
      </c>
      <c r="E4455" t="s">
        <v>4869</v>
      </c>
      <c r="F4455">
        <v>279</v>
      </c>
      <c r="G4455" s="1">
        <v>45205</v>
      </c>
      <c r="H4455" s="6">
        <f t="shared" si="140"/>
        <v>24.166666666667233</v>
      </c>
      <c r="I4455" s="7">
        <f t="shared" si="141"/>
        <v>24.166666666667233</v>
      </c>
    </row>
    <row r="4456" spans="1:9" x14ac:dyDescent="0.2">
      <c r="A4456" t="s">
        <v>4870</v>
      </c>
      <c r="B4456">
        <v>5.1310000000000002</v>
      </c>
      <c r="C4456">
        <v>7.1870000000000003E-2</v>
      </c>
      <c r="D4456">
        <v>279</v>
      </c>
      <c r="E4456" t="s">
        <v>4870</v>
      </c>
      <c r="F4456">
        <v>279</v>
      </c>
      <c r="G4456" s="1">
        <v>45205</v>
      </c>
      <c r="H4456" s="6">
        <f t="shared" si="140"/>
        <v>24.177083333333901</v>
      </c>
      <c r="I4456" s="7">
        <f t="shared" si="141"/>
        <v>24.177083333333901</v>
      </c>
    </row>
    <row r="4457" spans="1:9" x14ac:dyDescent="0.2">
      <c r="A4457" t="s">
        <v>4871</v>
      </c>
      <c r="B4457">
        <v>5.0994999999999999</v>
      </c>
      <c r="C4457">
        <v>7.1404999999999996E-2</v>
      </c>
      <c r="D4457">
        <v>279</v>
      </c>
      <c r="E4457" t="s">
        <v>4871</v>
      </c>
      <c r="F4457">
        <v>279</v>
      </c>
      <c r="G4457" s="1">
        <v>45205</v>
      </c>
      <c r="H4457" s="6">
        <f t="shared" si="140"/>
        <v>24.187500000000568</v>
      </c>
      <c r="I4457" s="7">
        <f t="shared" si="141"/>
        <v>24.187500000000568</v>
      </c>
    </row>
    <row r="4458" spans="1:9" x14ac:dyDescent="0.2">
      <c r="A4458" t="s">
        <v>4872</v>
      </c>
      <c r="B4458">
        <v>5.1124999999999998</v>
      </c>
      <c r="C4458">
        <v>7.1609999999999993E-2</v>
      </c>
      <c r="D4458">
        <v>279</v>
      </c>
      <c r="E4458" t="s">
        <v>4872</v>
      </c>
      <c r="F4458">
        <v>279</v>
      </c>
      <c r="G4458" s="1">
        <v>45205</v>
      </c>
      <c r="H4458" s="6">
        <f t="shared" si="140"/>
        <v>24.197916666667236</v>
      </c>
      <c r="I4458" s="7">
        <f t="shared" si="141"/>
        <v>24.197916666667236</v>
      </c>
    </row>
    <row r="4459" spans="1:9" x14ac:dyDescent="0.2">
      <c r="A4459" t="s">
        <v>4873</v>
      </c>
      <c r="B4459">
        <v>5.0339999999999998</v>
      </c>
      <c r="C4459">
        <v>7.0489999999999997E-2</v>
      </c>
      <c r="D4459">
        <v>279</v>
      </c>
      <c r="E4459" t="s">
        <v>4873</v>
      </c>
      <c r="F4459">
        <v>279</v>
      </c>
      <c r="G4459" s="1">
        <v>45205</v>
      </c>
      <c r="H4459" s="6">
        <f t="shared" si="140"/>
        <v>24.208333333333904</v>
      </c>
      <c r="I4459" s="7">
        <f t="shared" si="141"/>
        <v>24.208333333333904</v>
      </c>
    </row>
    <row r="4460" spans="1:9" x14ac:dyDescent="0.2">
      <c r="A4460" t="s">
        <v>4874</v>
      </c>
      <c r="B4460">
        <v>5.0780000000000003</v>
      </c>
      <c r="C4460">
        <v>7.1120000000000003E-2</v>
      </c>
      <c r="D4460">
        <v>279</v>
      </c>
      <c r="E4460" t="s">
        <v>4874</v>
      </c>
      <c r="F4460">
        <v>279</v>
      </c>
      <c r="G4460" s="1">
        <v>45205</v>
      </c>
      <c r="H4460" s="6">
        <f t="shared" si="140"/>
        <v>24.218750000000572</v>
      </c>
      <c r="I4460" s="7">
        <f t="shared" si="141"/>
        <v>24.218750000000572</v>
      </c>
    </row>
    <row r="4461" spans="1:9" x14ac:dyDescent="0.2">
      <c r="A4461" t="s">
        <v>4875</v>
      </c>
      <c r="B4461">
        <v>5.0815000000000001</v>
      </c>
      <c r="C4461">
        <v>7.1169999999999997E-2</v>
      </c>
      <c r="D4461">
        <v>279</v>
      </c>
      <c r="E4461" t="s">
        <v>4875</v>
      </c>
      <c r="F4461">
        <v>279</v>
      </c>
      <c r="G4461" s="1">
        <v>45205</v>
      </c>
      <c r="H4461" s="6">
        <f t="shared" si="140"/>
        <v>24.22916666666724</v>
      </c>
      <c r="I4461" s="7">
        <f t="shared" si="141"/>
        <v>24.22916666666724</v>
      </c>
    </row>
    <row r="4462" spans="1:9" x14ac:dyDescent="0.2">
      <c r="A4462" t="s">
        <v>4876</v>
      </c>
      <c r="B4462">
        <v>5.0454999999999997</v>
      </c>
      <c r="C4462">
        <v>7.0665000000000006E-2</v>
      </c>
      <c r="D4462">
        <v>279</v>
      </c>
      <c r="E4462" t="s">
        <v>4876</v>
      </c>
      <c r="F4462">
        <v>279</v>
      </c>
      <c r="G4462" s="1">
        <v>45205</v>
      </c>
      <c r="H4462" s="6">
        <f t="shared" si="140"/>
        <v>24.239583333333908</v>
      </c>
      <c r="I4462" s="7">
        <f t="shared" si="141"/>
        <v>24.239583333333908</v>
      </c>
    </row>
    <row r="4463" spans="1:9" x14ac:dyDescent="0.2">
      <c r="A4463" t="s">
        <v>4877</v>
      </c>
      <c r="B4463">
        <v>5.048</v>
      </c>
      <c r="C4463">
        <v>7.0709999999999995E-2</v>
      </c>
      <c r="D4463">
        <v>279</v>
      </c>
      <c r="E4463" t="s">
        <v>4877</v>
      </c>
      <c r="F4463">
        <v>279</v>
      </c>
      <c r="G4463" s="1">
        <v>45205</v>
      </c>
      <c r="H4463" s="6">
        <f t="shared" si="140"/>
        <v>24.250000000000576</v>
      </c>
      <c r="I4463" s="7">
        <f t="shared" si="141"/>
        <v>24.250000000000576</v>
      </c>
    </row>
    <row r="4464" spans="1:9" x14ac:dyDescent="0.2">
      <c r="A4464" t="s">
        <v>4878</v>
      </c>
      <c r="B4464">
        <v>4.9995000000000003</v>
      </c>
      <c r="C4464">
        <v>7.0035E-2</v>
      </c>
      <c r="D4464">
        <v>279</v>
      </c>
      <c r="E4464" t="s">
        <v>4878</v>
      </c>
      <c r="F4464">
        <v>279</v>
      </c>
      <c r="G4464" s="1">
        <v>45205</v>
      </c>
      <c r="H4464" s="6">
        <f t="shared" si="140"/>
        <v>24.260416666667243</v>
      </c>
      <c r="I4464" s="7">
        <f t="shared" si="141"/>
        <v>24.260416666667243</v>
      </c>
    </row>
    <row r="4465" spans="1:9" x14ac:dyDescent="0.2">
      <c r="A4465" t="s">
        <v>4879</v>
      </c>
      <c r="B4465">
        <v>4.915</v>
      </c>
      <c r="C4465">
        <v>6.8845000000000003E-2</v>
      </c>
      <c r="D4465">
        <v>279</v>
      </c>
      <c r="E4465" t="s">
        <v>4879</v>
      </c>
      <c r="F4465">
        <v>279</v>
      </c>
      <c r="G4465" s="1">
        <v>45205</v>
      </c>
      <c r="H4465" s="6">
        <f t="shared" si="140"/>
        <v>24.270833333333911</v>
      </c>
      <c r="I4465" s="7">
        <f t="shared" si="141"/>
        <v>24.270833333333911</v>
      </c>
    </row>
    <row r="4466" spans="1:9" x14ac:dyDescent="0.2">
      <c r="A4466" t="s">
        <v>4880</v>
      </c>
      <c r="B4466">
        <v>4.9175000000000004</v>
      </c>
      <c r="C4466">
        <v>6.8885000000000002E-2</v>
      </c>
      <c r="D4466">
        <v>279</v>
      </c>
      <c r="E4466" t="s">
        <v>4880</v>
      </c>
      <c r="F4466">
        <v>279</v>
      </c>
      <c r="G4466" s="1">
        <v>45205</v>
      </c>
      <c r="H4466" s="6">
        <f t="shared" si="140"/>
        <v>24.281250000000579</v>
      </c>
      <c r="I4466" s="7">
        <f t="shared" si="141"/>
        <v>24.281250000000579</v>
      </c>
    </row>
    <row r="4467" spans="1:9" x14ac:dyDescent="0.2">
      <c r="A4467" t="s">
        <v>4881</v>
      </c>
      <c r="B4467">
        <v>4.8555000000000001</v>
      </c>
      <c r="C4467">
        <v>6.8019999999999997E-2</v>
      </c>
      <c r="D4467">
        <v>279</v>
      </c>
      <c r="E4467" t="s">
        <v>4881</v>
      </c>
      <c r="F4467">
        <v>279</v>
      </c>
      <c r="G4467" s="1">
        <v>45205</v>
      </c>
      <c r="H4467" s="6">
        <f t="shared" si="140"/>
        <v>24.291666666667247</v>
      </c>
      <c r="I4467" s="7">
        <f t="shared" si="141"/>
        <v>24.291666666667247</v>
      </c>
    </row>
    <row r="4468" spans="1:9" x14ac:dyDescent="0.2">
      <c r="A4468" t="s">
        <v>4882</v>
      </c>
      <c r="B4468">
        <v>4.8170000000000002</v>
      </c>
      <c r="C4468">
        <v>6.7485000000000003E-2</v>
      </c>
      <c r="D4468">
        <v>279</v>
      </c>
      <c r="E4468" t="s">
        <v>4882</v>
      </c>
      <c r="F4468">
        <v>279</v>
      </c>
      <c r="G4468" s="1">
        <v>45205</v>
      </c>
      <c r="H4468" s="6">
        <f t="shared" si="140"/>
        <v>24.302083333333915</v>
      </c>
      <c r="I4468" s="7">
        <f t="shared" si="141"/>
        <v>24.302083333333915</v>
      </c>
    </row>
    <row r="4469" spans="1:9" x14ac:dyDescent="0.2">
      <c r="A4469" t="s">
        <v>4883</v>
      </c>
      <c r="B4469">
        <v>4.7050000000000001</v>
      </c>
      <c r="C4469">
        <v>6.5894999999999995E-2</v>
      </c>
      <c r="D4469">
        <v>279</v>
      </c>
      <c r="E4469" t="s">
        <v>4883</v>
      </c>
      <c r="F4469">
        <v>279</v>
      </c>
      <c r="G4469" s="1">
        <v>45205</v>
      </c>
      <c r="H4469" s="6">
        <f t="shared" si="140"/>
        <v>24.312500000000583</v>
      </c>
      <c r="I4469" s="7">
        <f t="shared" si="141"/>
        <v>24.312500000000583</v>
      </c>
    </row>
    <row r="4470" spans="1:9" x14ac:dyDescent="0.2">
      <c r="A4470" t="s">
        <v>4884</v>
      </c>
      <c r="B4470">
        <v>4.7359999999999998</v>
      </c>
      <c r="C4470">
        <v>6.6345000000000001E-2</v>
      </c>
      <c r="D4470">
        <v>279</v>
      </c>
      <c r="E4470" t="s">
        <v>4884</v>
      </c>
      <c r="F4470">
        <v>279</v>
      </c>
      <c r="G4470" s="1">
        <v>45205</v>
      </c>
      <c r="H4470" s="6">
        <f t="shared" si="140"/>
        <v>24.32291666666725</v>
      </c>
      <c r="I4470" s="7">
        <f t="shared" si="141"/>
        <v>24.32291666666725</v>
      </c>
    </row>
    <row r="4471" spans="1:9" x14ac:dyDescent="0.2">
      <c r="A4471" t="s">
        <v>4885</v>
      </c>
      <c r="B4471">
        <v>4.6840000000000002</v>
      </c>
      <c r="C4471">
        <v>6.5619999999999998E-2</v>
      </c>
      <c r="D4471">
        <v>279</v>
      </c>
      <c r="E4471" t="s">
        <v>4885</v>
      </c>
      <c r="F4471">
        <v>279</v>
      </c>
      <c r="G4471" s="1">
        <v>45205</v>
      </c>
      <c r="H4471" s="6">
        <f t="shared" si="140"/>
        <v>24.333333333333918</v>
      </c>
      <c r="I4471" s="7">
        <f t="shared" si="141"/>
        <v>24.333333333333918</v>
      </c>
    </row>
    <row r="4472" spans="1:9" x14ac:dyDescent="0.2">
      <c r="A4472" t="s">
        <v>4886</v>
      </c>
      <c r="B4472">
        <v>4.6745000000000001</v>
      </c>
      <c r="C4472">
        <v>6.5475000000000005E-2</v>
      </c>
      <c r="D4472">
        <v>279</v>
      </c>
      <c r="E4472" t="s">
        <v>4886</v>
      </c>
      <c r="F4472">
        <v>279</v>
      </c>
      <c r="G4472" s="1">
        <v>45205</v>
      </c>
      <c r="H4472" s="6">
        <f t="shared" si="140"/>
        <v>24.343750000000586</v>
      </c>
      <c r="I4472" s="7">
        <f t="shared" si="141"/>
        <v>24.343750000000586</v>
      </c>
    </row>
    <row r="4473" spans="1:9" x14ac:dyDescent="0.2">
      <c r="A4473" t="s">
        <v>4887</v>
      </c>
      <c r="B4473">
        <v>4.6195000000000004</v>
      </c>
      <c r="C4473">
        <v>6.4699999999999994E-2</v>
      </c>
      <c r="D4473">
        <v>279</v>
      </c>
      <c r="E4473" t="s">
        <v>4887</v>
      </c>
      <c r="F4473">
        <v>279</v>
      </c>
      <c r="G4473" s="1">
        <v>45205</v>
      </c>
      <c r="H4473" s="6">
        <f t="shared" si="140"/>
        <v>24.354166666667254</v>
      </c>
      <c r="I4473" s="7">
        <f t="shared" si="141"/>
        <v>24.354166666667254</v>
      </c>
    </row>
    <row r="4474" spans="1:9" x14ac:dyDescent="0.2">
      <c r="A4474" t="s">
        <v>4888</v>
      </c>
      <c r="B4474">
        <v>4.5655000000000001</v>
      </c>
      <c r="C4474">
        <v>6.3945000000000002E-2</v>
      </c>
      <c r="D4474">
        <v>279</v>
      </c>
      <c r="E4474" t="s">
        <v>4888</v>
      </c>
      <c r="F4474">
        <v>279</v>
      </c>
      <c r="G4474" s="1">
        <v>45205</v>
      </c>
      <c r="H4474" s="6">
        <f t="shared" si="140"/>
        <v>24.364583333333922</v>
      </c>
      <c r="I4474" s="7">
        <f t="shared" si="141"/>
        <v>24.364583333333922</v>
      </c>
    </row>
    <row r="4475" spans="1:9" x14ac:dyDescent="0.2">
      <c r="A4475" t="s">
        <v>4889</v>
      </c>
      <c r="B4475">
        <v>4.5715000000000003</v>
      </c>
      <c r="C4475">
        <v>6.404E-2</v>
      </c>
      <c r="D4475">
        <v>279</v>
      </c>
      <c r="E4475" t="s">
        <v>4889</v>
      </c>
      <c r="F4475">
        <v>279</v>
      </c>
      <c r="G4475" s="1">
        <v>45205</v>
      </c>
      <c r="H4475" s="6">
        <f t="shared" si="140"/>
        <v>24.37500000000059</v>
      </c>
      <c r="I4475" s="7">
        <f t="shared" si="141"/>
        <v>24.37500000000059</v>
      </c>
    </row>
    <row r="4476" spans="1:9" x14ac:dyDescent="0.2">
      <c r="A4476" t="s">
        <v>4890</v>
      </c>
      <c r="B4476">
        <v>4.55</v>
      </c>
      <c r="C4476">
        <v>6.3740000000000005E-2</v>
      </c>
      <c r="D4476">
        <v>279</v>
      </c>
      <c r="E4476" t="s">
        <v>4890</v>
      </c>
      <c r="F4476">
        <v>279</v>
      </c>
      <c r="G4476" s="1">
        <v>45205</v>
      </c>
      <c r="H4476" s="6">
        <f t="shared" si="140"/>
        <v>24.385416666667258</v>
      </c>
      <c r="I4476" s="7">
        <f t="shared" si="141"/>
        <v>24.385416666667258</v>
      </c>
    </row>
    <row r="4477" spans="1:9" x14ac:dyDescent="0.2">
      <c r="A4477" t="s">
        <v>4891</v>
      </c>
      <c r="B4477">
        <v>4.609</v>
      </c>
      <c r="C4477">
        <v>6.4549999999999996E-2</v>
      </c>
      <c r="D4477">
        <v>279</v>
      </c>
      <c r="E4477" t="s">
        <v>4891</v>
      </c>
      <c r="F4477">
        <v>279</v>
      </c>
      <c r="G4477" s="1">
        <v>45205</v>
      </c>
      <c r="H4477" s="6">
        <f t="shared" si="140"/>
        <v>24.395833333333925</v>
      </c>
      <c r="I4477" s="7">
        <f t="shared" si="141"/>
        <v>24.395833333333925</v>
      </c>
    </row>
    <row r="4478" spans="1:9" x14ac:dyDescent="0.2">
      <c r="A4478" t="s">
        <v>4892</v>
      </c>
      <c r="B4478">
        <v>4.5754999999999999</v>
      </c>
      <c r="C4478">
        <v>6.4085000000000003E-2</v>
      </c>
      <c r="D4478">
        <v>279</v>
      </c>
      <c r="E4478" t="s">
        <v>4892</v>
      </c>
      <c r="F4478">
        <v>279</v>
      </c>
      <c r="G4478" s="1">
        <v>45205</v>
      </c>
      <c r="H4478" s="6">
        <f t="shared" si="140"/>
        <v>24.406250000000593</v>
      </c>
      <c r="I4478" s="7">
        <f t="shared" si="141"/>
        <v>24.406250000000593</v>
      </c>
    </row>
    <row r="4479" spans="1:9" x14ac:dyDescent="0.2">
      <c r="A4479" t="s">
        <v>4893</v>
      </c>
      <c r="B4479" s="2" t="s">
        <v>4894</v>
      </c>
      <c r="C4479">
        <v>6.4485000000000001E-2</v>
      </c>
      <c r="D4479">
        <v>279</v>
      </c>
      <c r="E4479" t="s">
        <v>4893</v>
      </c>
      <c r="F4479">
        <v>279</v>
      </c>
      <c r="G4479" s="1">
        <v>45205</v>
      </c>
      <c r="H4479" s="6">
        <f t="shared" si="140"/>
        <v>24.416666666667261</v>
      </c>
      <c r="I4479" s="7">
        <f t="shared" si="141"/>
        <v>24.416666666667261</v>
      </c>
    </row>
    <row r="4480" spans="1:9" x14ac:dyDescent="0.2">
      <c r="A4480" t="s">
        <v>4895</v>
      </c>
      <c r="B4480">
        <v>4.5519999999999996</v>
      </c>
      <c r="C4480">
        <v>6.3750000000000001E-2</v>
      </c>
      <c r="D4480">
        <v>279</v>
      </c>
      <c r="E4480" t="s">
        <v>4895</v>
      </c>
      <c r="F4480">
        <v>279</v>
      </c>
      <c r="G4480" s="1">
        <v>45205</v>
      </c>
      <c r="H4480" s="6">
        <f t="shared" si="140"/>
        <v>24.427083333333929</v>
      </c>
      <c r="I4480" s="7">
        <f t="shared" si="141"/>
        <v>24.427083333333929</v>
      </c>
    </row>
    <row r="4481" spans="1:9" x14ac:dyDescent="0.2">
      <c r="A4481" t="s">
        <v>4896</v>
      </c>
      <c r="B4481">
        <v>4.548</v>
      </c>
      <c r="C4481">
        <v>6.3700000000000007E-2</v>
      </c>
      <c r="D4481">
        <v>279</v>
      </c>
      <c r="E4481" t="s">
        <v>4896</v>
      </c>
      <c r="F4481">
        <v>279</v>
      </c>
      <c r="G4481" s="1">
        <v>45205</v>
      </c>
      <c r="H4481" s="6">
        <f t="shared" si="140"/>
        <v>24.437500000000597</v>
      </c>
      <c r="I4481" s="7">
        <f t="shared" si="141"/>
        <v>24.437500000000597</v>
      </c>
    </row>
    <row r="4482" spans="1:9" x14ac:dyDescent="0.2">
      <c r="A4482" t="s">
        <v>4897</v>
      </c>
      <c r="B4482" s="2" t="s">
        <v>4898</v>
      </c>
      <c r="C4482">
        <v>6.3949999999999896E-2</v>
      </c>
      <c r="D4482">
        <v>279</v>
      </c>
      <c r="E4482" t="s">
        <v>4897</v>
      </c>
      <c r="F4482">
        <v>279</v>
      </c>
      <c r="G4482" s="1">
        <v>45205</v>
      </c>
      <c r="H4482" s="6">
        <f t="shared" si="140"/>
        <v>24.447916666667265</v>
      </c>
      <c r="I4482" s="7">
        <f t="shared" si="141"/>
        <v>24.447916666667265</v>
      </c>
    </row>
    <row r="4483" spans="1:9" x14ac:dyDescent="0.2">
      <c r="A4483" t="s">
        <v>4899</v>
      </c>
      <c r="B4483">
        <v>4.5460000000000003</v>
      </c>
      <c r="C4483">
        <v>6.3670000000000004E-2</v>
      </c>
      <c r="D4483">
        <v>279</v>
      </c>
      <c r="E4483" t="s">
        <v>4899</v>
      </c>
      <c r="F4483">
        <v>279</v>
      </c>
      <c r="G4483" s="1">
        <v>45205</v>
      </c>
      <c r="H4483" s="6">
        <f t="shared" si="140"/>
        <v>24.458333333333933</v>
      </c>
      <c r="I4483" s="7">
        <f t="shared" si="141"/>
        <v>24.458333333333933</v>
      </c>
    </row>
    <row r="4484" spans="1:9" x14ac:dyDescent="0.2">
      <c r="A4484" t="s">
        <v>4900</v>
      </c>
      <c r="B4484">
        <v>4.5469999999999997</v>
      </c>
      <c r="C4484">
        <v>6.3700000000000007E-2</v>
      </c>
      <c r="D4484">
        <v>279</v>
      </c>
      <c r="E4484" t="s">
        <v>4900</v>
      </c>
      <c r="F4484">
        <v>279</v>
      </c>
      <c r="G4484" s="1">
        <v>45205</v>
      </c>
      <c r="H4484" s="6">
        <f t="shared" si="140"/>
        <v>24.4687500000006</v>
      </c>
      <c r="I4484" s="7">
        <f t="shared" si="141"/>
        <v>24.4687500000006</v>
      </c>
    </row>
    <row r="4485" spans="1:9" x14ac:dyDescent="0.2">
      <c r="A4485" t="s">
        <v>4901</v>
      </c>
      <c r="B4485">
        <v>4.5430000000000001</v>
      </c>
      <c r="C4485">
        <v>6.3640000000000002E-2</v>
      </c>
      <c r="D4485">
        <v>279</v>
      </c>
      <c r="E4485" t="s">
        <v>4901</v>
      </c>
      <c r="F4485">
        <v>279</v>
      </c>
      <c r="G4485" s="1">
        <v>45205</v>
      </c>
      <c r="H4485" s="6">
        <f t="shared" si="140"/>
        <v>24.479166666667268</v>
      </c>
      <c r="I4485" s="7">
        <f t="shared" si="141"/>
        <v>24.479166666667268</v>
      </c>
    </row>
    <row r="4486" spans="1:9" x14ac:dyDescent="0.2">
      <c r="A4486" t="s">
        <v>4902</v>
      </c>
      <c r="B4486">
        <v>4.5129999999999999</v>
      </c>
      <c r="C4486">
        <v>6.3225000000000003E-2</v>
      </c>
      <c r="D4486">
        <v>279</v>
      </c>
      <c r="E4486" t="s">
        <v>4902</v>
      </c>
      <c r="F4486">
        <v>279</v>
      </c>
      <c r="G4486" s="1">
        <v>45205</v>
      </c>
      <c r="H4486" s="6">
        <f t="shared" si="140"/>
        <v>24.489583333333936</v>
      </c>
      <c r="I4486" s="7">
        <f t="shared" si="141"/>
        <v>24.489583333333936</v>
      </c>
    </row>
    <row r="4487" spans="1:9" x14ac:dyDescent="0.2">
      <c r="A4487" t="s">
        <v>4903</v>
      </c>
      <c r="B4487">
        <v>4.5214999999999996</v>
      </c>
      <c r="C4487">
        <v>6.3329999999999997E-2</v>
      </c>
      <c r="D4487">
        <v>279</v>
      </c>
      <c r="E4487" t="s">
        <v>4903</v>
      </c>
      <c r="F4487">
        <v>279</v>
      </c>
      <c r="G4487" s="1">
        <v>45205</v>
      </c>
      <c r="H4487" s="6">
        <f t="shared" si="140"/>
        <v>24.500000000000604</v>
      </c>
      <c r="I4487" s="7">
        <f t="shared" si="141"/>
        <v>24.500000000000604</v>
      </c>
    </row>
    <row r="4488" spans="1:9" x14ac:dyDescent="0.2">
      <c r="A4488" t="s">
        <v>4904</v>
      </c>
      <c r="B4488">
        <v>4.4980000000000002</v>
      </c>
      <c r="C4488">
        <v>6.2990000000000004E-2</v>
      </c>
      <c r="D4488">
        <v>279</v>
      </c>
      <c r="E4488" t="s">
        <v>4904</v>
      </c>
      <c r="F4488">
        <v>279</v>
      </c>
      <c r="G4488" s="1">
        <v>45205</v>
      </c>
      <c r="H4488" s="6">
        <f t="shared" si="140"/>
        <v>24.510416666667272</v>
      </c>
      <c r="I4488" s="7">
        <f t="shared" si="141"/>
        <v>24.510416666667272</v>
      </c>
    </row>
    <row r="4489" spans="1:9" x14ac:dyDescent="0.2">
      <c r="A4489" t="s">
        <v>4905</v>
      </c>
      <c r="B4489">
        <v>4.4930000000000003</v>
      </c>
      <c r="C4489">
        <v>6.2905000000000003E-2</v>
      </c>
      <c r="D4489">
        <v>279</v>
      </c>
      <c r="E4489" t="s">
        <v>4905</v>
      </c>
      <c r="F4489">
        <v>279</v>
      </c>
      <c r="G4489" s="1">
        <v>45205</v>
      </c>
      <c r="H4489" s="6">
        <f t="shared" si="140"/>
        <v>24.52083333333394</v>
      </c>
      <c r="I4489" s="7">
        <f t="shared" si="141"/>
        <v>24.52083333333394</v>
      </c>
    </row>
    <row r="4490" spans="1:9" x14ac:dyDescent="0.2">
      <c r="A4490" t="s">
        <v>4906</v>
      </c>
      <c r="B4490">
        <v>4.4749999999999996</v>
      </c>
      <c r="C4490">
        <v>6.2670000000000003E-2</v>
      </c>
      <c r="D4490">
        <v>279</v>
      </c>
      <c r="E4490" t="s">
        <v>4906</v>
      </c>
      <c r="F4490">
        <v>279</v>
      </c>
      <c r="G4490" s="1">
        <v>45205</v>
      </c>
      <c r="H4490" s="6">
        <f t="shared" si="140"/>
        <v>24.531250000000608</v>
      </c>
      <c r="I4490" s="7">
        <f t="shared" si="141"/>
        <v>24.531250000000608</v>
      </c>
    </row>
    <row r="4491" spans="1:9" x14ac:dyDescent="0.2">
      <c r="A4491" t="s">
        <v>4907</v>
      </c>
      <c r="B4491">
        <v>4.7839999999999998</v>
      </c>
      <c r="C4491">
        <v>6.701E-2</v>
      </c>
      <c r="D4491">
        <v>279</v>
      </c>
      <c r="E4491" t="s">
        <v>4907</v>
      </c>
      <c r="F4491">
        <v>279</v>
      </c>
      <c r="G4491" s="1">
        <v>45205</v>
      </c>
      <c r="H4491" s="6">
        <f t="shared" si="140"/>
        <v>24.541666666667275</v>
      </c>
      <c r="I4491" s="7">
        <f t="shared" si="141"/>
        <v>24.541666666667275</v>
      </c>
    </row>
    <row r="4492" spans="1:9" x14ac:dyDescent="0.2">
      <c r="A4492" t="s">
        <v>4908</v>
      </c>
      <c r="B4492">
        <v>4.7590000000000003</v>
      </c>
      <c r="C4492">
        <v>6.6659999999999997E-2</v>
      </c>
      <c r="D4492">
        <v>279</v>
      </c>
      <c r="E4492" t="s">
        <v>4908</v>
      </c>
      <c r="F4492">
        <v>279</v>
      </c>
      <c r="G4492" s="1">
        <v>45205</v>
      </c>
      <c r="H4492" s="6">
        <f t="shared" si="140"/>
        <v>24.552083333333943</v>
      </c>
      <c r="I4492" s="7">
        <f t="shared" si="141"/>
        <v>24.552083333333943</v>
      </c>
    </row>
    <row r="4493" spans="1:9" x14ac:dyDescent="0.2">
      <c r="A4493" t="s">
        <v>4909</v>
      </c>
      <c r="B4493">
        <v>4.8360000000000003</v>
      </c>
      <c r="C4493">
        <v>6.7724999999999994E-2</v>
      </c>
      <c r="D4493">
        <v>279</v>
      </c>
      <c r="E4493" t="s">
        <v>4909</v>
      </c>
      <c r="F4493">
        <v>279</v>
      </c>
      <c r="G4493" s="1">
        <v>45205</v>
      </c>
      <c r="H4493" s="6">
        <f t="shared" si="140"/>
        <v>24.562500000000611</v>
      </c>
      <c r="I4493" s="7">
        <f t="shared" si="141"/>
        <v>24.562500000000611</v>
      </c>
    </row>
    <row r="4494" spans="1:9" x14ac:dyDescent="0.2">
      <c r="A4494" t="s">
        <v>4910</v>
      </c>
      <c r="B4494">
        <v>4.8535000000000004</v>
      </c>
      <c r="C4494">
        <v>6.7970000000000003E-2</v>
      </c>
      <c r="D4494">
        <v>279</v>
      </c>
      <c r="E4494" t="s">
        <v>4910</v>
      </c>
      <c r="F4494">
        <v>279</v>
      </c>
      <c r="G4494" s="1">
        <v>45205</v>
      </c>
      <c r="H4494" s="6">
        <f t="shared" si="140"/>
        <v>24.572916666667279</v>
      </c>
      <c r="I4494" s="7">
        <f t="shared" si="141"/>
        <v>24.572916666667279</v>
      </c>
    </row>
    <row r="4495" spans="1:9" x14ac:dyDescent="0.2">
      <c r="A4495" t="s">
        <v>4911</v>
      </c>
      <c r="B4495">
        <v>4.8810000000000002</v>
      </c>
      <c r="C4495">
        <v>6.8354999999999999E-2</v>
      </c>
      <c r="D4495">
        <v>279</v>
      </c>
      <c r="E4495" t="s">
        <v>4911</v>
      </c>
      <c r="F4495">
        <v>279</v>
      </c>
      <c r="G4495" s="1">
        <v>45205</v>
      </c>
      <c r="H4495" s="6">
        <f t="shared" si="140"/>
        <v>24.583333333333947</v>
      </c>
      <c r="I4495" s="7">
        <f t="shared" si="141"/>
        <v>24.583333333333947</v>
      </c>
    </row>
    <row r="4496" spans="1:9" x14ac:dyDescent="0.2">
      <c r="A4496" t="s">
        <v>4912</v>
      </c>
      <c r="B4496">
        <v>4.8745000000000003</v>
      </c>
      <c r="C4496">
        <v>6.8279999999999993E-2</v>
      </c>
      <c r="D4496">
        <v>279</v>
      </c>
      <c r="E4496" t="s">
        <v>4912</v>
      </c>
      <c r="F4496">
        <v>279</v>
      </c>
      <c r="G4496" s="1">
        <v>45205</v>
      </c>
      <c r="H4496" s="6">
        <f t="shared" si="140"/>
        <v>24.593750000000615</v>
      </c>
      <c r="I4496" s="7">
        <f t="shared" si="141"/>
        <v>24.593750000000615</v>
      </c>
    </row>
    <row r="4497" spans="1:9" x14ac:dyDescent="0.2">
      <c r="A4497" t="s">
        <v>4913</v>
      </c>
      <c r="B4497">
        <v>4.8795000000000002</v>
      </c>
      <c r="C4497">
        <v>6.8349999999999994E-2</v>
      </c>
      <c r="D4497">
        <v>280</v>
      </c>
      <c r="E4497" t="s">
        <v>4913</v>
      </c>
      <c r="F4497">
        <v>279</v>
      </c>
      <c r="G4497" s="1">
        <v>45205</v>
      </c>
      <c r="H4497" s="6">
        <f t="shared" si="140"/>
        <v>24.604166666667282</v>
      </c>
      <c r="I4497" s="7">
        <f t="shared" si="141"/>
        <v>24.604166666667282</v>
      </c>
    </row>
    <row r="4498" spans="1:9" x14ac:dyDescent="0.2">
      <c r="A4498" t="s">
        <v>4914</v>
      </c>
      <c r="B4498">
        <v>4.8815</v>
      </c>
      <c r="C4498">
        <v>6.837E-2</v>
      </c>
      <c r="D4498">
        <v>280</v>
      </c>
      <c r="E4498" t="s">
        <v>4914</v>
      </c>
      <c r="F4498">
        <v>279</v>
      </c>
      <c r="G4498" s="1">
        <v>45205</v>
      </c>
      <c r="H4498" s="6">
        <f t="shared" si="140"/>
        <v>24.61458333333395</v>
      </c>
      <c r="I4498" s="7">
        <f t="shared" si="141"/>
        <v>24.61458333333395</v>
      </c>
    </row>
    <row r="4499" spans="1:9" x14ac:dyDescent="0.2">
      <c r="A4499" t="s">
        <v>4915</v>
      </c>
      <c r="B4499">
        <v>4.8834999999999997</v>
      </c>
      <c r="C4499">
        <v>6.8385000000000001E-2</v>
      </c>
      <c r="D4499">
        <v>280</v>
      </c>
      <c r="E4499" t="s">
        <v>4915</v>
      </c>
      <c r="F4499">
        <v>279</v>
      </c>
      <c r="G4499" s="1">
        <v>45205</v>
      </c>
      <c r="H4499" s="6">
        <f t="shared" si="140"/>
        <v>24.625000000000618</v>
      </c>
      <c r="I4499" s="7">
        <f t="shared" si="141"/>
        <v>24.625000000000618</v>
      </c>
    </row>
    <row r="4500" spans="1:9" x14ac:dyDescent="0.2">
      <c r="A4500" t="s">
        <v>4916</v>
      </c>
      <c r="B4500">
        <v>4.8654999999999999</v>
      </c>
      <c r="C4500">
        <v>6.8140000000000006E-2</v>
      </c>
      <c r="D4500">
        <v>280</v>
      </c>
      <c r="E4500" t="s">
        <v>4916</v>
      </c>
      <c r="F4500">
        <v>279</v>
      </c>
      <c r="G4500" s="1">
        <v>45205</v>
      </c>
      <c r="H4500" s="6">
        <f t="shared" si="140"/>
        <v>24.635416666667286</v>
      </c>
      <c r="I4500" s="7">
        <f t="shared" si="141"/>
        <v>24.635416666667286</v>
      </c>
    </row>
    <row r="4501" spans="1:9" x14ac:dyDescent="0.2">
      <c r="A4501" t="s">
        <v>4917</v>
      </c>
      <c r="B4501">
        <v>4.9005000000000001</v>
      </c>
      <c r="C4501">
        <v>6.8635000000000002E-2</v>
      </c>
      <c r="D4501">
        <v>280</v>
      </c>
      <c r="E4501" t="s">
        <v>4917</v>
      </c>
      <c r="F4501">
        <v>279</v>
      </c>
      <c r="G4501" s="1">
        <v>45205</v>
      </c>
      <c r="H4501" s="6">
        <f t="shared" si="140"/>
        <v>24.645833333333954</v>
      </c>
      <c r="I4501" s="7">
        <f t="shared" si="141"/>
        <v>24.645833333333954</v>
      </c>
    </row>
    <row r="4502" spans="1:9" x14ac:dyDescent="0.2">
      <c r="A4502" t="s">
        <v>4918</v>
      </c>
      <c r="B4502">
        <v>4.891</v>
      </c>
      <c r="C4502">
        <v>6.8515000000000006E-2</v>
      </c>
      <c r="D4502">
        <v>280</v>
      </c>
      <c r="E4502" t="s">
        <v>4918</v>
      </c>
      <c r="F4502">
        <v>279</v>
      </c>
      <c r="G4502" s="1">
        <v>45205</v>
      </c>
      <c r="H4502" s="6">
        <f t="shared" si="140"/>
        <v>24.656250000000622</v>
      </c>
      <c r="I4502" s="7">
        <f t="shared" si="141"/>
        <v>24.656250000000622</v>
      </c>
    </row>
    <row r="4503" spans="1:9" x14ac:dyDescent="0.2">
      <c r="A4503" t="s">
        <v>4919</v>
      </c>
      <c r="B4503">
        <v>4.8845000000000001</v>
      </c>
      <c r="C4503">
        <v>6.8415000000000004E-2</v>
      </c>
      <c r="D4503">
        <v>280</v>
      </c>
      <c r="E4503" t="s">
        <v>4919</v>
      </c>
      <c r="F4503">
        <v>279</v>
      </c>
      <c r="G4503" s="1">
        <v>45205</v>
      </c>
      <c r="H4503" s="6">
        <f t="shared" si="140"/>
        <v>24.66666666666729</v>
      </c>
      <c r="I4503" s="7">
        <f t="shared" si="141"/>
        <v>24.66666666666729</v>
      </c>
    </row>
    <row r="4504" spans="1:9" x14ac:dyDescent="0.2">
      <c r="A4504" t="s">
        <v>4920</v>
      </c>
      <c r="B4504">
        <v>4.9264999999999999</v>
      </c>
      <c r="C4504">
        <v>6.9010000000000002E-2</v>
      </c>
      <c r="D4504">
        <v>280</v>
      </c>
      <c r="E4504" t="s">
        <v>4920</v>
      </c>
      <c r="F4504">
        <v>279</v>
      </c>
      <c r="G4504" s="1">
        <v>45205</v>
      </c>
      <c r="H4504" s="6">
        <f t="shared" si="140"/>
        <v>24.677083333333957</v>
      </c>
      <c r="I4504" s="7">
        <f t="shared" si="141"/>
        <v>24.677083333333957</v>
      </c>
    </row>
    <row r="4505" spans="1:9" x14ac:dyDescent="0.2">
      <c r="A4505" t="s">
        <v>4921</v>
      </c>
      <c r="B4505">
        <v>4.9489999999999998</v>
      </c>
      <c r="C4505">
        <v>6.9319999999999896E-2</v>
      </c>
      <c r="D4505">
        <v>280</v>
      </c>
      <c r="E4505" t="s">
        <v>4921</v>
      </c>
      <c r="F4505">
        <v>279</v>
      </c>
      <c r="G4505" s="1">
        <v>45205</v>
      </c>
      <c r="H4505" s="6">
        <f t="shared" si="140"/>
        <v>24.687500000000625</v>
      </c>
      <c r="I4505" s="7">
        <f t="shared" si="141"/>
        <v>24.687500000000625</v>
      </c>
    </row>
    <row r="4506" spans="1:9" x14ac:dyDescent="0.2">
      <c r="A4506" t="s">
        <v>4922</v>
      </c>
      <c r="B4506">
        <v>4.9625000000000004</v>
      </c>
      <c r="C4506">
        <v>6.9514999999999993E-2</v>
      </c>
      <c r="D4506">
        <v>280</v>
      </c>
      <c r="E4506" t="s">
        <v>4922</v>
      </c>
      <c r="F4506">
        <v>279</v>
      </c>
      <c r="G4506" s="1">
        <v>45205</v>
      </c>
      <c r="H4506" s="6">
        <f t="shared" si="140"/>
        <v>24.697916666667293</v>
      </c>
      <c r="I4506" s="7">
        <f t="shared" si="141"/>
        <v>24.697916666667293</v>
      </c>
    </row>
    <row r="4507" spans="1:9" x14ac:dyDescent="0.2">
      <c r="A4507" t="s">
        <v>4923</v>
      </c>
      <c r="B4507">
        <v>4.9945000000000004</v>
      </c>
      <c r="C4507">
        <v>6.9964999999999999E-2</v>
      </c>
      <c r="D4507">
        <v>280</v>
      </c>
      <c r="E4507" t="s">
        <v>4923</v>
      </c>
      <c r="F4507">
        <v>279</v>
      </c>
      <c r="G4507" s="1">
        <v>45205</v>
      </c>
      <c r="H4507" s="6">
        <f t="shared" si="140"/>
        <v>24.708333333333961</v>
      </c>
      <c r="I4507" s="7">
        <f t="shared" si="141"/>
        <v>24.708333333333961</v>
      </c>
    </row>
    <row r="4508" spans="1:9" x14ac:dyDescent="0.2">
      <c r="A4508" t="s">
        <v>4924</v>
      </c>
      <c r="B4508">
        <v>5.0359999999999996</v>
      </c>
      <c r="C4508">
        <v>7.0540000000000005E-2</v>
      </c>
      <c r="D4508">
        <v>280</v>
      </c>
      <c r="E4508" t="s">
        <v>4924</v>
      </c>
      <c r="F4508">
        <v>279</v>
      </c>
      <c r="G4508" s="1">
        <v>45205</v>
      </c>
      <c r="H4508" s="6">
        <f t="shared" ref="H4508:H4571" si="142">H4507+$K$1</f>
        <v>24.718750000000629</v>
      </c>
      <c r="I4508" s="7">
        <f t="shared" ref="I4508:I4571" si="143">I4507+$K$1</f>
        <v>24.718750000000629</v>
      </c>
    </row>
    <row r="4509" spans="1:9" x14ac:dyDescent="0.2">
      <c r="A4509" t="s">
        <v>4925</v>
      </c>
      <c r="B4509">
        <v>5.069</v>
      </c>
      <c r="C4509">
        <v>7.0989999999999998E-2</v>
      </c>
      <c r="D4509">
        <v>280</v>
      </c>
      <c r="E4509" t="s">
        <v>4925</v>
      </c>
      <c r="F4509">
        <v>279</v>
      </c>
      <c r="G4509" s="1">
        <v>45205</v>
      </c>
      <c r="H4509" s="6">
        <f t="shared" si="142"/>
        <v>24.729166666667297</v>
      </c>
      <c r="I4509" s="7">
        <f t="shared" si="143"/>
        <v>24.729166666667297</v>
      </c>
    </row>
    <row r="4510" spans="1:9" x14ac:dyDescent="0.2">
      <c r="A4510" t="s">
        <v>4926</v>
      </c>
      <c r="B4510">
        <v>5.1215000000000002</v>
      </c>
      <c r="C4510">
        <v>7.1734999999999993E-2</v>
      </c>
      <c r="D4510">
        <v>280</v>
      </c>
      <c r="E4510" t="s">
        <v>4926</v>
      </c>
      <c r="F4510">
        <v>279</v>
      </c>
      <c r="G4510" s="1">
        <v>45205</v>
      </c>
      <c r="H4510" s="6">
        <f t="shared" si="142"/>
        <v>24.739583333333965</v>
      </c>
      <c r="I4510" s="7">
        <f t="shared" si="143"/>
        <v>24.739583333333965</v>
      </c>
    </row>
    <row r="4511" spans="1:9" x14ac:dyDescent="0.2">
      <c r="A4511" t="s">
        <v>4927</v>
      </c>
      <c r="B4511">
        <v>5.2060000000000004</v>
      </c>
      <c r="C4511">
        <v>7.2904999999999998E-2</v>
      </c>
      <c r="D4511">
        <v>280</v>
      </c>
      <c r="E4511" t="s">
        <v>4927</v>
      </c>
      <c r="F4511">
        <v>279</v>
      </c>
      <c r="G4511" s="1">
        <v>45205</v>
      </c>
      <c r="H4511" s="6">
        <f t="shared" si="142"/>
        <v>24.750000000000632</v>
      </c>
      <c r="I4511" s="7">
        <f t="shared" si="143"/>
        <v>24.750000000000632</v>
      </c>
    </row>
    <row r="4512" spans="1:9" x14ac:dyDescent="0.2">
      <c r="A4512" t="s">
        <v>4928</v>
      </c>
      <c r="B4512">
        <v>5.23</v>
      </c>
      <c r="C4512">
        <v>7.3249999999999996E-2</v>
      </c>
      <c r="D4512">
        <v>280</v>
      </c>
      <c r="E4512" t="s">
        <v>4928</v>
      </c>
      <c r="F4512">
        <v>279</v>
      </c>
      <c r="G4512" s="1">
        <v>45205</v>
      </c>
      <c r="H4512" s="6">
        <f t="shared" si="142"/>
        <v>24.7604166666673</v>
      </c>
      <c r="I4512" s="7">
        <f t="shared" si="143"/>
        <v>24.7604166666673</v>
      </c>
    </row>
    <row r="4513" spans="1:9" x14ac:dyDescent="0.2">
      <c r="A4513" t="s">
        <v>4929</v>
      </c>
      <c r="B4513">
        <v>5.2549999999999999</v>
      </c>
      <c r="C4513">
        <v>7.3605000000000004E-2</v>
      </c>
      <c r="D4513">
        <v>280</v>
      </c>
      <c r="E4513" t="s">
        <v>4929</v>
      </c>
      <c r="F4513">
        <v>279</v>
      </c>
      <c r="G4513" s="1">
        <v>45205</v>
      </c>
      <c r="H4513" s="6">
        <f t="shared" si="142"/>
        <v>24.770833333333968</v>
      </c>
      <c r="I4513" s="7">
        <f t="shared" si="143"/>
        <v>24.770833333333968</v>
      </c>
    </row>
    <row r="4514" spans="1:9" x14ac:dyDescent="0.2">
      <c r="A4514" t="s">
        <v>4930</v>
      </c>
      <c r="B4514">
        <v>5.306</v>
      </c>
      <c r="C4514">
        <v>7.4344999999999994E-2</v>
      </c>
      <c r="D4514">
        <v>280</v>
      </c>
      <c r="E4514" t="s">
        <v>4930</v>
      </c>
      <c r="F4514">
        <v>279</v>
      </c>
      <c r="G4514" s="1">
        <v>45205</v>
      </c>
      <c r="H4514" s="6">
        <f t="shared" si="142"/>
        <v>24.781250000000636</v>
      </c>
      <c r="I4514" s="7">
        <f t="shared" si="143"/>
        <v>24.781250000000636</v>
      </c>
    </row>
    <row r="4515" spans="1:9" x14ac:dyDescent="0.2">
      <c r="A4515" t="s">
        <v>4931</v>
      </c>
      <c r="B4515">
        <v>5.3070000000000004</v>
      </c>
      <c r="C4515">
        <v>7.4344999999999994E-2</v>
      </c>
      <c r="D4515">
        <v>280</v>
      </c>
      <c r="E4515" t="s">
        <v>4931</v>
      </c>
      <c r="F4515">
        <v>279</v>
      </c>
      <c r="G4515" s="1">
        <v>45205</v>
      </c>
      <c r="H4515" s="6">
        <f t="shared" si="142"/>
        <v>24.791666666667304</v>
      </c>
      <c r="I4515" s="7">
        <f t="shared" si="143"/>
        <v>24.791666666667304</v>
      </c>
    </row>
    <row r="4516" spans="1:9" x14ac:dyDescent="0.2">
      <c r="A4516" t="s">
        <v>4932</v>
      </c>
      <c r="B4516">
        <v>5.3334999999999999</v>
      </c>
      <c r="C4516">
        <v>7.4740000000000001E-2</v>
      </c>
      <c r="D4516">
        <v>280</v>
      </c>
      <c r="E4516" t="s">
        <v>4932</v>
      </c>
      <c r="F4516">
        <v>279</v>
      </c>
      <c r="G4516" s="1">
        <v>45205</v>
      </c>
      <c r="H4516" s="6">
        <f t="shared" si="142"/>
        <v>24.802083333333972</v>
      </c>
      <c r="I4516" s="7">
        <f t="shared" si="143"/>
        <v>24.802083333333972</v>
      </c>
    </row>
    <row r="4517" spans="1:9" x14ac:dyDescent="0.2">
      <c r="A4517" t="s">
        <v>4933</v>
      </c>
      <c r="B4517">
        <v>5.3345000000000002</v>
      </c>
      <c r="C4517">
        <v>7.4715000000000004E-2</v>
      </c>
      <c r="D4517">
        <v>280</v>
      </c>
      <c r="E4517" t="s">
        <v>4933</v>
      </c>
      <c r="F4517">
        <v>279</v>
      </c>
      <c r="G4517" s="1">
        <v>45205</v>
      </c>
      <c r="H4517" s="6">
        <f t="shared" si="142"/>
        <v>24.812500000000639</v>
      </c>
      <c r="I4517" s="7">
        <f t="shared" si="143"/>
        <v>24.812500000000639</v>
      </c>
    </row>
    <row r="4518" spans="1:9" x14ac:dyDescent="0.2">
      <c r="A4518" t="s">
        <v>4934</v>
      </c>
      <c r="B4518">
        <v>5.3470000000000004</v>
      </c>
      <c r="C4518">
        <v>7.4880000000000002E-2</v>
      </c>
      <c r="D4518">
        <v>280</v>
      </c>
      <c r="E4518" t="s">
        <v>4934</v>
      </c>
      <c r="F4518">
        <v>279</v>
      </c>
      <c r="G4518" s="1">
        <v>45205</v>
      </c>
      <c r="H4518" s="6">
        <f t="shared" si="142"/>
        <v>24.822916666667307</v>
      </c>
      <c r="I4518" s="7">
        <f t="shared" si="143"/>
        <v>24.822916666667307</v>
      </c>
    </row>
    <row r="4519" spans="1:9" x14ac:dyDescent="0.2">
      <c r="A4519" t="s">
        <v>4935</v>
      </c>
      <c r="B4519">
        <v>5.3864999999999998</v>
      </c>
      <c r="C4519">
        <v>7.5450000000000003E-2</v>
      </c>
      <c r="D4519">
        <v>280</v>
      </c>
      <c r="E4519" t="s">
        <v>4935</v>
      </c>
      <c r="F4519">
        <v>279</v>
      </c>
      <c r="G4519" s="1">
        <v>45205</v>
      </c>
      <c r="H4519" s="6">
        <f t="shared" si="142"/>
        <v>24.833333333333975</v>
      </c>
      <c r="I4519" s="7">
        <f t="shared" si="143"/>
        <v>24.833333333333975</v>
      </c>
    </row>
    <row r="4520" spans="1:9" x14ac:dyDescent="0.2">
      <c r="A4520" t="s">
        <v>4936</v>
      </c>
      <c r="B4520">
        <v>5.3970000000000002</v>
      </c>
      <c r="C4520">
        <v>7.5579999999999994E-2</v>
      </c>
      <c r="D4520">
        <v>280</v>
      </c>
      <c r="E4520" t="s">
        <v>4936</v>
      </c>
      <c r="F4520">
        <v>279</v>
      </c>
      <c r="G4520" s="1">
        <v>45205</v>
      </c>
      <c r="H4520" s="6">
        <f t="shared" si="142"/>
        <v>24.843750000000643</v>
      </c>
      <c r="I4520" s="7">
        <f t="shared" si="143"/>
        <v>24.843750000000643</v>
      </c>
    </row>
    <row r="4521" spans="1:9" x14ac:dyDescent="0.2">
      <c r="A4521" t="s">
        <v>4937</v>
      </c>
      <c r="B4521">
        <v>5.4124999999999996</v>
      </c>
      <c r="C4521">
        <v>7.5810000000000002E-2</v>
      </c>
      <c r="D4521">
        <v>280</v>
      </c>
      <c r="E4521" t="s">
        <v>4937</v>
      </c>
      <c r="F4521">
        <v>280</v>
      </c>
      <c r="G4521" s="1">
        <v>45206</v>
      </c>
      <c r="H4521" s="6">
        <f t="shared" si="142"/>
        <v>24.854166666667311</v>
      </c>
      <c r="I4521" s="7">
        <f t="shared" si="143"/>
        <v>24.854166666667311</v>
      </c>
    </row>
    <row r="4522" spans="1:9" x14ac:dyDescent="0.2">
      <c r="A4522" t="s">
        <v>4938</v>
      </c>
      <c r="B4522">
        <v>5.423</v>
      </c>
      <c r="C4522">
        <v>7.5969999999999996E-2</v>
      </c>
      <c r="D4522">
        <v>280</v>
      </c>
      <c r="E4522" t="s">
        <v>4938</v>
      </c>
      <c r="F4522">
        <v>280</v>
      </c>
      <c r="G4522" s="1">
        <v>45206</v>
      </c>
      <c r="H4522" s="6">
        <f t="shared" si="142"/>
        <v>24.864583333333979</v>
      </c>
      <c r="I4522" s="7">
        <f t="shared" si="143"/>
        <v>24.864583333333979</v>
      </c>
    </row>
    <row r="4523" spans="1:9" x14ac:dyDescent="0.2">
      <c r="A4523" t="s">
        <v>4939</v>
      </c>
      <c r="B4523" s="2" t="s">
        <v>4940</v>
      </c>
      <c r="C4523">
        <v>7.6859999999999998E-2</v>
      </c>
      <c r="D4523">
        <v>280</v>
      </c>
      <c r="E4523" t="s">
        <v>4939</v>
      </c>
      <c r="F4523">
        <v>280</v>
      </c>
      <c r="G4523" s="1">
        <v>45206</v>
      </c>
      <c r="H4523" s="6">
        <f t="shared" si="142"/>
        <v>24.875000000000647</v>
      </c>
      <c r="I4523" s="7">
        <f t="shared" si="143"/>
        <v>24.875000000000647</v>
      </c>
    </row>
    <row r="4524" spans="1:9" x14ac:dyDescent="0.2">
      <c r="A4524" t="s">
        <v>4941</v>
      </c>
      <c r="B4524">
        <v>5.5010000000000003</v>
      </c>
      <c r="C4524">
        <v>7.7039999999999997E-2</v>
      </c>
      <c r="D4524">
        <v>280</v>
      </c>
      <c r="E4524" t="s">
        <v>4941</v>
      </c>
      <c r="F4524">
        <v>280</v>
      </c>
      <c r="G4524" s="1">
        <v>45206</v>
      </c>
      <c r="H4524" s="6">
        <f t="shared" si="142"/>
        <v>24.885416666667314</v>
      </c>
      <c r="I4524" s="7">
        <f t="shared" si="143"/>
        <v>24.885416666667314</v>
      </c>
    </row>
    <row r="4525" spans="1:9" x14ac:dyDescent="0.2">
      <c r="A4525" t="s">
        <v>4942</v>
      </c>
      <c r="B4525">
        <v>5.47</v>
      </c>
      <c r="C4525">
        <v>7.6615000000000003E-2</v>
      </c>
      <c r="D4525">
        <v>280</v>
      </c>
      <c r="E4525" t="s">
        <v>4942</v>
      </c>
      <c r="F4525">
        <v>280</v>
      </c>
      <c r="G4525" s="1">
        <v>45206</v>
      </c>
      <c r="H4525" s="6">
        <f t="shared" si="142"/>
        <v>24.895833333333982</v>
      </c>
      <c r="I4525" s="7">
        <f t="shared" si="143"/>
        <v>24.895833333333982</v>
      </c>
    </row>
    <row r="4526" spans="1:9" x14ac:dyDescent="0.2">
      <c r="A4526" t="s">
        <v>4943</v>
      </c>
      <c r="B4526">
        <v>5.4859999999999998</v>
      </c>
      <c r="C4526">
        <v>7.6835000000000001E-2</v>
      </c>
      <c r="D4526">
        <v>280</v>
      </c>
      <c r="E4526" t="s">
        <v>4943</v>
      </c>
      <c r="F4526">
        <v>280</v>
      </c>
      <c r="G4526" s="1">
        <v>45206</v>
      </c>
      <c r="H4526" s="6">
        <f t="shared" si="142"/>
        <v>24.90625000000065</v>
      </c>
      <c r="I4526" s="7">
        <f t="shared" si="143"/>
        <v>24.90625000000065</v>
      </c>
    </row>
    <row r="4527" spans="1:9" x14ac:dyDescent="0.2">
      <c r="A4527" t="s">
        <v>4944</v>
      </c>
      <c r="B4527">
        <v>5.4619999999999997</v>
      </c>
      <c r="C4527">
        <v>7.6475000000000001E-2</v>
      </c>
      <c r="D4527">
        <v>280</v>
      </c>
      <c r="E4527" t="s">
        <v>4944</v>
      </c>
      <c r="F4527">
        <v>280</v>
      </c>
      <c r="G4527" s="1">
        <v>45206</v>
      </c>
      <c r="H4527" s="6">
        <f t="shared" si="142"/>
        <v>24.916666666667318</v>
      </c>
      <c r="I4527" s="7">
        <f t="shared" si="143"/>
        <v>24.916666666667318</v>
      </c>
    </row>
    <row r="4528" spans="1:9" x14ac:dyDescent="0.2">
      <c r="A4528" t="s">
        <v>4945</v>
      </c>
      <c r="B4528">
        <v>5.4740000000000002</v>
      </c>
      <c r="C4528">
        <v>7.6670000000000002E-2</v>
      </c>
      <c r="D4528">
        <v>280</v>
      </c>
      <c r="E4528" t="s">
        <v>4945</v>
      </c>
      <c r="F4528">
        <v>280</v>
      </c>
      <c r="G4528" s="1">
        <v>45206</v>
      </c>
      <c r="H4528" s="6">
        <f t="shared" si="142"/>
        <v>24.927083333333986</v>
      </c>
      <c r="I4528" s="7">
        <f t="shared" si="143"/>
        <v>24.927083333333986</v>
      </c>
    </row>
    <row r="4529" spans="1:9" x14ac:dyDescent="0.2">
      <c r="A4529" t="s">
        <v>4946</v>
      </c>
      <c r="B4529">
        <v>5.4725000000000001</v>
      </c>
      <c r="C4529">
        <v>7.6649999999999996E-2</v>
      </c>
      <c r="D4529">
        <v>280</v>
      </c>
      <c r="E4529" t="s">
        <v>4946</v>
      </c>
      <c r="F4529">
        <v>280</v>
      </c>
      <c r="G4529" s="1">
        <v>45206</v>
      </c>
      <c r="H4529" s="6">
        <f t="shared" si="142"/>
        <v>24.937500000000654</v>
      </c>
      <c r="I4529" s="7">
        <f t="shared" si="143"/>
        <v>24.937500000000654</v>
      </c>
    </row>
    <row r="4530" spans="1:9" x14ac:dyDescent="0.2">
      <c r="A4530" t="s">
        <v>4947</v>
      </c>
      <c r="B4530">
        <v>5.4785000000000004</v>
      </c>
      <c r="C4530">
        <v>7.6765E-2</v>
      </c>
      <c r="D4530">
        <v>280</v>
      </c>
      <c r="E4530" t="s">
        <v>4947</v>
      </c>
      <c r="F4530">
        <v>280</v>
      </c>
      <c r="G4530" s="1">
        <v>45206</v>
      </c>
      <c r="H4530" s="6">
        <f t="shared" si="142"/>
        <v>24.947916666667322</v>
      </c>
      <c r="I4530" s="7">
        <f t="shared" si="143"/>
        <v>24.947916666667322</v>
      </c>
    </row>
    <row r="4531" spans="1:9" x14ac:dyDescent="0.2">
      <c r="A4531" t="s">
        <v>4948</v>
      </c>
      <c r="B4531">
        <v>5.5155000000000003</v>
      </c>
      <c r="C4531">
        <v>7.7265E-2</v>
      </c>
      <c r="D4531">
        <v>280</v>
      </c>
      <c r="E4531" t="s">
        <v>4948</v>
      </c>
      <c r="F4531">
        <v>280</v>
      </c>
      <c r="G4531" s="1">
        <v>45206</v>
      </c>
      <c r="H4531" s="6">
        <f t="shared" si="142"/>
        <v>24.958333333333989</v>
      </c>
      <c r="I4531" s="7">
        <f t="shared" si="143"/>
        <v>24.958333333333989</v>
      </c>
    </row>
    <row r="4532" spans="1:9" x14ac:dyDescent="0.2">
      <c r="A4532" t="s">
        <v>4949</v>
      </c>
      <c r="B4532">
        <v>5.5025000000000004</v>
      </c>
      <c r="C4532">
        <v>7.7060000000000003E-2</v>
      </c>
      <c r="D4532">
        <v>280</v>
      </c>
      <c r="E4532" t="s">
        <v>4949</v>
      </c>
      <c r="F4532">
        <v>280</v>
      </c>
      <c r="G4532" s="1">
        <v>45206</v>
      </c>
      <c r="H4532" s="6">
        <f t="shared" si="142"/>
        <v>24.968750000000657</v>
      </c>
      <c r="I4532" s="7">
        <f t="shared" si="143"/>
        <v>24.968750000000657</v>
      </c>
    </row>
    <row r="4533" spans="1:9" x14ac:dyDescent="0.2">
      <c r="A4533" t="s">
        <v>4950</v>
      </c>
      <c r="B4533" s="2" t="s">
        <v>4951</v>
      </c>
      <c r="C4533">
        <v>7.6329999999999995E-2</v>
      </c>
      <c r="D4533">
        <v>280</v>
      </c>
      <c r="E4533" t="s">
        <v>4950</v>
      </c>
      <c r="F4533">
        <v>280</v>
      </c>
      <c r="G4533" s="1">
        <v>45206</v>
      </c>
      <c r="H4533" s="6">
        <f t="shared" si="142"/>
        <v>24.979166666667325</v>
      </c>
      <c r="I4533" s="7">
        <f t="shared" si="143"/>
        <v>24.979166666667325</v>
      </c>
    </row>
    <row r="4534" spans="1:9" x14ac:dyDescent="0.2">
      <c r="A4534" t="s">
        <v>4952</v>
      </c>
      <c r="B4534">
        <v>5.4260000000000002</v>
      </c>
      <c r="C4534">
        <v>7.5999999999999998E-2</v>
      </c>
      <c r="D4534">
        <v>280</v>
      </c>
      <c r="E4534" t="s">
        <v>4952</v>
      </c>
      <c r="F4534">
        <v>280</v>
      </c>
      <c r="G4534" s="1">
        <v>45206</v>
      </c>
      <c r="H4534" s="6">
        <f t="shared" si="142"/>
        <v>24.989583333333993</v>
      </c>
      <c r="I4534" s="7">
        <f t="shared" si="143"/>
        <v>24.989583333333993</v>
      </c>
    </row>
    <row r="4535" spans="1:9" x14ac:dyDescent="0.2">
      <c r="A4535" t="s">
        <v>4953</v>
      </c>
      <c r="B4535">
        <v>5.476</v>
      </c>
      <c r="C4535">
        <v>7.6689999999999994E-2</v>
      </c>
      <c r="D4535">
        <v>280</v>
      </c>
      <c r="E4535" t="s">
        <v>4953</v>
      </c>
      <c r="F4535">
        <v>280</v>
      </c>
      <c r="G4535" s="1">
        <v>45206</v>
      </c>
      <c r="H4535" s="6">
        <f t="shared" si="142"/>
        <v>25.000000000000661</v>
      </c>
      <c r="I4535" s="7">
        <f t="shared" si="143"/>
        <v>25.000000000000661</v>
      </c>
    </row>
    <row r="4536" spans="1:9" x14ac:dyDescent="0.2">
      <c r="A4536" t="s">
        <v>4954</v>
      </c>
      <c r="B4536" s="2" t="s">
        <v>4955</v>
      </c>
      <c r="C4536">
        <v>7.5874999999999998E-2</v>
      </c>
      <c r="D4536">
        <v>280</v>
      </c>
      <c r="E4536" t="s">
        <v>4954</v>
      </c>
      <c r="F4536">
        <v>280</v>
      </c>
      <c r="G4536" s="1">
        <v>45206</v>
      </c>
      <c r="H4536" s="6">
        <f t="shared" si="142"/>
        <v>25.010416666667329</v>
      </c>
      <c r="I4536" s="7">
        <f t="shared" si="143"/>
        <v>25.010416666667329</v>
      </c>
    </row>
    <row r="4537" spans="1:9" x14ac:dyDescent="0.2">
      <c r="A4537" t="s">
        <v>4956</v>
      </c>
      <c r="B4537">
        <v>5.46</v>
      </c>
      <c r="C4537">
        <v>7.6484999999999997E-2</v>
      </c>
      <c r="D4537">
        <v>280</v>
      </c>
      <c r="E4537" t="s">
        <v>4956</v>
      </c>
      <c r="F4537">
        <v>280</v>
      </c>
      <c r="G4537" s="1">
        <v>45206</v>
      </c>
      <c r="H4537" s="6">
        <f t="shared" si="142"/>
        <v>25.020833333333997</v>
      </c>
      <c r="I4537" s="7">
        <f t="shared" si="143"/>
        <v>25.020833333333997</v>
      </c>
    </row>
    <row r="4538" spans="1:9" x14ac:dyDescent="0.2">
      <c r="A4538" t="s">
        <v>4957</v>
      </c>
      <c r="B4538">
        <v>5.4080000000000004</v>
      </c>
      <c r="C4538">
        <v>7.5734999999999997E-2</v>
      </c>
      <c r="D4538">
        <v>280</v>
      </c>
      <c r="E4538" t="s">
        <v>4957</v>
      </c>
      <c r="F4538">
        <v>280</v>
      </c>
      <c r="G4538" s="1">
        <v>45206</v>
      </c>
      <c r="H4538" s="6">
        <f t="shared" si="142"/>
        <v>25.031250000000664</v>
      </c>
      <c r="I4538" s="7">
        <f t="shared" si="143"/>
        <v>25.031250000000664</v>
      </c>
    </row>
    <row r="4539" spans="1:9" x14ac:dyDescent="0.2">
      <c r="A4539" t="s">
        <v>4958</v>
      </c>
      <c r="B4539">
        <v>5.4240000000000004</v>
      </c>
      <c r="C4539">
        <v>7.5965000000000005E-2</v>
      </c>
      <c r="D4539">
        <v>280</v>
      </c>
      <c r="E4539" t="s">
        <v>4958</v>
      </c>
      <c r="F4539">
        <v>280</v>
      </c>
      <c r="G4539" s="1">
        <v>45206</v>
      </c>
      <c r="H4539" s="6">
        <f t="shared" si="142"/>
        <v>25.041666666667332</v>
      </c>
      <c r="I4539" s="7">
        <f t="shared" si="143"/>
        <v>25.041666666667332</v>
      </c>
    </row>
    <row r="4540" spans="1:9" x14ac:dyDescent="0.2">
      <c r="A4540" t="s">
        <v>4959</v>
      </c>
      <c r="B4540">
        <v>5.4379999999999997</v>
      </c>
      <c r="C4540">
        <v>7.6200000000000004E-2</v>
      </c>
      <c r="D4540">
        <v>280</v>
      </c>
      <c r="E4540" t="s">
        <v>4959</v>
      </c>
      <c r="F4540">
        <v>280</v>
      </c>
      <c r="G4540" s="1">
        <v>45206</v>
      </c>
      <c r="H4540" s="6">
        <f t="shared" si="142"/>
        <v>25.052083333334</v>
      </c>
      <c r="I4540" s="7">
        <f t="shared" si="143"/>
        <v>25.052083333334</v>
      </c>
    </row>
    <row r="4541" spans="1:9" x14ac:dyDescent="0.2">
      <c r="A4541" t="s">
        <v>4960</v>
      </c>
      <c r="B4541">
        <v>5.4260000000000002</v>
      </c>
      <c r="C4541">
        <v>7.5994999999999993E-2</v>
      </c>
      <c r="D4541">
        <v>280</v>
      </c>
      <c r="E4541" t="s">
        <v>4960</v>
      </c>
      <c r="F4541">
        <v>280</v>
      </c>
      <c r="G4541" s="1">
        <v>45206</v>
      </c>
      <c r="H4541" s="6">
        <f t="shared" si="142"/>
        <v>25.062500000000668</v>
      </c>
      <c r="I4541" s="7">
        <f t="shared" si="143"/>
        <v>25.062500000000668</v>
      </c>
    </row>
    <row r="4542" spans="1:9" x14ac:dyDescent="0.2">
      <c r="A4542" t="s">
        <v>4961</v>
      </c>
      <c r="B4542">
        <v>5.367</v>
      </c>
      <c r="C4542">
        <v>7.5164999999999996E-2</v>
      </c>
      <c r="D4542">
        <v>280</v>
      </c>
      <c r="E4542" t="s">
        <v>4961</v>
      </c>
      <c r="F4542">
        <v>280</v>
      </c>
      <c r="G4542" s="1">
        <v>45206</v>
      </c>
      <c r="H4542" s="6">
        <f t="shared" si="142"/>
        <v>25.072916666667336</v>
      </c>
      <c r="I4542" s="7">
        <f t="shared" si="143"/>
        <v>25.072916666667336</v>
      </c>
    </row>
    <row r="4543" spans="1:9" x14ac:dyDescent="0.2">
      <c r="A4543" t="s">
        <v>4962</v>
      </c>
      <c r="B4543">
        <v>5.3949999999999996</v>
      </c>
      <c r="C4543">
        <v>7.5560000000000002E-2</v>
      </c>
      <c r="D4543">
        <v>280</v>
      </c>
      <c r="E4543" t="s">
        <v>4962</v>
      </c>
      <c r="F4543">
        <v>280</v>
      </c>
      <c r="G4543" s="1">
        <v>45206</v>
      </c>
      <c r="H4543" s="6">
        <f t="shared" si="142"/>
        <v>25.083333333334004</v>
      </c>
      <c r="I4543" s="7">
        <f t="shared" si="143"/>
        <v>25.083333333334004</v>
      </c>
    </row>
    <row r="4544" spans="1:9" x14ac:dyDescent="0.2">
      <c r="A4544" t="s">
        <v>4963</v>
      </c>
      <c r="B4544">
        <v>5.4005000000000001</v>
      </c>
      <c r="C4544">
        <v>7.5624999999999998E-2</v>
      </c>
      <c r="D4544">
        <v>280</v>
      </c>
      <c r="E4544" t="s">
        <v>4963</v>
      </c>
      <c r="F4544">
        <v>280</v>
      </c>
      <c r="G4544" s="1">
        <v>45206</v>
      </c>
      <c r="H4544" s="6">
        <f t="shared" si="142"/>
        <v>25.093750000000671</v>
      </c>
      <c r="I4544" s="7">
        <f t="shared" si="143"/>
        <v>25.093750000000671</v>
      </c>
    </row>
    <row r="4545" spans="1:9" x14ac:dyDescent="0.2">
      <c r="A4545" t="s">
        <v>4964</v>
      </c>
      <c r="B4545">
        <v>5.3689999999999998</v>
      </c>
      <c r="C4545">
        <v>7.5190000000000007E-2</v>
      </c>
      <c r="D4545">
        <v>280</v>
      </c>
      <c r="E4545" t="s">
        <v>4964</v>
      </c>
      <c r="F4545">
        <v>280</v>
      </c>
      <c r="G4545" s="1">
        <v>45206</v>
      </c>
      <c r="H4545" s="6">
        <f t="shared" si="142"/>
        <v>25.104166666667339</v>
      </c>
      <c r="I4545" s="7">
        <f t="shared" si="143"/>
        <v>25.104166666667339</v>
      </c>
    </row>
    <row r="4546" spans="1:9" x14ac:dyDescent="0.2">
      <c r="A4546" t="s">
        <v>4965</v>
      </c>
      <c r="B4546">
        <v>5.4489999999999998</v>
      </c>
      <c r="C4546">
        <v>7.6310000000000003E-2</v>
      </c>
      <c r="D4546">
        <v>280</v>
      </c>
      <c r="E4546" t="s">
        <v>4965</v>
      </c>
      <c r="F4546">
        <v>280</v>
      </c>
      <c r="G4546" s="1">
        <v>45206</v>
      </c>
      <c r="H4546" s="6">
        <f t="shared" si="142"/>
        <v>25.114583333334007</v>
      </c>
      <c r="I4546" s="7">
        <f t="shared" si="143"/>
        <v>25.114583333334007</v>
      </c>
    </row>
    <row r="4547" spans="1:9" x14ac:dyDescent="0.2">
      <c r="A4547" t="s">
        <v>4966</v>
      </c>
      <c r="B4547">
        <v>5.4234999999999998</v>
      </c>
      <c r="C4547">
        <v>7.5944999999999999E-2</v>
      </c>
      <c r="D4547">
        <v>280</v>
      </c>
      <c r="E4547" t="s">
        <v>4966</v>
      </c>
      <c r="F4547">
        <v>280</v>
      </c>
      <c r="G4547" s="1">
        <v>45206</v>
      </c>
      <c r="H4547" s="6">
        <f t="shared" si="142"/>
        <v>25.125000000000675</v>
      </c>
      <c r="I4547" s="7">
        <f t="shared" si="143"/>
        <v>25.125000000000675</v>
      </c>
    </row>
    <row r="4548" spans="1:9" x14ac:dyDescent="0.2">
      <c r="A4548" t="s">
        <v>4967</v>
      </c>
      <c r="B4548">
        <v>5.3784999999999998</v>
      </c>
      <c r="C4548">
        <v>7.5319999999999998E-2</v>
      </c>
      <c r="D4548">
        <v>280</v>
      </c>
      <c r="E4548" t="s">
        <v>4967</v>
      </c>
      <c r="F4548">
        <v>280</v>
      </c>
      <c r="G4548" s="1">
        <v>45206</v>
      </c>
      <c r="H4548" s="6">
        <f t="shared" si="142"/>
        <v>25.135416666667343</v>
      </c>
      <c r="I4548" s="7">
        <f t="shared" si="143"/>
        <v>25.135416666667343</v>
      </c>
    </row>
    <row r="4549" spans="1:9" x14ac:dyDescent="0.2">
      <c r="A4549" t="s">
        <v>4968</v>
      </c>
      <c r="B4549">
        <v>5.4729999999999999</v>
      </c>
      <c r="C4549">
        <v>7.6655000000000001E-2</v>
      </c>
      <c r="D4549">
        <v>280</v>
      </c>
      <c r="E4549" t="s">
        <v>4968</v>
      </c>
      <c r="F4549">
        <v>280</v>
      </c>
      <c r="G4549" s="1">
        <v>45206</v>
      </c>
      <c r="H4549" s="6">
        <f t="shared" si="142"/>
        <v>25.145833333334011</v>
      </c>
      <c r="I4549" s="7">
        <f t="shared" si="143"/>
        <v>25.145833333334011</v>
      </c>
    </row>
    <row r="4550" spans="1:9" x14ac:dyDescent="0.2">
      <c r="A4550" t="s">
        <v>4969</v>
      </c>
      <c r="B4550">
        <v>5.3994999999999997</v>
      </c>
      <c r="C4550">
        <v>7.5630000000000003E-2</v>
      </c>
      <c r="D4550">
        <v>280</v>
      </c>
      <c r="E4550" t="s">
        <v>4969</v>
      </c>
      <c r="F4550">
        <v>280</v>
      </c>
      <c r="G4550" s="1">
        <v>45206</v>
      </c>
      <c r="H4550" s="6">
        <f t="shared" si="142"/>
        <v>25.156250000000679</v>
      </c>
      <c r="I4550" s="7">
        <f t="shared" si="143"/>
        <v>25.156250000000679</v>
      </c>
    </row>
    <row r="4551" spans="1:9" x14ac:dyDescent="0.2">
      <c r="A4551" t="s">
        <v>4970</v>
      </c>
      <c r="B4551">
        <v>5.3935000000000004</v>
      </c>
      <c r="C4551">
        <v>7.5539999999999996E-2</v>
      </c>
      <c r="D4551">
        <v>280</v>
      </c>
      <c r="E4551" t="s">
        <v>4970</v>
      </c>
      <c r="F4551">
        <v>280</v>
      </c>
      <c r="G4551" s="1">
        <v>45206</v>
      </c>
      <c r="H4551" s="6">
        <f t="shared" si="142"/>
        <v>25.166666666667346</v>
      </c>
      <c r="I4551" s="7">
        <f t="shared" si="143"/>
        <v>25.166666666667346</v>
      </c>
    </row>
    <row r="4552" spans="1:9" x14ac:dyDescent="0.2">
      <c r="A4552" t="s">
        <v>4971</v>
      </c>
      <c r="B4552">
        <v>5.3940000000000001</v>
      </c>
      <c r="C4552">
        <v>7.5545000000000001E-2</v>
      </c>
      <c r="D4552">
        <v>280</v>
      </c>
      <c r="E4552" t="s">
        <v>4971</v>
      </c>
      <c r="F4552">
        <v>280</v>
      </c>
      <c r="G4552" s="1">
        <v>45206</v>
      </c>
      <c r="H4552" s="6">
        <f t="shared" si="142"/>
        <v>25.177083333334014</v>
      </c>
      <c r="I4552" s="7">
        <f t="shared" si="143"/>
        <v>25.177083333334014</v>
      </c>
    </row>
    <row r="4553" spans="1:9" x14ac:dyDescent="0.2">
      <c r="A4553" t="s">
        <v>4972</v>
      </c>
      <c r="B4553">
        <v>5.3689999999999998</v>
      </c>
      <c r="C4553">
        <v>7.5194999999999998E-2</v>
      </c>
      <c r="D4553">
        <v>280</v>
      </c>
      <c r="E4553" t="s">
        <v>4972</v>
      </c>
      <c r="F4553">
        <v>280</v>
      </c>
      <c r="G4553" s="1">
        <v>45206</v>
      </c>
      <c r="H4553" s="6">
        <f t="shared" si="142"/>
        <v>25.187500000000682</v>
      </c>
      <c r="I4553" s="7">
        <f t="shared" si="143"/>
        <v>25.187500000000682</v>
      </c>
    </row>
    <row r="4554" spans="1:9" x14ac:dyDescent="0.2">
      <c r="A4554" t="s">
        <v>4973</v>
      </c>
      <c r="B4554">
        <v>5.4015000000000004</v>
      </c>
      <c r="C4554">
        <v>7.5664999999999996E-2</v>
      </c>
      <c r="D4554">
        <v>280</v>
      </c>
      <c r="E4554" t="s">
        <v>4973</v>
      </c>
      <c r="F4554">
        <v>280</v>
      </c>
      <c r="G4554" s="1">
        <v>45206</v>
      </c>
      <c r="H4554" s="6">
        <f t="shared" si="142"/>
        <v>25.19791666666735</v>
      </c>
      <c r="I4554" s="7">
        <f t="shared" si="143"/>
        <v>25.19791666666735</v>
      </c>
    </row>
    <row r="4555" spans="1:9" x14ac:dyDescent="0.2">
      <c r="A4555" t="s">
        <v>4974</v>
      </c>
      <c r="B4555">
        <v>5.3494999999999999</v>
      </c>
      <c r="C4555">
        <v>7.4935000000000002E-2</v>
      </c>
      <c r="D4555">
        <v>280</v>
      </c>
      <c r="E4555" t="s">
        <v>4974</v>
      </c>
      <c r="F4555">
        <v>280</v>
      </c>
      <c r="G4555" s="1">
        <v>45206</v>
      </c>
      <c r="H4555" s="6">
        <f t="shared" si="142"/>
        <v>25.208333333334018</v>
      </c>
      <c r="I4555" s="7">
        <f t="shared" si="143"/>
        <v>25.208333333334018</v>
      </c>
    </row>
    <row r="4556" spans="1:9" x14ac:dyDescent="0.2">
      <c r="A4556" t="s">
        <v>4975</v>
      </c>
      <c r="B4556">
        <v>5.2755000000000001</v>
      </c>
      <c r="C4556">
        <v>7.3874999999999996E-2</v>
      </c>
      <c r="D4556">
        <v>280</v>
      </c>
      <c r="E4556" t="s">
        <v>4975</v>
      </c>
      <c r="F4556">
        <v>280</v>
      </c>
      <c r="G4556" s="1">
        <v>45206</v>
      </c>
      <c r="H4556" s="6">
        <f t="shared" si="142"/>
        <v>25.218750000000686</v>
      </c>
      <c r="I4556" s="7">
        <f t="shared" si="143"/>
        <v>25.218750000000686</v>
      </c>
    </row>
    <row r="4557" spans="1:9" x14ac:dyDescent="0.2">
      <c r="A4557" t="s">
        <v>4976</v>
      </c>
      <c r="B4557">
        <v>5.2965</v>
      </c>
      <c r="C4557">
        <v>7.4190000000000006E-2</v>
      </c>
      <c r="D4557">
        <v>280</v>
      </c>
      <c r="E4557" t="s">
        <v>4976</v>
      </c>
      <c r="F4557">
        <v>280</v>
      </c>
      <c r="G4557" s="1">
        <v>45206</v>
      </c>
      <c r="H4557" s="6">
        <f t="shared" si="142"/>
        <v>25.229166666667354</v>
      </c>
      <c r="I4557" s="7">
        <f t="shared" si="143"/>
        <v>25.229166666667354</v>
      </c>
    </row>
    <row r="4558" spans="1:9" x14ac:dyDescent="0.2">
      <c r="A4558" t="s">
        <v>4977</v>
      </c>
      <c r="B4558">
        <v>5.2729999999999997</v>
      </c>
      <c r="C4558">
        <v>7.3870000000000005E-2</v>
      </c>
      <c r="D4558">
        <v>280</v>
      </c>
      <c r="E4558" t="s">
        <v>4977</v>
      </c>
      <c r="F4558">
        <v>280</v>
      </c>
      <c r="G4558" s="1">
        <v>45206</v>
      </c>
      <c r="H4558" s="6">
        <f t="shared" si="142"/>
        <v>25.239583333334021</v>
      </c>
      <c r="I4558" s="7">
        <f t="shared" si="143"/>
        <v>25.239583333334021</v>
      </c>
    </row>
    <row r="4559" spans="1:9" x14ac:dyDescent="0.2">
      <c r="A4559" t="s">
        <v>4978</v>
      </c>
      <c r="B4559">
        <v>5.2954999999999997</v>
      </c>
      <c r="C4559">
        <v>7.417E-2</v>
      </c>
      <c r="D4559">
        <v>280</v>
      </c>
      <c r="E4559" t="s">
        <v>4978</v>
      </c>
      <c r="F4559">
        <v>280</v>
      </c>
      <c r="G4559" s="1">
        <v>45206</v>
      </c>
      <c r="H4559" s="6">
        <f t="shared" si="142"/>
        <v>25.250000000000689</v>
      </c>
      <c r="I4559" s="7">
        <f t="shared" si="143"/>
        <v>25.250000000000689</v>
      </c>
    </row>
    <row r="4560" spans="1:9" x14ac:dyDescent="0.2">
      <c r="A4560" t="s">
        <v>4979</v>
      </c>
      <c r="B4560">
        <v>5.1725000000000003</v>
      </c>
      <c r="C4560">
        <v>7.2465000000000002E-2</v>
      </c>
      <c r="D4560">
        <v>280</v>
      </c>
      <c r="E4560" t="s">
        <v>4979</v>
      </c>
      <c r="F4560">
        <v>280</v>
      </c>
      <c r="G4560" s="1">
        <v>45206</v>
      </c>
      <c r="H4560" s="6">
        <f t="shared" si="142"/>
        <v>25.260416666667357</v>
      </c>
      <c r="I4560" s="7">
        <f t="shared" si="143"/>
        <v>25.260416666667357</v>
      </c>
    </row>
    <row r="4561" spans="1:9" x14ac:dyDescent="0.2">
      <c r="A4561" t="s">
        <v>4980</v>
      </c>
      <c r="B4561">
        <v>5.1265000000000001</v>
      </c>
      <c r="C4561">
        <v>7.1809999999999999E-2</v>
      </c>
      <c r="D4561">
        <v>280</v>
      </c>
      <c r="E4561" t="s">
        <v>4980</v>
      </c>
      <c r="F4561">
        <v>280</v>
      </c>
      <c r="G4561" s="1">
        <v>45206</v>
      </c>
      <c r="H4561" s="6">
        <f t="shared" si="142"/>
        <v>25.270833333334025</v>
      </c>
      <c r="I4561" s="7">
        <f t="shared" si="143"/>
        <v>25.270833333334025</v>
      </c>
    </row>
    <row r="4562" spans="1:9" x14ac:dyDescent="0.2">
      <c r="A4562" t="s">
        <v>4981</v>
      </c>
      <c r="B4562">
        <v>5.0949999999999998</v>
      </c>
      <c r="C4562">
        <v>7.1360000000000007E-2</v>
      </c>
      <c r="D4562">
        <v>280</v>
      </c>
      <c r="E4562" t="s">
        <v>4981</v>
      </c>
      <c r="F4562">
        <v>280</v>
      </c>
      <c r="G4562" s="1">
        <v>45206</v>
      </c>
      <c r="H4562" s="6">
        <f t="shared" si="142"/>
        <v>25.281250000000693</v>
      </c>
      <c r="I4562" s="7">
        <f t="shared" si="143"/>
        <v>25.281250000000693</v>
      </c>
    </row>
    <row r="4563" spans="1:9" x14ac:dyDescent="0.2">
      <c r="A4563" t="s">
        <v>4982</v>
      </c>
      <c r="B4563" s="2" t="s">
        <v>4983</v>
      </c>
      <c r="C4563">
        <v>7.0855000000000001E-2</v>
      </c>
      <c r="D4563">
        <v>280</v>
      </c>
      <c r="E4563" t="s">
        <v>4982</v>
      </c>
      <c r="F4563">
        <v>280</v>
      </c>
      <c r="G4563" s="1">
        <v>45206</v>
      </c>
      <c r="H4563" s="6">
        <f t="shared" si="142"/>
        <v>25.291666666667361</v>
      </c>
      <c r="I4563" s="7">
        <f t="shared" si="143"/>
        <v>25.291666666667361</v>
      </c>
    </row>
    <row r="4564" spans="1:9" x14ac:dyDescent="0.2">
      <c r="A4564" t="s">
        <v>4984</v>
      </c>
      <c r="B4564">
        <v>4.9880000000000004</v>
      </c>
      <c r="C4564">
        <v>6.9864999999999997E-2</v>
      </c>
      <c r="D4564">
        <v>280</v>
      </c>
      <c r="E4564" t="s">
        <v>4984</v>
      </c>
      <c r="F4564">
        <v>280</v>
      </c>
      <c r="G4564" s="1">
        <v>45206</v>
      </c>
      <c r="H4564" s="6">
        <f t="shared" si="142"/>
        <v>25.302083333334028</v>
      </c>
      <c r="I4564" s="7">
        <f t="shared" si="143"/>
        <v>25.302083333334028</v>
      </c>
    </row>
    <row r="4565" spans="1:9" x14ac:dyDescent="0.2">
      <c r="A4565" t="s">
        <v>4985</v>
      </c>
      <c r="B4565">
        <v>4.9169999999999998</v>
      </c>
      <c r="C4565">
        <v>6.8879999999999997E-2</v>
      </c>
      <c r="D4565">
        <v>280</v>
      </c>
      <c r="E4565" t="s">
        <v>4985</v>
      </c>
      <c r="F4565">
        <v>280</v>
      </c>
      <c r="G4565" s="1">
        <v>45206</v>
      </c>
      <c r="H4565" s="6">
        <f t="shared" si="142"/>
        <v>25.312500000000696</v>
      </c>
      <c r="I4565" s="7">
        <f t="shared" si="143"/>
        <v>25.312500000000696</v>
      </c>
    </row>
    <row r="4566" spans="1:9" x14ac:dyDescent="0.2">
      <c r="A4566" t="s">
        <v>4986</v>
      </c>
      <c r="B4566">
        <v>4.8929999999999998</v>
      </c>
      <c r="C4566">
        <v>6.8525000000000003E-2</v>
      </c>
      <c r="D4566">
        <v>280</v>
      </c>
      <c r="E4566" t="s">
        <v>4986</v>
      </c>
      <c r="F4566">
        <v>280</v>
      </c>
      <c r="G4566" s="1">
        <v>45206</v>
      </c>
      <c r="H4566" s="6">
        <f t="shared" si="142"/>
        <v>25.322916666667364</v>
      </c>
      <c r="I4566" s="7">
        <f t="shared" si="143"/>
        <v>25.322916666667364</v>
      </c>
    </row>
    <row r="4567" spans="1:9" x14ac:dyDescent="0.2">
      <c r="A4567" t="s">
        <v>4987</v>
      </c>
      <c r="B4567">
        <v>4.8215000000000003</v>
      </c>
      <c r="C4567">
        <v>6.7525000000000002E-2</v>
      </c>
      <c r="D4567">
        <v>280</v>
      </c>
      <c r="E4567" t="s">
        <v>4987</v>
      </c>
      <c r="F4567">
        <v>280</v>
      </c>
      <c r="G4567" s="1">
        <v>45206</v>
      </c>
      <c r="H4567" s="6">
        <f t="shared" si="142"/>
        <v>25.333333333334032</v>
      </c>
      <c r="I4567" s="7">
        <f t="shared" si="143"/>
        <v>25.333333333334032</v>
      </c>
    </row>
    <row r="4568" spans="1:9" x14ac:dyDescent="0.2">
      <c r="A4568" t="s">
        <v>4988</v>
      </c>
      <c r="B4568">
        <v>4.7554999999999996</v>
      </c>
      <c r="C4568">
        <v>6.6595000000000001E-2</v>
      </c>
      <c r="D4568">
        <v>280</v>
      </c>
      <c r="E4568" t="s">
        <v>4988</v>
      </c>
      <c r="F4568">
        <v>280</v>
      </c>
      <c r="G4568" s="1">
        <v>45206</v>
      </c>
      <c r="H4568" s="6">
        <f t="shared" si="142"/>
        <v>25.3437500000007</v>
      </c>
      <c r="I4568" s="7">
        <f t="shared" si="143"/>
        <v>25.3437500000007</v>
      </c>
    </row>
    <row r="4569" spans="1:9" x14ac:dyDescent="0.2">
      <c r="A4569" t="s">
        <v>4989</v>
      </c>
      <c r="B4569">
        <v>4.7290000000000001</v>
      </c>
      <c r="C4569">
        <v>6.6229999999999997E-2</v>
      </c>
      <c r="D4569">
        <v>280</v>
      </c>
      <c r="E4569" t="s">
        <v>4989</v>
      </c>
      <c r="F4569">
        <v>280</v>
      </c>
      <c r="G4569" s="1">
        <v>45206</v>
      </c>
      <c r="H4569" s="6">
        <f t="shared" si="142"/>
        <v>25.354166666667368</v>
      </c>
      <c r="I4569" s="7">
        <f t="shared" si="143"/>
        <v>25.354166666667368</v>
      </c>
    </row>
    <row r="4570" spans="1:9" x14ac:dyDescent="0.2">
      <c r="A4570" t="s">
        <v>4990</v>
      </c>
      <c r="B4570">
        <v>4.7015000000000002</v>
      </c>
      <c r="C4570">
        <v>6.5850000000000006E-2</v>
      </c>
      <c r="D4570">
        <v>280</v>
      </c>
      <c r="E4570" t="s">
        <v>4990</v>
      </c>
      <c r="F4570">
        <v>280</v>
      </c>
      <c r="G4570" s="1">
        <v>45206</v>
      </c>
      <c r="H4570" s="6">
        <f t="shared" si="142"/>
        <v>25.364583333334036</v>
      </c>
      <c r="I4570" s="7">
        <f t="shared" si="143"/>
        <v>25.364583333334036</v>
      </c>
    </row>
    <row r="4571" spans="1:9" x14ac:dyDescent="0.2">
      <c r="A4571" t="s">
        <v>4991</v>
      </c>
      <c r="B4571">
        <v>4.6665000000000001</v>
      </c>
      <c r="C4571">
        <v>6.5350000000000005E-2</v>
      </c>
      <c r="D4571">
        <v>280</v>
      </c>
      <c r="E4571" t="s">
        <v>4991</v>
      </c>
      <c r="F4571">
        <v>280</v>
      </c>
      <c r="G4571" s="1">
        <v>45206</v>
      </c>
      <c r="H4571" s="6">
        <f t="shared" si="142"/>
        <v>25.375000000000703</v>
      </c>
      <c r="I4571" s="7">
        <f t="shared" si="143"/>
        <v>25.375000000000703</v>
      </c>
    </row>
    <row r="4572" spans="1:9" x14ac:dyDescent="0.2">
      <c r="A4572" t="s">
        <v>4992</v>
      </c>
      <c r="B4572">
        <v>4.6764999999999999</v>
      </c>
      <c r="C4572">
        <v>6.5509999999999999E-2</v>
      </c>
      <c r="D4572">
        <v>280</v>
      </c>
      <c r="E4572" t="s">
        <v>4992</v>
      </c>
      <c r="F4572">
        <v>280</v>
      </c>
      <c r="G4572" s="1">
        <v>45206</v>
      </c>
      <c r="H4572" s="6">
        <f t="shared" ref="H4572:H4635" si="144">H4571+$K$1</f>
        <v>25.385416666667371</v>
      </c>
      <c r="I4572" s="7">
        <f t="shared" ref="I4572:I4635" si="145">I4571+$K$1</f>
        <v>25.385416666667371</v>
      </c>
    </row>
    <row r="4573" spans="1:9" x14ac:dyDescent="0.2">
      <c r="A4573" t="s">
        <v>4993</v>
      </c>
      <c r="B4573">
        <v>4.6725000000000003</v>
      </c>
      <c r="C4573">
        <v>6.5434999999999993E-2</v>
      </c>
      <c r="D4573">
        <v>280</v>
      </c>
      <c r="E4573" t="s">
        <v>4993</v>
      </c>
      <c r="F4573">
        <v>280</v>
      </c>
      <c r="G4573" s="1">
        <v>45206</v>
      </c>
      <c r="H4573" s="6">
        <f t="shared" si="144"/>
        <v>25.395833333334039</v>
      </c>
      <c r="I4573" s="7">
        <f t="shared" si="145"/>
        <v>25.395833333334039</v>
      </c>
    </row>
    <row r="4574" spans="1:9" x14ac:dyDescent="0.2">
      <c r="A4574" t="s">
        <v>4994</v>
      </c>
      <c r="B4574" s="2" t="s">
        <v>4995</v>
      </c>
      <c r="C4574">
        <v>6.5165000000000001E-2</v>
      </c>
      <c r="D4574">
        <v>280</v>
      </c>
      <c r="E4574" t="s">
        <v>4994</v>
      </c>
      <c r="F4574">
        <v>280</v>
      </c>
      <c r="G4574" s="1">
        <v>45206</v>
      </c>
      <c r="H4574" s="6">
        <f t="shared" si="144"/>
        <v>25.406250000000707</v>
      </c>
      <c r="I4574" s="7">
        <f t="shared" si="145"/>
        <v>25.406250000000707</v>
      </c>
    </row>
    <row r="4575" spans="1:9" x14ac:dyDescent="0.2">
      <c r="A4575" t="s">
        <v>4996</v>
      </c>
      <c r="B4575">
        <v>4.6210000000000004</v>
      </c>
      <c r="C4575">
        <v>6.4735000000000001E-2</v>
      </c>
      <c r="D4575">
        <v>280</v>
      </c>
      <c r="E4575" t="s">
        <v>4996</v>
      </c>
      <c r="F4575">
        <v>280</v>
      </c>
      <c r="G4575" s="1">
        <v>45206</v>
      </c>
      <c r="H4575" s="6">
        <f t="shared" si="144"/>
        <v>25.416666666667375</v>
      </c>
      <c r="I4575" s="7">
        <f t="shared" si="145"/>
        <v>25.416666666667375</v>
      </c>
    </row>
    <row r="4576" spans="1:9" x14ac:dyDescent="0.2">
      <c r="A4576" t="s">
        <v>4997</v>
      </c>
      <c r="B4576">
        <v>4.6870000000000003</v>
      </c>
      <c r="C4576">
        <v>6.5655000000000005E-2</v>
      </c>
      <c r="D4576">
        <v>280</v>
      </c>
      <c r="E4576" t="s">
        <v>4997</v>
      </c>
      <c r="F4576">
        <v>280</v>
      </c>
      <c r="G4576" s="1">
        <v>45206</v>
      </c>
      <c r="H4576" s="6">
        <f t="shared" si="144"/>
        <v>25.427083333334043</v>
      </c>
      <c r="I4576" s="7">
        <f t="shared" si="145"/>
        <v>25.427083333334043</v>
      </c>
    </row>
    <row r="4577" spans="1:9" x14ac:dyDescent="0.2">
      <c r="A4577" t="s">
        <v>4998</v>
      </c>
      <c r="B4577">
        <v>4.6615000000000002</v>
      </c>
      <c r="C4577">
        <v>6.5295000000000006E-2</v>
      </c>
      <c r="D4577">
        <v>280</v>
      </c>
      <c r="E4577" t="s">
        <v>4998</v>
      </c>
      <c r="F4577">
        <v>280</v>
      </c>
      <c r="G4577" s="1">
        <v>45206</v>
      </c>
      <c r="H4577" s="6">
        <f t="shared" si="144"/>
        <v>25.437500000000711</v>
      </c>
      <c r="I4577" s="7">
        <f t="shared" si="145"/>
        <v>25.437500000000711</v>
      </c>
    </row>
    <row r="4578" spans="1:9" x14ac:dyDescent="0.2">
      <c r="A4578" t="s">
        <v>4999</v>
      </c>
      <c r="B4578">
        <v>4.5925000000000002</v>
      </c>
      <c r="C4578">
        <v>6.4324999999999993E-2</v>
      </c>
      <c r="D4578">
        <v>280</v>
      </c>
      <c r="E4578" t="s">
        <v>4999</v>
      </c>
      <c r="F4578">
        <v>280</v>
      </c>
      <c r="G4578" s="1">
        <v>45206</v>
      </c>
      <c r="H4578" s="6">
        <f t="shared" si="144"/>
        <v>25.447916666667378</v>
      </c>
      <c r="I4578" s="7">
        <f t="shared" si="145"/>
        <v>25.447916666667378</v>
      </c>
    </row>
    <row r="4579" spans="1:9" x14ac:dyDescent="0.2">
      <c r="A4579" t="s">
        <v>5000</v>
      </c>
      <c r="B4579">
        <v>4.6429999999999998</v>
      </c>
      <c r="C4579">
        <v>6.5045000000000006E-2</v>
      </c>
      <c r="D4579">
        <v>280</v>
      </c>
      <c r="E4579" t="s">
        <v>5000</v>
      </c>
      <c r="F4579">
        <v>280</v>
      </c>
      <c r="G4579" s="1">
        <v>45206</v>
      </c>
      <c r="H4579" s="6">
        <f t="shared" si="144"/>
        <v>25.458333333334046</v>
      </c>
      <c r="I4579" s="7">
        <f t="shared" si="145"/>
        <v>25.458333333334046</v>
      </c>
    </row>
    <row r="4580" spans="1:9" x14ac:dyDescent="0.2">
      <c r="A4580" t="s">
        <v>5001</v>
      </c>
      <c r="B4580">
        <v>4.6115000000000004</v>
      </c>
      <c r="C4580">
        <v>6.4559999999999895E-2</v>
      </c>
      <c r="D4580">
        <v>280</v>
      </c>
      <c r="E4580" t="s">
        <v>5001</v>
      </c>
      <c r="F4580">
        <v>280</v>
      </c>
      <c r="G4580" s="1">
        <v>45206</v>
      </c>
      <c r="H4580" s="6">
        <f t="shared" si="144"/>
        <v>25.468750000000714</v>
      </c>
      <c r="I4580" s="7">
        <f t="shared" si="145"/>
        <v>25.468750000000714</v>
      </c>
    </row>
    <row r="4581" spans="1:9" x14ac:dyDescent="0.2">
      <c r="A4581" t="s">
        <v>5002</v>
      </c>
      <c r="B4581">
        <v>4.6345000000000001</v>
      </c>
      <c r="C4581">
        <v>6.4905000000000004E-2</v>
      </c>
      <c r="D4581">
        <v>280</v>
      </c>
      <c r="E4581" t="s">
        <v>5002</v>
      </c>
      <c r="F4581">
        <v>280</v>
      </c>
      <c r="G4581" s="1">
        <v>45206</v>
      </c>
      <c r="H4581" s="6">
        <f t="shared" si="144"/>
        <v>25.479166666667382</v>
      </c>
      <c r="I4581" s="7">
        <f t="shared" si="145"/>
        <v>25.479166666667382</v>
      </c>
    </row>
    <row r="4582" spans="1:9" x14ac:dyDescent="0.2">
      <c r="A4582" t="s">
        <v>5003</v>
      </c>
      <c r="B4582">
        <v>4.6505000000000001</v>
      </c>
      <c r="C4582">
        <v>6.5134999999999998E-2</v>
      </c>
      <c r="D4582">
        <v>280</v>
      </c>
      <c r="E4582" t="s">
        <v>5003</v>
      </c>
      <c r="F4582">
        <v>280</v>
      </c>
      <c r="G4582" s="1">
        <v>45206</v>
      </c>
      <c r="H4582" s="6">
        <f t="shared" si="144"/>
        <v>25.48958333333405</v>
      </c>
      <c r="I4582" s="7">
        <f t="shared" si="145"/>
        <v>25.48958333333405</v>
      </c>
    </row>
    <row r="4583" spans="1:9" x14ac:dyDescent="0.2">
      <c r="A4583" t="s">
        <v>5004</v>
      </c>
      <c r="B4583">
        <v>4.6070000000000002</v>
      </c>
      <c r="C4583">
        <v>6.454E-2</v>
      </c>
      <c r="D4583">
        <v>280</v>
      </c>
      <c r="E4583" t="s">
        <v>5004</v>
      </c>
      <c r="F4583">
        <v>280</v>
      </c>
      <c r="G4583" s="1">
        <v>45206</v>
      </c>
      <c r="H4583" s="6">
        <f t="shared" si="144"/>
        <v>25.500000000000718</v>
      </c>
      <c r="I4583" s="7">
        <f t="shared" si="145"/>
        <v>25.500000000000718</v>
      </c>
    </row>
    <row r="4584" spans="1:9" x14ac:dyDescent="0.2">
      <c r="A4584" t="s">
        <v>5005</v>
      </c>
      <c r="B4584">
        <v>4.593</v>
      </c>
      <c r="C4584">
        <v>6.4339999999999994E-2</v>
      </c>
      <c r="D4584">
        <v>280</v>
      </c>
      <c r="E4584" t="s">
        <v>5005</v>
      </c>
      <c r="F4584">
        <v>280</v>
      </c>
      <c r="G4584" s="1">
        <v>45206</v>
      </c>
      <c r="H4584" s="6">
        <f t="shared" si="144"/>
        <v>25.510416666667385</v>
      </c>
      <c r="I4584" s="7">
        <f t="shared" si="145"/>
        <v>25.510416666667385</v>
      </c>
    </row>
    <row r="4585" spans="1:9" x14ac:dyDescent="0.2">
      <c r="A4585" t="s">
        <v>5006</v>
      </c>
      <c r="B4585">
        <v>4.6284999999999998</v>
      </c>
      <c r="C4585">
        <v>6.4820000000000003E-2</v>
      </c>
      <c r="D4585">
        <v>280</v>
      </c>
      <c r="E4585" t="s">
        <v>5006</v>
      </c>
      <c r="F4585">
        <v>280</v>
      </c>
      <c r="G4585" s="1">
        <v>45206</v>
      </c>
      <c r="H4585" s="6">
        <f t="shared" si="144"/>
        <v>25.520833333334053</v>
      </c>
      <c r="I4585" s="7">
        <f t="shared" si="145"/>
        <v>25.520833333334053</v>
      </c>
    </row>
    <row r="4586" spans="1:9" x14ac:dyDescent="0.2">
      <c r="A4586" t="s">
        <v>5007</v>
      </c>
      <c r="B4586">
        <v>4.6265000000000001</v>
      </c>
      <c r="C4586">
        <v>6.4805000000000001E-2</v>
      </c>
      <c r="D4586">
        <v>280</v>
      </c>
      <c r="E4586" t="s">
        <v>5007</v>
      </c>
      <c r="F4586">
        <v>280</v>
      </c>
      <c r="G4586" s="1">
        <v>45206</v>
      </c>
      <c r="H4586" s="6">
        <f t="shared" si="144"/>
        <v>25.531250000000721</v>
      </c>
      <c r="I4586" s="7">
        <f t="shared" si="145"/>
        <v>25.531250000000721</v>
      </c>
    </row>
    <row r="4587" spans="1:9" x14ac:dyDescent="0.2">
      <c r="A4587" t="s">
        <v>5008</v>
      </c>
      <c r="B4587">
        <v>4.6195000000000004</v>
      </c>
      <c r="C4587">
        <v>6.472E-2</v>
      </c>
      <c r="D4587">
        <v>280</v>
      </c>
      <c r="E4587" t="s">
        <v>5008</v>
      </c>
      <c r="F4587">
        <v>280</v>
      </c>
      <c r="G4587" s="1">
        <v>45206</v>
      </c>
      <c r="H4587" s="6">
        <f t="shared" si="144"/>
        <v>25.541666666667389</v>
      </c>
      <c r="I4587" s="7">
        <f t="shared" si="145"/>
        <v>25.541666666667389</v>
      </c>
    </row>
    <row r="4588" spans="1:9" x14ac:dyDescent="0.2">
      <c r="A4588" t="s">
        <v>5009</v>
      </c>
      <c r="B4588">
        <v>4.6029999999999998</v>
      </c>
      <c r="C4588">
        <v>6.4490000000000006E-2</v>
      </c>
      <c r="D4588">
        <v>280</v>
      </c>
      <c r="E4588" t="s">
        <v>5009</v>
      </c>
      <c r="F4588">
        <v>280</v>
      </c>
      <c r="G4588" s="1">
        <v>45206</v>
      </c>
      <c r="H4588" s="6">
        <f t="shared" si="144"/>
        <v>25.552083333334057</v>
      </c>
      <c r="I4588" s="7">
        <f t="shared" si="145"/>
        <v>25.552083333334057</v>
      </c>
    </row>
    <row r="4589" spans="1:9" x14ac:dyDescent="0.2">
      <c r="A4589" t="s">
        <v>5010</v>
      </c>
      <c r="B4589">
        <v>4.5994999999999999</v>
      </c>
      <c r="C4589">
        <v>6.4424999999999996E-2</v>
      </c>
      <c r="D4589">
        <v>280</v>
      </c>
      <c r="E4589" t="s">
        <v>5010</v>
      </c>
      <c r="F4589">
        <v>280</v>
      </c>
      <c r="G4589" s="1">
        <v>45206</v>
      </c>
      <c r="H4589" s="6">
        <f t="shared" si="144"/>
        <v>25.562500000000725</v>
      </c>
      <c r="I4589" s="7">
        <f t="shared" si="145"/>
        <v>25.562500000000725</v>
      </c>
    </row>
    <row r="4590" spans="1:9" x14ac:dyDescent="0.2">
      <c r="A4590" t="s">
        <v>5011</v>
      </c>
      <c r="B4590" s="2" t="s">
        <v>5012</v>
      </c>
      <c r="C4590">
        <v>6.5265000000000004E-2</v>
      </c>
      <c r="D4590">
        <v>280</v>
      </c>
      <c r="E4590" t="s">
        <v>5011</v>
      </c>
      <c r="F4590">
        <v>280</v>
      </c>
      <c r="G4590" s="1">
        <v>45206</v>
      </c>
      <c r="H4590" s="6">
        <f t="shared" si="144"/>
        <v>25.572916666667393</v>
      </c>
      <c r="I4590" s="7">
        <f t="shared" si="145"/>
        <v>25.572916666667393</v>
      </c>
    </row>
    <row r="4591" spans="1:9" x14ac:dyDescent="0.2">
      <c r="A4591" t="s">
        <v>5013</v>
      </c>
      <c r="B4591">
        <v>4.6535000000000002</v>
      </c>
      <c r="C4591">
        <v>6.5185000000000007E-2</v>
      </c>
      <c r="D4591">
        <v>280</v>
      </c>
      <c r="E4591" t="s">
        <v>5013</v>
      </c>
      <c r="F4591">
        <v>280</v>
      </c>
      <c r="G4591" s="1">
        <v>45206</v>
      </c>
      <c r="H4591" s="6">
        <f t="shared" si="144"/>
        <v>25.58333333333406</v>
      </c>
      <c r="I4591" s="7">
        <f t="shared" si="145"/>
        <v>25.58333333333406</v>
      </c>
    </row>
    <row r="4592" spans="1:9" x14ac:dyDescent="0.2">
      <c r="A4592" t="s">
        <v>5014</v>
      </c>
      <c r="B4592">
        <v>4.6485000000000003</v>
      </c>
      <c r="C4592">
        <v>6.5115000000000006E-2</v>
      </c>
      <c r="D4592">
        <v>280</v>
      </c>
      <c r="E4592" t="s">
        <v>5014</v>
      </c>
      <c r="F4592">
        <v>280</v>
      </c>
      <c r="G4592" s="1">
        <v>45206</v>
      </c>
      <c r="H4592" s="6">
        <f t="shared" si="144"/>
        <v>25.593750000000728</v>
      </c>
      <c r="I4592" s="7">
        <f t="shared" si="145"/>
        <v>25.593750000000728</v>
      </c>
    </row>
    <row r="4593" spans="1:9" x14ac:dyDescent="0.2">
      <c r="A4593" t="s">
        <v>5015</v>
      </c>
      <c r="B4593">
        <v>4.6840000000000002</v>
      </c>
      <c r="C4593">
        <v>6.5619999999999998E-2</v>
      </c>
      <c r="D4593">
        <v>281</v>
      </c>
      <c r="E4593" t="s">
        <v>5015</v>
      </c>
      <c r="F4593">
        <v>280</v>
      </c>
      <c r="G4593" s="1">
        <v>45206</v>
      </c>
      <c r="H4593" s="6">
        <f t="shared" si="144"/>
        <v>25.604166666667396</v>
      </c>
      <c r="I4593" s="7">
        <f t="shared" si="145"/>
        <v>25.604166666667396</v>
      </c>
    </row>
    <row r="4594" spans="1:9" x14ac:dyDescent="0.2">
      <c r="A4594" t="s">
        <v>5016</v>
      </c>
      <c r="B4594">
        <v>4.6944999999999997</v>
      </c>
      <c r="C4594">
        <v>6.5739999999999896E-2</v>
      </c>
      <c r="D4594">
        <v>281</v>
      </c>
      <c r="E4594" t="s">
        <v>5016</v>
      </c>
      <c r="F4594">
        <v>280</v>
      </c>
      <c r="G4594" s="1">
        <v>45206</v>
      </c>
      <c r="H4594" s="6">
        <f t="shared" si="144"/>
        <v>25.614583333334064</v>
      </c>
      <c r="I4594" s="7">
        <f t="shared" si="145"/>
        <v>25.614583333334064</v>
      </c>
    </row>
    <row r="4595" spans="1:9" x14ac:dyDescent="0.2">
      <c r="A4595" t="s">
        <v>5017</v>
      </c>
      <c r="B4595">
        <v>4.7115</v>
      </c>
      <c r="C4595">
        <v>6.5994999999999998E-2</v>
      </c>
      <c r="D4595">
        <v>281</v>
      </c>
      <c r="E4595" t="s">
        <v>5017</v>
      </c>
      <c r="F4595">
        <v>280</v>
      </c>
      <c r="G4595" s="1">
        <v>45206</v>
      </c>
      <c r="H4595" s="6">
        <f t="shared" si="144"/>
        <v>25.625000000000732</v>
      </c>
      <c r="I4595" s="7">
        <f t="shared" si="145"/>
        <v>25.625000000000732</v>
      </c>
    </row>
    <row r="4596" spans="1:9" x14ac:dyDescent="0.2">
      <c r="A4596" t="s">
        <v>5018</v>
      </c>
      <c r="B4596">
        <v>4.7</v>
      </c>
      <c r="C4596">
        <v>6.5839999999999996E-2</v>
      </c>
      <c r="D4596">
        <v>281</v>
      </c>
      <c r="E4596" t="s">
        <v>5018</v>
      </c>
      <c r="F4596">
        <v>280</v>
      </c>
      <c r="G4596" s="1">
        <v>45206</v>
      </c>
      <c r="H4596" s="6">
        <f t="shared" si="144"/>
        <v>25.6354166666674</v>
      </c>
      <c r="I4596" s="7">
        <f t="shared" si="145"/>
        <v>25.6354166666674</v>
      </c>
    </row>
    <row r="4597" spans="1:9" x14ac:dyDescent="0.2">
      <c r="A4597" t="s">
        <v>5019</v>
      </c>
      <c r="B4597">
        <v>4.7285000000000004</v>
      </c>
      <c r="C4597">
        <v>6.6239999999999993E-2</v>
      </c>
      <c r="D4597">
        <v>281</v>
      </c>
      <c r="E4597" t="s">
        <v>5019</v>
      </c>
      <c r="F4597">
        <v>280</v>
      </c>
      <c r="G4597" s="1">
        <v>45206</v>
      </c>
      <c r="H4597" s="6">
        <f t="shared" si="144"/>
        <v>25.645833333334068</v>
      </c>
      <c r="I4597" s="7">
        <f t="shared" si="145"/>
        <v>25.645833333334068</v>
      </c>
    </row>
    <row r="4598" spans="1:9" x14ac:dyDescent="0.2">
      <c r="A4598" t="s">
        <v>5020</v>
      </c>
      <c r="B4598">
        <v>4.6924999999999999</v>
      </c>
      <c r="C4598">
        <v>6.5735000000000002E-2</v>
      </c>
      <c r="D4598">
        <v>281</v>
      </c>
      <c r="E4598" t="s">
        <v>5020</v>
      </c>
      <c r="F4598">
        <v>280</v>
      </c>
      <c r="G4598" s="1">
        <v>45206</v>
      </c>
      <c r="H4598" s="6">
        <f t="shared" si="144"/>
        <v>25.656250000000735</v>
      </c>
      <c r="I4598" s="7">
        <f t="shared" si="145"/>
        <v>25.656250000000735</v>
      </c>
    </row>
    <row r="4599" spans="1:9" x14ac:dyDescent="0.2">
      <c r="A4599" t="s">
        <v>5021</v>
      </c>
      <c r="B4599">
        <v>4.6955</v>
      </c>
      <c r="C4599">
        <v>6.5780000000000005E-2</v>
      </c>
      <c r="D4599">
        <v>281</v>
      </c>
      <c r="E4599" t="s">
        <v>5021</v>
      </c>
      <c r="F4599">
        <v>280</v>
      </c>
      <c r="G4599" s="1">
        <v>45206</v>
      </c>
      <c r="H4599" s="6">
        <f t="shared" si="144"/>
        <v>25.666666666667403</v>
      </c>
      <c r="I4599" s="7">
        <f t="shared" si="145"/>
        <v>25.666666666667403</v>
      </c>
    </row>
    <row r="4600" spans="1:9" x14ac:dyDescent="0.2">
      <c r="A4600" t="s">
        <v>5022</v>
      </c>
      <c r="B4600">
        <v>4.7714999999999996</v>
      </c>
      <c r="C4600">
        <v>6.6839999999999997E-2</v>
      </c>
      <c r="D4600">
        <v>281</v>
      </c>
      <c r="E4600" t="s">
        <v>5022</v>
      </c>
      <c r="F4600">
        <v>280</v>
      </c>
      <c r="G4600" s="1">
        <v>45206</v>
      </c>
      <c r="H4600" s="6">
        <f t="shared" si="144"/>
        <v>25.677083333334071</v>
      </c>
      <c r="I4600" s="7">
        <f t="shared" si="145"/>
        <v>25.677083333334071</v>
      </c>
    </row>
    <row r="4601" spans="1:9" x14ac:dyDescent="0.2">
      <c r="A4601" t="s">
        <v>5023</v>
      </c>
      <c r="B4601">
        <v>4.7830000000000004</v>
      </c>
      <c r="C4601">
        <v>6.701E-2</v>
      </c>
      <c r="D4601">
        <v>281</v>
      </c>
      <c r="E4601" t="s">
        <v>5023</v>
      </c>
      <c r="F4601">
        <v>280</v>
      </c>
      <c r="G4601" s="1">
        <v>45206</v>
      </c>
      <c r="H4601" s="6">
        <f t="shared" si="144"/>
        <v>25.687500000000739</v>
      </c>
      <c r="I4601" s="7">
        <f t="shared" si="145"/>
        <v>25.687500000000739</v>
      </c>
    </row>
    <row r="4602" spans="1:9" x14ac:dyDescent="0.2">
      <c r="A4602" t="s">
        <v>5024</v>
      </c>
      <c r="B4602">
        <v>4.8155000000000001</v>
      </c>
      <c r="C4602">
        <v>6.7434999999999995E-2</v>
      </c>
      <c r="D4602">
        <v>281</v>
      </c>
      <c r="E4602" t="s">
        <v>5024</v>
      </c>
      <c r="F4602">
        <v>280</v>
      </c>
      <c r="G4602" s="1">
        <v>45206</v>
      </c>
      <c r="H4602" s="6">
        <f t="shared" si="144"/>
        <v>25.697916666667407</v>
      </c>
      <c r="I4602" s="7">
        <f t="shared" si="145"/>
        <v>25.697916666667407</v>
      </c>
    </row>
    <row r="4603" spans="1:9" x14ac:dyDescent="0.2">
      <c r="A4603" t="s">
        <v>5025</v>
      </c>
      <c r="B4603">
        <v>4.8215000000000003</v>
      </c>
      <c r="C4603">
        <v>6.7544999999999994E-2</v>
      </c>
      <c r="D4603">
        <v>281</v>
      </c>
      <c r="E4603" t="s">
        <v>5025</v>
      </c>
      <c r="F4603">
        <v>280</v>
      </c>
      <c r="G4603" s="1">
        <v>45206</v>
      </c>
      <c r="H4603" s="6">
        <f t="shared" si="144"/>
        <v>25.708333333334075</v>
      </c>
      <c r="I4603" s="7">
        <f t="shared" si="145"/>
        <v>25.708333333334075</v>
      </c>
    </row>
    <row r="4604" spans="1:9" x14ac:dyDescent="0.2">
      <c r="A4604" t="s">
        <v>5026</v>
      </c>
      <c r="B4604">
        <v>4.9080000000000004</v>
      </c>
      <c r="C4604">
        <v>6.8729999999999999E-2</v>
      </c>
      <c r="D4604">
        <v>281</v>
      </c>
      <c r="E4604" t="s">
        <v>5026</v>
      </c>
      <c r="F4604">
        <v>280</v>
      </c>
      <c r="G4604" s="1">
        <v>45206</v>
      </c>
      <c r="H4604" s="6">
        <f t="shared" si="144"/>
        <v>25.718750000000743</v>
      </c>
      <c r="I4604" s="7">
        <f t="shared" si="145"/>
        <v>25.718750000000743</v>
      </c>
    </row>
    <row r="4605" spans="1:9" x14ac:dyDescent="0.2">
      <c r="A4605" t="s">
        <v>5027</v>
      </c>
      <c r="B4605">
        <v>4.9249999999999998</v>
      </c>
      <c r="C4605">
        <v>6.898E-2</v>
      </c>
      <c r="D4605">
        <v>281</v>
      </c>
      <c r="E4605" t="s">
        <v>5027</v>
      </c>
      <c r="F4605">
        <v>280</v>
      </c>
      <c r="G4605" s="1">
        <v>45206</v>
      </c>
      <c r="H4605" s="6">
        <f t="shared" si="144"/>
        <v>25.72916666666741</v>
      </c>
      <c r="I4605" s="7">
        <f t="shared" si="145"/>
        <v>25.72916666666741</v>
      </c>
    </row>
    <row r="4606" spans="1:9" x14ac:dyDescent="0.2">
      <c r="A4606" t="s">
        <v>5028</v>
      </c>
      <c r="B4606">
        <v>4.9584999999999999</v>
      </c>
      <c r="C4606">
        <v>6.9464999999999999E-2</v>
      </c>
      <c r="D4606">
        <v>281</v>
      </c>
      <c r="E4606" t="s">
        <v>5028</v>
      </c>
      <c r="F4606">
        <v>280</v>
      </c>
      <c r="G4606" s="1">
        <v>45206</v>
      </c>
      <c r="H4606" s="6">
        <f t="shared" si="144"/>
        <v>25.739583333334078</v>
      </c>
      <c r="I4606" s="7">
        <f t="shared" si="145"/>
        <v>25.739583333334078</v>
      </c>
    </row>
    <row r="4607" spans="1:9" x14ac:dyDescent="0.2">
      <c r="A4607" t="s">
        <v>5029</v>
      </c>
      <c r="B4607">
        <v>5.0060000000000002</v>
      </c>
      <c r="C4607">
        <v>7.0114999999999997E-2</v>
      </c>
      <c r="D4607">
        <v>281</v>
      </c>
      <c r="E4607" t="s">
        <v>5029</v>
      </c>
      <c r="F4607">
        <v>280</v>
      </c>
      <c r="G4607" s="1">
        <v>45206</v>
      </c>
      <c r="H4607" s="6">
        <f t="shared" si="144"/>
        <v>25.750000000000746</v>
      </c>
      <c r="I4607" s="7">
        <f t="shared" si="145"/>
        <v>25.750000000000746</v>
      </c>
    </row>
    <row r="4608" spans="1:9" x14ac:dyDescent="0.2">
      <c r="A4608" t="s">
        <v>5030</v>
      </c>
      <c r="B4608">
        <v>4.9824999999999999</v>
      </c>
      <c r="C4608">
        <v>6.9779999999999995E-2</v>
      </c>
      <c r="D4608">
        <v>281</v>
      </c>
      <c r="E4608" t="s">
        <v>5030</v>
      </c>
      <c r="F4608">
        <v>280</v>
      </c>
      <c r="G4608" s="1">
        <v>45206</v>
      </c>
      <c r="H4608" s="6">
        <f t="shared" si="144"/>
        <v>25.760416666667414</v>
      </c>
      <c r="I4608" s="7">
        <f t="shared" si="145"/>
        <v>25.760416666667414</v>
      </c>
    </row>
    <row r="4609" spans="1:9" x14ac:dyDescent="0.2">
      <c r="A4609" t="s">
        <v>5031</v>
      </c>
      <c r="B4609">
        <v>5.0720000000000001</v>
      </c>
      <c r="C4609">
        <v>7.1054999999999993E-2</v>
      </c>
      <c r="D4609">
        <v>281</v>
      </c>
      <c r="E4609" t="s">
        <v>5031</v>
      </c>
      <c r="F4609">
        <v>280</v>
      </c>
      <c r="G4609" s="1">
        <v>45206</v>
      </c>
      <c r="H4609" s="6">
        <f t="shared" si="144"/>
        <v>25.770833333334082</v>
      </c>
      <c r="I4609" s="7">
        <f t="shared" si="145"/>
        <v>25.770833333334082</v>
      </c>
    </row>
    <row r="4610" spans="1:9" x14ac:dyDescent="0.2">
      <c r="A4610" t="s">
        <v>5032</v>
      </c>
      <c r="B4610">
        <v>5.1615000000000002</v>
      </c>
      <c r="C4610">
        <v>7.2315000000000004E-2</v>
      </c>
      <c r="D4610">
        <v>281</v>
      </c>
      <c r="E4610" t="s">
        <v>5032</v>
      </c>
      <c r="F4610">
        <v>280</v>
      </c>
      <c r="G4610" s="1">
        <v>45206</v>
      </c>
      <c r="H4610" s="6">
        <f t="shared" si="144"/>
        <v>25.78125000000075</v>
      </c>
      <c r="I4610" s="7">
        <f t="shared" si="145"/>
        <v>25.78125000000075</v>
      </c>
    </row>
    <row r="4611" spans="1:9" x14ac:dyDescent="0.2">
      <c r="A4611" t="s">
        <v>5033</v>
      </c>
      <c r="B4611">
        <v>5.1920000000000002</v>
      </c>
      <c r="C4611">
        <v>7.2734999999999994E-2</v>
      </c>
      <c r="D4611">
        <v>281</v>
      </c>
      <c r="E4611" t="s">
        <v>5033</v>
      </c>
      <c r="F4611">
        <v>280</v>
      </c>
      <c r="G4611" s="1">
        <v>45206</v>
      </c>
      <c r="H4611" s="6">
        <f t="shared" si="144"/>
        <v>25.791666666667417</v>
      </c>
      <c r="I4611" s="7">
        <f t="shared" si="145"/>
        <v>25.791666666667417</v>
      </c>
    </row>
    <row r="4612" spans="1:9" x14ac:dyDescent="0.2">
      <c r="A4612" t="s">
        <v>5034</v>
      </c>
      <c r="B4612">
        <v>5.2050000000000001</v>
      </c>
      <c r="C4612">
        <v>7.2900000000000006E-2</v>
      </c>
      <c r="D4612">
        <v>281</v>
      </c>
      <c r="E4612" t="s">
        <v>5034</v>
      </c>
      <c r="F4612">
        <v>280</v>
      </c>
      <c r="G4612" s="1">
        <v>45206</v>
      </c>
      <c r="H4612" s="6">
        <f t="shared" si="144"/>
        <v>25.802083333334085</v>
      </c>
      <c r="I4612" s="7">
        <f t="shared" si="145"/>
        <v>25.802083333334085</v>
      </c>
    </row>
    <row r="4613" spans="1:9" x14ac:dyDescent="0.2">
      <c r="A4613" t="s">
        <v>5035</v>
      </c>
      <c r="B4613">
        <v>5.1825000000000001</v>
      </c>
      <c r="C4613">
        <v>7.2590000000000002E-2</v>
      </c>
      <c r="D4613">
        <v>281</v>
      </c>
      <c r="E4613" t="s">
        <v>5035</v>
      </c>
      <c r="F4613">
        <v>280</v>
      </c>
      <c r="G4613" s="1">
        <v>45206</v>
      </c>
      <c r="H4613" s="6">
        <f t="shared" si="144"/>
        <v>25.812500000000753</v>
      </c>
      <c r="I4613" s="7">
        <f t="shared" si="145"/>
        <v>25.812500000000753</v>
      </c>
    </row>
    <row r="4614" spans="1:9" x14ac:dyDescent="0.2">
      <c r="A4614" t="s">
        <v>5036</v>
      </c>
      <c r="B4614">
        <v>5.2549999999999999</v>
      </c>
      <c r="C4614">
        <v>7.3599999999999999E-2</v>
      </c>
      <c r="D4614">
        <v>281</v>
      </c>
      <c r="E4614" t="s">
        <v>5036</v>
      </c>
      <c r="F4614">
        <v>280</v>
      </c>
      <c r="G4614" s="1">
        <v>45206</v>
      </c>
      <c r="H4614" s="6">
        <f t="shared" si="144"/>
        <v>25.822916666667421</v>
      </c>
      <c r="I4614" s="7">
        <f t="shared" si="145"/>
        <v>25.822916666667421</v>
      </c>
    </row>
    <row r="4615" spans="1:9" x14ac:dyDescent="0.2">
      <c r="A4615" t="s">
        <v>5037</v>
      </c>
      <c r="B4615">
        <v>5.2605000000000004</v>
      </c>
      <c r="C4615">
        <v>7.3690000000000005E-2</v>
      </c>
      <c r="D4615">
        <v>281</v>
      </c>
      <c r="E4615" t="s">
        <v>5037</v>
      </c>
      <c r="F4615">
        <v>280</v>
      </c>
      <c r="G4615" s="1">
        <v>45206</v>
      </c>
      <c r="H4615" s="6">
        <f t="shared" si="144"/>
        <v>25.833333333334089</v>
      </c>
      <c r="I4615" s="7">
        <f t="shared" si="145"/>
        <v>25.833333333334089</v>
      </c>
    </row>
    <row r="4616" spans="1:9" x14ac:dyDescent="0.2">
      <c r="A4616" t="s">
        <v>5038</v>
      </c>
      <c r="B4616">
        <v>5.3070000000000004</v>
      </c>
      <c r="C4616">
        <v>7.4319999999999997E-2</v>
      </c>
      <c r="D4616">
        <v>281</v>
      </c>
      <c r="E4616" t="s">
        <v>5038</v>
      </c>
      <c r="F4616">
        <v>280</v>
      </c>
      <c r="G4616" s="1">
        <v>45206</v>
      </c>
      <c r="H4616" s="6">
        <f t="shared" si="144"/>
        <v>25.843750000000757</v>
      </c>
      <c r="I4616" s="7">
        <f t="shared" si="145"/>
        <v>25.843750000000757</v>
      </c>
    </row>
    <row r="4617" spans="1:9" x14ac:dyDescent="0.2">
      <c r="A4617" t="s">
        <v>5039</v>
      </c>
      <c r="B4617">
        <v>5.2439999999999998</v>
      </c>
      <c r="C4617">
        <v>7.3465000000000003E-2</v>
      </c>
      <c r="D4617">
        <v>281</v>
      </c>
      <c r="E4617" t="s">
        <v>5039</v>
      </c>
      <c r="F4617">
        <v>281</v>
      </c>
      <c r="G4617" s="1">
        <v>45207</v>
      </c>
      <c r="H4617" s="6">
        <f t="shared" si="144"/>
        <v>25.854166666667425</v>
      </c>
      <c r="I4617" s="7">
        <f t="shared" si="145"/>
        <v>25.854166666667425</v>
      </c>
    </row>
    <row r="4618" spans="1:9" x14ac:dyDescent="0.2">
      <c r="A4618" t="s">
        <v>5040</v>
      </c>
      <c r="B4618">
        <v>4.7359999999999998</v>
      </c>
      <c r="C4618">
        <v>6.633E-2</v>
      </c>
      <c r="D4618">
        <v>281</v>
      </c>
      <c r="E4618" t="s">
        <v>5040</v>
      </c>
      <c r="F4618">
        <v>281</v>
      </c>
      <c r="G4618" s="1">
        <v>45207</v>
      </c>
      <c r="H4618" s="6">
        <f t="shared" si="144"/>
        <v>25.864583333334092</v>
      </c>
      <c r="I4618" s="7">
        <f t="shared" si="145"/>
        <v>25.864583333334092</v>
      </c>
    </row>
    <row r="4619" spans="1:9" x14ac:dyDescent="0.2">
      <c r="A4619" t="s">
        <v>5041</v>
      </c>
      <c r="B4619">
        <v>5.2794999999999996</v>
      </c>
      <c r="C4619">
        <v>7.3959999999999998E-2</v>
      </c>
      <c r="D4619">
        <v>281</v>
      </c>
      <c r="E4619" t="s">
        <v>5041</v>
      </c>
      <c r="F4619">
        <v>281</v>
      </c>
      <c r="G4619" s="1">
        <v>45207</v>
      </c>
      <c r="H4619" s="6">
        <f t="shared" si="144"/>
        <v>25.87500000000076</v>
      </c>
      <c r="I4619" s="7">
        <f t="shared" si="145"/>
        <v>25.87500000000076</v>
      </c>
    </row>
    <row r="4620" spans="1:9" x14ac:dyDescent="0.2">
      <c r="A4620" t="s">
        <v>5042</v>
      </c>
      <c r="B4620">
        <v>5.306</v>
      </c>
      <c r="C4620">
        <v>7.4314999999999895E-2</v>
      </c>
      <c r="D4620">
        <v>281</v>
      </c>
      <c r="E4620" t="s">
        <v>5042</v>
      </c>
      <c r="F4620">
        <v>281</v>
      </c>
      <c r="G4620" s="1">
        <v>45207</v>
      </c>
      <c r="H4620" s="6">
        <f t="shared" si="144"/>
        <v>25.885416666667428</v>
      </c>
      <c r="I4620" s="7">
        <f t="shared" si="145"/>
        <v>25.885416666667428</v>
      </c>
    </row>
    <row r="4621" spans="1:9" x14ac:dyDescent="0.2">
      <c r="A4621" t="s">
        <v>5043</v>
      </c>
      <c r="B4621">
        <v>5.2664999999999997</v>
      </c>
      <c r="C4621">
        <v>7.3770000000000002E-2</v>
      </c>
      <c r="D4621">
        <v>281</v>
      </c>
      <c r="E4621" t="s">
        <v>5043</v>
      </c>
      <c r="F4621">
        <v>281</v>
      </c>
      <c r="G4621" s="1">
        <v>45207</v>
      </c>
      <c r="H4621" s="6">
        <f t="shared" si="144"/>
        <v>25.895833333334096</v>
      </c>
      <c r="I4621" s="7">
        <f t="shared" si="145"/>
        <v>25.895833333334096</v>
      </c>
    </row>
    <row r="4622" spans="1:9" x14ac:dyDescent="0.2">
      <c r="A4622" t="s">
        <v>5044</v>
      </c>
      <c r="B4622">
        <v>5.3135000000000003</v>
      </c>
      <c r="C4622">
        <v>7.4435000000000001E-2</v>
      </c>
      <c r="D4622">
        <v>281</v>
      </c>
      <c r="E4622" t="s">
        <v>5044</v>
      </c>
      <c r="F4622">
        <v>281</v>
      </c>
      <c r="G4622" s="1">
        <v>45207</v>
      </c>
      <c r="H4622" s="6">
        <f t="shared" si="144"/>
        <v>25.906250000000764</v>
      </c>
      <c r="I4622" s="7">
        <f t="shared" si="145"/>
        <v>25.906250000000764</v>
      </c>
    </row>
    <row r="4623" spans="1:9" x14ac:dyDescent="0.2">
      <c r="A4623" t="s">
        <v>5045</v>
      </c>
      <c r="B4623">
        <v>5.3105000000000002</v>
      </c>
      <c r="C4623">
        <v>7.4385000000000007E-2</v>
      </c>
      <c r="D4623">
        <v>281</v>
      </c>
      <c r="E4623" t="s">
        <v>5045</v>
      </c>
      <c r="F4623">
        <v>281</v>
      </c>
      <c r="G4623" s="1">
        <v>45207</v>
      </c>
      <c r="H4623" s="6">
        <f t="shared" si="144"/>
        <v>25.916666666667432</v>
      </c>
      <c r="I4623" s="7">
        <f t="shared" si="145"/>
        <v>25.916666666667432</v>
      </c>
    </row>
    <row r="4624" spans="1:9" x14ac:dyDescent="0.2">
      <c r="A4624" t="s">
        <v>5046</v>
      </c>
      <c r="B4624">
        <v>5.3164999999999996</v>
      </c>
      <c r="C4624">
        <v>7.4459999999999998E-2</v>
      </c>
      <c r="D4624">
        <v>281</v>
      </c>
      <c r="E4624" t="s">
        <v>5046</v>
      </c>
      <c r="F4624">
        <v>281</v>
      </c>
      <c r="G4624" s="1">
        <v>45207</v>
      </c>
      <c r="H4624" s="6">
        <f t="shared" si="144"/>
        <v>25.9270833333341</v>
      </c>
      <c r="I4624" s="7">
        <f t="shared" si="145"/>
        <v>25.9270833333341</v>
      </c>
    </row>
    <row r="4625" spans="1:9" x14ac:dyDescent="0.2">
      <c r="A4625" t="s">
        <v>5047</v>
      </c>
      <c r="B4625" s="2" t="s">
        <v>5048</v>
      </c>
      <c r="C4625">
        <v>7.4829999999999994E-2</v>
      </c>
      <c r="D4625">
        <v>281</v>
      </c>
      <c r="E4625" t="s">
        <v>5047</v>
      </c>
      <c r="F4625">
        <v>281</v>
      </c>
      <c r="G4625" s="1">
        <v>45207</v>
      </c>
      <c r="H4625" s="6">
        <f t="shared" si="144"/>
        <v>25.937500000000767</v>
      </c>
      <c r="I4625" s="7">
        <f t="shared" si="145"/>
        <v>25.937500000000767</v>
      </c>
    </row>
    <row r="4626" spans="1:9" x14ac:dyDescent="0.2">
      <c r="A4626" t="s">
        <v>5049</v>
      </c>
      <c r="B4626">
        <v>5.3170000000000002</v>
      </c>
      <c r="C4626">
        <v>7.4469999999999995E-2</v>
      </c>
      <c r="D4626">
        <v>281</v>
      </c>
      <c r="E4626" t="s">
        <v>5049</v>
      </c>
      <c r="F4626">
        <v>281</v>
      </c>
      <c r="G4626" s="1">
        <v>45207</v>
      </c>
      <c r="H4626" s="6">
        <f t="shared" si="144"/>
        <v>25.947916666667435</v>
      </c>
      <c r="I4626" s="7">
        <f t="shared" si="145"/>
        <v>25.947916666667435</v>
      </c>
    </row>
    <row r="4627" spans="1:9" x14ac:dyDescent="0.2">
      <c r="A4627" t="s">
        <v>5050</v>
      </c>
      <c r="B4627">
        <v>5.242</v>
      </c>
      <c r="C4627">
        <v>7.3419999999999999E-2</v>
      </c>
      <c r="D4627">
        <v>281</v>
      </c>
      <c r="E4627" t="s">
        <v>5050</v>
      </c>
      <c r="F4627">
        <v>281</v>
      </c>
      <c r="G4627" s="1">
        <v>45207</v>
      </c>
      <c r="H4627" s="6">
        <f t="shared" si="144"/>
        <v>25.958333333334103</v>
      </c>
      <c r="I4627" s="7">
        <f t="shared" si="145"/>
        <v>25.958333333334103</v>
      </c>
    </row>
    <row r="4628" spans="1:9" x14ac:dyDescent="0.2">
      <c r="A4628" t="s">
        <v>5051</v>
      </c>
      <c r="B4628">
        <v>5.2685000000000004</v>
      </c>
      <c r="C4628">
        <v>7.3800000000000004E-2</v>
      </c>
      <c r="D4628">
        <v>281</v>
      </c>
      <c r="E4628" t="s">
        <v>5051</v>
      </c>
      <c r="F4628">
        <v>281</v>
      </c>
      <c r="G4628" s="1">
        <v>45207</v>
      </c>
      <c r="H4628" s="6">
        <f t="shared" si="144"/>
        <v>25.968750000000771</v>
      </c>
      <c r="I4628" s="7">
        <f t="shared" si="145"/>
        <v>25.968750000000771</v>
      </c>
    </row>
    <row r="4629" spans="1:9" x14ac:dyDescent="0.2">
      <c r="A4629" t="s">
        <v>5052</v>
      </c>
      <c r="B4629">
        <v>5.2835000000000001</v>
      </c>
      <c r="C4629">
        <v>7.3999999999999996E-2</v>
      </c>
      <c r="D4629">
        <v>281</v>
      </c>
      <c r="E4629" t="s">
        <v>5052</v>
      </c>
      <c r="F4629">
        <v>281</v>
      </c>
      <c r="G4629" s="1">
        <v>45207</v>
      </c>
      <c r="H4629" s="6">
        <f t="shared" si="144"/>
        <v>25.979166666667439</v>
      </c>
      <c r="I4629" s="7">
        <f t="shared" si="145"/>
        <v>25.979166666667439</v>
      </c>
    </row>
    <row r="4630" spans="1:9" x14ac:dyDescent="0.2">
      <c r="A4630" t="s">
        <v>5053</v>
      </c>
      <c r="B4630">
        <v>5.306</v>
      </c>
      <c r="C4630">
        <v>7.4325000000000002E-2</v>
      </c>
      <c r="D4630">
        <v>281</v>
      </c>
      <c r="E4630" t="s">
        <v>5053</v>
      </c>
      <c r="F4630">
        <v>281</v>
      </c>
      <c r="G4630" s="1">
        <v>45207</v>
      </c>
      <c r="H4630" s="6">
        <f t="shared" si="144"/>
        <v>25.989583333334107</v>
      </c>
      <c r="I4630" s="7">
        <f t="shared" si="145"/>
        <v>25.989583333334107</v>
      </c>
    </row>
    <row r="4631" spans="1:9" x14ac:dyDescent="0.2">
      <c r="A4631" t="s">
        <v>5054</v>
      </c>
      <c r="B4631">
        <v>5.2409999999999997</v>
      </c>
      <c r="C4631">
        <v>7.3389999999999997E-2</v>
      </c>
      <c r="D4631">
        <v>281</v>
      </c>
      <c r="E4631" t="s">
        <v>5054</v>
      </c>
      <c r="F4631">
        <v>281</v>
      </c>
      <c r="G4631" s="1">
        <v>45207</v>
      </c>
      <c r="H4631" s="6">
        <f t="shared" si="144"/>
        <v>26.000000000000774</v>
      </c>
      <c r="I4631" s="7">
        <f t="shared" si="145"/>
        <v>26.000000000000774</v>
      </c>
    </row>
    <row r="4632" spans="1:9" x14ac:dyDescent="0.2">
      <c r="A4632" t="s">
        <v>5055</v>
      </c>
      <c r="B4632">
        <v>5.3029999999999999</v>
      </c>
      <c r="C4632">
        <v>7.4289999999999995E-2</v>
      </c>
      <c r="D4632">
        <v>281</v>
      </c>
      <c r="E4632" t="s">
        <v>5055</v>
      </c>
      <c r="F4632">
        <v>281</v>
      </c>
      <c r="G4632" s="1">
        <v>45207</v>
      </c>
      <c r="H4632" s="6">
        <f t="shared" si="144"/>
        <v>26.010416666667442</v>
      </c>
      <c r="I4632" s="7">
        <f t="shared" si="145"/>
        <v>26.010416666667442</v>
      </c>
    </row>
    <row r="4633" spans="1:9" x14ac:dyDescent="0.2">
      <c r="A4633" t="s">
        <v>5056</v>
      </c>
      <c r="B4633">
        <v>5.2735000000000003</v>
      </c>
      <c r="C4633">
        <v>7.3859999999999995E-2</v>
      </c>
      <c r="D4633">
        <v>281</v>
      </c>
      <c r="E4633" t="s">
        <v>5056</v>
      </c>
      <c r="F4633">
        <v>281</v>
      </c>
      <c r="G4633" s="1">
        <v>45207</v>
      </c>
      <c r="H4633" s="6">
        <f t="shared" si="144"/>
        <v>26.02083333333411</v>
      </c>
      <c r="I4633" s="7">
        <f t="shared" si="145"/>
        <v>26.02083333333411</v>
      </c>
    </row>
    <row r="4634" spans="1:9" x14ac:dyDescent="0.2">
      <c r="A4634" t="s">
        <v>5057</v>
      </c>
      <c r="B4634">
        <v>5.2484999999999999</v>
      </c>
      <c r="C4634">
        <v>7.3514999999999997E-2</v>
      </c>
      <c r="D4634">
        <v>281</v>
      </c>
      <c r="E4634" t="s">
        <v>5057</v>
      </c>
      <c r="F4634">
        <v>281</v>
      </c>
      <c r="G4634" s="1">
        <v>45207</v>
      </c>
      <c r="H4634" s="6">
        <f t="shared" si="144"/>
        <v>26.031250000000778</v>
      </c>
      <c r="I4634" s="7">
        <f t="shared" si="145"/>
        <v>26.031250000000778</v>
      </c>
    </row>
    <row r="4635" spans="1:9" x14ac:dyDescent="0.2">
      <c r="A4635" t="s">
        <v>5058</v>
      </c>
      <c r="B4635" s="2" t="s">
        <v>5059</v>
      </c>
      <c r="C4635">
        <v>7.3770000000000002E-2</v>
      </c>
      <c r="D4635">
        <v>281</v>
      </c>
      <c r="E4635" t="s">
        <v>5058</v>
      </c>
      <c r="F4635">
        <v>281</v>
      </c>
      <c r="G4635" s="1">
        <v>45207</v>
      </c>
      <c r="H4635" s="6">
        <f t="shared" si="144"/>
        <v>26.041666666667446</v>
      </c>
      <c r="I4635" s="7">
        <f t="shared" si="145"/>
        <v>26.041666666667446</v>
      </c>
    </row>
    <row r="4636" spans="1:9" x14ac:dyDescent="0.2">
      <c r="A4636" t="s">
        <v>5060</v>
      </c>
      <c r="B4636" s="2" t="s">
        <v>3945</v>
      </c>
      <c r="C4636">
        <v>7.3675000000000004E-2</v>
      </c>
      <c r="D4636">
        <v>281</v>
      </c>
      <c r="E4636" t="s">
        <v>5060</v>
      </c>
      <c r="F4636">
        <v>281</v>
      </c>
      <c r="G4636" s="1">
        <v>45207</v>
      </c>
      <c r="H4636" s="6">
        <f t="shared" ref="H4636:H4699" si="146">H4635+$K$1</f>
        <v>26.052083333334114</v>
      </c>
      <c r="I4636" s="7">
        <f t="shared" ref="I4636:I4699" si="147">I4635+$K$1</f>
        <v>26.052083333334114</v>
      </c>
    </row>
    <row r="4637" spans="1:9" x14ac:dyDescent="0.2">
      <c r="A4637" t="s">
        <v>5061</v>
      </c>
      <c r="B4637">
        <v>5.2450000000000001</v>
      </c>
      <c r="C4637">
        <v>7.3469999999999994E-2</v>
      </c>
      <c r="D4637">
        <v>281</v>
      </c>
      <c r="E4637" t="s">
        <v>5061</v>
      </c>
      <c r="F4637">
        <v>281</v>
      </c>
      <c r="G4637" s="1">
        <v>45207</v>
      </c>
      <c r="H4637" s="6">
        <f t="shared" si="146"/>
        <v>26.062500000000782</v>
      </c>
      <c r="I4637" s="7">
        <f t="shared" si="147"/>
        <v>26.062500000000782</v>
      </c>
    </row>
    <row r="4638" spans="1:9" x14ac:dyDescent="0.2">
      <c r="A4638" t="s">
        <v>5062</v>
      </c>
      <c r="B4638">
        <v>5.2275</v>
      </c>
      <c r="C4638">
        <v>7.3205000000000006E-2</v>
      </c>
      <c r="D4638">
        <v>281</v>
      </c>
      <c r="E4638" t="s">
        <v>5062</v>
      </c>
      <c r="F4638">
        <v>281</v>
      </c>
      <c r="G4638" s="1">
        <v>45207</v>
      </c>
      <c r="H4638" s="6">
        <f t="shared" si="146"/>
        <v>26.072916666667449</v>
      </c>
      <c r="I4638" s="7">
        <f t="shared" si="147"/>
        <v>26.072916666667449</v>
      </c>
    </row>
    <row r="4639" spans="1:9" x14ac:dyDescent="0.2">
      <c r="A4639" t="s">
        <v>5063</v>
      </c>
      <c r="B4639">
        <v>5.2584999999999997</v>
      </c>
      <c r="C4639">
        <v>7.3675000000000004E-2</v>
      </c>
      <c r="D4639">
        <v>281</v>
      </c>
      <c r="E4639" t="s">
        <v>5063</v>
      </c>
      <c r="F4639">
        <v>281</v>
      </c>
      <c r="G4639" s="1">
        <v>45207</v>
      </c>
      <c r="H4639" s="6">
        <f t="shared" si="146"/>
        <v>26.083333333334117</v>
      </c>
      <c r="I4639" s="7">
        <f t="shared" si="147"/>
        <v>26.083333333334117</v>
      </c>
    </row>
    <row r="4640" spans="1:9" x14ac:dyDescent="0.2">
      <c r="A4640" t="s">
        <v>5064</v>
      </c>
      <c r="B4640">
        <v>5.18</v>
      </c>
      <c r="C4640">
        <v>7.2569999999999996E-2</v>
      </c>
      <c r="D4640">
        <v>281</v>
      </c>
      <c r="E4640" t="s">
        <v>5064</v>
      </c>
      <c r="F4640">
        <v>281</v>
      </c>
      <c r="G4640" s="1">
        <v>45207</v>
      </c>
      <c r="H4640" s="6">
        <f t="shared" si="146"/>
        <v>26.093750000000785</v>
      </c>
      <c r="I4640" s="7">
        <f t="shared" si="147"/>
        <v>26.093750000000785</v>
      </c>
    </row>
    <row r="4641" spans="1:9" x14ac:dyDescent="0.2">
      <c r="A4641" t="s">
        <v>5065</v>
      </c>
      <c r="B4641">
        <v>5.2244999999999999</v>
      </c>
      <c r="C4641">
        <v>7.3160000000000003E-2</v>
      </c>
      <c r="D4641">
        <v>281</v>
      </c>
      <c r="E4641" t="s">
        <v>5065</v>
      </c>
      <c r="F4641">
        <v>281</v>
      </c>
      <c r="G4641" s="1">
        <v>45207</v>
      </c>
      <c r="H4641" s="6">
        <f t="shared" si="146"/>
        <v>26.104166666667453</v>
      </c>
      <c r="I4641" s="7">
        <f t="shared" si="147"/>
        <v>26.104166666667453</v>
      </c>
    </row>
    <row r="4642" spans="1:9" x14ac:dyDescent="0.2">
      <c r="A4642" t="s">
        <v>5066</v>
      </c>
      <c r="B4642">
        <v>5.2104999999999997</v>
      </c>
      <c r="C4642">
        <v>7.2984999999999994E-2</v>
      </c>
      <c r="D4642">
        <v>281</v>
      </c>
      <c r="E4642" t="s">
        <v>5066</v>
      </c>
      <c r="F4642">
        <v>281</v>
      </c>
      <c r="G4642" s="1">
        <v>45207</v>
      </c>
      <c r="H4642" s="6">
        <f t="shared" si="146"/>
        <v>26.114583333334121</v>
      </c>
      <c r="I4642" s="7">
        <f t="shared" si="147"/>
        <v>26.114583333334121</v>
      </c>
    </row>
    <row r="4643" spans="1:9" x14ac:dyDescent="0.2">
      <c r="A4643" t="s">
        <v>5067</v>
      </c>
      <c r="B4643">
        <v>5.2320000000000002</v>
      </c>
      <c r="C4643">
        <v>7.3279999999999998E-2</v>
      </c>
      <c r="D4643">
        <v>281</v>
      </c>
      <c r="E4643" t="s">
        <v>5067</v>
      </c>
      <c r="F4643">
        <v>281</v>
      </c>
      <c r="G4643" s="1">
        <v>45207</v>
      </c>
      <c r="H4643" s="6">
        <f t="shared" si="146"/>
        <v>26.125000000000789</v>
      </c>
      <c r="I4643" s="7">
        <f t="shared" si="147"/>
        <v>26.125000000000789</v>
      </c>
    </row>
    <row r="4644" spans="1:9" x14ac:dyDescent="0.2">
      <c r="A4644" t="s">
        <v>5068</v>
      </c>
      <c r="B4644">
        <v>5.2480000000000002</v>
      </c>
      <c r="C4644">
        <v>7.3499999999999996E-2</v>
      </c>
      <c r="D4644">
        <v>281</v>
      </c>
      <c r="E4644" t="s">
        <v>5068</v>
      </c>
      <c r="F4644">
        <v>281</v>
      </c>
      <c r="G4644" s="1">
        <v>45207</v>
      </c>
      <c r="H4644" s="6">
        <f t="shared" si="146"/>
        <v>26.135416666667457</v>
      </c>
      <c r="I4644" s="7">
        <f t="shared" si="147"/>
        <v>26.135416666667457</v>
      </c>
    </row>
    <row r="4645" spans="1:9" x14ac:dyDescent="0.2">
      <c r="A4645" t="s">
        <v>5069</v>
      </c>
      <c r="B4645">
        <v>5.1989999999999998</v>
      </c>
      <c r="C4645">
        <v>7.2830000000000006E-2</v>
      </c>
      <c r="D4645">
        <v>281</v>
      </c>
      <c r="E4645" t="s">
        <v>5069</v>
      </c>
      <c r="F4645">
        <v>281</v>
      </c>
      <c r="G4645" s="1">
        <v>45207</v>
      </c>
      <c r="H4645" s="6">
        <f t="shared" si="146"/>
        <v>26.145833333334124</v>
      </c>
      <c r="I4645" s="7">
        <f t="shared" si="147"/>
        <v>26.145833333334124</v>
      </c>
    </row>
    <row r="4646" spans="1:9" x14ac:dyDescent="0.2">
      <c r="A4646" t="s">
        <v>5070</v>
      </c>
      <c r="B4646">
        <v>5.194</v>
      </c>
      <c r="C4646">
        <v>7.2779999999999997E-2</v>
      </c>
      <c r="D4646">
        <v>281</v>
      </c>
      <c r="E4646" t="s">
        <v>5070</v>
      </c>
      <c r="F4646">
        <v>281</v>
      </c>
      <c r="G4646" s="1">
        <v>45207</v>
      </c>
      <c r="H4646" s="6">
        <f t="shared" si="146"/>
        <v>26.156250000000792</v>
      </c>
      <c r="I4646" s="7">
        <f t="shared" si="147"/>
        <v>26.156250000000792</v>
      </c>
    </row>
    <row r="4647" spans="1:9" x14ac:dyDescent="0.2">
      <c r="A4647" t="s">
        <v>5071</v>
      </c>
      <c r="B4647">
        <v>5.2465000000000002</v>
      </c>
      <c r="C4647">
        <v>7.349E-2</v>
      </c>
      <c r="D4647">
        <v>281</v>
      </c>
      <c r="E4647" t="s">
        <v>5071</v>
      </c>
      <c r="F4647">
        <v>281</v>
      </c>
      <c r="G4647" s="1">
        <v>45207</v>
      </c>
      <c r="H4647" s="6">
        <f t="shared" si="146"/>
        <v>26.16666666666746</v>
      </c>
      <c r="I4647" s="7">
        <f t="shared" si="147"/>
        <v>26.16666666666746</v>
      </c>
    </row>
    <row r="4648" spans="1:9" x14ac:dyDescent="0.2">
      <c r="A4648" t="s">
        <v>5072</v>
      </c>
      <c r="B4648">
        <v>5.1725000000000003</v>
      </c>
      <c r="C4648">
        <v>7.2455000000000006E-2</v>
      </c>
      <c r="D4648">
        <v>281</v>
      </c>
      <c r="E4648" t="s">
        <v>5072</v>
      </c>
      <c r="F4648">
        <v>281</v>
      </c>
      <c r="G4648" s="1">
        <v>45207</v>
      </c>
      <c r="H4648" s="6">
        <f t="shared" si="146"/>
        <v>26.177083333334128</v>
      </c>
      <c r="I4648" s="7">
        <f t="shared" si="147"/>
        <v>26.177083333334128</v>
      </c>
    </row>
    <row r="4649" spans="1:9" x14ac:dyDescent="0.2">
      <c r="A4649" t="s">
        <v>5073</v>
      </c>
      <c r="B4649">
        <v>5.1260000000000003</v>
      </c>
      <c r="C4649">
        <v>7.1800000000000003E-2</v>
      </c>
      <c r="D4649">
        <v>281</v>
      </c>
      <c r="E4649" t="s">
        <v>5073</v>
      </c>
      <c r="F4649">
        <v>281</v>
      </c>
      <c r="G4649" s="1">
        <v>45207</v>
      </c>
      <c r="H4649" s="6">
        <f t="shared" si="146"/>
        <v>26.187500000000796</v>
      </c>
      <c r="I4649" s="7">
        <f t="shared" si="147"/>
        <v>26.187500000000796</v>
      </c>
    </row>
    <row r="4650" spans="1:9" x14ac:dyDescent="0.2">
      <c r="A4650" t="s">
        <v>5074</v>
      </c>
      <c r="B4650">
        <v>5.1025</v>
      </c>
      <c r="C4650">
        <v>7.1480000000000002E-2</v>
      </c>
      <c r="D4650">
        <v>281</v>
      </c>
      <c r="E4650" t="s">
        <v>5074</v>
      </c>
      <c r="F4650">
        <v>281</v>
      </c>
      <c r="G4650" s="1">
        <v>45207</v>
      </c>
      <c r="H4650" s="6">
        <f t="shared" si="146"/>
        <v>26.197916666667464</v>
      </c>
      <c r="I4650" s="7">
        <f t="shared" si="147"/>
        <v>26.197916666667464</v>
      </c>
    </row>
    <row r="4651" spans="1:9" x14ac:dyDescent="0.2">
      <c r="A4651" t="s">
        <v>5075</v>
      </c>
      <c r="B4651">
        <v>5.1695000000000002</v>
      </c>
      <c r="C4651">
        <v>7.2425000000000003E-2</v>
      </c>
      <c r="D4651">
        <v>281</v>
      </c>
      <c r="E4651" t="s">
        <v>5075</v>
      </c>
      <c r="F4651">
        <v>281</v>
      </c>
      <c r="G4651" s="1">
        <v>45207</v>
      </c>
      <c r="H4651" s="6">
        <f t="shared" si="146"/>
        <v>26.208333333334132</v>
      </c>
      <c r="I4651" s="7">
        <f t="shared" si="147"/>
        <v>26.208333333334132</v>
      </c>
    </row>
    <row r="4652" spans="1:9" x14ac:dyDescent="0.2">
      <c r="A4652" t="s">
        <v>5076</v>
      </c>
      <c r="B4652">
        <v>5.1715</v>
      </c>
      <c r="C4652">
        <v>7.2444999999999996E-2</v>
      </c>
      <c r="D4652">
        <v>281</v>
      </c>
      <c r="E4652" t="s">
        <v>5076</v>
      </c>
      <c r="F4652">
        <v>281</v>
      </c>
      <c r="G4652" s="1">
        <v>45207</v>
      </c>
      <c r="H4652" s="6">
        <f t="shared" si="146"/>
        <v>26.218750000000799</v>
      </c>
      <c r="I4652" s="7">
        <f t="shared" si="147"/>
        <v>26.218750000000799</v>
      </c>
    </row>
    <row r="4653" spans="1:9" x14ac:dyDescent="0.2">
      <c r="A4653" t="s">
        <v>5077</v>
      </c>
      <c r="B4653">
        <v>5.0824999999999996</v>
      </c>
      <c r="C4653">
        <v>7.1184999999999998E-2</v>
      </c>
      <c r="D4653">
        <v>281</v>
      </c>
      <c r="E4653" t="s">
        <v>5077</v>
      </c>
      <c r="F4653">
        <v>281</v>
      </c>
      <c r="G4653" s="1">
        <v>45207</v>
      </c>
      <c r="H4653" s="6">
        <f t="shared" si="146"/>
        <v>26.229166666667467</v>
      </c>
      <c r="I4653" s="7">
        <f t="shared" si="147"/>
        <v>26.229166666667467</v>
      </c>
    </row>
    <row r="4654" spans="1:9" x14ac:dyDescent="0.2">
      <c r="A4654" t="s">
        <v>5078</v>
      </c>
      <c r="B4654">
        <v>5.0984999999999996</v>
      </c>
      <c r="C4654">
        <v>7.1415000000000006E-2</v>
      </c>
      <c r="D4654">
        <v>281</v>
      </c>
      <c r="E4654" t="s">
        <v>5078</v>
      </c>
      <c r="F4654">
        <v>281</v>
      </c>
      <c r="G4654" s="1">
        <v>45207</v>
      </c>
      <c r="H4654" s="6">
        <f t="shared" si="146"/>
        <v>26.239583333334135</v>
      </c>
      <c r="I4654" s="7">
        <f t="shared" si="147"/>
        <v>26.239583333334135</v>
      </c>
    </row>
    <row r="4655" spans="1:9" x14ac:dyDescent="0.2">
      <c r="A4655" t="s">
        <v>5079</v>
      </c>
      <c r="B4655">
        <v>5.0194999999999999</v>
      </c>
      <c r="C4655">
        <v>7.0294999999999996E-2</v>
      </c>
      <c r="D4655">
        <v>281</v>
      </c>
      <c r="E4655" t="s">
        <v>5079</v>
      </c>
      <c r="F4655">
        <v>281</v>
      </c>
      <c r="G4655" s="1">
        <v>45207</v>
      </c>
      <c r="H4655" s="6">
        <f t="shared" si="146"/>
        <v>26.250000000000803</v>
      </c>
      <c r="I4655" s="7">
        <f t="shared" si="147"/>
        <v>26.250000000000803</v>
      </c>
    </row>
    <row r="4656" spans="1:9" x14ac:dyDescent="0.2">
      <c r="A4656" t="s">
        <v>5080</v>
      </c>
      <c r="B4656">
        <v>4.9855</v>
      </c>
      <c r="C4656">
        <v>6.9815000000000002E-2</v>
      </c>
      <c r="D4656">
        <v>281</v>
      </c>
      <c r="E4656" t="s">
        <v>5080</v>
      </c>
      <c r="F4656">
        <v>281</v>
      </c>
      <c r="G4656" s="1">
        <v>45207</v>
      </c>
      <c r="H4656" s="6">
        <f t="shared" si="146"/>
        <v>26.260416666667471</v>
      </c>
      <c r="I4656" s="7">
        <f t="shared" si="147"/>
        <v>26.260416666667471</v>
      </c>
    </row>
    <row r="4657" spans="1:9" x14ac:dyDescent="0.2">
      <c r="A4657" t="s">
        <v>5081</v>
      </c>
      <c r="B4657">
        <v>4.9435000000000002</v>
      </c>
      <c r="C4657">
        <v>6.9235000000000005E-2</v>
      </c>
      <c r="D4657">
        <v>281</v>
      </c>
      <c r="E4657" t="s">
        <v>5081</v>
      </c>
      <c r="F4657">
        <v>281</v>
      </c>
      <c r="G4657" s="1">
        <v>45207</v>
      </c>
      <c r="H4657" s="6">
        <f t="shared" si="146"/>
        <v>26.270833333334139</v>
      </c>
      <c r="I4657" s="7">
        <f t="shared" si="147"/>
        <v>26.270833333334139</v>
      </c>
    </row>
    <row r="4658" spans="1:9" x14ac:dyDescent="0.2">
      <c r="A4658" t="s">
        <v>5082</v>
      </c>
      <c r="B4658">
        <v>4.9074999999999998</v>
      </c>
      <c r="C4658">
        <v>6.8739999999999996E-2</v>
      </c>
      <c r="D4658">
        <v>281</v>
      </c>
      <c r="E4658" t="s">
        <v>5082</v>
      </c>
      <c r="F4658">
        <v>281</v>
      </c>
      <c r="G4658" s="1">
        <v>45207</v>
      </c>
      <c r="H4658" s="6">
        <f t="shared" si="146"/>
        <v>26.281250000000806</v>
      </c>
      <c r="I4658" s="7">
        <f t="shared" si="147"/>
        <v>26.281250000000806</v>
      </c>
    </row>
    <row r="4659" spans="1:9" x14ac:dyDescent="0.2">
      <c r="A4659" t="s">
        <v>5083</v>
      </c>
      <c r="B4659">
        <v>4.8410000000000002</v>
      </c>
      <c r="C4659">
        <v>6.7784999999999998E-2</v>
      </c>
      <c r="D4659">
        <v>281</v>
      </c>
      <c r="E4659" t="s">
        <v>5083</v>
      </c>
      <c r="F4659">
        <v>281</v>
      </c>
      <c r="G4659" s="1">
        <v>45207</v>
      </c>
      <c r="H4659" s="6">
        <f t="shared" si="146"/>
        <v>26.291666666667474</v>
      </c>
      <c r="I4659" s="7">
        <f t="shared" si="147"/>
        <v>26.291666666667474</v>
      </c>
    </row>
    <row r="4660" spans="1:9" x14ac:dyDescent="0.2">
      <c r="A4660" t="s">
        <v>5084</v>
      </c>
      <c r="B4660">
        <v>4.8185000000000002</v>
      </c>
      <c r="C4660">
        <v>6.7500000000000004E-2</v>
      </c>
      <c r="D4660">
        <v>281</v>
      </c>
      <c r="E4660" t="s">
        <v>5084</v>
      </c>
      <c r="F4660">
        <v>281</v>
      </c>
      <c r="G4660" s="1">
        <v>45207</v>
      </c>
      <c r="H4660" s="6">
        <f t="shared" si="146"/>
        <v>26.302083333334142</v>
      </c>
      <c r="I4660" s="7">
        <f t="shared" si="147"/>
        <v>26.302083333334142</v>
      </c>
    </row>
    <row r="4661" spans="1:9" x14ac:dyDescent="0.2">
      <c r="A4661" t="s">
        <v>5085</v>
      </c>
      <c r="B4661">
        <v>4.766</v>
      </c>
      <c r="C4661">
        <v>6.6750000000000004E-2</v>
      </c>
      <c r="D4661">
        <v>281</v>
      </c>
      <c r="E4661" t="s">
        <v>5085</v>
      </c>
      <c r="F4661">
        <v>281</v>
      </c>
      <c r="G4661" s="1">
        <v>45207</v>
      </c>
      <c r="H4661" s="6">
        <f t="shared" si="146"/>
        <v>26.31250000000081</v>
      </c>
      <c r="I4661" s="7">
        <f t="shared" si="147"/>
        <v>26.31250000000081</v>
      </c>
    </row>
    <row r="4662" spans="1:9" x14ac:dyDescent="0.2">
      <c r="A4662" t="s">
        <v>5086</v>
      </c>
      <c r="B4662">
        <v>4.6455000000000002</v>
      </c>
      <c r="C4662">
        <v>6.5079999999999999E-2</v>
      </c>
      <c r="D4662">
        <v>281</v>
      </c>
      <c r="E4662" t="s">
        <v>5086</v>
      </c>
      <c r="F4662">
        <v>281</v>
      </c>
      <c r="G4662" s="1">
        <v>45207</v>
      </c>
      <c r="H4662" s="6">
        <f t="shared" si="146"/>
        <v>26.322916666667478</v>
      </c>
      <c r="I4662" s="7">
        <f t="shared" si="147"/>
        <v>26.322916666667478</v>
      </c>
    </row>
    <row r="4663" spans="1:9" x14ac:dyDescent="0.2">
      <c r="A4663" t="s">
        <v>5087</v>
      </c>
      <c r="B4663">
        <v>4.6050000000000004</v>
      </c>
      <c r="C4663">
        <v>6.4509999999999998E-2</v>
      </c>
      <c r="D4663">
        <v>281</v>
      </c>
      <c r="E4663" t="s">
        <v>5087</v>
      </c>
      <c r="F4663">
        <v>281</v>
      </c>
      <c r="G4663" s="1">
        <v>45207</v>
      </c>
      <c r="H4663" s="6">
        <f t="shared" si="146"/>
        <v>26.333333333334146</v>
      </c>
      <c r="I4663" s="7">
        <f t="shared" si="147"/>
        <v>26.333333333334146</v>
      </c>
    </row>
    <row r="4664" spans="1:9" x14ac:dyDescent="0.2">
      <c r="A4664" t="s">
        <v>5088</v>
      </c>
      <c r="B4664">
        <v>4.6520000000000001</v>
      </c>
      <c r="C4664">
        <v>6.5144999999999995E-2</v>
      </c>
      <c r="D4664">
        <v>281</v>
      </c>
      <c r="E4664" t="s">
        <v>5088</v>
      </c>
      <c r="F4664">
        <v>281</v>
      </c>
      <c r="G4664" s="1">
        <v>45207</v>
      </c>
      <c r="H4664" s="6">
        <f t="shared" si="146"/>
        <v>26.343750000000814</v>
      </c>
      <c r="I4664" s="7">
        <f t="shared" si="147"/>
        <v>26.343750000000814</v>
      </c>
    </row>
    <row r="4665" spans="1:9" x14ac:dyDescent="0.2">
      <c r="A4665" t="s">
        <v>5089</v>
      </c>
      <c r="B4665">
        <v>4.5834999999999999</v>
      </c>
      <c r="C4665">
        <v>6.4195000000000002E-2</v>
      </c>
      <c r="D4665">
        <v>281</v>
      </c>
      <c r="E4665" t="s">
        <v>5089</v>
      </c>
      <c r="F4665">
        <v>281</v>
      </c>
      <c r="G4665" s="1">
        <v>45207</v>
      </c>
      <c r="H4665" s="6">
        <f t="shared" si="146"/>
        <v>26.354166666667481</v>
      </c>
      <c r="I4665" s="7">
        <f t="shared" si="147"/>
        <v>26.354166666667481</v>
      </c>
    </row>
    <row r="4666" spans="1:9" x14ac:dyDescent="0.2">
      <c r="A4666" t="s">
        <v>5090</v>
      </c>
      <c r="B4666">
        <v>4.4904999999999999</v>
      </c>
      <c r="C4666">
        <v>6.2890000000000001E-2</v>
      </c>
      <c r="D4666">
        <v>281</v>
      </c>
      <c r="E4666" t="s">
        <v>5090</v>
      </c>
      <c r="F4666">
        <v>281</v>
      </c>
      <c r="G4666" s="1">
        <v>45207</v>
      </c>
      <c r="H4666" s="6">
        <f t="shared" si="146"/>
        <v>26.364583333334149</v>
      </c>
      <c r="I4666" s="7">
        <f t="shared" si="147"/>
        <v>26.364583333334149</v>
      </c>
    </row>
    <row r="4667" spans="1:9" x14ac:dyDescent="0.2">
      <c r="A4667" t="s">
        <v>5091</v>
      </c>
      <c r="B4667">
        <v>4.5235000000000003</v>
      </c>
      <c r="C4667">
        <v>6.3365000000000005E-2</v>
      </c>
      <c r="D4667">
        <v>281</v>
      </c>
      <c r="E4667" t="s">
        <v>5091</v>
      </c>
      <c r="F4667">
        <v>281</v>
      </c>
      <c r="G4667" s="1">
        <v>45207</v>
      </c>
      <c r="H4667" s="6">
        <f t="shared" si="146"/>
        <v>26.375000000000817</v>
      </c>
      <c r="I4667" s="7">
        <f t="shared" si="147"/>
        <v>26.375000000000817</v>
      </c>
    </row>
    <row r="4668" spans="1:9" x14ac:dyDescent="0.2">
      <c r="A4668" t="s">
        <v>5092</v>
      </c>
      <c r="B4668">
        <v>4.5015000000000001</v>
      </c>
      <c r="C4668">
        <v>6.3045000000000004E-2</v>
      </c>
      <c r="D4668">
        <v>281</v>
      </c>
      <c r="E4668" t="s">
        <v>5092</v>
      </c>
      <c r="F4668">
        <v>281</v>
      </c>
      <c r="G4668" s="1">
        <v>45207</v>
      </c>
      <c r="H4668" s="6">
        <f t="shared" si="146"/>
        <v>26.385416666667485</v>
      </c>
      <c r="I4668" s="7">
        <f t="shared" si="147"/>
        <v>26.385416666667485</v>
      </c>
    </row>
    <row r="4669" spans="1:9" x14ac:dyDescent="0.2">
      <c r="A4669" t="s">
        <v>5093</v>
      </c>
      <c r="B4669">
        <v>4.4880000000000004</v>
      </c>
      <c r="C4669">
        <v>6.2875E-2</v>
      </c>
      <c r="D4669">
        <v>281</v>
      </c>
      <c r="E4669" t="s">
        <v>5093</v>
      </c>
      <c r="F4669">
        <v>281</v>
      </c>
      <c r="G4669" s="1">
        <v>45207</v>
      </c>
      <c r="H4669" s="6">
        <f t="shared" si="146"/>
        <v>26.395833333334153</v>
      </c>
      <c r="I4669" s="7">
        <f t="shared" si="147"/>
        <v>26.395833333334153</v>
      </c>
    </row>
    <row r="4670" spans="1:9" x14ac:dyDescent="0.2">
      <c r="A4670" t="s">
        <v>5094</v>
      </c>
      <c r="B4670">
        <v>4.4539999999999997</v>
      </c>
      <c r="C4670">
        <v>6.2399999999999997E-2</v>
      </c>
      <c r="D4670">
        <v>281</v>
      </c>
      <c r="E4670" t="s">
        <v>5094</v>
      </c>
      <c r="F4670">
        <v>281</v>
      </c>
      <c r="G4670" s="1">
        <v>45207</v>
      </c>
      <c r="H4670" s="6">
        <f t="shared" si="146"/>
        <v>26.406250000000821</v>
      </c>
      <c r="I4670" s="7">
        <f t="shared" si="147"/>
        <v>26.406250000000821</v>
      </c>
    </row>
    <row r="4671" spans="1:9" x14ac:dyDescent="0.2">
      <c r="A4671" t="s">
        <v>5095</v>
      </c>
      <c r="B4671">
        <v>4.4580000000000002</v>
      </c>
      <c r="C4671">
        <v>6.2445000000000001E-2</v>
      </c>
      <c r="D4671">
        <v>281</v>
      </c>
      <c r="E4671" t="s">
        <v>5095</v>
      </c>
      <c r="F4671">
        <v>281</v>
      </c>
      <c r="G4671" s="1">
        <v>45207</v>
      </c>
      <c r="H4671" s="6">
        <f t="shared" si="146"/>
        <v>26.416666666667489</v>
      </c>
      <c r="I4671" s="7">
        <f t="shared" si="147"/>
        <v>26.416666666667489</v>
      </c>
    </row>
    <row r="4672" spans="1:9" x14ac:dyDescent="0.2">
      <c r="A4672" t="s">
        <v>5096</v>
      </c>
      <c r="B4672">
        <v>4.5</v>
      </c>
      <c r="C4672">
        <v>6.3009999999999997E-2</v>
      </c>
      <c r="D4672">
        <v>281</v>
      </c>
      <c r="E4672" t="s">
        <v>5096</v>
      </c>
      <c r="F4672">
        <v>281</v>
      </c>
      <c r="G4672" s="1">
        <v>45207</v>
      </c>
      <c r="H4672" s="6">
        <f t="shared" si="146"/>
        <v>26.427083333334156</v>
      </c>
      <c r="I4672" s="7">
        <f t="shared" si="147"/>
        <v>26.427083333334156</v>
      </c>
    </row>
    <row r="4673" spans="1:9" x14ac:dyDescent="0.2">
      <c r="A4673" t="s">
        <v>5097</v>
      </c>
      <c r="B4673">
        <v>4.4790000000000001</v>
      </c>
      <c r="C4673">
        <v>6.2744999999999995E-2</v>
      </c>
      <c r="D4673">
        <v>281</v>
      </c>
      <c r="E4673" t="s">
        <v>5097</v>
      </c>
      <c r="F4673">
        <v>281</v>
      </c>
      <c r="G4673" s="1">
        <v>45207</v>
      </c>
      <c r="H4673" s="6">
        <f t="shared" si="146"/>
        <v>26.437500000000824</v>
      </c>
      <c r="I4673" s="7">
        <f t="shared" si="147"/>
        <v>26.437500000000824</v>
      </c>
    </row>
    <row r="4674" spans="1:9" x14ac:dyDescent="0.2">
      <c r="A4674" t="s">
        <v>5098</v>
      </c>
      <c r="B4674">
        <v>4.4965000000000002</v>
      </c>
      <c r="C4674">
        <v>6.2979999999999994E-2</v>
      </c>
      <c r="D4674">
        <v>281</v>
      </c>
      <c r="E4674" t="s">
        <v>5098</v>
      </c>
      <c r="F4674">
        <v>281</v>
      </c>
      <c r="G4674" s="1">
        <v>45207</v>
      </c>
      <c r="H4674" s="6">
        <f t="shared" si="146"/>
        <v>26.447916666667492</v>
      </c>
      <c r="I4674" s="7">
        <f t="shared" si="147"/>
        <v>26.447916666667492</v>
      </c>
    </row>
    <row r="4675" spans="1:9" x14ac:dyDescent="0.2">
      <c r="A4675" t="s">
        <v>5099</v>
      </c>
      <c r="B4675">
        <v>4.4545000000000003</v>
      </c>
      <c r="C4675">
        <v>6.2394999999999999E-2</v>
      </c>
      <c r="D4675">
        <v>281</v>
      </c>
      <c r="E4675" t="s">
        <v>5099</v>
      </c>
      <c r="F4675">
        <v>281</v>
      </c>
      <c r="G4675" s="1">
        <v>45207</v>
      </c>
      <c r="H4675" s="6">
        <f t="shared" si="146"/>
        <v>26.45833333333416</v>
      </c>
      <c r="I4675" s="7">
        <f t="shared" si="147"/>
        <v>26.45833333333416</v>
      </c>
    </row>
    <row r="4676" spans="1:9" x14ac:dyDescent="0.2">
      <c r="A4676" t="s">
        <v>5100</v>
      </c>
      <c r="B4676">
        <v>4.4569999999999999</v>
      </c>
      <c r="C4676">
        <v>6.2449999999999999E-2</v>
      </c>
      <c r="D4676">
        <v>281</v>
      </c>
      <c r="E4676" t="s">
        <v>5100</v>
      </c>
      <c r="F4676">
        <v>281</v>
      </c>
      <c r="G4676" s="1">
        <v>45207</v>
      </c>
      <c r="H4676" s="6">
        <f t="shared" si="146"/>
        <v>26.468750000000828</v>
      </c>
      <c r="I4676" s="7">
        <f t="shared" si="147"/>
        <v>26.468750000000828</v>
      </c>
    </row>
    <row r="4677" spans="1:9" x14ac:dyDescent="0.2">
      <c r="A4677" t="s">
        <v>5101</v>
      </c>
      <c r="B4677">
        <v>4.4640000000000004</v>
      </c>
      <c r="C4677">
        <v>6.2524999999999997E-2</v>
      </c>
      <c r="D4677">
        <v>281</v>
      </c>
      <c r="E4677" t="s">
        <v>5101</v>
      </c>
      <c r="F4677">
        <v>281</v>
      </c>
      <c r="G4677" s="1">
        <v>45207</v>
      </c>
      <c r="H4677" s="6">
        <f t="shared" si="146"/>
        <v>26.479166666667496</v>
      </c>
      <c r="I4677" s="7">
        <f t="shared" si="147"/>
        <v>26.479166666667496</v>
      </c>
    </row>
    <row r="4678" spans="1:9" x14ac:dyDescent="0.2">
      <c r="A4678" t="s">
        <v>5102</v>
      </c>
      <c r="B4678">
        <v>4.5235000000000003</v>
      </c>
      <c r="C4678">
        <v>6.3365000000000005E-2</v>
      </c>
      <c r="D4678">
        <v>281</v>
      </c>
      <c r="E4678" t="s">
        <v>5102</v>
      </c>
      <c r="F4678">
        <v>281</v>
      </c>
      <c r="G4678" s="1">
        <v>45207</v>
      </c>
      <c r="H4678" s="6">
        <f t="shared" si="146"/>
        <v>26.489583333334163</v>
      </c>
      <c r="I4678" s="7">
        <f t="shared" si="147"/>
        <v>26.489583333334163</v>
      </c>
    </row>
    <row r="4679" spans="1:9" x14ac:dyDescent="0.2">
      <c r="A4679" t="s">
        <v>5103</v>
      </c>
      <c r="B4679">
        <v>4.4939999999999998</v>
      </c>
      <c r="C4679">
        <v>6.2935000000000005E-2</v>
      </c>
      <c r="D4679">
        <v>281</v>
      </c>
      <c r="E4679" t="s">
        <v>5103</v>
      </c>
      <c r="F4679">
        <v>281</v>
      </c>
      <c r="G4679" s="1">
        <v>45207</v>
      </c>
      <c r="H4679" s="6">
        <f t="shared" si="146"/>
        <v>26.500000000000831</v>
      </c>
      <c r="I4679" s="7">
        <f t="shared" si="147"/>
        <v>26.500000000000831</v>
      </c>
    </row>
    <row r="4680" spans="1:9" x14ac:dyDescent="0.2">
      <c r="A4680" t="s">
        <v>5104</v>
      </c>
      <c r="B4680">
        <v>4.4664999999999999</v>
      </c>
      <c r="C4680">
        <v>6.2564999999999996E-2</v>
      </c>
      <c r="D4680">
        <v>281</v>
      </c>
      <c r="E4680" t="s">
        <v>5104</v>
      </c>
      <c r="F4680">
        <v>281</v>
      </c>
      <c r="G4680" s="1">
        <v>45207</v>
      </c>
      <c r="H4680" s="6">
        <f t="shared" si="146"/>
        <v>26.510416666667499</v>
      </c>
      <c r="I4680" s="7">
        <f t="shared" si="147"/>
        <v>26.510416666667499</v>
      </c>
    </row>
    <row r="4681" spans="1:9" x14ac:dyDescent="0.2">
      <c r="A4681" t="s">
        <v>5105</v>
      </c>
      <c r="B4681">
        <v>4.4909999999999997</v>
      </c>
      <c r="C4681">
        <v>6.2909999999999994E-2</v>
      </c>
      <c r="D4681">
        <v>281</v>
      </c>
      <c r="E4681" t="s">
        <v>5105</v>
      </c>
      <c r="F4681">
        <v>281</v>
      </c>
      <c r="G4681" s="1">
        <v>45207</v>
      </c>
      <c r="H4681" s="6">
        <f t="shared" si="146"/>
        <v>26.520833333334167</v>
      </c>
      <c r="I4681" s="7">
        <f t="shared" si="147"/>
        <v>26.520833333334167</v>
      </c>
    </row>
    <row r="4682" spans="1:9" x14ac:dyDescent="0.2">
      <c r="A4682" t="s">
        <v>5106</v>
      </c>
      <c r="B4682">
        <v>4.4720000000000004</v>
      </c>
      <c r="C4682">
        <v>6.2630000000000005E-2</v>
      </c>
      <c r="D4682">
        <v>281</v>
      </c>
      <c r="E4682" t="s">
        <v>5106</v>
      </c>
      <c r="F4682">
        <v>281</v>
      </c>
      <c r="G4682" s="1">
        <v>45207</v>
      </c>
      <c r="H4682" s="6">
        <f t="shared" si="146"/>
        <v>26.531250000000835</v>
      </c>
      <c r="I4682" s="7">
        <f t="shared" si="147"/>
        <v>26.531250000000835</v>
      </c>
    </row>
    <row r="4683" spans="1:9" x14ac:dyDescent="0.2">
      <c r="A4683" t="s">
        <v>5107</v>
      </c>
      <c r="B4683">
        <v>4.444</v>
      </c>
      <c r="C4683">
        <v>6.2254999999999998E-2</v>
      </c>
      <c r="D4683">
        <v>281</v>
      </c>
      <c r="E4683" t="s">
        <v>5107</v>
      </c>
      <c r="F4683">
        <v>281</v>
      </c>
      <c r="G4683" s="1">
        <v>45207</v>
      </c>
      <c r="H4683" s="6">
        <f t="shared" si="146"/>
        <v>26.541666666667503</v>
      </c>
      <c r="I4683" s="7">
        <f t="shared" si="147"/>
        <v>26.541666666667503</v>
      </c>
    </row>
    <row r="4684" spans="1:9" x14ac:dyDescent="0.2">
      <c r="A4684" t="s">
        <v>5108</v>
      </c>
      <c r="B4684" s="2" t="s">
        <v>1421</v>
      </c>
      <c r="C4684">
        <v>6.3204999999999997E-2</v>
      </c>
      <c r="D4684">
        <v>281</v>
      </c>
      <c r="E4684" t="s">
        <v>5108</v>
      </c>
      <c r="F4684">
        <v>281</v>
      </c>
      <c r="G4684" s="1">
        <v>45207</v>
      </c>
      <c r="H4684" s="6">
        <f t="shared" si="146"/>
        <v>26.552083333334171</v>
      </c>
      <c r="I4684" s="7">
        <f t="shared" si="147"/>
        <v>26.552083333334171</v>
      </c>
    </row>
    <row r="4685" spans="1:9" x14ac:dyDescent="0.2">
      <c r="A4685" t="s">
        <v>5109</v>
      </c>
      <c r="B4685">
        <v>4.4485000000000001</v>
      </c>
      <c r="C4685">
        <v>6.2309999999999997E-2</v>
      </c>
      <c r="D4685">
        <v>281</v>
      </c>
      <c r="E4685" t="s">
        <v>5109</v>
      </c>
      <c r="F4685">
        <v>281</v>
      </c>
      <c r="G4685" s="1">
        <v>45207</v>
      </c>
      <c r="H4685" s="6">
        <f t="shared" si="146"/>
        <v>26.562500000000838</v>
      </c>
      <c r="I4685" s="7">
        <f t="shared" si="147"/>
        <v>26.562500000000838</v>
      </c>
    </row>
    <row r="4686" spans="1:9" x14ac:dyDescent="0.2">
      <c r="A4686" t="s">
        <v>5110</v>
      </c>
      <c r="B4686">
        <v>4.4915000000000003</v>
      </c>
      <c r="C4686">
        <v>6.2909999999999994E-2</v>
      </c>
      <c r="D4686">
        <v>281</v>
      </c>
      <c r="E4686" t="s">
        <v>5110</v>
      </c>
      <c r="F4686">
        <v>281</v>
      </c>
      <c r="G4686" s="1">
        <v>45207</v>
      </c>
      <c r="H4686" s="6">
        <f t="shared" si="146"/>
        <v>26.572916666667506</v>
      </c>
      <c r="I4686" s="7">
        <f t="shared" si="147"/>
        <v>26.572916666667506</v>
      </c>
    </row>
    <row r="4687" spans="1:9" x14ac:dyDescent="0.2">
      <c r="A4687" t="s">
        <v>5111</v>
      </c>
      <c r="B4687">
        <v>4.4775</v>
      </c>
      <c r="C4687">
        <v>6.2725000000000003E-2</v>
      </c>
      <c r="D4687">
        <v>281</v>
      </c>
      <c r="E4687" t="s">
        <v>5111</v>
      </c>
      <c r="F4687">
        <v>281</v>
      </c>
      <c r="G4687" s="1">
        <v>45207</v>
      </c>
      <c r="H4687" s="6">
        <f t="shared" si="146"/>
        <v>26.583333333334174</v>
      </c>
      <c r="I4687" s="7">
        <f t="shared" si="147"/>
        <v>26.583333333334174</v>
      </c>
    </row>
    <row r="4688" spans="1:9" x14ac:dyDescent="0.2">
      <c r="A4688" t="s">
        <v>5112</v>
      </c>
      <c r="B4688">
        <v>4.4915000000000003</v>
      </c>
      <c r="C4688">
        <v>6.2899999999999998E-2</v>
      </c>
      <c r="D4688">
        <v>281</v>
      </c>
      <c r="E4688" t="s">
        <v>5112</v>
      </c>
      <c r="F4688">
        <v>281</v>
      </c>
      <c r="G4688" s="1">
        <v>45207</v>
      </c>
      <c r="H4688" s="6">
        <f t="shared" si="146"/>
        <v>26.593750000000842</v>
      </c>
      <c r="I4688" s="7">
        <f t="shared" si="147"/>
        <v>26.593750000000842</v>
      </c>
    </row>
    <row r="4689" spans="1:9" x14ac:dyDescent="0.2">
      <c r="A4689" t="s">
        <v>5113</v>
      </c>
      <c r="B4689">
        <v>4.5179999999999998</v>
      </c>
      <c r="C4689">
        <v>6.3295000000000004E-2</v>
      </c>
      <c r="D4689">
        <v>282</v>
      </c>
      <c r="E4689" t="s">
        <v>5113</v>
      </c>
      <c r="F4689">
        <v>281</v>
      </c>
      <c r="G4689" s="1">
        <v>45207</v>
      </c>
      <c r="H4689" s="6">
        <f t="shared" si="146"/>
        <v>26.60416666666751</v>
      </c>
      <c r="I4689" s="7">
        <f t="shared" si="147"/>
        <v>26.60416666666751</v>
      </c>
    </row>
    <row r="4690" spans="1:9" x14ac:dyDescent="0.2">
      <c r="A4690" t="s">
        <v>5114</v>
      </c>
      <c r="B4690">
        <v>4.5315000000000003</v>
      </c>
      <c r="C4690">
        <v>6.3469999999999999E-2</v>
      </c>
      <c r="D4690">
        <v>282</v>
      </c>
      <c r="E4690" t="s">
        <v>5114</v>
      </c>
      <c r="F4690">
        <v>281</v>
      </c>
      <c r="G4690" s="1">
        <v>45207</v>
      </c>
      <c r="H4690" s="6">
        <f t="shared" si="146"/>
        <v>26.614583333334178</v>
      </c>
      <c r="I4690" s="7">
        <f t="shared" si="147"/>
        <v>26.614583333334178</v>
      </c>
    </row>
    <row r="4691" spans="1:9" x14ac:dyDescent="0.2">
      <c r="A4691" t="s">
        <v>5115</v>
      </c>
      <c r="B4691">
        <v>4.5214999999999996</v>
      </c>
      <c r="C4691">
        <v>6.3329999999999997E-2</v>
      </c>
      <c r="D4691">
        <v>282</v>
      </c>
      <c r="E4691" t="s">
        <v>5115</v>
      </c>
      <c r="F4691">
        <v>281</v>
      </c>
      <c r="G4691" s="1">
        <v>45207</v>
      </c>
      <c r="H4691" s="6">
        <f t="shared" si="146"/>
        <v>26.625000000000846</v>
      </c>
      <c r="I4691" s="7">
        <f t="shared" si="147"/>
        <v>26.625000000000846</v>
      </c>
    </row>
    <row r="4692" spans="1:9" x14ac:dyDescent="0.2">
      <c r="A4692" t="s">
        <v>5116</v>
      </c>
      <c r="B4692">
        <v>4.5114999999999998</v>
      </c>
      <c r="C4692">
        <v>6.3174999999999995E-2</v>
      </c>
      <c r="D4692">
        <v>282</v>
      </c>
      <c r="E4692" t="s">
        <v>5116</v>
      </c>
      <c r="F4692">
        <v>281</v>
      </c>
      <c r="G4692" s="1">
        <v>45207</v>
      </c>
      <c r="H4692" s="6">
        <f t="shared" si="146"/>
        <v>26.635416666667513</v>
      </c>
      <c r="I4692" s="7">
        <f t="shared" si="147"/>
        <v>26.635416666667513</v>
      </c>
    </row>
    <row r="4693" spans="1:9" x14ac:dyDescent="0.2">
      <c r="A4693" t="s">
        <v>5117</v>
      </c>
      <c r="B4693">
        <v>4.5555000000000003</v>
      </c>
      <c r="C4693">
        <v>6.3795000000000004E-2</v>
      </c>
      <c r="D4693">
        <v>282</v>
      </c>
      <c r="E4693" t="s">
        <v>5117</v>
      </c>
      <c r="F4693">
        <v>281</v>
      </c>
      <c r="G4693" s="1">
        <v>45207</v>
      </c>
      <c r="H4693" s="6">
        <f t="shared" si="146"/>
        <v>26.645833333334181</v>
      </c>
      <c r="I4693" s="7">
        <f t="shared" si="147"/>
        <v>26.645833333334181</v>
      </c>
    </row>
    <row r="4694" spans="1:9" x14ac:dyDescent="0.2">
      <c r="A4694" t="s">
        <v>5118</v>
      </c>
      <c r="B4694">
        <v>4.5514999999999999</v>
      </c>
      <c r="C4694">
        <v>6.3744999999999996E-2</v>
      </c>
      <c r="D4694">
        <v>282</v>
      </c>
      <c r="E4694" t="s">
        <v>5118</v>
      </c>
      <c r="F4694">
        <v>281</v>
      </c>
      <c r="G4694" s="1">
        <v>45207</v>
      </c>
      <c r="H4694" s="6">
        <f t="shared" si="146"/>
        <v>26.656250000000849</v>
      </c>
      <c r="I4694" s="7">
        <f t="shared" si="147"/>
        <v>26.656250000000849</v>
      </c>
    </row>
    <row r="4695" spans="1:9" x14ac:dyDescent="0.2">
      <c r="A4695" t="s">
        <v>5119</v>
      </c>
      <c r="B4695">
        <v>4.5549999999999997</v>
      </c>
      <c r="C4695">
        <v>6.3824999999999896E-2</v>
      </c>
      <c r="D4695">
        <v>282</v>
      </c>
      <c r="E4695" t="s">
        <v>5119</v>
      </c>
      <c r="F4695">
        <v>281</v>
      </c>
      <c r="G4695" s="1">
        <v>45207</v>
      </c>
      <c r="H4695" s="6">
        <f t="shared" si="146"/>
        <v>26.666666666667517</v>
      </c>
      <c r="I4695" s="7">
        <f t="shared" si="147"/>
        <v>26.666666666667517</v>
      </c>
    </row>
    <row r="4696" spans="1:9" x14ac:dyDescent="0.2">
      <c r="A4696" t="s">
        <v>5120</v>
      </c>
      <c r="B4696">
        <v>4.5819999999999999</v>
      </c>
      <c r="C4696">
        <v>6.4189999999999997E-2</v>
      </c>
      <c r="D4696">
        <v>282</v>
      </c>
      <c r="E4696" t="s">
        <v>5120</v>
      </c>
      <c r="F4696">
        <v>281</v>
      </c>
      <c r="G4696" s="1">
        <v>45207</v>
      </c>
      <c r="H4696" s="6">
        <f t="shared" si="146"/>
        <v>26.677083333334185</v>
      </c>
      <c r="I4696" s="7">
        <f t="shared" si="147"/>
        <v>26.677083333334185</v>
      </c>
    </row>
    <row r="4697" spans="1:9" x14ac:dyDescent="0.2">
      <c r="A4697" t="s">
        <v>5121</v>
      </c>
      <c r="B4697">
        <v>4.5964999999999998</v>
      </c>
      <c r="C4697">
        <v>6.4354999999999996E-2</v>
      </c>
      <c r="D4697">
        <v>282</v>
      </c>
      <c r="E4697" t="s">
        <v>5121</v>
      </c>
      <c r="F4697">
        <v>281</v>
      </c>
      <c r="G4697" s="1">
        <v>45207</v>
      </c>
      <c r="H4697" s="6">
        <f t="shared" si="146"/>
        <v>26.687500000000853</v>
      </c>
      <c r="I4697" s="7">
        <f t="shared" si="147"/>
        <v>26.687500000000853</v>
      </c>
    </row>
    <row r="4698" spans="1:9" x14ac:dyDescent="0.2">
      <c r="A4698" t="s">
        <v>5122</v>
      </c>
      <c r="B4698">
        <v>4.641</v>
      </c>
      <c r="C4698">
        <v>6.5015000000000003E-2</v>
      </c>
      <c r="D4698">
        <v>282</v>
      </c>
      <c r="E4698" t="s">
        <v>5122</v>
      </c>
      <c r="F4698">
        <v>281</v>
      </c>
      <c r="G4698" s="1">
        <v>45207</v>
      </c>
      <c r="H4698" s="6">
        <f t="shared" si="146"/>
        <v>26.697916666667521</v>
      </c>
      <c r="I4698" s="7">
        <f t="shared" si="147"/>
        <v>26.697916666667521</v>
      </c>
    </row>
    <row r="4699" spans="1:9" x14ac:dyDescent="0.2">
      <c r="A4699" t="s">
        <v>5123</v>
      </c>
      <c r="B4699">
        <v>4.702</v>
      </c>
      <c r="C4699">
        <v>6.5865000000000007E-2</v>
      </c>
      <c r="D4699">
        <v>282</v>
      </c>
      <c r="E4699" t="s">
        <v>5123</v>
      </c>
      <c r="F4699">
        <v>281</v>
      </c>
      <c r="G4699" s="1">
        <v>45207</v>
      </c>
      <c r="H4699" s="6">
        <f t="shared" si="146"/>
        <v>26.708333333334188</v>
      </c>
      <c r="I4699" s="7">
        <f t="shared" si="147"/>
        <v>26.708333333334188</v>
      </c>
    </row>
    <row r="4700" spans="1:9" x14ac:dyDescent="0.2">
      <c r="A4700" t="s">
        <v>5124</v>
      </c>
      <c r="B4700">
        <v>4.7294999999999998</v>
      </c>
      <c r="C4700">
        <v>6.6244999999999998E-2</v>
      </c>
      <c r="D4700">
        <v>282</v>
      </c>
      <c r="E4700" t="s">
        <v>5124</v>
      </c>
      <c r="F4700">
        <v>281</v>
      </c>
      <c r="G4700" s="1">
        <v>45207</v>
      </c>
      <c r="H4700" s="6">
        <f t="shared" ref="H4700:H4763" si="148">H4699+$K$1</f>
        <v>26.718750000000856</v>
      </c>
      <c r="I4700" s="7">
        <f t="shared" ref="I4700:I4763" si="149">I4699+$K$1</f>
        <v>26.718750000000856</v>
      </c>
    </row>
    <row r="4701" spans="1:9" x14ac:dyDescent="0.2">
      <c r="A4701" t="s">
        <v>5125</v>
      </c>
      <c r="B4701">
        <v>4.7300000000000004</v>
      </c>
      <c r="C4701">
        <v>6.6235000000000002E-2</v>
      </c>
      <c r="D4701">
        <v>282</v>
      </c>
      <c r="E4701" t="s">
        <v>5125</v>
      </c>
      <c r="F4701">
        <v>281</v>
      </c>
      <c r="G4701" s="1">
        <v>45207</v>
      </c>
      <c r="H4701" s="6">
        <f t="shared" si="148"/>
        <v>26.729166666667524</v>
      </c>
      <c r="I4701" s="7">
        <f t="shared" si="149"/>
        <v>26.729166666667524</v>
      </c>
    </row>
    <row r="4702" spans="1:9" x14ac:dyDescent="0.2">
      <c r="A4702" t="s">
        <v>5126</v>
      </c>
      <c r="B4702">
        <v>4.7385000000000002</v>
      </c>
      <c r="C4702">
        <v>6.6394999999999996E-2</v>
      </c>
      <c r="D4702">
        <v>282</v>
      </c>
      <c r="E4702" t="s">
        <v>5126</v>
      </c>
      <c r="F4702">
        <v>281</v>
      </c>
      <c r="G4702" s="1">
        <v>45207</v>
      </c>
      <c r="H4702" s="6">
        <f t="shared" si="148"/>
        <v>26.739583333334192</v>
      </c>
      <c r="I4702" s="7">
        <f t="shared" si="149"/>
        <v>26.739583333334192</v>
      </c>
    </row>
    <row r="4703" spans="1:9" x14ac:dyDescent="0.2">
      <c r="A4703" t="s">
        <v>5127</v>
      </c>
      <c r="B4703">
        <v>4.7889999999999997</v>
      </c>
      <c r="C4703">
        <v>6.7080000000000001E-2</v>
      </c>
      <c r="D4703">
        <v>282</v>
      </c>
      <c r="E4703" t="s">
        <v>5127</v>
      </c>
      <c r="F4703">
        <v>281</v>
      </c>
      <c r="G4703" s="1">
        <v>45207</v>
      </c>
      <c r="H4703" s="6">
        <f t="shared" si="148"/>
        <v>26.75000000000086</v>
      </c>
      <c r="I4703" s="7">
        <f t="shared" si="149"/>
        <v>26.75000000000086</v>
      </c>
    </row>
    <row r="4704" spans="1:9" x14ac:dyDescent="0.2">
      <c r="A4704" t="s">
        <v>5128</v>
      </c>
      <c r="B4704">
        <v>4.8905000000000003</v>
      </c>
      <c r="C4704">
        <v>6.8495E-2</v>
      </c>
      <c r="D4704">
        <v>282</v>
      </c>
      <c r="E4704" t="s">
        <v>5128</v>
      </c>
      <c r="F4704">
        <v>281</v>
      </c>
      <c r="G4704" s="1">
        <v>45207</v>
      </c>
      <c r="H4704" s="6">
        <f t="shared" si="148"/>
        <v>26.760416666667528</v>
      </c>
      <c r="I4704" s="7">
        <f t="shared" si="149"/>
        <v>26.760416666667528</v>
      </c>
    </row>
    <row r="4705" spans="1:9" x14ac:dyDescent="0.2">
      <c r="A4705" t="s">
        <v>5129</v>
      </c>
      <c r="B4705">
        <v>4.8920000000000003</v>
      </c>
      <c r="C4705">
        <v>6.8529999999999994E-2</v>
      </c>
      <c r="D4705">
        <v>282</v>
      </c>
      <c r="E4705" t="s">
        <v>5129</v>
      </c>
      <c r="F4705">
        <v>281</v>
      </c>
      <c r="G4705" s="1">
        <v>45207</v>
      </c>
      <c r="H4705" s="6">
        <f t="shared" si="148"/>
        <v>26.770833333334195</v>
      </c>
      <c r="I4705" s="7">
        <f t="shared" si="149"/>
        <v>26.770833333334195</v>
      </c>
    </row>
    <row r="4706" spans="1:9" x14ac:dyDescent="0.2">
      <c r="A4706" t="s">
        <v>5130</v>
      </c>
      <c r="B4706">
        <v>4.9305000000000003</v>
      </c>
      <c r="C4706">
        <v>6.9055000000000005E-2</v>
      </c>
      <c r="D4706">
        <v>282</v>
      </c>
      <c r="E4706" t="s">
        <v>5130</v>
      </c>
      <c r="F4706">
        <v>281</v>
      </c>
      <c r="G4706" s="1">
        <v>45207</v>
      </c>
      <c r="H4706" s="6">
        <f t="shared" si="148"/>
        <v>26.781250000000863</v>
      </c>
      <c r="I4706" s="7">
        <f t="shared" si="149"/>
        <v>26.781250000000863</v>
      </c>
    </row>
    <row r="4707" spans="1:9" x14ac:dyDescent="0.2">
      <c r="A4707" t="s">
        <v>5131</v>
      </c>
      <c r="B4707">
        <v>4.9894999999999996</v>
      </c>
      <c r="C4707">
        <v>6.9889999999999994E-2</v>
      </c>
      <c r="D4707">
        <v>282</v>
      </c>
      <c r="E4707" t="s">
        <v>5131</v>
      </c>
      <c r="F4707">
        <v>281</v>
      </c>
      <c r="G4707" s="1">
        <v>45207</v>
      </c>
      <c r="H4707" s="6">
        <f t="shared" si="148"/>
        <v>26.791666666667531</v>
      </c>
      <c r="I4707" s="7">
        <f t="shared" si="149"/>
        <v>26.791666666667531</v>
      </c>
    </row>
    <row r="4708" spans="1:9" x14ac:dyDescent="0.2">
      <c r="A4708" t="s">
        <v>5132</v>
      </c>
      <c r="B4708">
        <v>4.9504999999999999</v>
      </c>
      <c r="C4708">
        <v>6.9324999999999998E-2</v>
      </c>
      <c r="D4708">
        <v>282</v>
      </c>
      <c r="E4708" t="s">
        <v>5132</v>
      </c>
      <c r="F4708">
        <v>281</v>
      </c>
      <c r="G4708" s="1">
        <v>45207</v>
      </c>
      <c r="H4708" s="6">
        <f t="shared" si="148"/>
        <v>26.802083333334199</v>
      </c>
      <c r="I4708" s="7">
        <f t="shared" si="149"/>
        <v>26.802083333334199</v>
      </c>
    </row>
    <row r="4709" spans="1:9" x14ac:dyDescent="0.2">
      <c r="A4709" t="s">
        <v>5133</v>
      </c>
      <c r="B4709">
        <v>5.0289999999999999</v>
      </c>
      <c r="C4709">
        <v>7.0440000000000003E-2</v>
      </c>
      <c r="D4709">
        <v>282</v>
      </c>
      <c r="E4709" t="s">
        <v>5133</v>
      </c>
      <c r="F4709">
        <v>281</v>
      </c>
      <c r="G4709" s="1">
        <v>45207</v>
      </c>
      <c r="H4709" s="6">
        <f t="shared" si="148"/>
        <v>26.812500000000867</v>
      </c>
      <c r="I4709" s="7">
        <f t="shared" si="149"/>
        <v>26.812500000000867</v>
      </c>
    </row>
    <row r="4710" spans="1:9" x14ac:dyDescent="0.2">
      <c r="A4710" t="s">
        <v>5134</v>
      </c>
      <c r="B4710">
        <v>5.0214999999999996</v>
      </c>
      <c r="C4710">
        <v>7.0330000000000004E-2</v>
      </c>
      <c r="D4710">
        <v>282</v>
      </c>
      <c r="E4710" t="s">
        <v>5134</v>
      </c>
      <c r="F4710">
        <v>281</v>
      </c>
      <c r="G4710" s="1">
        <v>45207</v>
      </c>
      <c r="H4710" s="6">
        <f t="shared" si="148"/>
        <v>26.822916666667535</v>
      </c>
      <c r="I4710" s="7">
        <f t="shared" si="149"/>
        <v>26.822916666667535</v>
      </c>
    </row>
    <row r="4711" spans="1:9" x14ac:dyDescent="0.2">
      <c r="A4711" t="s">
        <v>5135</v>
      </c>
      <c r="B4711">
        <v>5.0289999999999999</v>
      </c>
      <c r="C4711">
        <v>7.0455000000000004E-2</v>
      </c>
      <c r="D4711">
        <v>282</v>
      </c>
      <c r="E4711" t="s">
        <v>5135</v>
      </c>
      <c r="F4711">
        <v>281</v>
      </c>
      <c r="G4711" s="1">
        <v>45207</v>
      </c>
      <c r="H4711" s="6">
        <f t="shared" si="148"/>
        <v>26.833333333334203</v>
      </c>
      <c r="I4711" s="7">
        <f t="shared" si="149"/>
        <v>26.833333333334203</v>
      </c>
    </row>
    <row r="4712" spans="1:9" x14ac:dyDescent="0.2">
      <c r="A4712" t="s">
        <v>5136</v>
      </c>
      <c r="B4712">
        <v>5.0655000000000001</v>
      </c>
      <c r="C4712">
        <v>7.0944999999999994E-2</v>
      </c>
      <c r="D4712">
        <v>282</v>
      </c>
      <c r="E4712" t="s">
        <v>5136</v>
      </c>
      <c r="F4712">
        <v>281</v>
      </c>
      <c r="G4712" s="1">
        <v>45207</v>
      </c>
      <c r="H4712" s="6">
        <f t="shared" si="148"/>
        <v>26.84375000000087</v>
      </c>
      <c r="I4712" s="7">
        <f t="shared" si="149"/>
        <v>26.84375000000087</v>
      </c>
    </row>
    <row r="4713" spans="1:9" x14ac:dyDescent="0.2">
      <c r="A4713" t="s">
        <v>5137</v>
      </c>
      <c r="B4713">
        <v>5.05</v>
      </c>
      <c r="C4713">
        <v>7.0745000000000002E-2</v>
      </c>
      <c r="D4713">
        <v>282</v>
      </c>
      <c r="E4713" t="s">
        <v>5137</v>
      </c>
      <c r="F4713">
        <v>282</v>
      </c>
      <c r="G4713" s="1">
        <v>45208</v>
      </c>
      <c r="H4713" s="6">
        <f t="shared" si="148"/>
        <v>26.854166666667538</v>
      </c>
      <c r="I4713" s="7">
        <f t="shared" si="149"/>
        <v>26.854166666667538</v>
      </c>
    </row>
    <row r="4714" spans="1:9" x14ac:dyDescent="0.2">
      <c r="A4714" t="s">
        <v>5138</v>
      </c>
      <c r="B4714">
        <v>5.093</v>
      </c>
      <c r="C4714">
        <v>7.1344999999999895E-2</v>
      </c>
      <c r="D4714">
        <v>282</v>
      </c>
      <c r="E4714" t="s">
        <v>5138</v>
      </c>
      <c r="F4714">
        <v>282</v>
      </c>
      <c r="G4714" s="1">
        <v>45208</v>
      </c>
      <c r="H4714" s="6">
        <f t="shared" si="148"/>
        <v>26.864583333334206</v>
      </c>
      <c r="I4714" s="7">
        <f t="shared" si="149"/>
        <v>26.864583333334206</v>
      </c>
    </row>
    <row r="4715" spans="1:9" x14ac:dyDescent="0.2">
      <c r="A4715" t="s">
        <v>5139</v>
      </c>
      <c r="B4715">
        <v>5.1239999999999997</v>
      </c>
      <c r="C4715">
        <v>7.177E-2</v>
      </c>
      <c r="D4715">
        <v>282</v>
      </c>
      <c r="E4715" t="s">
        <v>5139</v>
      </c>
      <c r="F4715">
        <v>282</v>
      </c>
      <c r="G4715" s="1">
        <v>45208</v>
      </c>
      <c r="H4715" s="6">
        <f t="shared" si="148"/>
        <v>26.875000000000874</v>
      </c>
      <c r="I4715" s="7">
        <f t="shared" si="149"/>
        <v>26.875000000000874</v>
      </c>
    </row>
    <row r="4716" spans="1:9" x14ac:dyDescent="0.2">
      <c r="A4716" t="s">
        <v>5140</v>
      </c>
      <c r="B4716">
        <v>5.1150000000000002</v>
      </c>
      <c r="C4716">
        <v>7.1650000000000005E-2</v>
      </c>
      <c r="D4716">
        <v>282</v>
      </c>
      <c r="E4716" t="s">
        <v>5140</v>
      </c>
      <c r="F4716">
        <v>282</v>
      </c>
      <c r="G4716" s="1">
        <v>45208</v>
      </c>
      <c r="H4716" s="6">
        <f t="shared" si="148"/>
        <v>26.885416666667542</v>
      </c>
      <c r="I4716" s="7">
        <f t="shared" si="149"/>
        <v>26.885416666667542</v>
      </c>
    </row>
    <row r="4717" spans="1:9" x14ac:dyDescent="0.2">
      <c r="A4717" t="s">
        <v>5141</v>
      </c>
      <c r="B4717">
        <v>5.0979999999999999</v>
      </c>
      <c r="C4717">
        <v>7.1389999999999995E-2</v>
      </c>
      <c r="D4717">
        <v>282</v>
      </c>
      <c r="E4717" t="s">
        <v>5141</v>
      </c>
      <c r="F4717">
        <v>282</v>
      </c>
      <c r="G4717" s="1">
        <v>45208</v>
      </c>
      <c r="H4717" s="6">
        <f t="shared" si="148"/>
        <v>26.89583333333421</v>
      </c>
      <c r="I4717" s="7">
        <f t="shared" si="149"/>
        <v>26.89583333333421</v>
      </c>
    </row>
    <row r="4718" spans="1:9" x14ac:dyDescent="0.2">
      <c r="A4718" t="s">
        <v>5142</v>
      </c>
      <c r="B4718">
        <v>5.1079999999999997</v>
      </c>
      <c r="C4718">
        <v>7.1525000000000005E-2</v>
      </c>
      <c r="D4718">
        <v>282</v>
      </c>
      <c r="E4718" t="s">
        <v>5142</v>
      </c>
      <c r="F4718">
        <v>282</v>
      </c>
      <c r="G4718" s="1">
        <v>45208</v>
      </c>
      <c r="H4718" s="6">
        <f t="shared" si="148"/>
        <v>26.906250000000878</v>
      </c>
      <c r="I4718" s="7">
        <f t="shared" si="149"/>
        <v>26.906250000000878</v>
      </c>
    </row>
    <row r="4719" spans="1:9" x14ac:dyDescent="0.2">
      <c r="A4719" t="s">
        <v>5143</v>
      </c>
      <c r="B4719">
        <v>5.0999999999999996</v>
      </c>
      <c r="C4719">
        <v>7.1425000000000002E-2</v>
      </c>
      <c r="D4719">
        <v>282</v>
      </c>
      <c r="E4719" t="s">
        <v>5143</v>
      </c>
      <c r="F4719">
        <v>282</v>
      </c>
      <c r="G4719" s="1">
        <v>45208</v>
      </c>
      <c r="H4719" s="6">
        <f t="shared" si="148"/>
        <v>26.916666666667545</v>
      </c>
      <c r="I4719" s="7">
        <f t="shared" si="149"/>
        <v>26.916666666667545</v>
      </c>
    </row>
    <row r="4720" spans="1:9" x14ac:dyDescent="0.2">
      <c r="A4720" t="s">
        <v>5144</v>
      </c>
      <c r="B4720">
        <v>5.0594999999999999</v>
      </c>
      <c r="C4720">
        <v>7.0855000000000001E-2</v>
      </c>
      <c r="D4720">
        <v>282</v>
      </c>
      <c r="E4720" t="s">
        <v>5144</v>
      </c>
      <c r="F4720">
        <v>282</v>
      </c>
      <c r="G4720" s="1">
        <v>45208</v>
      </c>
      <c r="H4720" s="6">
        <f t="shared" si="148"/>
        <v>26.927083333334213</v>
      </c>
      <c r="I4720" s="7">
        <f t="shared" si="149"/>
        <v>26.927083333334213</v>
      </c>
    </row>
    <row r="4721" spans="1:9" x14ac:dyDescent="0.2">
      <c r="A4721" t="s">
        <v>5145</v>
      </c>
      <c r="B4721">
        <v>5.0685000000000002</v>
      </c>
      <c r="C4721">
        <v>7.0970000000000005E-2</v>
      </c>
      <c r="D4721">
        <v>282</v>
      </c>
      <c r="E4721" t="s">
        <v>5145</v>
      </c>
      <c r="F4721">
        <v>282</v>
      </c>
      <c r="G4721" s="1">
        <v>45208</v>
      </c>
      <c r="H4721" s="6">
        <f t="shared" si="148"/>
        <v>26.937500000000881</v>
      </c>
      <c r="I4721" s="7">
        <f t="shared" si="149"/>
        <v>26.937500000000881</v>
      </c>
    </row>
    <row r="4722" spans="1:9" x14ac:dyDescent="0.2">
      <c r="A4722" t="s">
        <v>5146</v>
      </c>
      <c r="B4722">
        <v>5.0949999999999998</v>
      </c>
      <c r="C4722">
        <v>7.1355000000000002E-2</v>
      </c>
      <c r="D4722">
        <v>282</v>
      </c>
      <c r="E4722" t="s">
        <v>5146</v>
      </c>
      <c r="F4722">
        <v>282</v>
      </c>
      <c r="G4722" s="1">
        <v>45208</v>
      </c>
      <c r="H4722" s="6">
        <f t="shared" si="148"/>
        <v>26.947916666667549</v>
      </c>
      <c r="I4722" s="7">
        <f t="shared" si="149"/>
        <v>26.947916666667549</v>
      </c>
    </row>
    <row r="4723" spans="1:9" x14ac:dyDescent="0.2">
      <c r="A4723" t="s">
        <v>5147</v>
      </c>
      <c r="B4723">
        <v>5.0839999999999996</v>
      </c>
      <c r="C4723">
        <v>7.1215000000000001E-2</v>
      </c>
      <c r="D4723">
        <v>282</v>
      </c>
      <c r="E4723" t="s">
        <v>5147</v>
      </c>
      <c r="F4723">
        <v>282</v>
      </c>
      <c r="G4723" s="1">
        <v>45208</v>
      </c>
      <c r="H4723" s="6">
        <f t="shared" si="148"/>
        <v>26.958333333334217</v>
      </c>
      <c r="I4723" s="7">
        <f t="shared" si="149"/>
        <v>26.958333333334217</v>
      </c>
    </row>
    <row r="4724" spans="1:9" x14ac:dyDescent="0.2">
      <c r="A4724" t="s">
        <v>5148</v>
      </c>
      <c r="B4724">
        <v>5.1935000000000002</v>
      </c>
      <c r="C4724">
        <v>7.2755E-2</v>
      </c>
      <c r="D4724">
        <v>282</v>
      </c>
      <c r="E4724" t="s">
        <v>5148</v>
      </c>
      <c r="F4724">
        <v>282</v>
      </c>
      <c r="G4724" s="1">
        <v>45208</v>
      </c>
      <c r="H4724" s="6">
        <f t="shared" si="148"/>
        <v>26.968750000000885</v>
      </c>
      <c r="I4724" s="7">
        <f t="shared" si="149"/>
        <v>26.968750000000885</v>
      </c>
    </row>
    <row r="4725" spans="1:9" x14ac:dyDescent="0.2">
      <c r="A4725" t="s">
        <v>5149</v>
      </c>
      <c r="B4725">
        <v>5.1059999999999999</v>
      </c>
      <c r="C4725">
        <v>7.152E-2</v>
      </c>
      <c r="D4725">
        <v>282</v>
      </c>
      <c r="E4725" t="s">
        <v>5149</v>
      </c>
      <c r="F4725">
        <v>282</v>
      </c>
      <c r="G4725" s="1">
        <v>45208</v>
      </c>
      <c r="H4725" s="6">
        <f t="shared" si="148"/>
        <v>26.979166666667552</v>
      </c>
      <c r="I4725" s="7">
        <f t="shared" si="149"/>
        <v>26.979166666667552</v>
      </c>
    </row>
    <row r="4726" spans="1:9" x14ac:dyDescent="0.2">
      <c r="A4726" t="s">
        <v>5150</v>
      </c>
      <c r="B4726">
        <v>5.0705</v>
      </c>
      <c r="C4726">
        <v>7.1014999999999995E-2</v>
      </c>
      <c r="D4726">
        <v>282</v>
      </c>
      <c r="E4726" t="s">
        <v>5150</v>
      </c>
      <c r="F4726">
        <v>282</v>
      </c>
      <c r="G4726" s="1">
        <v>45208</v>
      </c>
      <c r="H4726" s="6">
        <f t="shared" si="148"/>
        <v>26.98958333333422</v>
      </c>
      <c r="I4726" s="7">
        <f t="shared" si="149"/>
        <v>26.98958333333422</v>
      </c>
    </row>
    <row r="4727" spans="1:9" x14ac:dyDescent="0.2">
      <c r="A4727" t="s">
        <v>5151</v>
      </c>
      <c r="B4727">
        <v>5.0640000000000001</v>
      </c>
      <c r="C4727">
        <v>7.0910000000000001E-2</v>
      </c>
      <c r="D4727">
        <v>282</v>
      </c>
      <c r="E4727" t="s">
        <v>5151</v>
      </c>
      <c r="F4727">
        <v>282</v>
      </c>
      <c r="G4727" s="1">
        <v>45208</v>
      </c>
      <c r="H4727" s="6">
        <f t="shared" si="148"/>
        <v>27.000000000000888</v>
      </c>
      <c r="I4727" s="7">
        <f t="shared" si="149"/>
        <v>27.000000000000888</v>
      </c>
    </row>
    <row r="4728" spans="1:9" x14ac:dyDescent="0.2">
      <c r="A4728" t="s">
        <v>5152</v>
      </c>
      <c r="B4728">
        <v>5.0765000000000002</v>
      </c>
      <c r="C4728">
        <v>7.1099999999999997E-2</v>
      </c>
      <c r="D4728">
        <v>282</v>
      </c>
      <c r="E4728" t="s">
        <v>5152</v>
      </c>
      <c r="F4728">
        <v>282</v>
      </c>
      <c r="G4728" s="1">
        <v>45208</v>
      </c>
      <c r="H4728" s="6">
        <f t="shared" si="148"/>
        <v>27.010416666667556</v>
      </c>
      <c r="I4728" s="7">
        <f t="shared" si="149"/>
        <v>27.010416666667556</v>
      </c>
    </row>
    <row r="4729" spans="1:9" x14ac:dyDescent="0.2">
      <c r="A4729" t="s">
        <v>5153</v>
      </c>
      <c r="B4729">
        <v>5.0705</v>
      </c>
      <c r="C4729">
        <v>7.1014999999999995E-2</v>
      </c>
      <c r="D4729">
        <v>282</v>
      </c>
      <c r="E4729" t="s">
        <v>5153</v>
      </c>
      <c r="F4729">
        <v>282</v>
      </c>
      <c r="G4729" s="1">
        <v>45208</v>
      </c>
      <c r="H4729" s="6">
        <f t="shared" si="148"/>
        <v>27.020833333334224</v>
      </c>
      <c r="I4729" s="7">
        <f t="shared" si="149"/>
        <v>27.020833333334224</v>
      </c>
    </row>
    <row r="4730" spans="1:9" x14ac:dyDescent="0.2">
      <c r="A4730" t="s">
        <v>5154</v>
      </c>
      <c r="B4730">
        <v>5.0679999999999996</v>
      </c>
      <c r="C4730">
        <v>7.0999999999999994E-2</v>
      </c>
      <c r="D4730">
        <v>282</v>
      </c>
      <c r="E4730" t="s">
        <v>5154</v>
      </c>
      <c r="F4730">
        <v>282</v>
      </c>
      <c r="G4730" s="1">
        <v>45208</v>
      </c>
      <c r="H4730" s="6">
        <f t="shared" si="148"/>
        <v>27.031250000000892</v>
      </c>
      <c r="I4730" s="7">
        <f t="shared" si="149"/>
        <v>27.031250000000892</v>
      </c>
    </row>
    <row r="4731" spans="1:9" x14ac:dyDescent="0.2">
      <c r="A4731" t="s">
        <v>5155</v>
      </c>
      <c r="B4731">
        <v>5.1150000000000002</v>
      </c>
      <c r="C4731">
        <v>7.1650000000000005E-2</v>
      </c>
      <c r="D4731">
        <v>282</v>
      </c>
      <c r="E4731" t="s">
        <v>5155</v>
      </c>
      <c r="F4731">
        <v>282</v>
      </c>
      <c r="G4731" s="1">
        <v>45208</v>
      </c>
      <c r="H4731" s="6">
        <f t="shared" si="148"/>
        <v>27.04166666666756</v>
      </c>
      <c r="I4731" s="7">
        <f t="shared" si="149"/>
        <v>27.04166666666756</v>
      </c>
    </row>
    <row r="4732" spans="1:9" x14ac:dyDescent="0.2">
      <c r="A4732" t="s">
        <v>5156</v>
      </c>
      <c r="B4732">
        <v>5.048</v>
      </c>
      <c r="C4732">
        <v>7.0694999999999994E-2</v>
      </c>
      <c r="D4732">
        <v>282</v>
      </c>
      <c r="E4732" t="s">
        <v>5156</v>
      </c>
      <c r="F4732">
        <v>282</v>
      </c>
      <c r="G4732" s="1">
        <v>45208</v>
      </c>
      <c r="H4732" s="6">
        <f t="shared" si="148"/>
        <v>27.052083333334227</v>
      </c>
      <c r="I4732" s="7">
        <f t="shared" si="149"/>
        <v>27.052083333334227</v>
      </c>
    </row>
    <row r="4733" spans="1:9" x14ac:dyDescent="0.2">
      <c r="A4733" t="s">
        <v>5157</v>
      </c>
      <c r="B4733">
        <v>5.08</v>
      </c>
      <c r="C4733">
        <v>7.1150000000000005E-2</v>
      </c>
      <c r="D4733">
        <v>282</v>
      </c>
      <c r="E4733" t="s">
        <v>5157</v>
      </c>
      <c r="F4733">
        <v>282</v>
      </c>
      <c r="G4733" s="1">
        <v>45208</v>
      </c>
      <c r="H4733" s="6">
        <f t="shared" si="148"/>
        <v>27.062500000000895</v>
      </c>
      <c r="I4733" s="7">
        <f t="shared" si="149"/>
        <v>27.062500000000895</v>
      </c>
    </row>
    <row r="4734" spans="1:9" x14ac:dyDescent="0.2">
      <c r="A4734" t="s">
        <v>5158</v>
      </c>
      <c r="B4734">
        <v>5.0830000000000002</v>
      </c>
      <c r="C4734">
        <v>7.1165000000000006E-2</v>
      </c>
      <c r="D4734">
        <v>282</v>
      </c>
      <c r="E4734" t="s">
        <v>5158</v>
      </c>
      <c r="F4734">
        <v>282</v>
      </c>
      <c r="G4734" s="1">
        <v>45208</v>
      </c>
      <c r="H4734" s="6">
        <f t="shared" si="148"/>
        <v>27.072916666667563</v>
      </c>
      <c r="I4734" s="7">
        <f t="shared" si="149"/>
        <v>27.072916666667563</v>
      </c>
    </row>
    <row r="4735" spans="1:9" x14ac:dyDescent="0.2">
      <c r="A4735" t="s">
        <v>5159</v>
      </c>
      <c r="B4735">
        <v>5.0925000000000002</v>
      </c>
      <c r="C4735">
        <v>7.1319999999999995E-2</v>
      </c>
      <c r="D4735">
        <v>282</v>
      </c>
      <c r="E4735" t="s">
        <v>5159</v>
      </c>
      <c r="F4735">
        <v>282</v>
      </c>
      <c r="G4735" s="1">
        <v>45208</v>
      </c>
      <c r="H4735" s="6">
        <f t="shared" si="148"/>
        <v>27.083333333334231</v>
      </c>
      <c r="I4735" s="7">
        <f t="shared" si="149"/>
        <v>27.083333333334231</v>
      </c>
    </row>
    <row r="4736" spans="1:9" x14ac:dyDescent="0.2">
      <c r="A4736" t="s">
        <v>5160</v>
      </c>
      <c r="B4736" s="2" t="s">
        <v>5161</v>
      </c>
      <c r="C4736">
        <v>7.1069999999999994E-2</v>
      </c>
      <c r="D4736">
        <v>282</v>
      </c>
      <c r="E4736" t="s">
        <v>5160</v>
      </c>
      <c r="F4736">
        <v>282</v>
      </c>
      <c r="G4736" s="1">
        <v>45208</v>
      </c>
      <c r="H4736" s="6">
        <f t="shared" si="148"/>
        <v>27.093750000000899</v>
      </c>
      <c r="I4736" s="7">
        <f t="shared" si="149"/>
        <v>27.093750000000899</v>
      </c>
    </row>
    <row r="4737" spans="1:9" x14ac:dyDescent="0.2">
      <c r="A4737" t="s">
        <v>5162</v>
      </c>
      <c r="B4737">
        <v>5.0984999999999996</v>
      </c>
      <c r="C4737">
        <v>7.1419999999999997E-2</v>
      </c>
      <c r="D4737">
        <v>282</v>
      </c>
      <c r="E4737" t="s">
        <v>5162</v>
      </c>
      <c r="F4737">
        <v>282</v>
      </c>
      <c r="G4737" s="1">
        <v>45208</v>
      </c>
      <c r="H4737" s="6">
        <f t="shared" si="148"/>
        <v>27.104166666667567</v>
      </c>
      <c r="I4737" s="7">
        <f t="shared" si="149"/>
        <v>27.104166666667567</v>
      </c>
    </row>
    <row r="4738" spans="1:9" x14ac:dyDescent="0.2">
      <c r="A4738" t="s">
        <v>5163</v>
      </c>
      <c r="B4738">
        <v>5.0545</v>
      </c>
      <c r="C4738">
        <v>7.0809999999999998E-2</v>
      </c>
      <c r="D4738">
        <v>282</v>
      </c>
      <c r="E4738" t="s">
        <v>5163</v>
      </c>
      <c r="F4738">
        <v>282</v>
      </c>
      <c r="G4738" s="1">
        <v>45208</v>
      </c>
      <c r="H4738" s="6">
        <f t="shared" si="148"/>
        <v>27.114583333334235</v>
      </c>
      <c r="I4738" s="7">
        <f t="shared" si="149"/>
        <v>27.114583333334235</v>
      </c>
    </row>
    <row r="4739" spans="1:9" x14ac:dyDescent="0.2">
      <c r="A4739" t="s">
        <v>5164</v>
      </c>
      <c r="B4739">
        <v>5.0609999999999999</v>
      </c>
      <c r="C4739">
        <v>7.0879999999999999E-2</v>
      </c>
      <c r="D4739">
        <v>282</v>
      </c>
      <c r="E4739" t="s">
        <v>5164</v>
      </c>
      <c r="F4739">
        <v>282</v>
      </c>
      <c r="G4739" s="1">
        <v>45208</v>
      </c>
      <c r="H4739" s="6">
        <f t="shared" si="148"/>
        <v>27.125000000000902</v>
      </c>
      <c r="I4739" s="7">
        <f t="shared" si="149"/>
        <v>27.125000000000902</v>
      </c>
    </row>
    <row r="4740" spans="1:9" x14ac:dyDescent="0.2">
      <c r="A4740" t="s">
        <v>5165</v>
      </c>
      <c r="B4740">
        <v>5.0860000000000003</v>
      </c>
      <c r="C4740">
        <v>7.1230000000000002E-2</v>
      </c>
      <c r="D4740">
        <v>282</v>
      </c>
      <c r="E4740" t="s">
        <v>5165</v>
      </c>
      <c r="F4740">
        <v>282</v>
      </c>
      <c r="G4740" s="1">
        <v>45208</v>
      </c>
      <c r="H4740" s="6">
        <f t="shared" si="148"/>
        <v>27.13541666666757</v>
      </c>
      <c r="I4740" s="7">
        <f t="shared" si="149"/>
        <v>27.13541666666757</v>
      </c>
    </row>
    <row r="4741" spans="1:9" x14ac:dyDescent="0.2">
      <c r="A4741" t="s">
        <v>5166</v>
      </c>
      <c r="B4741">
        <v>5.0804999999999998</v>
      </c>
      <c r="C4741">
        <v>7.1160000000000001E-2</v>
      </c>
      <c r="D4741">
        <v>282</v>
      </c>
      <c r="E4741" t="s">
        <v>5166</v>
      </c>
      <c r="F4741">
        <v>282</v>
      </c>
      <c r="G4741" s="1">
        <v>45208</v>
      </c>
      <c r="H4741" s="6">
        <f t="shared" si="148"/>
        <v>27.145833333334238</v>
      </c>
      <c r="I4741" s="7">
        <f t="shared" si="149"/>
        <v>27.145833333334238</v>
      </c>
    </row>
    <row r="4742" spans="1:9" x14ac:dyDescent="0.2">
      <c r="A4742" t="s">
        <v>5167</v>
      </c>
      <c r="B4742">
        <v>5.0640000000000001</v>
      </c>
      <c r="C4742">
        <v>7.0934999999999998E-2</v>
      </c>
      <c r="D4742">
        <v>282</v>
      </c>
      <c r="E4742" t="s">
        <v>5167</v>
      </c>
      <c r="F4742">
        <v>282</v>
      </c>
      <c r="G4742" s="1">
        <v>45208</v>
      </c>
      <c r="H4742" s="6">
        <f t="shared" si="148"/>
        <v>27.156250000000906</v>
      </c>
      <c r="I4742" s="7">
        <f t="shared" si="149"/>
        <v>27.156250000000906</v>
      </c>
    </row>
    <row r="4743" spans="1:9" x14ac:dyDescent="0.2">
      <c r="A4743" t="s">
        <v>5168</v>
      </c>
      <c r="B4743">
        <v>5.1085000000000003</v>
      </c>
      <c r="C4743">
        <v>7.1565000000000004E-2</v>
      </c>
      <c r="D4743">
        <v>282</v>
      </c>
      <c r="E4743" t="s">
        <v>5168</v>
      </c>
      <c r="F4743">
        <v>282</v>
      </c>
      <c r="G4743" s="1">
        <v>45208</v>
      </c>
      <c r="H4743" s="6">
        <f t="shared" si="148"/>
        <v>27.166666666667574</v>
      </c>
      <c r="I4743" s="7">
        <f t="shared" si="149"/>
        <v>27.166666666667574</v>
      </c>
    </row>
    <row r="4744" spans="1:9" x14ac:dyDescent="0.2">
      <c r="A4744" t="s">
        <v>5169</v>
      </c>
      <c r="B4744">
        <v>5.0994999999999999</v>
      </c>
      <c r="C4744">
        <v>7.1419999999999997E-2</v>
      </c>
      <c r="D4744">
        <v>282</v>
      </c>
      <c r="E4744" t="s">
        <v>5169</v>
      </c>
      <c r="F4744">
        <v>282</v>
      </c>
      <c r="G4744" s="1">
        <v>45208</v>
      </c>
      <c r="H4744" s="6">
        <f t="shared" si="148"/>
        <v>27.177083333334242</v>
      </c>
      <c r="I4744" s="7">
        <f t="shared" si="149"/>
        <v>27.177083333334242</v>
      </c>
    </row>
    <row r="4745" spans="1:9" x14ac:dyDescent="0.2">
      <c r="A4745" t="s">
        <v>5170</v>
      </c>
      <c r="B4745" s="2" t="s">
        <v>5171</v>
      </c>
      <c r="C4745">
        <v>7.0709999999999995E-2</v>
      </c>
      <c r="D4745">
        <v>282</v>
      </c>
      <c r="E4745" t="s">
        <v>5170</v>
      </c>
      <c r="F4745">
        <v>282</v>
      </c>
      <c r="G4745" s="1">
        <v>45208</v>
      </c>
      <c r="H4745" s="6">
        <f t="shared" si="148"/>
        <v>27.187500000000909</v>
      </c>
      <c r="I4745" s="7">
        <f t="shared" si="149"/>
        <v>27.187500000000909</v>
      </c>
    </row>
    <row r="4746" spans="1:9" x14ac:dyDescent="0.2">
      <c r="A4746" t="s">
        <v>5172</v>
      </c>
      <c r="B4746">
        <v>5.0579999999999998</v>
      </c>
      <c r="C4746">
        <v>7.084E-2</v>
      </c>
      <c r="D4746">
        <v>282</v>
      </c>
      <c r="E4746" t="s">
        <v>5172</v>
      </c>
      <c r="F4746">
        <v>282</v>
      </c>
      <c r="G4746" s="1">
        <v>45208</v>
      </c>
      <c r="H4746" s="6">
        <f t="shared" si="148"/>
        <v>27.197916666667577</v>
      </c>
      <c r="I4746" s="7">
        <f t="shared" si="149"/>
        <v>27.197916666667577</v>
      </c>
    </row>
    <row r="4747" spans="1:9" x14ac:dyDescent="0.2">
      <c r="A4747" t="s">
        <v>5173</v>
      </c>
      <c r="B4747">
        <v>5.0629999999999997</v>
      </c>
      <c r="C4747">
        <v>7.0915000000000006E-2</v>
      </c>
      <c r="D4747">
        <v>282</v>
      </c>
      <c r="E4747" t="s">
        <v>5173</v>
      </c>
      <c r="F4747">
        <v>282</v>
      </c>
      <c r="G4747" s="1">
        <v>45208</v>
      </c>
      <c r="H4747" s="6">
        <f t="shared" si="148"/>
        <v>27.208333333334245</v>
      </c>
      <c r="I4747" s="7">
        <f t="shared" si="149"/>
        <v>27.208333333334245</v>
      </c>
    </row>
    <row r="4748" spans="1:9" x14ac:dyDescent="0.2">
      <c r="A4748" t="s">
        <v>5174</v>
      </c>
      <c r="B4748">
        <v>5.0650000000000004</v>
      </c>
      <c r="C4748" s="2" t="s">
        <v>5175</v>
      </c>
      <c r="D4748">
        <v>282</v>
      </c>
      <c r="E4748" t="s">
        <v>5174</v>
      </c>
      <c r="F4748">
        <v>282</v>
      </c>
      <c r="G4748" s="1">
        <v>45208</v>
      </c>
      <c r="H4748" s="6">
        <f t="shared" si="148"/>
        <v>27.218750000000913</v>
      </c>
      <c r="I4748" s="7">
        <f t="shared" si="149"/>
        <v>27.218750000000913</v>
      </c>
    </row>
    <row r="4749" spans="1:9" x14ac:dyDescent="0.2">
      <c r="A4749" t="s">
        <v>5176</v>
      </c>
      <c r="B4749">
        <v>5.0640000000000001</v>
      </c>
      <c r="C4749">
        <v>7.0940000000000003E-2</v>
      </c>
      <c r="D4749">
        <v>282</v>
      </c>
      <c r="E4749" t="s">
        <v>5176</v>
      </c>
      <c r="F4749">
        <v>282</v>
      </c>
      <c r="G4749" s="1">
        <v>45208</v>
      </c>
      <c r="H4749" s="6">
        <f t="shared" si="148"/>
        <v>27.229166666667581</v>
      </c>
      <c r="I4749" s="7">
        <f t="shared" si="149"/>
        <v>27.229166666667581</v>
      </c>
    </row>
    <row r="4750" spans="1:9" x14ac:dyDescent="0.2">
      <c r="A4750" t="s">
        <v>5177</v>
      </c>
      <c r="B4750" s="2" t="s">
        <v>4285</v>
      </c>
      <c r="C4750">
        <v>7.0095000000000005E-2</v>
      </c>
      <c r="D4750">
        <v>282</v>
      </c>
      <c r="E4750" t="s">
        <v>5177</v>
      </c>
      <c r="F4750">
        <v>282</v>
      </c>
      <c r="G4750" s="1">
        <v>45208</v>
      </c>
      <c r="H4750" s="6">
        <f t="shared" si="148"/>
        <v>27.239583333334249</v>
      </c>
      <c r="I4750" s="7">
        <f t="shared" si="149"/>
        <v>27.239583333334249</v>
      </c>
    </row>
    <row r="4751" spans="1:9" x14ac:dyDescent="0.2">
      <c r="A4751" t="s">
        <v>5178</v>
      </c>
      <c r="B4751">
        <v>4.9669999999999996</v>
      </c>
      <c r="C4751">
        <v>6.9595000000000004E-2</v>
      </c>
      <c r="D4751">
        <v>282</v>
      </c>
      <c r="E4751" t="s">
        <v>5178</v>
      </c>
      <c r="F4751">
        <v>282</v>
      </c>
      <c r="G4751" s="1">
        <v>45208</v>
      </c>
      <c r="H4751" s="6">
        <f t="shared" si="148"/>
        <v>27.250000000000917</v>
      </c>
      <c r="I4751" s="7">
        <f t="shared" si="149"/>
        <v>27.250000000000917</v>
      </c>
    </row>
    <row r="4752" spans="1:9" x14ac:dyDescent="0.2">
      <c r="A4752" t="s">
        <v>5179</v>
      </c>
      <c r="B4752">
        <v>4.9139999999999997</v>
      </c>
      <c r="C4752">
        <v>6.8845000000000003E-2</v>
      </c>
      <c r="D4752">
        <v>282</v>
      </c>
      <c r="E4752" t="s">
        <v>5179</v>
      </c>
      <c r="F4752">
        <v>282</v>
      </c>
      <c r="G4752" s="1">
        <v>45208</v>
      </c>
      <c r="H4752" s="6">
        <f t="shared" si="148"/>
        <v>27.260416666667584</v>
      </c>
      <c r="I4752" s="7">
        <f t="shared" si="149"/>
        <v>27.260416666667584</v>
      </c>
    </row>
    <row r="4753" spans="1:9" x14ac:dyDescent="0.2">
      <c r="A4753" t="s">
        <v>5180</v>
      </c>
      <c r="B4753">
        <v>4.8864999999999998</v>
      </c>
      <c r="C4753">
        <v>6.8430000000000005E-2</v>
      </c>
      <c r="D4753">
        <v>282</v>
      </c>
      <c r="E4753" t="s">
        <v>5180</v>
      </c>
      <c r="F4753">
        <v>282</v>
      </c>
      <c r="G4753" s="1">
        <v>45208</v>
      </c>
      <c r="H4753" s="6">
        <f t="shared" si="148"/>
        <v>27.270833333334252</v>
      </c>
      <c r="I4753" s="7">
        <f t="shared" si="149"/>
        <v>27.270833333334252</v>
      </c>
    </row>
    <row r="4754" spans="1:9" x14ac:dyDescent="0.2">
      <c r="A4754" t="s">
        <v>5181</v>
      </c>
      <c r="B4754">
        <v>4.8445</v>
      </c>
      <c r="C4754">
        <v>6.7864999999999995E-2</v>
      </c>
      <c r="D4754">
        <v>282</v>
      </c>
      <c r="E4754" t="s">
        <v>5181</v>
      </c>
      <c r="F4754">
        <v>282</v>
      </c>
      <c r="G4754" s="1">
        <v>45208</v>
      </c>
      <c r="H4754" s="6">
        <f t="shared" si="148"/>
        <v>27.28125000000092</v>
      </c>
      <c r="I4754" s="7">
        <f t="shared" si="149"/>
        <v>27.28125000000092</v>
      </c>
    </row>
    <row r="4755" spans="1:9" x14ac:dyDescent="0.2">
      <c r="A4755" t="s">
        <v>5182</v>
      </c>
      <c r="B4755">
        <v>4.7694999999999999</v>
      </c>
      <c r="C4755">
        <v>6.6809999999999994E-2</v>
      </c>
      <c r="D4755">
        <v>282</v>
      </c>
      <c r="E4755" t="s">
        <v>5182</v>
      </c>
      <c r="F4755">
        <v>282</v>
      </c>
      <c r="G4755" s="1">
        <v>45208</v>
      </c>
      <c r="H4755" s="6">
        <f t="shared" si="148"/>
        <v>27.291666666667588</v>
      </c>
      <c r="I4755" s="7">
        <f t="shared" si="149"/>
        <v>27.291666666667588</v>
      </c>
    </row>
    <row r="4756" spans="1:9" x14ac:dyDescent="0.2">
      <c r="A4756" t="s">
        <v>5183</v>
      </c>
      <c r="B4756">
        <v>4.79</v>
      </c>
      <c r="C4756">
        <v>6.7100000000000007E-2</v>
      </c>
      <c r="D4756">
        <v>282</v>
      </c>
      <c r="E4756" t="s">
        <v>5183</v>
      </c>
      <c r="F4756">
        <v>282</v>
      </c>
      <c r="G4756" s="1">
        <v>45208</v>
      </c>
      <c r="H4756" s="6">
        <f t="shared" si="148"/>
        <v>27.302083333334256</v>
      </c>
      <c r="I4756" s="7">
        <f t="shared" si="149"/>
        <v>27.302083333334256</v>
      </c>
    </row>
    <row r="4757" spans="1:9" x14ac:dyDescent="0.2">
      <c r="A4757" t="s">
        <v>5184</v>
      </c>
      <c r="B4757">
        <v>4.7110000000000003</v>
      </c>
      <c r="C4757">
        <v>6.5989999999999993E-2</v>
      </c>
      <c r="D4757">
        <v>282</v>
      </c>
      <c r="E4757" t="s">
        <v>5184</v>
      </c>
      <c r="F4757">
        <v>282</v>
      </c>
      <c r="G4757" s="1">
        <v>45208</v>
      </c>
      <c r="H4757" s="6">
        <f t="shared" si="148"/>
        <v>27.312500000000924</v>
      </c>
      <c r="I4757" s="7">
        <f t="shared" si="149"/>
        <v>27.312500000000924</v>
      </c>
    </row>
    <row r="4758" spans="1:9" x14ac:dyDescent="0.2">
      <c r="A4758" t="s">
        <v>5185</v>
      </c>
      <c r="B4758">
        <v>4.6635</v>
      </c>
      <c r="C4758">
        <v>6.5314999999999998E-2</v>
      </c>
      <c r="D4758">
        <v>282</v>
      </c>
      <c r="E4758" t="s">
        <v>5185</v>
      </c>
      <c r="F4758">
        <v>282</v>
      </c>
      <c r="G4758" s="1">
        <v>45208</v>
      </c>
      <c r="H4758" s="6">
        <f t="shared" si="148"/>
        <v>27.322916666667592</v>
      </c>
      <c r="I4758" s="7">
        <f t="shared" si="149"/>
        <v>27.322916666667592</v>
      </c>
    </row>
    <row r="4759" spans="1:9" x14ac:dyDescent="0.2">
      <c r="A4759" t="s">
        <v>5186</v>
      </c>
      <c r="B4759">
        <v>4.6360000000000001</v>
      </c>
      <c r="C4759">
        <v>6.4945000000000003E-2</v>
      </c>
      <c r="D4759">
        <v>282</v>
      </c>
      <c r="E4759" t="s">
        <v>5186</v>
      </c>
      <c r="F4759">
        <v>282</v>
      </c>
      <c r="G4759" s="1">
        <v>45208</v>
      </c>
      <c r="H4759" s="6">
        <f t="shared" si="148"/>
        <v>27.333333333334259</v>
      </c>
      <c r="I4759" s="7">
        <f t="shared" si="149"/>
        <v>27.333333333334259</v>
      </c>
    </row>
    <row r="4760" spans="1:9" x14ac:dyDescent="0.2">
      <c r="A4760" t="s">
        <v>5187</v>
      </c>
      <c r="B4760">
        <v>4.5049999999999999</v>
      </c>
      <c r="C4760">
        <v>6.3100000000000003E-2</v>
      </c>
      <c r="D4760">
        <v>282</v>
      </c>
      <c r="E4760" t="s">
        <v>5187</v>
      </c>
      <c r="F4760">
        <v>282</v>
      </c>
      <c r="G4760" s="1">
        <v>45208</v>
      </c>
      <c r="H4760" s="6">
        <f t="shared" si="148"/>
        <v>27.343750000000927</v>
      </c>
      <c r="I4760" s="7">
        <f t="shared" si="149"/>
        <v>27.343750000000927</v>
      </c>
    </row>
    <row r="4761" spans="1:9" x14ac:dyDescent="0.2">
      <c r="A4761" t="s">
        <v>5188</v>
      </c>
      <c r="B4761" s="2" t="s">
        <v>5189</v>
      </c>
      <c r="C4761">
        <v>6.3390000000000002E-2</v>
      </c>
      <c r="D4761">
        <v>282</v>
      </c>
      <c r="E4761" t="s">
        <v>5188</v>
      </c>
      <c r="F4761">
        <v>282</v>
      </c>
      <c r="G4761" s="1">
        <v>45208</v>
      </c>
      <c r="H4761" s="6">
        <f t="shared" si="148"/>
        <v>27.354166666667595</v>
      </c>
      <c r="I4761" s="7">
        <f t="shared" si="149"/>
        <v>27.354166666667595</v>
      </c>
    </row>
    <row r="4762" spans="1:9" x14ac:dyDescent="0.2">
      <c r="A4762" t="s">
        <v>5190</v>
      </c>
      <c r="B4762">
        <v>4.46</v>
      </c>
      <c r="C4762">
        <v>6.2489999999999997E-2</v>
      </c>
      <c r="D4762">
        <v>282</v>
      </c>
      <c r="E4762" t="s">
        <v>5190</v>
      </c>
      <c r="F4762">
        <v>282</v>
      </c>
      <c r="G4762" s="1">
        <v>45208</v>
      </c>
      <c r="H4762" s="6">
        <f t="shared" si="148"/>
        <v>27.364583333334263</v>
      </c>
      <c r="I4762" s="7">
        <f t="shared" si="149"/>
        <v>27.364583333334263</v>
      </c>
    </row>
    <row r="4763" spans="1:9" x14ac:dyDescent="0.2">
      <c r="A4763" t="s">
        <v>5191</v>
      </c>
      <c r="B4763">
        <v>4.4580000000000002</v>
      </c>
      <c r="C4763">
        <v>6.2425000000000001E-2</v>
      </c>
      <c r="D4763">
        <v>282</v>
      </c>
      <c r="E4763" t="s">
        <v>5191</v>
      </c>
      <c r="F4763">
        <v>282</v>
      </c>
      <c r="G4763" s="1">
        <v>45208</v>
      </c>
      <c r="H4763" s="6">
        <f t="shared" si="148"/>
        <v>27.375000000000931</v>
      </c>
      <c r="I4763" s="7">
        <f t="shared" si="149"/>
        <v>27.375000000000931</v>
      </c>
    </row>
    <row r="4764" spans="1:9" x14ac:dyDescent="0.2">
      <c r="A4764" t="s">
        <v>5192</v>
      </c>
      <c r="B4764">
        <v>4.415</v>
      </c>
      <c r="C4764">
        <v>6.1824999999999998E-2</v>
      </c>
      <c r="D4764">
        <v>282</v>
      </c>
      <c r="E4764" t="s">
        <v>5192</v>
      </c>
      <c r="F4764">
        <v>282</v>
      </c>
      <c r="G4764" s="1">
        <v>45208</v>
      </c>
      <c r="H4764" s="6">
        <f t="shared" ref="H4764:H4827" si="150">H4763+$K$1</f>
        <v>27.385416666667599</v>
      </c>
      <c r="I4764" s="7">
        <f t="shared" ref="I4764:I4827" si="151">I4763+$K$1</f>
        <v>27.385416666667599</v>
      </c>
    </row>
    <row r="4765" spans="1:9" x14ac:dyDescent="0.2">
      <c r="A4765" t="s">
        <v>5193</v>
      </c>
      <c r="B4765">
        <v>4.3944999999999999</v>
      </c>
      <c r="C4765">
        <v>6.1534999999999999E-2</v>
      </c>
      <c r="D4765">
        <v>282</v>
      </c>
      <c r="E4765" t="s">
        <v>5193</v>
      </c>
      <c r="F4765">
        <v>282</v>
      </c>
      <c r="G4765" s="1">
        <v>45208</v>
      </c>
      <c r="H4765" s="6">
        <f t="shared" si="150"/>
        <v>27.395833333334267</v>
      </c>
      <c r="I4765" s="7">
        <f t="shared" si="151"/>
        <v>27.395833333334267</v>
      </c>
    </row>
    <row r="4766" spans="1:9" x14ac:dyDescent="0.2">
      <c r="A4766" t="s">
        <v>5194</v>
      </c>
      <c r="B4766">
        <v>4.4175000000000004</v>
      </c>
      <c r="C4766">
        <v>6.1874999999999999E-2</v>
      </c>
      <c r="D4766">
        <v>282</v>
      </c>
      <c r="E4766" t="s">
        <v>5194</v>
      </c>
      <c r="F4766">
        <v>282</v>
      </c>
      <c r="G4766" s="1">
        <v>45208</v>
      </c>
      <c r="H4766" s="6">
        <f t="shared" si="150"/>
        <v>27.406250000000934</v>
      </c>
      <c r="I4766" s="7">
        <f t="shared" si="151"/>
        <v>27.406250000000934</v>
      </c>
    </row>
    <row r="4767" spans="1:9" x14ac:dyDescent="0.2">
      <c r="A4767" t="s">
        <v>5195</v>
      </c>
      <c r="B4767">
        <v>4.3739999999999997</v>
      </c>
      <c r="C4767">
        <v>6.1249999999999999E-2</v>
      </c>
      <c r="D4767">
        <v>282</v>
      </c>
      <c r="E4767" t="s">
        <v>5195</v>
      </c>
      <c r="F4767">
        <v>282</v>
      </c>
      <c r="G4767" s="1">
        <v>45208</v>
      </c>
      <c r="H4767" s="6">
        <f t="shared" si="150"/>
        <v>27.416666666667602</v>
      </c>
      <c r="I4767" s="7">
        <f t="shared" si="151"/>
        <v>27.416666666667602</v>
      </c>
    </row>
    <row r="4768" spans="1:9" x14ac:dyDescent="0.2">
      <c r="A4768" t="s">
        <v>5196</v>
      </c>
      <c r="B4768">
        <v>4.3654999999999999</v>
      </c>
      <c r="C4768">
        <v>6.1164999999999997E-2</v>
      </c>
      <c r="D4768">
        <v>282</v>
      </c>
      <c r="E4768" t="s">
        <v>5196</v>
      </c>
      <c r="F4768">
        <v>282</v>
      </c>
      <c r="G4768" s="1">
        <v>45208</v>
      </c>
      <c r="H4768" s="6">
        <f t="shared" si="150"/>
        <v>27.42708333333427</v>
      </c>
      <c r="I4768" s="7">
        <f t="shared" si="151"/>
        <v>27.42708333333427</v>
      </c>
    </row>
    <row r="4769" spans="1:9" x14ac:dyDescent="0.2">
      <c r="A4769" t="s">
        <v>5197</v>
      </c>
      <c r="B4769">
        <v>4.3600000000000003</v>
      </c>
      <c r="C4769">
        <v>6.1054999999999998E-2</v>
      </c>
      <c r="D4769">
        <v>282</v>
      </c>
      <c r="E4769" t="s">
        <v>5197</v>
      </c>
      <c r="F4769">
        <v>282</v>
      </c>
      <c r="G4769" s="1">
        <v>45208</v>
      </c>
      <c r="H4769" s="6">
        <f t="shared" si="150"/>
        <v>27.437500000000938</v>
      </c>
      <c r="I4769" s="7">
        <f t="shared" si="151"/>
        <v>27.437500000000938</v>
      </c>
    </row>
    <row r="4770" spans="1:9" x14ac:dyDescent="0.2">
      <c r="A4770" t="s">
        <v>5198</v>
      </c>
      <c r="B4770">
        <v>4.3635000000000002</v>
      </c>
      <c r="C4770">
        <v>6.1129999999999997E-2</v>
      </c>
      <c r="D4770">
        <v>282</v>
      </c>
      <c r="E4770" t="s">
        <v>5198</v>
      </c>
      <c r="F4770">
        <v>282</v>
      </c>
      <c r="G4770" s="1">
        <v>45208</v>
      </c>
      <c r="H4770" s="6">
        <f t="shared" si="150"/>
        <v>27.447916666667606</v>
      </c>
      <c r="I4770" s="7">
        <f t="shared" si="151"/>
        <v>27.447916666667606</v>
      </c>
    </row>
    <row r="4771" spans="1:9" x14ac:dyDescent="0.2">
      <c r="A4771" t="s">
        <v>5199</v>
      </c>
      <c r="B4771">
        <v>4.4130000000000003</v>
      </c>
      <c r="C4771">
        <v>6.1815000000000002E-2</v>
      </c>
      <c r="D4771">
        <v>282</v>
      </c>
      <c r="E4771" t="s">
        <v>5199</v>
      </c>
      <c r="F4771">
        <v>282</v>
      </c>
      <c r="G4771" s="1">
        <v>45208</v>
      </c>
      <c r="H4771" s="6">
        <f t="shared" si="150"/>
        <v>27.458333333334274</v>
      </c>
      <c r="I4771" s="7">
        <f t="shared" si="151"/>
        <v>27.458333333334274</v>
      </c>
    </row>
    <row r="4772" spans="1:9" x14ac:dyDescent="0.2">
      <c r="A4772" t="s">
        <v>5200</v>
      </c>
      <c r="B4772">
        <v>4.4255000000000004</v>
      </c>
      <c r="C4772">
        <v>6.1995000000000001E-2</v>
      </c>
      <c r="D4772">
        <v>282</v>
      </c>
      <c r="E4772" t="s">
        <v>5200</v>
      </c>
      <c r="F4772">
        <v>282</v>
      </c>
      <c r="G4772" s="1">
        <v>45208</v>
      </c>
      <c r="H4772" s="6">
        <f t="shared" si="150"/>
        <v>27.468750000000941</v>
      </c>
      <c r="I4772" s="7">
        <f t="shared" si="151"/>
        <v>27.468750000000941</v>
      </c>
    </row>
    <row r="4773" spans="1:9" x14ac:dyDescent="0.2">
      <c r="A4773" t="s">
        <v>5201</v>
      </c>
      <c r="B4773">
        <v>4.3574999999999999</v>
      </c>
      <c r="C4773">
        <v>6.105E-2</v>
      </c>
      <c r="D4773">
        <v>282</v>
      </c>
      <c r="E4773" t="s">
        <v>5201</v>
      </c>
      <c r="F4773">
        <v>282</v>
      </c>
      <c r="G4773" s="1">
        <v>45208</v>
      </c>
      <c r="H4773" s="6">
        <f t="shared" si="150"/>
        <v>27.479166666667609</v>
      </c>
      <c r="I4773" s="7">
        <f t="shared" si="151"/>
        <v>27.479166666667609</v>
      </c>
    </row>
    <row r="4774" spans="1:9" x14ac:dyDescent="0.2">
      <c r="A4774" t="s">
        <v>5202</v>
      </c>
      <c r="B4774">
        <v>4.3570000000000002</v>
      </c>
      <c r="C4774">
        <v>6.1019999999999998E-2</v>
      </c>
      <c r="D4774">
        <v>282</v>
      </c>
      <c r="E4774" t="s">
        <v>5202</v>
      </c>
      <c r="F4774">
        <v>282</v>
      </c>
      <c r="G4774" s="1">
        <v>45208</v>
      </c>
      <c r="H4774" s="6">
        <f t="shared" si="150"/>
        <v>27.489583333334277</v>
      </c>
      <c r="I4774" s="7">
        <f t="shared" si="151"/>
        <v>27.489583333334277</v>
      </c>
    </row>
    <row r="4775" spans="1:9" x14ac:dyDescent="0.2">
      <c r="A4775" t="s">
        <v>5203</v>
      </c>
      <c r="B4775">
        <v>4.4359999999999999</v>
      </c>
      <c r="C4775">
        <v>6.2125E-2</v>
      </c>
      <c r="D4775">
        <v>282</v>
      </c>
      <c r="E4775" t="s">
        <v>5203</v>
      </c>
      <c r="F4775">
        <v>282</v>
      </c>
      <c r="G4775" s="1">
        <v>45208</v>
      </c>
      <c r="H4775" s="6">
        <f t="shared" si="150"/>
        <v>27.500000000000945</v>
      </c>
      <c r="I4775" s="7">
        <f t="shared" si="151"/>
        <v>27.500000000000945</v>
      </c>
    </row>
    <row r="4776" spans="1:9" x14ac:dyDescent="0.2">
      <c r="A4776" t="s">
        <v>5204</v>
      </c>
      <c r="B4776">
        <v>4.4305000000000003</v>
      </c>
      <c r="C4776">
        <v>6.2059999999999997E-2</v>
      </c>
      <c r="D4776">
        <v>282</v>
      </c>
      <c r="E4776" t="s">
        <v>5204</v>
      </c>
      <c r="F4776">
        <v>282</v>
      </c>
      <c r="G4776" s="1">
        <v>45208</v>
      </c>
      <c r="H4776" s="6">
        <f t="shared" si="150"/>
        <v>27.510416666667613</v>
      </c>
      <c r="I4776" s="7">
        <f t="shared" si="151"/>
        <v>27.510416666667613</v>
      </c>
    </row>
    <row r="4777" spans="1:9" x14ac:dyDescent="0.2">
      <c r="A4777" t="s">
        <v>5205</v>
      </c>
      <c r="B4777">
        <v>4.3594999999999997</v>
      </c>
      <c r="C4777">
        <v>6.1080000000000002E-2</v>
      </c>
      <c r="D4777">
        <v>282</v>
      </c>
      <c r="E4777" t="s">
        <v>5205</v>
      </c>
      <c r="F4777">
        <v>282</v>
      </c>
      <c r="G4777" s="1">
        <v>45208</v>
      </c>
      <c r="H4777" s="6">
        <f t="shared" si="150"/>
        <v>27.520833333334281</v>
      </c>
      <c r="I4777" s="7">
        <f t="shared" si="151"/>
        <v>27.520833333334281</v>
      </c>
    </row>
    <row r="4778" spans="1:9" x14ac:dyDescent="0.2">
      <c r="A4778" t="s">
        <v>5206</v>
      </c>
      <c r="B4778">
        <v>4.4154999999999998</v>
      </c>
      <c r="C4778">
        <v>6.1839999999999999E-2</v>
      </c>
      <c r="D4778">
        <v>282</v>
      </c>
      <c r="E4778" t="s">
        <v>5206</v>
      </c>
      <c r="F4778">
        <v>282</v>
      </c>
      <c r="G4778" s="1">
        <v>45208</v>
      </c>
      <c r="H4778" s="6">
        <f t="shared" si="150"/>
        <v>27.531250000000949</v>
      </c>
      <c r="I4778" s="7">
        <f t="shared" si="151"/>
        <v>27.531250000000949</v>
      </c>
    </row>
    <row r="4779" spans="1:9" x14ac:dyDescent="0.2">
      <c r="A4779" t="s">
        <v>5207</v>
      </c>
      <c r="B4779" s="2" t="s">
        <v>5208</v>
      </c>
      <c r="C4779">
        <v>6.1445E-2</v>
      </c>
      <c r="D4779">
        <v>282</v>
      </c>
      <c r="E4779" t="s">
        <v>5207</v>
      </c>
      <c r="F4779">
        <v>282</v>
      </c>
      <c r="G4779" s="1">
        <v>45208</v>
      </c>
      <c r="H4779" s="6">
        <f t="shared" si="150"/>
        <v>27.541666666667616</v>
      </c>
      <c r="I4779" s="7">
        <f t="shared" si="151"/>
        <v>27.541666666667616</v>
      </c>
    </row>
    <row r="4780" spans="1:9" x14ac:dyDescent="0.2">
      <c r="A4780" t="s">
        <v>5209</v>
      </c>
      <c r="B4780">
        <v>4.4055</v>
      </c>
      <c r="C4780">
        <v>6.1699999999999998E-2</v>
      </c>
      <c r="D4780">
        <v>282</v>
      </c>
      <c r="E4780" t="s">
        <v>5209</v>
      </c>
      <c r="F4780">
        <v>282</v>
      </c>
      <c r="G4780" s="1">
        <v>45208</v>
      </c>
      <c r="H4780" s="6">
        <f t="shared" si="150"/>
        <v>27.552083333334284</v>
      </c>
      <c r="I4780" s="7">
        <f t="shared" si="151"/>
        <v>27.552083333334284</v>
      </c>
    </row>
    <row r="4781" spans="1:9" x14ac:dyDescent="0.2">
      <c r="A4781" t="s">
        <v>5210</v>
      </c>
      <c r="B4781">
        <v>4.4074999999999998</v>
      </c>
      <c r="C4781">
        <v>6.1725000000000002E-2</v>
      </c>
      <c r="D4781">
        <v>282</v>
      </c>
      <c r="E4781" t="s">
        <v>5210</v>
      </c>
      <c r="F4781">
        <v>282</v>
      </c>
      <c r="G4781" s="1">
        <v>45208</v>
      </c>
      <c r="H4781" s="6">
        <f t="shared" si="150"/>
        <v>27.562500000000952</v>
      </c>
      <c r="I4781" s="7">
        <f t="shared" si="151"/>
        <v>27.562500000000952</v>
      </c>
    </row>
    <row r="4782" spans="1:9" x14ac:dyDescent="0.2">
      <c r="A4782" t="s">
        <v>5211</v>
      </c>
      <c r="B4782">
        <v>4.4589999999999996</v>
      </c>
      <c r="C4782">
        <v>6.2480000000000001E-2</v>
      </c>
      <c r="D4782">
        <v>282</v>
      </c>
      <c r="E4782" t="s">
        <v>5211</v>
      </c>
      <c r="F4782">
        <v>282</v>
      </c>
      <c r="G4782" s="1">
        <v>45208</v>
      </c>
      <c r="H4782" s="6">
        <f t="shared" si="150"/>
        <v>27.57291666666762</v>
      </c>
      <c r="I4782" s="7">
        <f t="shared" si="151"/>
        <v>27.57291666666762</v>
      </c>
    </row>
    <row r="4783" spans="1:9" x14ac:dyDescent="0.2">
      <c r="A4783" t="s">
        <v>5212</v>
      </c>
      <c r="B4783">
        <v>4.4465000000000003</v>
      </c>
      <c r="C4783">
        <v>6.2274999999999997E-2</v>
      </c>
      <c r="D4783">
        <v>282</v>
      </c>
      <c r="E4783" t="s">
        <v>5212</v>
      </c>
      <c r="F4783">
        <v>282</v>
      </c>
      <c r="G4783" s="1">
        <v>45208</v>
      </c>
      <c r="H4783" s="6">
        <f t="shared" si="150"/>
        <v>27.583333333334288</v>
      </c>
      <c r="I4783" s="7">
        <f t="shared" si="151"/>
        <v>27.583333333334288</v>
      </c>
    </row>
    <row r="4784" spans="1:9" x14ac:dyDescent="0.2">
      <c r="A4784" t="s">
        <v>5213</v>
      </c>
      <c r="B4784" s="2" t="s">
        <v>5214</v>
      </c>
      <c r="C4784">
        <v>6.1574999999999998E-2</v>
      </c>
      <c r="D4784">
        <v>282</v>
      </c>
      <c r="E4784" t="s">
        <v>5213</v>
      </c>
      <c r="F4784">
        <v>282</v>
      </c>
      <c r="G4784" s="1">
        <v>45208</v>
      </c>
      <c r="H4784" s="6">
        <f t="shared" si="150"/>
        <v>27.593750000000956</v>
      </c>
      <c r="I4784" s="7">
        <f t="shared" si="151"/>
        <v>27.593750000000956</v>
      </c>
    </row>
    <row r="4785" spans="1:9" x14ac:dyDescent="0.2">
      <c r="A4785" t="s">
        <v>5215</v>
      </c>
      <c r="B4785">
        <v>4.4794999999999998</v>
      </c>
      <c r="C4785">
        <v>6.275E-2</v>
      </c>
      <c r="D4785">
        <v>283</v>
      </c>
      <c r="E4785" t="s">
        <v>5215</v>
      </c>
      <c r="F4785">
        <v>282</v>
      </c>
      <c r="G4785" s="1">
        <v>45208</v>
      </c>
      <c r="H4785" s="6">
        <f t="shared" si="150"/>
        <v>27.604166666667624</v>
      </c>
      <c r="I4785" s="7">
        <f t="shared" si="151"/>
        <v>27.604166666667624</v>
      </c>
    </row>
    <row r="4786" spans="1:9" x14ac:dyDescent="0.2">
      <c r="A4786" t="s">
        <v>5216</v>
      </c>
      <c r="B4786">
        <v>4.4524999999999997</v>
      </c>
      <c r="C4786">
        <v>6.2359999999999999E-2</v>
      </c>
      <c r="D4786">
        <v>283</v>
      </c>
      <c r="E4786" t="s">
        <v>5216</v>
      </c>
      <c r="F4786">
        <v>282</v>
      </c>
      <c r="G4786" s="1">
        <v>45208</v>
      </c>
      <c r="H4786" s="6">
        <f t="shared" si="150"/>
        <v>27.614583333334291</v>
      </c>
      <c r="I4786" s="7">
        <f t="shared" si="151"/>
        <v>27.614583333334291</v>
      </c>
    </row>
    <row r="4787" spans="1:9" x14ac:dyDescent="0.2">
      <c r="A4787" t="s">
        <v>5217</v>
      </c>
      <c r="B4787">
        <v>4.5274999999999999</v>
      </c>
      <c r="C4787">
        <v>6.3414999999999999E-2</v>
      </c>
      <c r="D4787">
        <v>283</v>
      </c>
      <c r="E4787" t="s">
        <v>5217</v>
      </c>
      <c r="F4787">
        <v>282</v>
      </c>
      <c r="G4787" s="1">
        <v>45208</v>
      </c>
      <c r="H4787" s="6">
        <f t="shared" si="150"/>
        <v>27.625000000000959</v>
      </c>
      <c r="I4787" s="7">
        <f t="shared" si="151"/>
        <v>27.625000000000959</v>
      </c>
    </row>
    <row r="4788" spans="1:9" x14ac:dyDescent="0.2">
      <c r="A4788" t="s">
        <v>5218</v>
      </c>
      <c r="B4788">
        <v>4.5194999999999999</v>
      </c>
      <c r="C4788">
        <v>6.3305E-2</v>
      </c>
      <c r="D4788">
        <v>283</v>
      </c>
      <c r="E4788" t="s">
        <v>5218</v>
      </c>
      <c r="F4788">
        <v>282</v>
      </c>
      <c r="G4788" s="1">
        <v>45208</v>
      </c>
      <c r="H4788" s="6">
        <f t="shared" si="150"/>
        <v>27.635416666667627</v>
      </c>
      <c r="I4788" s="7">
        <f t="shared" si="151"/>
        <v>27.635416666667627</v>
      </c>
    </row>
    <row r="4789" spans="1:9" x14ac:dyDescent="0.2">
      <c r="A4789" t="s">
        <v>5219</v>
      </c>
      <c r="B4789">
        <v>4.5229999999999997</v>
      </c>
      <c r="C4789">
        <v>6.3354999999999995E-2</v>
      </c>
      <c r="D4789">
        <v>283</v>
      </c>
      <c r="E4789" t="s">
        <v>5219</v>
      </c>
      <c r="F4789">
        <v>282</v>
      </c>
      <c r="G4789" s="1">
        <v>45208</v>
      </c>
      <c r="H4789" s="6">
        <f t="shared" si="150"/>
        <v>27.645833333334295</v>
      </c>
      <c r="I4789" s="7">
        <f t="shared" si="151"/>
        <v>27.645833333334295</v>
      </c>
    </row>
    <row r="4790" spans="1:9" x14ac:dyDescent="0.2">
      <c r="A4790" t="s">
        <v>5220</v>
      </c>
      <c r="B4790">
        <v>4.4824999999999999</v>
      </c>
      <c r="C4790">
        <v>6.2784999999999994E-2</v>
      </c>
      <c r="D4790">
        <v>283</v>
      </c>
      <c r="E4790" t="s">
        <v>5220</v>
      </c>
      <c r="F4790">
        <v>282</v>
      </c>
      <c r="G4790" s="1">
        <v>45208</v>
      </c>
      <c r="H4790" s="6">
        <f t="shared" si="150"/>
        <v>27.656250000000963</v>
      </c>
      <c r="I4790" s="7">
        <f t="shared" si="151"/>
        <v>27.656250000000963</v>
      </c>
    </row>
    <row r="4791" spans="1:9" x14ac:dyDescent="0.2">
      <c r="A4791" t="s">
        <v>5221</v>
      </c>
      <c r="B4791">
        <v>4.4755000000000003</v>
      </c>
      <c r="C4791">
        <v>6.2695000000000001E-2</v>
      </c>
      <c r="D4791">
        <v>283</v>
      </c>
      <c r="E4791" t="s">
        <v>5221</v>
      </c>
      <c r="F4791">
        <v>282</v>
      </c>
      <c r="G4791" s="1">
        <v>45208</v>
      </c>
      <c r="H4791" s="6">
        <f t="shared" si="150"/>
        <v>27.666666666667631</v>
      </c>
      <c r="I4791" s="7">
        <f t="shared" si="151"/>
        <v>27.666666666667631</v>
      </c>
    </row>
    <row r="4792" spans="1:9" x14ac:dyDescent="0.2">
      <c r="A4792" t="s">
        <v>5222</v>
      </c>
      <c r="B4792">
        <v>4.4785000000000004</v>
      </c>
      <c r="C4792">
        <v>6.2725000000000003E-2</v>
      </c>
      <c r="D4792">
        <v>283</v>
      </c>
      <c r="E4792" t="s">
        <v>5222</v>
      </c>
      <c r="F4792">
        <v>282</v>
      </c>
      <c r="G4792" s="1">
        <v>45208</v>
      </c>
      <c r="H4792" s="6">
        <f t="shared" si="150"/>
        <v>27.677083333334298</v>
      </c>
      <c r="I4792" s="7">
        <f t="shared" si="151"/>
        <v>27.677083333334298</v>
      </c>
    </row>
    <row r="4793" spans="1:9" x14ac:dyDescent="0.2">
      <c r="A4793" t="s">
        <v>5223</v>
      </c>
      <c r="B4793">
        <v>4.4660000000000002</v>
      </c>
      <c r="C4793">
        <v>6.2549999999999994E-2</v>
      </c>
      <c r="D4793">
        <v>283</v>
      </c>
      <c r="E4793" t="s">
        <v>5223</v>
      </c>
      <c r="F4793">
        <v>282</v>
      </c>
      <c r="G4793" s="1">
        <v>45208</v>
      </c>
      <c r="H4793" s="6">
        <f t="shared" si="150"/>
        <v>27.687500000000966</v>
      </c>
      <c r="I4793" s="7">
        <f t="shared" si="151"/>
        <v>27.687500000000966</v>
      </c>
    </row>
    <row r="4794" spans="1:9" x14ac:dyDescent="0.2">
      <c r="A4794" t="s">
        <v>5224</v>
      </c>
      <c r="B4794">
        <v>4.55</v>
      </c>
      <c r="C4794">
        <v>6.3735E-2</v>
      </c>
      <c r="D4794">
        <v>283</v>
      </c>
      <c r="E4794" t="s">
        <v>5224</v>
      </c>
      <c r="F4794">
        <v>282</v>
      </c>
      <c r="G4794" s="1">
        <v>45208</v>
      </c>
      <c r="H4794" s="6">
        <f t="shared" si="150"/>
        <v>27.697916666667634</v>
      </c>
      <c r="I4794" s="7">
        <f t="shared" si="151"/>
        <v>27.697916666667634</v>
      </c>
    </row>
    <row r="4795" spans="1:9" x14ac:dyDescent="0.2">
      <c r="A4795" t="s">
        <v>5225</v>
      </c>
      <c r="B4795">
        <v>4.7050000000000001</v>
      </c>
      <c r="C4795">
        <v>6.59E-2</v>
      </c>
      <c r="D4795">
        <v>283</v>
      </c>
      <c r="E4795" t="s">
        <v>5225</v>
      </c>
      <c r="F4795">
        <v>282</v>
      </c>
      <c r="G4795" s="1">
        <v>45208</v>
      </c>
      <c r="H4795" s="6">
        <f t="shared" si="150"/>
        <v>27.708333333334302</v>
      </c>
      <c r="I4795" s="7">
        <f t="shared" si="151"/>
        <v>27.708333333334302</v>
      </c>
    </row>
    <row r="4796" spans="1:9" x14ac:dyDescent="0.2">
      <c r="A4796" t="s">
        <v>5226</v>
      </c>
      <c r="B4796">
        <v>4.7190000000000003</v>
      </c>
      <c r="C4796">
        <v>6.6089999999999996E-2</v>
      </c>
      <c r="D4796">
        <v>283</v>
      </c>
      <c r="E4796" t="s">
        <v>5226</v>
      </c>
      <c r="F4796">
        <v>282</v>
      </c>
      <c r="G4796" s="1">
        <v>45208</v>
      </c>
      <c r="H4796" s="6">
        <f t="shared" si="150"/>
        <v>27.71875000000097</v>
      </c>
      <c r="I4796" s="7">
        <f t="shared" si="151"/>
        <v>27.71875000000097</v>
      </c>
    </row>
    <row r="4797" spans="1:9" x14ac:dyDescent="0.2">
      <c r="A4797" t="s">
        <v>5227</v>
      </c>
      <c r="B4797">
        <v>4.7560000000000002</v>
      </c>
      <c r="C4797">
        <v>6.6619999999999999E-2</v>
      </c>
      <c r="D4797">
        <v>283</v>
      </c>
      <c r="E4797" t="s">
        <v>5227</v>
      </c>
      <c r="F4797">
        <v>282</v>
      </c>
      <c r="G4797" s="1">
        <v>45208</v>
      </c>
      <c r="H4797" s="6">
        <f t="shared" si="150"/>
        <v>27.729166666667638</v>
      </c>
      <c r="I4797" s="7">
        <f t="shared" si="151"/>
        <v>27.729166666667638</v>
      </c>
    </row>
    <row r="4798" spans="1:9" x14ac:dyDescent="0.2">
      <c r="A4798" t="s">
        <v>5228</v>
      </c>
      <c r="B4798">
        <v>4.8034999999999997</v>
      </c>
      <c r="C4798">
        <v>6.7290000000000003E-2</v>
      </c>
      <c r="D4798">
        <v>283</v>
      </c>
      <c r="E4798" t="s">
        <v>5228</v>
      </c>
      <c r="F4798">
        <v>282</v>
      </c>
      <c r="G4798" s="1">
        <v>45208</v>
      </c>
      <c r="H4798" s="6">
        <f t="shared" si="150"/>
        <v>27.739583333334306</v>
      </c>
      <c r="I4798" s="7">
        <f t="shared" si="151"/>
        <v>27.739583333334306</v>
      </c>
    </row>
    <row r="4799" spans="1:9" x14ac:dyDescent="0.2">
      <c r="A4799" t="s">
        <v>5229</v>
      </c>
      <c r="B4799" s="2" t="s">
        <v>5230</v>
      </c>
      <c r="C4799">
        <v>6.6890000000000005E-2</v>
      </c>
      <c r="D4799">
        <v>283</v>
      </c>
      <c r="E4799" t="s">
        <v>5229</v>
      </c>
      <c r="F4799">
        <v>282</v>
      </c>
      <c r="G4799" s="1">
        <v>45208</v>
      </c>
      <c r="H4799" s="6">
        <f t="shared" si="150"/>
        <v>27.750000000000973</v>
      </c>
      <c r="I4799" s="7">
        <f t="shared" si="151"/>
        <v>27.750000000000973</v>
      </c>
    </row>
    <row r="4800" spans="1:9" x14ac:dyDescent="0.2">
      <c r="A4800" t="s">
        <v>5231</v>
      </c>
      <c r="B4800">
        <v>4.88</v>
      </c>
      <c r="C4800">
        <v>6.8339999999999998E-2</v>
      </c>
      <c r="D4800">
        <v>283</v>
      </c>
      <c r="E4800" t="s">
        <v>5231</v>
      </c>
      <c r="F4800">
        <v>282</v>
      </c>
      <c r="G4800" s="1">
        <v>45208</v>
      </c>
      <c r="H4800" s="6">
        <f t="shared" si="150"/>
        <v>27.760416666667641</v>
      </c>
      <c r="I4800" s="7">
        <f t="shared" si="151"/>
        <v>27.760416666667641</v>
      </c>
    </row>
    <row r="4801" spans="1:9" x14ac:dyDescent="0.2">
      <c r="A4801" t="s">
        <v>5232</v>
      </c>
      <c r="B4801">
        <v>4.9044999999999996</v>
      </c>
      <c r="C4801">
        <v>6.8695000000000006E-2</v>
      </c>
      <c r="D4801">
        <v>283</v>
      </c>
      <c r="E4801" t="s">
        <v>5232</v>
      </c>
      <c r="F4801">
        <v>282</v>
      </c>
      <c r="G4801" s="1">
        <v>45208</v>
      </c>
      <c r="H4801" s="6">
        <f t="shared" si="150"/>
        <v>27.770833333334309</v>
      </c>
      <c r="I4801" s="7">
        <f t="shared" si="151"/>
        <v>27.770833333334309</v>
      </c>
    </row>
    <row r="4802" spans="1:9" x14ac:dyDescent="0.2">
      <c r="A4802" t="s">
        <v>5233</v>
      </c>
      <c r="B4802">
        <v>4.9104999999999999</v>
      </c>
      <c r="C4802">
        <v>6.8775000000000003E-2</v>
      </c>
      <c r="D4802">
        <v>283</v>
      </c>
      <c r="E4802" t="s">
        <v>5233</v>
      </c>
      <c r="F4802">
        <v>282</v>
      </c>
      <c r="G4802" s="1">
        <v>45208</v>
      </c>
      <c r="H4802" s="6">
        <f t="shared" si="150"/>
        <v>27.781250000000977</v>
      </c>
      <c r="I4802" s="7">
        <f t="shared" si="151"/>
        <v>27.781250000000977</v>
      </c>
    </row>
    <row r="4803" spans="1:9" x14ac:dyDescent="0.2">
      <c r="A4803" t="s">
        <v>5234</v>
      </c>
      <c r="B4803">
        <v>4.9264999999999999</v>
      </c>
      <c r="C4803">
        <v>6.9000000000000006E-2</v>
      </c>
      <c r="D4803">
        <v>283</v>
      </c>
      <c r="E4803" t="s">
        <v>5234</v>
      </c>
      <c r="F4803">
        <v>282</v>
      </c>
      <c r="G4803" s="1">
        <v>45208</v>
      </c>
      <c r="H4803" s="6">
        <f t="shared" si="150"/>
        <v>27.791666666667645</v>
      </c>
      <c r="I4803" s="7">
        <f t="shared" si="151"/>
        <v>27.791666666667645</v>
      </c>
    </row>
    <row r="4804" spans="1:9" x14ac:dyDescent="0.2">
      <c r="A4804" t="s">
        <v>5235</v>
      </c>
      <c r="B4804">
        <v>4.9915000000000003</v>
      </c>
      <c r="C4804">
        <v>6.9919999999999996E-2</v>
      </c>
      <c r="D4804">
        <v>283</v>
      </c>
      <c r="E4804" t="s">
        <v>5235</v>
      </c>
      <c r="F4804">
        <v>282</v>
      </c>
      <c r="G4804" s="1">
        <v>45208</v>
      </c>
      <c r="H4804" s="6">
        <f t="shared" si="150"/>
        <v>27.802083333334313</v>
      </c>
      <c r="I4804" s="7">
        <f t="shared" si="151"/>
        <v>27.802083333334313</v>
      </c>
    </row>
    <row r="4805" spans="1:9" x14ac:dyDescent="0.2">
      <c r="A4805" t="s">
        <v>5236</v>
      </c>
      <c r="B4805">
        <v>4.9390000000000001</v>
      </c>
      <c r="C4805">
        <v>6.9184999999999997E-2</v>
      </c>
      <c r="D4805">
        <v>283</v>
      </c>
      <c r="E4805" t="s">
        <v>5236</v>
      </c>
      <c r="F4805">
        <v>282</v>
      </c>
      <c r="G4805" s="1">
        <v>45208</v>
      </c>
      <c r="H4805" s="6">
        <f t="shared" si="150"/>
        <v>27.812500000000981</v>
      </c>
      <c r="I4805" s="7">
        <f t="shared" si="151"/>
        <v>27.812500000000981</v>
      </c>
    </row>
    <row r="4806" spans="1:9" x14ac:dyDescent="0.2">
      <c r="A4806" t="s">
        <v>5237</v>
      </c>
      <c r="B4806">
        <v>4.9589999999999996</v>
      </c>
      <c r="C4806">
        <v>6.9455000000000003E-2</v>
      </c>
      <c r="D4806">
        <v>283</v>
      </c>
      <c r="E4806" t="s">
        <v>5237</v>
      </c>
      <c r="F4806">
        <v>282</v>
      </c>
      <c r="G4806" s="1">
        <v>45208</v>
      </c>
      <c r="H4806" s="6">
        <f t="shared" si="150"/>
        <v>27.822916666667648</v>
      </c>
      <c r="I4806" s="7">
        <f t="shared" si="151"/>
        <v>27.822916666667648</v>
      </c>
    </row>
    <row r="4807" spans="1:9" x14ac:dyDescent="0.2">
      <c r="A4807" t="s">
        <v>5238</v>
      </c>
      <c r="B4807">
        <v>4.9160000000000004</v>
      </c>
      <c r="C4807">
        <v>6.8860000000000005E-2</v>
      </c>
      <c r="D4807">
        <v>283</v>
      </c>
      <c r="E4807" t="s">
        <v>5238</v>
      </c>
      <c r="F4807">
        <v>282</v>
      </c>
      <c r="G4807" s="1">
        <v>45208</v>
      </c>
      <c r="H4807" s="6">
        <f t="shared" si="150"/>
        <v>27.833333333334316</v>
      </c>
      <c r="I4807" s="7">
        <f t="shared" si="151"/>
        <v>27.833333333334316</v>
      </c>
    </row>
    <row r="4808" spans="1:9" x14ac:dyDescent="0.2">
      <c r="A4808" t="s">
        <v>5239</v>
      </c>
      <c r="B4808">
        <v>4.8815</v>
      </c>
      <c r="C4808">
        <v>6.8385000000000001E-2</v>
      </c>
      <c r="D4808">
        <v>283</v>
      </c>
      <c r="E4808" t="s">
        <v>5239</v>
      </c>
      <c r="F4808">
        <v>282</v>
      </c>
      <c r="G4808" s="1">
        <v>45208</v>
      </c>
      <c r="H4808" s="6">
        <f t="shared" si="150"/>
        <v>27.843750000000984</v>
      </c>
      <c r="I4808" s="7">
        <f t="shared" si="151"/>
        <v>27.843750000000984</v>
      </c>
    </row>
    <row r="4809" spans="1:9" x14ac:dyDescent="0.2">
      <c r="A4809" t="s">
        <v>5240</v>
      </c>
      <c r="B4809">
        <v>4.9775</v>
      </c>
      <c r="C4809">
        <v>6.9709999999999994E-2</v>
      </c>
      <c r="D4809">
        <v>283</v>
      </c>
      <c r="E4809" t="s">
        <v>5240</v>
      </c>
      <c r="F4809">
        <v>283</v>
      </c>
      <c r="G4809" s="1">
        <v>45209</v>
      </c>
      <c r="H4809" s="6">
        <f t="shared" si="150"/>
        <v>27.854166666667652</v>
      </c>
      <c r="I4809" s="7">
        <f t="shared" si="151"/>
        <v>27.854166666667652</v>
      </c>
    </row>
    <row r="4810" spans="1:9" x14ac:dyDescent="0.2">
      <c r="A4810" t="s">
        <v>5241</v>
      </c>
      <c r="B4810">
        <v>5.0555000000000003</v>
      </c>
      <c r="C4810">
        <v>7.0800000000000002E-2</v>
      </c>
      <c r="D4810">
        <v>283</v>
      </c>
      <c r="E4810" t="s">
        <v>5241</v>
      </c>
      <c r="F4810">
        <v>283</v>
      </c>
      <c r="G4810" s="1">
        <v>45209</v>
      </c>
      <c r="H4810" s="6">
        <f t="shared" si="150"/>
        <v>27.86458333333432</v>
      </c>
      <c r="I4810" s="7">
        <f t="shared" si="151"/>
        <v>27.86458333333432</v>
      </c>
    </row>
    <row r="4811" spans="1:9" x14ac:dyDescent="0.2">
      <c r="A4811" t="s">
        <v>5242</v>
      </c>
      <c r="B4811">
        <v>4.976</v>
      </c>
      <c r="C4811">
        <v>6.9690000000000002E-2</v>
      </c>
      <c r="D4811">
        <v>283</v>
      </c>
      <c r="E4811" t="s">
        <v>5242</v>
      </c>
      <c r="F4811">
        <v>283</v>
      </c>
      <c r="G4811" s="1">
        <v>45209</v>
      </c>
      <c r="H4811" s="6">
        <f t="shared" si="150"/>
        <v>27.875000000000988</v>
      </c>
      <c r="I4811" s="7">
        <f t="shared" si="151"/>
        <v>27.875000000000988</v>
      </c>
    </row>
    <row r="4812" spans="1:9" x14ac:dyDescent="0.2">
      <c r="A4812" t="s">
        <v>5243</v>
      </c>
      <c r="B4812">
        <v>5.0404999999999998</v>
      </c>
      <c r="C4812">
        <v>7.0599999999999996E-2</v>
      </c>
      <c r="D4812">
        <v>283</v>
      </c>
      <c r="E4812" t="s">
        <v>5243</v>
      </c>
      <c r="F4812">
        <v>283</v>
      </c>
      <c r="G4812" s="1">
        <v>45209</v>
      </c>
      <c r="H4812" s="6">
        <f t="shared" si="150"/>
        <v>27.885416666667656</v>
      </c>
      <c r="I4812" s="7">
        <f t="shared" si="151"/>
        <v>27.885416666667656</v>
      </c>
    </row>
    <row r="4813" spans="1:9" x14ac:dyDescent="0.2">
      <c r="A4813" t="s">
        <v>5244</v>
      </c>
      <c r="B4813">
        <v>4.8985000000000003</v>
      </c>
      <c r="C4813">
        <v>6.862E-2</v>
      </c>
      <c r="D4813">
        <v>283</v>
      </c>
      <c r="E4813" t="s">
        <v>5244</v>
      </c>
      <c r="F4813">
        <v>283</v>
      </c>
      <c r="G4813" s="1">
        <v>45209</v>
      </c>
      <c r="H4813" s="6">
        <f t="shared" si="150"/>
        <v>27.895833333334323</v>
      </c>
      <c r="I4813" s="7">
        <f t="shared" si="151"/>
        <v>27.895833333334323</v>
      </c>
    </row>
    <row r="4814" spans="1:9" x14ac:dyDescent="0.2">
      <c r="A4814" t="s">
        <v>5245</v>
      </c>
      <c r="B4814">
        <v>5.0049999999999999</v>
      </c>
      <c r="C4814">
        <v>7.0120000000000002E-2</v>
      </c>
      <c r="D4814">
        <v>283</v>
      </c>
      <c r="E4814" t="s">
        <v>5245</v>
      </c>
      <c r="F4814">
        <v>283</v>
      </c>
      <c r="G4814" s="1">
        <v>45209</v>
      </c>
      <c r="H4814" s="6">
        <f t="shared" si="150"/>
        <v>27.906250000000991</v>
      </c>
      <c r="I4814" s="7">
        <f t="shared" si="151"/>
        <v>27.906250000000991</v>
      </c>
    </row>
    <row r="4815" spans="1:9" x14ac:dyDescent="0.2">
      <c r="A4815" t="s">
        <v>5246</v>
      </c>
      <c r="B4815" s="2" t="s">
        <v>5171</v>
      </c>
      <c r="C4815">
        <v>7.0724999999999996E-2</v>
      </c>
      <c r="D4815">
        <v>283</v>
      </c>
      <c r="E4815" t="s">
        <v>5246</v>
      </c>
      <c r="F4815">
        <v>283</v>
      </c>
      <c r="G4815" s="1">
        <v>45209</v>
      </c>
      <c r="H4815" s="6">
        <f t="shared" si="150"/>
        <v>27.916666666667659</v>
      </c>
      <c r="I4815" s="7">
        <f t="shared" si="151"/>
        <v>27.916666666667659</v>
      </c>
    </row>
    <row r="4816" spans="1:9" x14ac:dyDescent="0.2">
      <c r="A4816" t="s">
        <v>5247</v>
      </c>
      <c r="B4816">
        <v>5.0315000000000003</v>
      </c>
      <c r="C4816">
        <v>7.0485000000000006E-2</v>
      </c>
      <c r="D4816">
        <v>283</v>
      </c>
      <c r="E4816" t="s">
        <v>5247</v>
      </c>
      <c r="F4816">
        <v>283</v>
      </c>
      <c r="G4816" s="1">
        <v>45209</v>
      </c>
      <c r="H4816" s="6">
        <f t="shared" si="150"/>
        <v>27.927083333334327</v>
      </c>
      <c r="I4816" s="7">
        <f t="shared" si="151"/>
        <v>27.927083333334327</v>
      </c>
    </row>
    <row r="4817" spans="1:9" x14ac:dyDescent="0.2">
      <c r="A4817" t="s">
        <v>5248</v>
      </c>
      <c r="B4817">
        <v>5.0564999999999998</v>
      </c>
      <c r="C4817">
        <v>7.0809999999999998E-2</v>
      </c>
      <c r="D4817">
        <v>283</v>
      </c>
      <c r="E4817" t="s">
        <v>5248</v>
      </c>
      <c r="F4817">
        <v>283</v>
      </c>
      <c r="G4817" s="1">
        <v>45209</v>
      </c>
      <c r="H4817" s="6">
        <f t="shared" si="150"/>
        <v>27.937500000000995</v>
      </c>
      <c r="I4817" s="7">
        <f t="shared" si="151"/>
        <v>27.937500000000995</v>
      </c>
    </row>
    <row r="4818" spans="1:9" x14ac:dyDescent="0.2">
      <c r="A4818" t="s">
        <v>5249</v>
      </c>
      <c r="B4818">
        <v>4.9394999999999998</v>
      </c>
      <c r="C4818">
        <v>6.9190000000000002E-2</v>
      </c>
      <c r="D4818">
        <v>283</v>
      </c>
      <c r="E4818" t="s">
        <v>5249</v>
      </c>
      <c r="F4818">
        <v>283</v>
      </c>
      <c r="G4818" s="1">
        <v>45209</v>
      </c>
      <c r="H4818" s="6">
        <f t="shared" si="150"/>
        <v>27.947916666667663</v>
      </c>
      <c r="I4818" s="7">
        <f t="shared" si="151"/>
        <v>27.947916666667663</v>
      </c>
    </row>
    <row r="4819" spans="1:9" x14ac:dyDescent="0.2">
      <c r="A4819" t="s">
        <v>5250</v>
      </c>
      <c r="B4819">
        <v>4.9195000000000002</v>
      </c>
      <c r="C4819">
        <v>6.8915000000000004E-2</v>
      </c>
      <c r="D4819">
        <v>283</v>
      </c>
      <c r="E4819" t="s">
        <v>5250</v>
      </c>
      <c r="F4819">
        <v>283</v>
      </c>
      <c r="G4819" s="1">
        <v>45209</v>
      </c>
      <c r="H4819" s="6">
        <f t="shared" si="150"/>
        <v>27.95833333333433</v>
      </c>
      <c r="I4819" s="7">
        <f t="shared" si="151"/>
        <v>27.95833333333433</v>
      </c>
    </row>
    <row r="4820" spans="1:9" x14ac:dyDescent="0.2">
      <c r="A4820" t="s">
        <v>5251</v>
      </c>
      <c r="B4820">
        <v>4.8860000000000001</v>
      </c>
      <c r="C4820">
        <v>6.8434999999999996E-2</v>
      </c>
      <c r="D4820">
        <v>283</v>
      </c>
      <c r="E4820" t="s">
        <v>5251</v>
      </c>
      <c r="F4820">
        <v>283</v>
      </c>
      <c r="G4820" s="1">
        <v>45209</v>
      </c>
      <c r="H4820" s="6">
        <f t="shared" si="150"/>
        <v>27.968750000000998</v>
      </c>
      <c r="I4820" s="7">
        <f t="shared" si="151"/>
        <v>27.968750000000998</v>
      </c>
    </row>
    <row r="4821" spans="1:9" x14ac:dyDescent="0.2">
      <c r="A4821" t="s">
        <v>5252</v>
      </c>
      <c r="B4821">
        <v>4.9035000000000002</v>
      </c>
      <c r="C4821">
        <v>6.8669999999999995E-2</v>
      </c>
      <c r="D4821">
        <v>283</v>
      </c>
      <c r="E4821" t="s">
        <v>5252</v>
      </c>
      <c r="F4821">
        <v>283</v>
      </c>
      <c r="G4821" s="1">
        <v>45209</v>
      </c>
      <c r="H4821" s="6">
        <f t="shared" si="150"/>
        <v>27.979166666667666</v>
      </c>
      <c r="I4821" s="7">
        <f t="shared" si="151"/>
        <v>27.979166666667666</v>
      </c>
    </row>
    <row r="4822" spans="1:9" x14ac:dyDescent="0.2">
      <c r="A4822" t="s">
        <v>5253</v>
      </c>
      <c r="B4822">
        <v>4.9390000000000001</v>
      </c>
      <c r="C4822">
        <v>6.9184999999999997E-2</v>
      </c>
      <c r="D4822">
        <v>283</v>
      </c>
      <c r="E4822" t="s">
        <v>5253</v>
      </c>
      <c r="F4822">
        <v>283</v>
      </c>
      <c r="G4822" s="1">
        <v>45209</v>
      </c>
      <c r="H4822" s="6">
        <f t="shared" si="150"/>
        <v>27.989583333334334</v>
      </c>
      <c r="I4822" s="7">
        <f t="shared" si="151"/>
        <v>27.989583333334334</v>
      </c>
    </row>
    <row r="4823" spans="1:9" x14ac:dyDescent="0.2">
      <c r="A4823" t="s">
        <v>5254</v>
      </c>
      <c r="B4823">
        <v>4.8620000000000001</v>
      </c>
      <c r="C4823">
        <v>6.8095000000000003E-2</v>
      </c>
      <c r="D4823">
        <v>283</v>
      </c>
      <c r="E4823" t="s">
        <v>5254</v>
      </c>
      <c r="F4823">
        <v>283</v>
      </c>
      <c r="G4823" s="1">
        <v>45209</v>
      </c>
      <c r="H4823" s="6">
        <f t="shared" si="150"/>
        <v>28.000000000001002</v>
      </c>
      <c r="I4823" s="7">
        <f t="shared" si="151"/>
        <v>28.000000000001002</v>
      </c>
    </row>
    <row r="4824" spans="1:9" x14ac:dyDescent="0.2">
      <c r="A4824" t="s">
        <v>5255</v>
      </c>
      <c r="B4824">
        <v>4.9545000000000003</v>
      </c>
      <c r="C4824">
        <v>6.9394999999999998E-2</v>
      </c>
      <c r="D4824">
        <v>283</v>
      </c>
      <c r="E4824" t="s">
        <v>5255</v>
      </c>
      <c r="F4824">
        <v>283</v>
      </c>
      <c r="G4824" s="1">
        <v>45209</v>
      </c>
      <c r="H4824" s="6">
        <f t="shared" si="150"/>
        <v>28.01041666666767</v>
      </c>
      <c r="I4824" s="7">
        <f t="shared" si="151"/>
        <v>28.01041666666767</v>
      </c>
    </row>
    <row r="4825" spans="1:9" x14ac:dyDescent="0.2">
      <c r="A4825" t="s">
        <v>5256</v>
      </c>
      <c r="B4825">
        <v>4.8654999999999999</v>
      </c>
      <c r="C4825">
        <v>6.8135000000000001E-2</v>
      </c>
      <c r="D4825">
        <v>283</v>
      </c>
      <c r="E4825" t="s">
        <v>5256</v>
      </c>
      <c r="F4825">
        <v>283</v>
      </c>
      <c r="G4825" s="1">
        <v>45209</v>
      </c>
      <c r="H4825" s="6">
        <f t="shared" si="150"/>
        <v>28.020833333334338</v>
      </c>
      <c r="I4825" s="7">
        <f t="shared" si="151"/>
        <v>28.020833333334338</v>
      </c>
    </row>
    <row r="4826" spans="1:9" x14ac:dyDescent="0.2">
      <c r="A4826" t="s">
        <v>5257</v>
      </c>
      <c r="B4826">
        <v>4.931</v>
      </c>
      <c r="C4826">
        <v>6.9055000000000005E-2</v>
      </c>
      <c r="D4826">
        <v>283</v>
      </c>
      <c r="E4826" t="s">
        <v>5257</v>
      </c>
      <c r="F4826">
        <v>283</v>
      </c>
      <c r="G4826" s="1">
        <v>45209</v>
      </c>
      <c r="H4826" s="6">
        <f t="shared" si="150"/>
        <v>28.031250000001005</v>
      </c>
      <c r="I4826" s="7">
        <f t="shared" si="151"/>
        <v>28.031250000001005</v>
      </c>
    </row>
    <row r="4827" spans="1:9" x14ac:dyDescent="0.2">
      <c r="A4827" t="s">
        <v>5258</v>
      </c>
      <c r="B4827">
        <v>4.9295</v>
      </c>
      <c r="C4827">
        <v>6.9034999999999999E-2</v>
      </c>
      <c r="D4827">
        <v>283</v>
      </c>
      <c r="E4827" t="s">
        <v>5258</v>
      </c>
      <c r="F4827">
        <v>283</v>
      </c>
      <c r="G4827" s="1">
        <v>45209</v>
      </c>
      <c r="H4827" s="6">
        <f t="shared" si="150"/>
        <v>28.041666666667673</v>
      </c>
      <c r="I4827" s="7">
        <f t="shared" si="151"/>
        <v>28.041666666667673</v>
      </c>
    </row>
    <row r="4828" spans="1:9" x14ac:dyDescent="0.2">
      <c r="A4828" t="s">
        <v>5259</v>
      </c>
      <c r="B4828">
        <v>4.9089999999999998</v>
      </c>
      <c r="C4828">
        <v>6.8754999999999997E-2</v>
      </c>
      <c r="D4828">
        <v>283</v>
      </c>
      <c r="E4828" t="s">
        <v>5259</v>
      </c>
      <c r="F4828">
        <v>283</v>
      </c>
      <c r="G4828" s="1">
        <v>45209</v>
      </c>
      <c r="H4828" s="6">
        <f t="shared" ref="H4828:H4891" si="152">H4827+$K$1</f>
        <v>28.052083333334341</v>
      </c>
      <c r="I4828" s="7">
        <f t="shared" ref="I4828:I4891" si="153">I4827+$K$1</f>
        <v>28.052083333334341</v>
      </c>
    </row>
    <row r="4829" spans="1:9" x14ac:dyDescent="0.2">
      <c r="A4829" t="s">
        <v>5260</v>
      </c>
      <c r="B4829">
        <v>4.8925000000000001</v>
      </c>
      <c r="C4829">
        <v>6.8540000000000004E-2</v>
      </c>
      <c r="D4829">
        <v>283</v>
      </c>
      <c r="E4829" t="s">
        <v>5260</v>
      </c>
      <c r="F4829">
        <v>283</v>
      </c>
      <c r="G4829" s="1">
        <v>45209</v>
      </c>
      <c r="H4829" s="6">
        <f t="shared" si="152"/>
        <v>28.062500000001009</v>
      </c>
      <c r="I4829" s="7">
        <f t="shared" si="153"/>
        <v>28.062500000001009</v>
      </c>
    </row>
    <row r="4830" spans="1:9" x14ac:dyDescent="0.2">
      <c r="A4830" t="s">
        <v>5261</v>
      </c>
      <c r="B4830">
        <v>4.9184999999999999</v>
      </c>
      <c r="C4830">
        <v>6.8890000000000007E-2</v>
      </c>
      <c r="D4830">
        <v>283</v>
      </c>
      <c r="E4830" t="s">
        <v>5261</v>
      </c>
      <c r="F4830">
        <v>283</v>
      </c>
      <c r="G4830" s="1">
        <v>45209</v>
      </c>
      <c r="H4830" s="6">
        <f t="shared" si="152"/>
        <v>28.072916666667677</v>
      </c>
      <c r="I4830" s="7">
        <f t="shared" si="153"/>
        <v>28.072916666667677</v>
      </c>
    </row>
    <row r="4831" spans="1:9" x14ac:dyDescent="0.2">
      <c r="A4831" t="s">
        <v>5262</v>
      </c>
      <c r="B4831">
        <v>4.9785000000000004</v>
      </c>
      <c r="C4831">
        <v>6.9735000000000005E-2</v>
      </c>
      <c r="D4831">
        <v>283</v>
      </c>
      <c r="E4831" t="s">
        <v>5262</v>
      </c>
      <c r="F4831">
        <v>283</v>
      </c>
      <c r="G4831" s="1">
        <v>45209</v>
      </c>
      <c r="H4831" s="6">
        <f t="shared" si="152"/>
        <v>28.083333333334345</v>
      </c>
      <c r="I4831" s="7">
        <f t="shared" si="153"/>
        <v>28.083333333334345</v>
      </c>
    </row>
    <row r="4832" spans="1:9" x14ac:dyDescent="0.2">
      <c r="A4832" t="s">
        <v>5263</v>
      </c>
      <c r="B4832">
        <v>4.9755000000000003</v>
      </c>
      <c r="C4832">
        <v>6.9680000000000006E-2</v>
      </c>
      <c r="D4832">
        <v>283</v>
      </c>
      <c r="E4832" t="s">
        <v>5263</v>
      </c>
      <c r="F4832">
        <v>283</v>
      </c>
      <c r="G4832" s="1">
        <v>45209</v>
      </c>
      <c r="H4832" s="6">
        <f t="shared" si="152"/>
        <v>28.093750000001013</v>
      </c>
      <c r="I4832" s="7">
        <f t="shared" si="153"/>
        <v>28.093750000001013</v>
      </c>
    </row>
    <row r="4833" spans="1:9" x14ac:dyDescent="0.2">
      <c r="A4833" t="s">
        <v>5264</v>
      </c>
      <c r="B4833">
        <v>4.9904999999999999</v>
      </c>
      <c r="C4833">
        <v>6.991E-2</v>
      </c>
      <c r="D4833">
        <v>283</v>
      </c>
      <c r="E4833" t="s">
        <v>5264</v>
      </c>
      <c r="F4833">
        <v>283</v>
      </c>
      <c r="G4833" s="1">
        <v>45209</v>
      </c>
      <c r="H4833" s="6">
        <f t="shared" si="152"/>
        <v>28.10416666666768</v>
      </c>
      <c r="I4833" s="7">
        <f t="shared" si="153"/>
        <v>28.10416666666768</v>
      </c>
    </row>
    <row r="4834" spans="1:9" x14ac:dyDescent="0.2">
      <c r="A4834" t="s">
        <v>5265</v>
      </c>
      <c r="B4834">
        <v>4.95</v>
      </c>
      <c r="C4834">
        <v>6.9309999999999997E-2</v>
      </c>
      <c r="D4834">
        <v>283</v>
      </c>
      <c r="E4834" t="s">
        <v>5265</v>
      </c>
      <c r="F4834">
        <v>283</v>
      </c>
      <c r="G4834" s="1">
        <v>45209</v>
      </c>
      <c r="H4834" s="6">
        <f t="shared" si="152"/>
        <v>28.114583333334348</v>
      </c>
      <c r="I4834" s="7">
        <f t="shared" si="153"/>
        <v>28.114583333334348</v>
      </c>
    </row>
    <row r="4835" spans="1:9" x14ac:dyDescent="0.2">
      <c r="A4835" t="s">
        <v>5266</v>
      </c>
      <c r="B4835">
        <v>4.9574999999999996</v>
      </c>
      <c r="C4835">
        <v>6.9459999999999994E-2</v>
      </c>
      <c r="D4835">
        <v>283</v>
      </c>
      <c r="E4835" t="s">
        <v>5266</v>
      </c>
      <c r="F4835">
        <v>283</v>
      </c>
      <c r="G4835" s="1">
        <v>45209</v>
      </c>
      <c r="H4835" s="6">
        <f t="shared" si="152"/>
        <v>28.125000000001016</v>
      </c>
      <c r="I4835" s="7">
        <f t="shared" si="153"/>
        <v>28.125000000001016</v>
      </c>
    </row>
    <row r="4836" spans="1:9" x14ac:dyDescent="0.2">
      <c r="A4836" t="s">
        <v>5267</v>
      </c>
      <c r="B4836">
        <v>4.9480000000000004</v>
      </c>
      <c r="C4836">
        <v>6.9309999999999997E-2</v>
      </c>
      <c r="D4836">
        <v>283</v>
      </c>
      <c r="E4836" t="s">
        <v>5267</v>
      </c>
      <c r="F4836">
        <v>283</v>
      </c>
      <c r="G4836" s="1">
        <v>45209</v>
      </c>
      <c r="H4836" s="6">
        <f t="shared" si="152"/>
        <v>28.135416666667684</v>
      </c>
      <c r="I4836" s="7">
        <f t="shared" si="153"/>
        <v>28.135416666667684</v>
      </c>
    </row>
    <row r="4837" spans="1:9" x14ac:dyDescent="0.2">
      <c r="A4837" t="s">
        <v>5268</v>
      </c>
      <c r="B4837">
        <v>4.9630000000000001</v>
      </c>
      <c r="C4837">
        <v>6.9525000000000003E-2</v>
      </c>
      <c r="D4837">
        <v>283</v>
      </c>
      <c r="E4837" t="s">
        <v>5268</v>
      </c>
      <c r="F4837">
        <v>283</v>
      </c>
      <c r="G4837" s="1">
        <v>45209</v>
      </c>
      <c r="H4837" s="6">
        <f t="shared" si="152"/>
        <v>28.145833333334352</v>
      </c>
      <c r="I4837" s="7">
        <f t="shared" si="153"/>
        <v>28.145833333334352</v>
      </c>
    </row>
    <row r="4838" spans="1:9" x14ac:dyDescent="0.2">
      <c r="A4838" t="s">
        <v>5269</v>
      </c>
      <c r="B4838">
        <v>4.9314999999999998</v>
      </c>
      <c r="C4838">
        <v>6.9074999999999998E-2</v>
      </c>
      <c r="D4838">
        <v>283</v>
      </c>
      <c r="E4838" t="s">
        <v>5269</v>
      </c>
      <c r="F4838">
        <v>283</v>
      </c>
      <c r="G4838" s="1">
        <v>45209</v>
      </c>
      <c r="H4838" s="6">
        <f t="shared" si="152"/>
        <v>28.15625000000102</v>
      </c>
      <c r="I4838" s="7">
        <f t="shared" si="153"/>
        <v>28.15625000000102</v>
      </c>
    </row>
    <row r="4839" spans="1:9" x14ac:dyDescent="0.2">
      <c r="A4839" t="s">
        <v>5270</v>
      </c>
      <c r="B4839">
        <v>4.9480000000000004</v>
      </c>
      <c r="C4839">
        <v>6.9305000000000005E-2</v>
      </c>
      <c r="D4839">
        <v>283</v>
      </c>
      <c r="E4839" t="s">
        <v>5270</v>
      </c>
      <c r="F4839">
        <v>283</v>
      </c>
      <c r="G4839" s="1">
        <v>45209</v>
      </c>
      <c r="H4839" s="6">
        <f t="shared" si="152"/>
        <v>28.166666666667687</v>
      </c>
      <c r="I4839" s="7">
        <f t="shared" si="153"/>
        <v>28.166666666667687</v>
      </c>
    </row>
    <row r="4840" spans="1:9" x14ac:dyDescent="0.2">
      <c r="A4840" t="s">
        <v>5271</v>
      </c>
      <c r="B4840">
        <v>4.9080000000000004</v>
      </c>
      <c r="C4840">
        <v>6.8754999999999997E-2</v>
      </c>
      <c r="D4840">
        <v>283</v>
      </c>
      <c r="E4840" t="s">
        <v>5271</v>
      </c>
      <c r="F4840">
        <v>283</v>
      </c>
      <c r="G4840" s="1">
        <v>45209</v>
      </c>
      <c r="H4840" s="6">
        <f t="shared" si="152"/>
        <v>28.177083333334355</v>
      </c>
      <c r="I4840" s="7">
        <f t="shared" si="153"/>
        <v>28.177083333334355</v>
      </c>
    </row>
    <row r="4841" spans="1:9" x14ac:dyDescent="0.2">
      <c r="A4841" t="s">
        <v>5272</v>
      </c>
      <c r="B4841">
        <v>5.0034999999999998</v>
      </c>
      <c r="C4841">
        <v>7.0084999999999995E-2</v>
      </c>
      <c r="D4841">
        <v>283</v>
      </c>
      <c r="E4841" t="s">
        <v>5272</v>
      </c>
      <c r="F4841">
        <v>283</v>
      </c>
      <c r="G4841" s="1">
        <v>45209</v>
      </c>
      <c r="H4841" s="6">
        <f t="shared" si="152"/>
        <v>28.187500000001023</v>
      </c>
      <c r="I4841" s="7">
        <f t="shared" si="153"/>
        <v>28.187500000001023</v>
      </c>
    </row>
    <row r="4842" spans="1:9" x14ac:dyDescent="0.2">
      <c r="A4842" t="s">
        <v>5273</v>
      </c>
      <c r="B4842">
        <v>5.0305</v>
      </c>
      <c r="C4842">
        <v>7.0470000000000005E-2</v>
      </c>
      <c r="D4842">
        <v>283</v>
      </c>
      <c r="E4842" t="s">
        <v>5273</v>
      </c>
      <c r="F4842">
        <v>283</v>
      </c>
      <c r="G4842" s="1">
        <v>45209</v>
      </c>
      <c r="H4842" s="6">
        <f t="shared" si="152"/>
        <v>28.197916666667691</v>
      </c>
      <c r="I4842" s="7">
        <f t="shared" si="153"/>
        <v>28.197916666667691</v>
      </c>
    </row>
    <row r="4843" spans="1:9" x14ac:dyDescent="0.2">
      <c r="A4843" t="s">
        <v>5274</v>
      </c>
      <c r="B4843">
        <v>4.9089999999999998</v>
      </c>
      <c r="C4843">
        <v>6.8750000000000006E-2</v>
      </c>
      <c r="D4843">
        <v>283</v>
      </c>
      <c r="E4843" t="s">
        <v>5274</v>
      </c>
      <c r="F4843">
        <v>283</v>
      </c>
      <c r="G4843" s="1">
        <v>45209</v>
      </c>
      <c r="H4843" s="6">
        <f t="shared" si="152"/>
        <v>28.208333333334359</v>
      </c>
      <c r="I4843" s="7">
        <f t="shared" si="153"/>
        <v>28.208333333334359</v>
      </c>
    </row>
    <row r="4844" spans="1:9" x14ac:dyDescent="0.2">
      <c r="A4844" t="s">
        <v>5275</v>
      </c>
      <c r="B4844">
        <v>4.8860000000000001</v>
      </c>
      <c r="C4844">
        <v>6.8430000000000005E-2</v>
      </c>
      <c r="D4844">
        <v>283</v>
      </c>
      <c r="E4844" t="s">
        <v>5275</v>
      </c>
      <c r="F4844">
        <v>283</v>
      </c>
      <c r="G4844" s="1">
        <v>45209</v>
      </c>
      <c r="H4844" s="6">
        <f t="shared" si="152"/>
        <v>28.218750000001027</v>
      </c>
      <c r="I4844" s="7">
        <f t="shared" si="153"/>
        <v>28.218750000001027</v>
      </c>
    </row>
    <row r="4845" spans="1:9" x14ac:dyDescent="0.2">
      <c r="A4845" t="s">
        <v>5276</v>
      </c>
      <c r="B4845">
        <v>4.867</v>
      </c>
      <c r="C4845">
        <v>6.8195000000000006E-2</v>
      </c>
      <c r="D4845">
        <v>283</v>
      </c>
      <c r="E4845" t="s">
        <v>5276</v>
      </c>
      <c r="F4845">
        <v>283</v>
      </c>
      <c r="G4845" s="1">
        <v>45209</v>
      </c>
      <c r="H4845" s="6">
        <f t="shared" si="152"/>
        <v>28.229166666667695</v>
      </c>
      <c r="I4845" s="7">
        <f t="shared" si="153"/>
        <v>28.229166666667695</v>
      </c>
    </row>
    <row r="4846" spans="1:9" x14ac:dyDescent="0.2">
      <c r="A4846" t="s">
        <v>5277</v>
      </c>
      <c r="B4846">
        <v>4.7069999999999999</v>
      </c>
      <c r="C4846">
        <v>6.5920000000000006E-2</v>
      </c>
      <c r="D4846">
        <v>283</v>
      </c>
      <c r="E4846" t="s">
        <v>5277</v>
      </c>
      <c r="F4846">
        <v>283</v>
      </c>
      <c r="G4846" s="1">
        <v>45209</v>
      </c>
      <c r="H4846" s="6">
        <f t="shared" si="152"/>
        <v>28.239583333334362</v>
      </c>
      <c r="I4846" s="7">
        <f t="shared" si="153"/>
        <v>28.239583333334362</v>
      </c>
    </row>
    <row r="4847" spans="1:9" x14ac:dyDescent="0.2">
      <c r="A4847" t="s">
        <v>5278</v>
      </c>
      <c r="B4847">
        <v>4.9219999999999997</v>
      </c>
      <c r="C4847">
        <v>6.8934999999999996E-2</v>
      </c>
      <c r="D4847">
        <v>283</v>
      </c>
      <c r="E4847" t="s">
        <v>5278</v>
      </c>
      <c r="F4847">
        <v>283</v>
      </c>
      <c r="G4847" s="1">
        <v>45209</v>
      </c>
      <c r="H4847" s="6">
        <f t="shared" si="152"/>
        <v>28.25000000000103</v>
      </c>
      <c r="I4847" s="7">
        <f t="shared" si="153"/>
        <v>28.25000000000103</v>
      </c>
    </row>
    <row r="4848" spans="1:9" x14ac:dyDescent="0.2">
      <c r="A4848" t="s">
        <v>5279</v>
      </c>
      <c r="B4848">
        <v>4.867</v>
      </c>
      <c r="C4848">
        <v>6.8165000000000003E-2</v>
      </c>
      <c r="D4848">
        <v>283</v>
      </c>
      <c r="E4848" t="s">
        <v>5279</v>
      </c>
      <c r="F4848">
        <v>283</v>
      </c>
      <c r="G4848" s="1">
        <v>45209</v>
      </c>
      <c r="H4848" s="6">
        <f t="shared" si="152"/>
        <v>28.260416666667698</v>
      </c>
      <c r="I4848" s="7">
        <f t="shared" si="153"/>
        <v>28.260416666667698</v>
      </c>
    </row>
    <row r="4849" spans="1:9" x14ac:dyDescent="0.2">
      <c r="A4849" t="s">
        <v>5280</v>
      </c>
      <c r="B4849">
        <v>4.9509999999999996</v>
      </c>
      <c r="C4849">
        <v>6.9339999999999999E-2</v>
      </c>
      <c r="D4849">
        <v>283</v>
      </c>
      <c r="E4849" t="s">
        <v>5280</v>
      </c>
      <c r="F4849">
        <v>283</v>
      </c>
      <c r="G4849" s="1">
        <v>45209</v>
      </c>
      <c r="H4849" s="6">
        <f t="shared" si="152"/>
        <v>28.270833333334366</v>
      </c>
      <c r="I4849" s="7">
        <f t="shared" si="153"/>
        <v>28.270833333334366</v>
      </c>
    </row>
    <row r="4850" spans="1:9" x14ac:dyDescent="0.2">
      <c r="A4850" t="s">
        <v>5281</v>
      </c>
      <c r="B4850">
        <v>4.9690000000000003</v>
      </c>
      <c r="C4850">
        <v>6.9584999999999994E-2</v>
      </c>
      <c r="D4850">
        <v>283</v>
      </c>
      <c r="E4850" t="s">
        <v>5281</v>
      </c>
      <c r="F4850">
        <v>283</v>
      </c>
      <c r="G4850" s="1">
        <v>45209</v>
      </c>
      <c r="H4850" s="6">
        <f t="shared" si="152"/>
        <v>28.281250000001034</v>
      </c>
      <c r="I4850" s="7">
        <f t="shared" si="153"/>
        <v>28.281250000001034</v>
      </c>
    </row>
    <row r="4851" spans="1:9" x14ac:dyDescent="0.2">
      <c r="A4851" t="s">
        <v>5282</v>
      </c>
      <c r="B4851">
        <v>4.8674999999999997</v>
      </c>
      <c r="C4851">
        <v>6.8190000000000001E-2</v>
      </c>
      <c r="D4851">
        <v>283</v>
      </c>
      <c r="E4851" t="s">
        <v>5282</v>
      </c>
      <c r="F4851">
        <v>283</v>
      </c>
      <c r="G4851" s="1">
        <v>45209</v>
      </c>
      <c r="H4851" s="6">
        <f t="shared" si="152"/>
        <v>28.291666666667702</v>
      </c>
      <c r="I4851" s="7">
        <f t="shared" si="153"/>
        <v>28.291666666667702</v>
      </c>
    </row>
    <row r="4852" spans="1:9" x14ac:dyDescent="0.2">
      <c r="A4852" t="s">
        <v>5283</v>
      </c>
      <c r="B4852">
        <v>4.8624999999999998</v>
      </c>
      <c r="C4852">
        <v>6.8104999999999999E-2</v>
      </c>
      <c r="D4852">
        <v>283</v>
      </c>
      <c r="E4852" t="s">
        <v>5283</v>
      </c>
      <c r="F4852">
        <v>283</v>
      </c>
      <c r="G4852" s="1">
        <v>45209</v>
      </c>
      <c r="H4852" s="6">
        <f t="shared" si="152"/>
        <v>28.30208333333437</v>
      </c>
      <c r="I4852" s="7">
        <f t="shared" si="153"/>
        <v>28.30208333333437</v>
      </c>
    </row>
    <row r="4853" spans="1:9" x14ac:dyDescent="0.2">
      <c r="A4853" t="s">
        <v>5284</v>
      </c>
      <c r="B4853">
        <v>4.8094999999999999</v>
      </c>
      <c r="C4853">
        <v>6.7369999999999999E-2</v>
      </c>
      <c r="D4853">
        <v>283</v>
      </c>
      <c r="E4853" t="s">
        <v>5284</v>
      </c>
      <c r="F4853">
        <v>283</v>
      </c>
      <c r="G4853" s="1">
        <v>45209</v>
      </c>
      <c r="H4853" s="6">
        <f t="shared" si="152"/>
        <v>28.312500000001037</v>
      </c>
      <c r="I4853" s="7">
        <f t="shared" si="153"/>
        <v>28.312500000001037</v>
      </c>
    </row>
    <row r="4854" spans="1:9" x14ac:dyDescent="0.2">
      <c r="A4854" t="s">
        <v>5285</v>
      </c>
      <c r="B4854">
        <v>4.6885000000000003</v>
      </c>
      <c r="C4854">
        <v>6.5670000000000006E-2</v>
      </c>
      <c r="D4854">
        <v>283</v>
      </c>
      <c r="E4854" t="s">
        <v>5285</v>
      </c>
      <c r="F4854">
        <v>283</v>
      </c>
      <c r="G4854" s="1">
        <v>45209</v>
      </c>
      <c r="H4854" s="6">
        <f t="shared" si="152"/>
        <v>28.322916666667705</v>
      </c>
      <c r="I4854" s="7">
        <f t="shared" si="153"/>
        <v>28.322916666667705</v>
      </c>
    </row>
    <row r="4855" spans="1:9" x14ac:dyDescent="0.2">
      <c r="A4855" t="s">
        <v>5286</v>
      </c>
      <c r="B4855">
        <v>4.5999999999999996</v>
      </c>
      <c r="C4855">
        <v>6.4424999999999996E-2</v>
      </c>
      <c r="D4855">
        <v>283</v>
      </c>
      <c r="E4855" t="s">
        <v>5286</v>
      </c>
      <c r="F4855">
        <v>283</v>
      </c>
      <c r="G4855" s="1">
        <v>45209</v>
      </c>
      <c r="H4855" s="6">
        <f t="shared" si="152"/>
        <v>28.333333333334373</v>
      </c>
      <c r="I4855" s="7">
        <f t="shared" si="153"/>
        <v>28.333333333334373</v>
      </c>
    </row>
    <row r="4856" spans="1:9" x14ac:dyDescent="0.2">
      <c r="A4856" t="s">
        <v>5287</v>
      </c>
      <c r="B4856">
        <v>4.5709999999999997</v>
      </c>
      <c r="C4856">
        <v>6.4019999999999994E-2</v>
      </c>
      <c r="D4856">
        <v>283</v>
      </c>
      <c r="E4856" t="s">
        <v>5287</v>
      </c>
      <c r="F4856">
        <v>283</v>
      </c>
      <c r="G4856" s="1">
        <v>45209</v>
      </c>
      <c r="H4856" s="6">
        <f t="shared" si="152"/>
        <v>28.343750000001041</v>
      </c>
      <c r="I4856" s="7">
        <f t="shared" si="153"/>
        <v>28.343750000001041</v>
      </c>
    </row>
    <row r="4857" spans="1:9" x14ac:dyDescent="0.2">
      <c r="A4857" t="s">
        <v>5288</v>
      </c>
      <c r="B4857">
        <v>4.6604999999999999</v>
      </c>
      <c r="C4857">
        <v>6.5275E-2</v>
      </c>
      <c r="D4857">
        <v>283</v>
      </c>
      <c r="E4857" t="s">
        <v>5288</v>
      </c>
      <c r="F4857">
        <v>283</v>
      </c>
      <c r="G4857" s="1">
        <v>45209</v>
      </c>
      <c r="H4857" s="6">
        <f t="shared" si="152"/>
        <v>28.354166666667709</v>
      </c>
      <c r="I4857" s="7">
        <f t="shared" si="153"/>
        <v>28.354166666667709</v>
      </c>
    </row>
    <row r="4858" spans="1:9" x14ac:dyDescent="0.2">
      <c r="A4858" t="s">
        <v>5289</v>
      </c>
      <c r="B4858">
        <v>4.577</v>
      </c>
      <c r="C4858">
        <v>6.4089999999999994E-2</v>
      </c>
      <c r="D4858">
        <v>283</v>
      </c>
      <c r="E4858" t="s">
        <v>5289</v>
      </c>
      <c r="F4858">
        <v>283</v>
      </c>
      <c r="G4858" s="1">
        <v>45209</v>
      </c>
      <c r="H4858" s="6">
        <f t="shared" si="152"/>
        <v>28.364583333334377</v>
      </c>
      <c r="I4858" s="7">
        <f t="shared" si="153"/>
        <v>28.364583333334377</v>
      </c>
    </row>
    <row r="4859" spans="1:9" x14ac:dyDescent="0.2">
      <c r="A4859" t="s">
        <v>5290</v>
      </c>
      <c r="B4859">
        <v>4.5810000000000004</v>
      </c>
      <c r="C4859">
        <v>6.4155000000000004E-2</v>
      </c>
      <c r="D4859">
        <v>283</v>
      </c>
      <c r="E4859" t="s">
        <v>5290</v>
      </c>
      <c r="F4859">
        <v>283</v>
      </c>
      <c r="G4859" s="1">
        <v>45209</v>
      </c>
      <c r="H4859" s="6">
        <f t="shared" si="152"/>
        <v>28.375000000001044</v>
      </c>
      <c r="I4859" s="7">
        <f t="shared" si="153"/>
        <v>28.375000000001044</v>
      </c>
    </row>
    <row r="4860" spans="1:9" x14ac:dyDescent="0.2">
      <c r="A4860" t="s">
        <v>5291</v>
      </c>
      <c r="B4860" s="2" t="s">
        <v>5292</v>
      </c>
      <c r="C4860">
        <v>6.3659999999999994E-2</v>
      </c>
      <c r="D4860">
        <v>283</v>
      </c>
      <c r="E4860" t="s">
        <v>5291</v>
      </c>
      <c r="F4860">
        <v>283</v>
      </c>
      <c r="G4860" s="1">
        <v>45209</v>
      </c>
      <c r="H4860" s="6">
        <f t="shared" si="152"/>
        <v>28.385416666667712</v>
      </c>
      <c r="I4860" s="7">
        <f t="shared" si="153"/>
        <v>28.385416666667712</v>
      </c>
    </row>
    <row r="4861" spans="1:9" x14ac:dyDescent="0.2">
      <c r="A4861" t="s">
        <v>5293</v>
      </c>
      <c r="B4861">
        <v>4.5789999999999997</v>
      </c>
      <c r="C4861">
        <v>6.4129999999999895E-2</v>
      </c>
      <c r="D4861">
        <v>283</v>
      </c>
      <c r="E4861" t="s">
        <v>5293</v>
      </c>
      <c r="F4861">
        <v>283</v>
      </c>
      <c r="G4861" s="1">
        <v>45209</v>
      </c>
      <c r="H4861" s="6">
        <f t="shared" si="152"/>
        <v>28.39583333333438</v>
      </c>
      <c r="I4861" s="7">
        <f t="shared" si="153"/>
        <v>28.39583333333438</v>
      </c>
    </row>
    <row r="4862" spans="1:9" x14ac:dyDescent="0.2">
      <c r="A4862" t="s">
        <v>5294</v>
      </c>
      <c r="B4862">
        <v>4.4909999999999997</v>
      </c>
      <c r="C4862">
        <v>6.2905000000000003E-2</v>
      </c>
      <c r="D4862">
        <v>283</v>
      </c>
      <c r="E4862" t="s">
        <v>5294</v>
      </c>
      <c r="F4862">
        <v>283</v>
      </c>
      <c r="G4862" s="1">
        <v>45209</v>
      </c>
      <c r="H4862" s="6">
        <f t="shared" si="152"/>
        <v>28.406250000001048</v>
      </c>
      <c r="I4862" s="7">
        <f t="shared" si="153"/>
        <v>28.406250000001048</v>
      </c>
    </row>
    <row r="4863" spans="1:9" x14ac:dyDescent="0.2">
      <c r="A4863" t="s">
        <v>5295</v>
      </c>
      <c r="B4863">
        <v>4.4550000000000001</v>
      </c>
      <c r="C4863">
        <v>6.2405000000000002E-2</v>
      </c>
      <c r="D4863">
        <v>283</v>
      </c>
      <c r="E4863" t="s">
        <v>5295</v>
      </c>
      <c r="F4863">
        <v>283</v>
      </c>
      <c r="G4863" s="1">
        <v>45209</v>
      </c>
      <c r="H4863" s="6">
        <f t="shared" si="152"/>
        <v>28.416666666667716</v>
      </c>
      <c r="I4863" s="7">
        <f t="shared" si="153"/>
        <v>28.416666666667716</v>
      </c>
    </row>
    <row r="4864" spans="1:9" x14ac:dyDescent="0.2">
      <c r="A4864" t="s">
        <v>5296</v>
      </c>
      <c r="B4864">
        <v>4.5305</v>
      </c>
      <c r="C4864">
        <v>6.3475000000000004E-2</v>
      </c>
      <c r="D4864">
        <v>283</v>
      </c>
      <c r="E4864" t="s">
        <v>5296</v>
      </c>
      <c r="F4864">
        <v>283</v>
      </c>
      <c r="G4864" s="1">
        <v>45209</v>
      </c>
      <c r="H4864" s="6">
        <f t="shared" si="152"/>
        <v>28.427083333334384</v>
      </c>
      <c r="I4864" s="7">
        <f t="shared" si="153"/>
        <v>28.427083333334384</v>
      </c>
    </row>
    <row r="4865" spans="1:9" x14ac:dyDescent="0.2">
      <c r="A4865" t="s">
        <v>5297</v>
      </c>
      <c r="B4865">
        <v>4.5914999999999999</v>
      </c>
      <c r="C4865">
        <v>6.4320000000000002E-2</v>
      </c>
      <c r="D4865">
        <v>283</v>
      </c>
      <c r="E4865" t="s">
        <v>5297</v>
      </c>
      <c r="F4865">
        <v>283</v>
      </c>
      <c r="G4865" s="1">
        <v>45209</v>
      </c>
      <c r="H4865" s="6">
        <f t="shared" si="152"/>
        <v>28.437500000001052</v>
      </c>
      <c r="I4865" s="7">
        <f t="shared" si="153"/>
        <v>28.437500000001052</v>
      </c>
    </row>
    <row r="4866" spans="1:9" x14ac:dyDescent="0.2">
      <c r="A4866" t="s">
        <v>5298</v>
      </c>
      <c r="B4866">
        <v>4.5274999999999999</v>
      </c>
      <c r="C4866">
        <v>6.3390000000000002E-2</v>
      </c>
      <c r="D4866">
        <v>283</v>
      </c>
      <c r="E4866" t="s">
        <v>5298</v>
      </c>
      <c r="F4866">
        <v>283</v>
      </c>
      <c r="G4866" s="1">
        <v>45209</v>
      </c>
      <c r="H4866" s="6">
        <f t="shared" si="152"/>
        <v>28.447916666667719</v>
      </c>
      <c r="I4866" s="7">
        <f t="shared" si="153"/>
        <v>28.447916666667719</v>
      </c>
    </row>
    <row r="4867" spans="1:9" x14ac:dyDescent="0.2">
      <c r="A4867" t="s">
        <v>5299</v>
      </c>
      <c r="B4867">
        <v>4.4749999999999996</v>
      </c>
      <c r="C4867">
        <v>6.2689999999999996E-2</v>
      </c>
      <c r="D4867">
        <v>283</v>
      </c>
      <c r="E4867" t="s">
        <v>5299</v>
      </c>
      <c r="F4867">
        <v>283</v>
      </c>
      <c r="G4867" s="1">
        <v>45209</v>
      </c>
      <c r="H4867" s="6">
        <f t="shared" si="152"/>
        <v>28.458333333334387</v>
      </c>
      <c r="I4867" s="7">
        <f t="shared" si="153"/>
        <v>28.458333333334387</v>
      </c>
    </row>
    <row r="4868" spans="1:9" x14ac:dyDescent="0.2">
      <c r="A4868" t="s">
        <v>5300</v>
      </c>
      <c r="B4868">
        <v>4.4770000000000003</v>
      </c>
      <c r="C4868">
        <v>6.2700000000000006E-2</v>
      </c>
      <c r="D4868">
        <v>283</v>
      </c>
      <c r="E4868" t="s">
        <v>5300</v>
      </c>
      <c r="F4868">
        <v>283</v>
      </c>
      <c r="G4868" s="1">
        <v>45209</v>
      </c>
      <c r="H4868" s="6">
        <f t="shared" si="152"/>
        <v>28.468750000001055</v>
      </c>
      <c r="I4868" s="7">
        <f t="shared" si="153"/>
        <v>28.468750000001055</v>
      </c>
    </row>
    <row r="4869" spans="1:9" x14ac:dyDescent="0.2">
      <c r="A4869" t="s">
        <v>5301</v>
      </c>
      <c r="B4869">
        <v>4.5369999999999999</v>
      </c>
      <c r="C4869">
        <v>6.3545000000000004E-2</v>
      </c>
      <c r="D4869">
        <v>283</v>
      </c>
      <c r="E4869" t="s">
        <v>5301</v>
      </c>
      <c r="F4869">
        <v>283</v>
      </c>
      <c r="G4869" s="1">
        <v>45209</v>
      </c>
      <c r="H4869" s="6">
        <f t="shared" si="152"/>
        <v>28.479166666667723</v>
      </c>
      <c r="I4869" s="7">
        <f t="shared" si="153"/>
        <v>28.479166666667723</v>
      </c>
    </row>
    <row r="4870" spans="1:9" x14ac:dyDescent="0.2">
      <c r="A4870" t="s">
        <v>5302</v>
      </c>
      <c r="B4870">
        <v>4.532</v>
      </c>
      <c r="C4870">
        <v>6.3479999999999995E-2</v>
      </c>
      <c r="D4870">
        <v>283</v>
      </c>
      <c r="E4870" t="s">
        <v>5302</v>
      </c>
      <c r="F4870">
        <v>283</v>
      </c>
      <c r="G4870" s="1">
        <v>45209</v>
      </c>
      <c r="H4870" s="6">
        <f t="shared" si="152"/>
        <v>28.489583333334391</v>
      </c>
      <c r="I4870" s="7">
        <f t="shared" si="153"/>
        <v>28.489583333334391</v>
      </c>
    </row>
    <row r="4871" spans="1:9" x14ac:dyDescent="0.2">
      <c r="A4871" t="s">
        <v>5303</v>
      </c>
      <c r="B4871">
        <v>4.4870000000000001</v>
      </c>
      <c r="C4871">
        <v>6.2850000000000003E-2</v>
      </c>
      <c r="D4871">
        <v>283</v>
      </c>
      <c r="E4871" t="s">
        <v>5303</v>
      </c>
      <c r="F4871">
        <v>283</v>
      </c>
      <c r="G4871" s="1">
        <v>45209</v>
      </c>
      <c r="H4871" s="6">
        <f t="shared" si="152"/>
        <v>28.500000000001059</v>
      </c>
      <c r="I4871" s="7">
        <f t="shared" si="153"/>
        <v>28.500000000001059</v>
      </c>
    </row>
    <row r="4872" spans="1:9" x14ac:dyDescent="0.2">
      <c r="A4872" t="s">
        <v>5304</v>
      </c>
      <c r="B4872">
        <v>4.3875000000000002</v>
      </c>
      <c r="C4872">
        <v>6.1455000000000003E-2</v>
      </c>
      <c r="D4872">
        <v>283</v>
      </c>
      <c r="E4872" t="s">
        <v>5304</v>
      </c>
      <c r="F4872">
        <v>283</v>
      </c>
      <c r="G4872" s="1">
        <v>45209</v>
      </c>
      <c r="H4872" s="6">
        <f t="shared" si="152"/>
        <v>28.510416666667727</v>
      </c>
      <c r="I4872" s="7">
        <f t="shared" si="153"/>
        <v>28.510416666667727</v>
      </c>
    </row>
    <row r="4873" spans="1:9" x14ac:dyDescent="0.2">
      <c r="A4873" t="s">
        <v>5305</v>
      </c>
      <c r="B4873">
        <v>4.5069999999999997</v>
      </c>
      <c r="C4873">
        <v>6.3145000000000007E-2</v>
      </c>
      <c r="D4873">
        <v>283</v>
      </c>
      <c r="E4873" t="s">
        <v>5305</v>
      </c>
      <c r="F4873">
        <v>283</v>
      </c>
      <c r="G4873" s="1">
        <v>45209</v>
      </c>
      <c r="H4873" s="6">
        <f t="shared" si="152"/>
        <v>28.520833333334394</v>
      </c>
      <c r="I4873" s="7">
        <f t="shared" si="153"/>
        <v>28.520833333334394</v>
      </c>
    </row>
    <row r="4874" spans="1:9" x14ac:dyDescent="0.2">
      <c r="A4874" t="s">
        <v>5306</v>
      </c>
      <c r="B4874">
        <v>4.5339999999999998</v>
      </c>
      <c r="C4874">
        <v>6.3515000000000002E-2</v>
      </c>
      <c r="D4874">
        <v>283</v>
      </c>
      <c r="E4874" t="s">
        <v>5306</v>
      </c>
      <c r="F4874">
        <v>283</v>
      </c>
      <c r="G4874" s="1">
        <v>45209</v>
      </c>
      <c r="H4874" s="6">
        <f t="shared" si="152"/>
        <v>28.531250000001062</v>
      </c>
      <c r="I4874" s="7">
        <f t="shared" si="153"/>
        <v>28.531250000001062</v>
      </c>
    </row>
    <row r="4875" spans="1:9" x14ac:dyDescent="0.2">
      <c r="A4875" t="s">
        <v>5307</v>
      </c>
      <c r="B4875">
        <v>4.5179999999999998</v>
      </c>
      <c r="C4875">
        <v>6.3284999999999994E-2</v>
      </c>
      <c r="D4875">
        <v>283</v>
      </c>
      <c r="E4875" t="s">
        <v>5307</v>
      </c>
      <c r="F4875">
        <v>283</v>
      </c>
      <c r="G4875" s="1">
        <v>45209</v>
      </c>
      <c r="H4875" s="6">
        <f t="shared" si="152"/>
        <v>28.54166666666773</v>
      </c>
      <c r="I4875" s="7">
        <f t="shared" si="153"/>
        <v>28.54166666666773</v>
      </c>
    </row>
    <row r="4876" spans="1:9" x14ac:dyDescent="0.2">
      <c r="A4876" t="s">
        <v>5308</v>
      </c>
      <c r="B4876">
        <v>4.5354999999999999</v>
      </c>
      <c r="C4876">
        <v>6.3560000000000005E-2</v>
      </c>
      <c r="D4876">
        <v>283</v>
      </c>
      <c r="E4876" t="s">
        <v>5308</v>
      </c>
      <c r="F4876">
        <v>283</v>
      </c>
      <c r="G4876" s="1">
        <v>45209</v>
      </c>
      <c r="H4876" s="6">
        <f t="shared" si="152"/>
        <v>28.552083333334398</v>
      </c>
      <c r="I4876" s="7">
        <f t="shared" si="153"/>
        <v>28.552083333334398</v>
      </c>
    </row>
    <row r="4877" spans="1:9" x14ac:dyDescent="0.2">
      <c r="A4877" t="s">
        <v>5309</v>
      </c>
      <c r="B4877" s="2" t="s">
        <v>5310</v>
      </c>
      <c r="C4877">
        <v>6.4115000000000005E-2</v>
      </c>
      <c r="D4877">
        <v>283</v>
      </c>
      <c r="E4877" t="s">
        <v>5309</v>
      </c>
      <c r="F4877">
        <v>283</v>
      </c>
      <c r="G4877" s="1">
        <v>45209</v>
      </c>
      <c r="H4877" s="6">
        <f t="shared" si="152"/>
        <v>28.562500000001066</v>
      </c>
      <c r="I4877" s="7">
        <f t="shared" si="153"/>
        <v>28.562500000001066</v>
      </c>
    </row>
    <row r="4878" spans="1:9" x14ac:dyDescent="0.2">
      <c r="A4878" t="s">
        <v>5311</v>
      </c>
      <c r="B4878">
        <v>4.4965000000000002</v>
      </c>
      <c r="C4878">
        <v>6.3005000000000005E-2</v>
      </c>
      <c r="D4878">
        <v>283</v>
      </c>
      <c r="E4878" t="s">
        <v>5311</v>
      </c>
      <c r="F4878">
        <v>283</v>
      </c>
      <c r="G4878" s="1">
        <v>45209</v>
      </c>
      <c r="H4878" s="6">
        <f t="shared" si="152"/>
        <v>28.572916666667734</v>
      </c>
      <c r="I4878" s="7">
        <f t="shared" si="153"/>
        <v>28.572916666667734</v>
      </c>
    </row>
    <row r="4879" spans="1:9" x14ac:dyDescent="0.2">
      <c r="A4879" t="s">
        <v>5312</v>
      </c>
      <c r="B4879">
        <v>4.55</v>
      </c>
      <c r="C4879">
        <v>6.3719999999999999E-2</v>
      </c>
      <c r="D4879">
        <v>283</v>
      </c>
      <c r="E4879" t="s">
        <v>5312</v>
      </c>
      <c r="F4879">
        <v>283</v>
      </c>
      <c r="G4879" s="1">
        <v>45209</v>
      </c>
      <c r="H4879" s="6">
        <f t="shared" si="152"/>
        <v>28.583333333334402</v>
      </c>
      <c r="I4879" s="7">
        <f t="shared" si="153"/>
        <v>28.583333333334402</v>
      </c>
    </row>
    <row r="4880" spans="1:9" x14ac:dyDescent="0.2">
      <c r="A4880" t="s">
        <v>5313</v>
      </c>
      <c r="B4880">
        <v>4.5460000000000003</v>
      </c>
      <c r="C4880">
        <v>6.3670000000000004E-2</v>
      </c>
      <c r="D4880">
        <v>283</v>
      </c>
      <c r="E4880" t="s">
        <v>5313</v>
      </c>
      <c r="F4880">
        <v>283</v>
      </c>
      <c r="G4880" s="1">
        <v>45209</v>
      </c>
      <c r="H4880" s="6">
        <f t="shared" si="152"/>
        <v>28.593750000001069</v>
      </c>
      <c r="I4880" s="7">
        <f t="shared" si="153"/>
        <v>28.593750000001069</v>
      </c>
    </row>
    <row r="4881" spans="1:9" x14ac:dyDescent="0.2">
      <c r="A4881" t="s">
        <v>5314</v>
      </c>
      <c r="B4881">
        <v>4.5505000000000004</v>
      </c>
      <c r="C4881">
        <v>6.3744999999999996E-2</v>
      </c>
      <c r="D4881">
        <v>284</v>
      </c>
      <c r="E4881" t="s">
        <v>5314</v>
      </c>
      <c r="F4881">
        <v>283</v>
      </c>
      <c r="G4881" s="1">
        <v>45209</v>
      </c>
      <c r="H4881" s="6">
        <f t="shared" si="152"/>
        <v>28.604166666667737</v>
      </c>
      <c r="I4881" s="7">
        <f t="shared" si="153"/>
        <v>28.604166666667737</v>
      </c>
    </row>
    <row r="4882" spans="1:9" x14ac:dyDescent="0.2">
      <c r="A4882" t="s">
        <v>5315</v>
      </c>
      <c r="B4882">
        <v>4.5625</v>
      </c>
      <c r="C4882">
        <v>6.3905000000000003E-2</v>
      </c>
      <c r="D4882">
        <v>284</v>
      </c>
      <c r="E4882" t="s">
        <v>5315</v>
      </c>
      <c r="F4882">
        <v>283</v>
      </c>
      <c r="G4882" s="1">
        <v>45209</v>
      </c>
      <c r="H4882" s="6">
        <f t="shared" si="152"/>
        <v>28.614583333334405</v>
      </c>
      <c r="I4882" s="7">
        <f t="shared" si="153"/>
        <v>28.614583333334405</v>
      </c>
    </row>
    <row r="4883" spans="1:9" x14ac:dyDescent="0.2">
      <c r="A4883" t="s">
        <v>5316</v>
      </c>
      <c r="B4883">
        <v>4.5149999999999997</v>
      </c>
      <c r="C4883">
        <v>6.3240000000000005E-2</v>
      </c>
      <c r="D4883">
        <v>284</v>
      </c>
      <c r="E4883" t="s">
        <v>5316</v>
      </c>
      <c r="F4883">
        <v>283</v>
      </c>
      <c r="G4883" s="1">
        <v>45209</v>
      </c>
      <c r="H4883" s="6">
        <f t="shared" si="152"/>
        <v>28.625000000001073</v>
      </c>
      <c r="I4883" s="7">
        <f t="shared" si="153"/>
        <v>28.625000000001073</v>
      </c>
    </row>
    <row r="4884" spans="1:9" x14ac:dyDescent="0.2">
      <c r="A4884" t="s">
        <v>5317</v>
      </c>
      <c r="B4884">
        <v>4.4740000000000002</v>
      </c>
      <c r="C4884">
        <v>6.2659999999999993E-2</v>
      </c>
      <c r="D4884">
        <v>284</v>
      </c>
      <c r="E4884" t="s">
        <v>5317</v>
      </c>
      <c r="F4884">
        <v>283</v>
      </c>
      <c r="G4884" s="1">
        <v>45209</v>
      </c>
      <c r="H4884" s="6">
        <f t="shared" si="152"/>
        <v>28.635416666667741</v>
      </c>
      <c r="I4884" s="7">
        <f t="shared" si="153"/>
        <v>28.635416666667741</v>
      </c>
    </row>
    <row r="4885" spans="1:9" x14ac:dyDescent="0.2">
      <c r="A4885" t="s">
        <v>5318</v>
      </c>
      <c r="B4885">
        <v>4.6485000000000003</v>
      </c>
      <c r="C4885">
        <v>6.5110000000000001E-2</v>
      </c>
      <c r="D4885">
        <v>284</v>
      </c>
      <c r="E4885" t="s">
        <v>5318</v>
      </c>
      <c r="F4885">
        <v>283</v>
      </c>
      <c r="G4885" s="1">
        <v>45209</v>
      </c>
      <c r="H4885" s="6">
        <f t="shared" si="152"/>
        <v>28.645833333334409</v>
      </c>
      <c r="I4885" s="7">
        <f t="shared" si="153"/>
        <v>28.645833333334409</v>
      </c>
    </row>
    <row r="4886" spans="1:9" x14ac:dyDescent="0.2">
      <c r="A4886" t="s">
        <v>5319</v>
      </c>
      <c r="B4886">
        <v>4.6094999999999997</v>
      </c>
      <c r="C4886">
        <v>6.4570000000000002E-2</v>
      </c>
      <c r="D4886">
        <v>284</v>
      </c>
      <c r="E4886" t="s">
        <v>5319</v>
      </c>
      <c r="F4886">
        <v>283</v>
      </c>
      <c r="G4886" s="1">
        <v>45209</v>
      </c>
      <c r="H4886" s="6">
        <f t="shared" si="152"/>
        <v>28.656250000001076</v>
      </c>
      <c r="I4886" s="7">
        <f t="shared" si="153"/>
        <v>28.656250000001076</v>
      </c>
    </row>
    <row r="4887" spans="1:9" x14ac:dyDescent="0.2">
      <c r="A4887" t="s">
        <v>5320</v>
      </c>
      <c r="B4887">
        <v>4.6509999999999998</v>
      </c>
      <c r="C4887">
        <v>6.5155000000000005E-2</v>
      </c>
      <c r="D4887">
        <v>284</v>
      </c>
      <c r="E4887" t="s">
        <v>5320</v>
      </c>
      <c r="F4887">
        <v>283</v>
      </c>
      <c r="G4887" s="1">
        <v>45209</v>
      </c>
      <c r="H4887" s="6">
        <f t="shared" si="152"/>
        <v>28.666666666667744</v>
      </c>
      <c r="I4887" s="7">
        <f t="shared" si="153"/>
        <v>28.666666666667744</v>
      </c>
    </row>
    <row r="4888" spans="1:9" x14ac:dyDescent="0.2">
      <c r="A4888" t="s">
        <v>5321</v>
      </c>
      <c r="B4888">
        <v>4.6245000000000003</v>
      </c>
      <c r="C4888">
        <v>6.4774999999999999E-2</v>
      </c>
      <c r="D4888">
        <v>284</v>
      </c>
      <c r="E4888" t="s">
        <v>5321</v>
      </c>
      <c r="F4888">
        <v>283</v>
      </c>
      <c r="G4888" s="1">
        <v>45209</v>
      </c>
      <c r="H4888" s="6">
        <f t="shared" si="152"/>
        <v>28.677083333334412</v>
      </c>
      <c r="I4888" s="7">
        <f t="shared" si="153"/>
        <v>28.677083333334412</v>
      </c>
    </row>
    <row r="4889" spans="1:9" x14ac:dyDescent="0.2">
      <c r="A4889" t="s">
        <v>5322</v>
      </c>
      <c r="B4889">
        <v>4.6630000000000003</v>
      </c>
      <c r="C4889">
        <v>6.5320000000000003E-2</v>
      </c>
      <c r="D4889">
        <v>284</v>
      </c>
      <c r="E4889" t="s">
        <v>5322</v>
      </c>
      <c r="F4889">
        <v>283</v>
      </c>
      <c r="G4889" s="1">
        <v>45209</v>
      </c>
      <c r="H4889" s="6">
        <f t="shared" si="152"/>
        <v>28.68750000000108</v>
      </c>
      <c r="I4889" s="7">
        <f t="shared" si="153"/>
        <v>28.68750000000108</v>
      </c>
    </row>
    <row r="4890" spans="1:9" x14ac:dyDescent="0.2">
      <c r="A4890" t="s">
        <v>5323</v>
      </c>
      <c r="B4890">
        <v>4.7279999999999998</v>
      </c>
      <c r="C4890">
        <v>6.6225000000000006E-2</v>
      </c>
      <c r="D4890">
        <v>284</v>
      </c>
      <c r="E4890" t="s">
        <v>5323</v>
      </c>
      <c r="F4890">
        <v>283</v>
      </c>
      <c r="G4890" s="1">
        <v>45209</v>
      </c>
      <c r="H4890" s="6">
        <f t="shared" si="152"/>
        <v>28.697916666667748</v>
      </c>
      <c r="I4890" s="7">
        <f t="shared" si="153"/>
        <v>28.697916666667748</v>
      </c>
    </row>
    <row r="4891" spans="1:9" x14ac:dyDescent="0.2">
      <c r="A4891" t="s">
        <v>5324</v>
      </c>
      <c r="B4891">
        <v>4.8105000000000002</v>
      </c>
      <c r="C4891">
        <v>6.7379999999999995E-2</v>
      </c>
      <c r="D4891">
        <v>284</v>
      </c>
      <c r="E4891" t="s">
        <v>5324</v>
      </c>
      <c r="F4891">
        <v>283</v>
      </c>
      <c r="G4891" s="1">
        <v>45209</v>
      </c>
      <c r="H4891" s="6">
        <f t="shared" si="152"/>
        <v>28.708333333334416</v>
      </c>
      <c r="I4891" s="7">
        <f t="shared" si="153"/>
        <v>28.708333333334416</v>
      </c>
    </row>
    <row r="4892" spans="1:9" x14ac:dyDescent="0.2">
      <c r="A4892" t="s">
        <v>5325</v>
      </c>
      <c r="B4892">
        <v>4.7084999999999999</v>
      </c>
      <c r="C4892">
        <v>6.5960000000000005E-2</v>
      </c>
      <c r="D4892">
        <v>284</v>
      </c>
      <c r="E4892" t="s">
        <v>5325</v>
      </c>
      <c r="F4892">
        <v>283</v>
      </c>
      <c r="G4892" s="1">
        <v>45209</v>
      </c>
      <c r="H4892" s="6">
        <f t="shared" ref="H4892:H4955" si="154">H4891+$K$1</f>
        <v>28.718750000001084</v>
      </c>
      <c r="I4892" s="7">
        <f t="shared" ref="I4892:I4955" si="155">I4891+$K$1</f>
        <v>28.718750000001084</v>
      </c>
    </row>
    <row r="4893" spans="1:9" x14ac:dyDescent="0.2">
      <c r="A4893" t="s">
        <v>5326</v>
      </c>
      <c r="B4893">
        <v>4.7830000000000004</v>
      </c>
      <c r="C4893">
        <v>6.7000000000000004E-2</v>
      </c>
      <c r="D4893">
        <v>284</v>
      </c>
      <c r="E4893" t="s">
        <v>5326</v>
      </c>
      <c r="F4893">
        <v>283</v>
      </c>
      <c r="G4893" s="1">
        <v>45209</v>
      </c>
      <c r="H4893" s="6">
        <f t="shared" si="154"/>
        <v>28.729166666667751</v>
      </c>
      <c r="I4893" s="7">
        <f t="shared" si="155"/>
        <v>28.729166666667751</v>
      </c>
    </row>
    <row r="4894" spans="1:9" x14ac:dyDescent="0.2">
      <c r="A4894" t="s">
        <v>5327</v>
      </c>
      <c r="B4894" s="2" t="s">
        <v>4592</v>
      </c>
      <c r="C4894">
        <v>6.8110000000000004E-2</v>
      </c>
      <c r="D4894">
        <v>284</v>
      </c>
      <c r="E4894" t="s">
        <v>5327</v>
      </c>
      <c r="F4894">
        <v>283</v>
      </c>
      <c r="G4894" s="1">
        <v>45209</v>
      </c>
      <c r="H4894" s="6">
        <f t="shared" si="154"/>
        <v>28.739583333334419</v>
      </c>
      <c r="I4894" s="7">
        <f t="shared" si="155"/>
        <v>28.739583333334419</v>
      </c>
    </row>
    <row r="4895" spans="1:9" x14ac:dyDescent="0.2">
      <c r="A4895" t="s">
        <v>5328</v>
      </c>
      <c r="B4895">
        <v>4.9649999999999999</v>
      </c>
      <c r="C4895">
        <v>6.9550000000000001E-2</v>
      </c>
      <c r="D4895">
        <v>284</v>
      </c>
      <c r="E4895" t="s">
        <v>5328</v>
      </c>
      <c r="F4895">
        <v>283</v>
      </c>
      <c r="G4895" s="1">
        <v>45209</v>
      </c>
      <c r="H4895" s="6">
        <f t="shared" si="154"/>
        <v>28.750000000001087</v>
      </c>
      <c r="I4895" s="7">
        <f t="shared" si="155"/>
        <v>28.750000000001087</v>
      </c>
    </row>
    <row r="4896" spans="1:9" x14ac:dyDescent="0.2">
      <c r="A4896" t="s">
        <v>5329</v>
      </c>
      <c r="B4896">
        <v>5.0955000000000004</v>
      </c>
      <c r="C4896">
        <v>7.1355000000000002E-2</v>
      </c>
      <c r="D4896">
        <v>284</v>
      </c>
      <c r="E4896" t="s">
        <v>5329</v>
      </c>
      <c r="F4896">
        <v>283</v>
      </c>
      <c r="G4896" s="1">
        <v>45209</v>
      </c>
      <c r="H4896" s="6">
        <f t="shared" si="154"/>
        <v>28.760416666667755</v>
      </c>
      <c r="I4896" s="7">
        <f t="shared" si="155"/>
        <v>28.760416666667755</v>
      </c>
    </row>
    <row r="4897" spans="1:9" x14ac:dyDescent="0.2">
      <c r="A4897" t="s">
        <v>5330</v>
      </c>
      <c r="B4897">
        <v>5.0724999999999998</v>
      </c>
      <c r="C4897">
        <v>7.1054999999999993E-2</v>
      </c>
      <c r="D4897">
        <v>284</v>
      </c>
      <c r="E4897" t="s">
        <v>5330</v>
      </c>
      <c r="F4897">
        <v>283</v>
      </c>
      <c r="G4897" s="1">
        <v>45209</v>
      </c>
      <c r="H4897" s="6">
        <f t="shared" si="154"/>
        <v>28.770833333334423</v>
      </c>
      <c r="I4897" s="7">
        <f t="shared" si="155"/>
        <v>28.770833333334423</v>
      </c>
    </row>
    <row r="4898" spans="1:9" x14ac:dyDescent="0.2">
      <c r="A4898" t="s">
        <v>5331</v>
      </c>
      <c r="B4898">
        <v>5.1355000000000004</v>
      </c>
      <c r="C4898">
        <v>7.195E-2</v>
      </c>
      <c r="D4898">
        <v>284</v>
      </c>
      <c r="E4898" t="s">
        <v>5331</v>
      </c>
      <c r="F4898">
        <v>283</v>
      </c>
      <c r="G4898" s="1">
        <v>45209</v>
      </c>
      <c r="H4898" s="6">
        <f t="shared" si="154"/>
        <v>28.781250000001091</v>
      </c>
      <c r="I4898" s="7">
        <f t="shared" si="155"/>
        <v>28.781250000001091</v>
      </c>
    </row>
    <row r="4899" spans="1:9" x14ac:dyDescent="0.2">
      <c r="A4899" t="s">
        <v>5332</v>
      </c>
      <c r="B4899">
        <v>5.12</v>
      </c>
      <c r="C4899">
        <v>7.1709999999999996E-2</v>
      </c>
      <c r="D4899">
        <v>284</v>
      </c>
      <c r="E4899" t="s">
        <v>5332</v>
      </c>
      <c r="F4899">
        <v>283</v>
      </c>
      <c r="G4899" s="1">
        <v>45209</v>
      </c>
      <c r="H4899" s="6">
        <f t="shared" si="154"/>
        <v>28.791666666667759</v>
      </c>
      <c r="I4899" s="7">
        <f t="shared" si="155"/>
        <v>28.791666666667759</v>
      </c>
    </row>
    <row r="4900" spans="1:9" x14ac:dyDescent="0.2">
      <c r="A4900" t="s">
        <v>5333</v>
      </c>
      <c r="B4900">
        <v>5.1319999999999997</v>
      </c>
      <c r="C4900">
        <v>7.1900000000000006E-2</v>
      </c>
      <c r="D4900">
        <v>284</v>
      </c>
      <c r="E4900" t="s">
        <v>5333</v>
      </c>
      <c r="F4900">
        <v>283</v>
      </c>
      <c r="G4900" s="1">
        <v>45209</v>
      </c>
      <c r="H4900" s="6">
        <f t="shared" si="154"/>
        <v>28.802083333334426</v>
      </c>
      <c r="I4900" s="7">
        <f t="shared" si="155"/>
        <v>28.802083333334426</v>
      </c>
    </row>
    <row r="4901" spans="1:9" x14ac:dyDescent="0.2">
      <c r="A4901" t="s">
        <v>5334</v>
      </c>
      <c r="B4901">
        <v>5.1775000000000002</v>
      </c>
      <c r="C4901">
        <v>7.2514999999999996E-2</v>
      </c>
      <c r="D4901">
        <v>284</v>
      </c>
      <c r="E4901" t="s">
        <v>5334</v>
      </c>
      <c r="F4901">
        <v>283</v>
      </c>
      <c r="G4901" s="1">
        <v>45209</v>
      </c>
      <c r="H4901" s="6">
        <f t="shared" si="154"/>
        <v>28.812500000001094</v>
      </c>
      <c r="I4901" s="7">
        <f t="shared" si="155"/>
        <v>28.812500000001094</v>
      </c>
    </row>
    <row r="4902" spans="1:9" x14ac:dyDescent="0.2">
      <c r="A4902" t="s">
        <v>5335</v>
      </c>
      <c r="B4902" s="2" t="s">
        <v>5336</v>
      </c>
      <c r="C4902">
        <v>7.2249999999999995E-2</v>
      </c>
      <c r="D4902">
        <v>284</v>
      </c>
      <c r="E4902" t="s">
        <v>5335</v>
      </c>
      <c r="F4902">
        <v>283</v>
      </c>
      <c r="G4902" s="1">
        <v>45209</v>
      </c>
      <c r="H4902" s="6">
        <f t="shared" si="154"/>
        <v>28.822916666667762</v>
      </c>
      <c r="I4902" s="7">
        <f t="shared" si="155"/>
        <v>28.822916666667762</v>
      </c>
    </row>
    <row r="4903" spans="1:9" x14ac:dyDescent="0.2">
      <c r="A4903" t="s">
        <v>5337</v>
      </c>
      <c r="B4903">
        <v>5.1624999999999996</v>
      </c>
      <c r="C4903">
        <v>7.2294999999999998E-2</v>
      </c>
      <c r="D4903">
        <v>284</v>
      </c>
      <c r="E4903" t="s">
        <v>5337</v>
      </c>
      <c r="F4903">
        <v>283</v>
      </c>
      <c r="G4903" s="1">
        <v>45209</v>
      </c>
      <c r="H4903" s="6">
        <f t="shared" si="154"/>
        <v>28.83333333333443</v>
      </c>
      <c r="I4903" s="7">
        <f t="shared" si="155"/>
        <v>28.83333333333443</v>
      </c>
    </row>
    <row r="4904" spans="1:9" x14ac:dyDescent="0.2">
      <c r="A4904" t="s">
        <v>5338</v>
      </c>
      <c r="B4904">
        <v>5.165</v>
      </c>
      <c r="C4904">
        <v>7.2340000000000002E-2</v>
      </c>
      <c r="D4904">
        <v>284</v>
      </c>
      <c r="E4904" t="s">
        <v>5338</v>
      </c>
      <c r="F4904">
        <v>283</v>
      </c>
      <c r="G4904" s="1">
        <v>45209</v>
      </c>
      <c r="H4904" s="6">
        <f t="shared" si="154"/>
        <v>28.843750000001098</v>
      </c>
      <c r="I4904" s="7">
        <f t="shared" si="155"/>
        <v>28.843750000001098</v>
      </c>
    </row>
    <row r="4905" spans="1:9" x14ac:dyDescent="0.2">
      <c r="A4905" t="s">
        <v>5339</v>
      </c>
      <c r="B4905">
        <v>5.2244999999999999</v>
      </c>
      <c r="C4905">
        <v>7.3175000000000004E-2</v>
      </c>
      <c r="D4905">
        <v>284</v>
      </c>
      <c r="E4905" t="s">
        <v>5339</v>
      </c>
      <c r="F4905">
        <v>284</v>
      </c>
      <c r="G4905" s="1">
        <v>45210</v>
      </c>
      <c r="H4905" s="6">
        <f t="shared" si="154"/>
        <v>28.854166666667766</v>
      </c>
      <c r="I4905" s="7">
        <f t="shared" si="155"/>
        <v>28.854166666667766</v>
      </c>
    </row>
    <row r="4906" spans="1:9" x14ac:dyDescent="0.2">
      <c r="A4906" t="s">
        <v>5340</v>
      </c>
      <c r="B4906">
        <v>5.2320000000000002</v>
      </c>
      <c r="C4906">
        <v>7.3289999999999994E-2</v>
      </c>
      <c r="D4906">
        <v>284</v>
      </c>
      <c r="E4906" t="s">
        <v>5340</v>
      </c>
      <c r="F4906">
        <v>284</v>
      </c>
      <c r="G4906" s="1">
        <v>45210</v>
      </c>
      <c r="H4906" s="6">
        <f t="shared" si="154"/>
        <v>28.864583333334433</v>
      </c>
      <c r="I4906" s="7">
        <f t="shared" si="155"/>
        <v>28.864583333334433</v>
      </c>
    </row>
    <row r="4907" spans="1:9" x14ac:dyDescent="0.2">
      <c r="A4907" t="s">
        <v>5341</v>
      </c>
      <c r="B4907">
        <v>5.1784999999999997</v>
      </c>
      <c r="C4907">
        <v>7.2554999999999994E-2</v>
      </c>
      <c r="D4907">
        <v>284</v>
      </c>
      <c r="E4907" t="s">
        <v>5341</v>
      </c>
      <c r="F4907">
        <v>284</v>
      </c>
      <c r="G4907" s="1">
        <v>45210</v>
      </c>
      <c r="H4907" s="6">
        <f t="shared" si="154"/>
        <v>28.875000000001101</v>
      </c>
      <c r="I4907" s="7">
        <f t="shared" si="155"/>
        <v>28.875000000001101</v>
      </c>
    </row>
    <row r="4908" spans="1:9" x14ac:dyDescent="0.2">
      <c r="A4908" t="s">
        <v>5342</v>
      </c>
      <c r="B4908">
        <v>5.2084999999999999</v>
      </c>
      <c r="C4908">
        <v>7.2959999999999997E-2</v>
      </c>
      <c r="D4908">
        <v>284</v>
      </c>
      <c r="E4908" t="s">
        <v>5342</v>
      </c>
      <c r="F4908">
        <v>284</v>
      </c>
      <c r="G4908" s="1">
        <v>45210</v>
      </c>
      <c r="H4908" s="6">
        <f t="shared" si="154"/>
        <v>28.885416666667769</v>
      </c>
      <c r="I4908" s="7">
        <f t="shared" si="155"/>
        <v>28.885416666667769</v>
      </c>
    </row>
    <row r="4909" spans="1:9" x14ac:dyDescent="0.2">
      <c r="A4909" t="s">
        <v>5343</v>
      </c>
      <c r="B4909" s="2" t="s">
        <v>5344</v>
      </c>
      <c r="C4909">
        <v>7.3039999999999994E-2</v>
      </c>
      <c r="D4909">
        <v>284</v>
      </c>
      <c r="E4909" t="s">
        <v>5343</v>
      </c>
      <c r="F4909">
        <v>284</v>
      </c>
      <c r="G4909" s="1">
        <v>45210</v>
      </c>
      <c r="H4909" s="6">
        <f t="shared" si="154"/>
        <v>28.895833333334437</v>
      </c>
      <c r="I4909" s="7">
        <f t="shared" si="155"/>
        <v>28.895833333334437</v>
      </c>
    </row>
    <row r="4910" spans="1:9" x14ac:dyDescent="0.2">
      <c r="A4910" t="s">
        <v>5345</v>
      </c>
      <c r="B4910">
        <v>5.2489999999999997</v>
      </c>
      <c r="C4910">
        <v>7.3524999999999993E-2</v>
      </c>
      <c r="D4910">
        <v>284</v>
      </c>
      <c r="E4910" t="s">
        <v>5345</v>
      </c>
      <c r="F4910">
        <v>284</v>
      </c>
      <c r="G4910" s="1">
        <v>45210</v>
      </c>
      <c r="H4910" s="6">
        <f t="shared" si="154"/>
        <v>28.906250000001105</v>
      </c>
      <c r="I4910" s="7">
        <f t="shared" si="155"/>
        <v>28.906250000001105</v>
      </c>
    </row>
    <row r="4911" spans="1:9" x14ac:dyDescent="0.2">
      <c r="A4911" t="s">
        <v>5346</v>
      </c>
      <c r="B4911">
        <v>5.2279999999999998</v>
      </c>
      <c r="C4911">
        <v>7.3245000000000005E-2</v>
      </c>
      <c r="D4911">
        <v>284</v>
      </c>
      <c r="E4911" t="s">
        <v>5346</v>
      </c>
      <c r="F4911">
        <v>284</v>
      </c>
      <c r="G4911" s="1">
        <v>45210</v>
      </c>
      <c r="H4911" s="6">
        <f t="shared" si="154"/>
        <v>28.916666666667773</v>
      </c>
      <c r="I4911" s="7">
        <f t="shared" si="155"/>
        <v>28.916666666667773</v>
      </c>
    </row>
    <row r="4912" spans="1:9" x14ac:dyDescent="0.2">
      <c r="A4912" t="s">
        <v>5347</v>
      </c>
      <c r="B4912">
        <v>5.2104999999999997</v>
      </c>
      <c r="C4912">
        <v>7.2989999999999999E-2</v>
      </c>
      <c r="D4912">
        <v>284</v>
      </c>
      <c r="E4912" t="s">
        <v>5347</v>
      </c>
      <c r="F4912">
        <v>284</v>
      </c>
      <c r="G4912" s="1">
        <v>45210</v>
      </c>
      <c r="H4912" s="6">
        <f t="shared" si="154"/>
        <v>28.927083333334441</v>
      </c>
      <c r="I4912" s="7">
        <f t="shared" si="155"/>
        <v>28.927083333334441</v>
      </c>
    </row>
    <row r="4913" spans="1:9" x14ac:dyDescent="0.2">
      <c r="A4913" t="s">
        <v>5348</v>
      </c>
      <c r="B4913">
        <v>5.0990000000000002</v>
      </c>
      <c r="C4913">
        <v>7.1415000000000006E-2</v>
      </c>
      <c r="D4913">
        <v>284</v>
      </c>
      <c r="E4913" t="s">
        <v>5348</v>
      </c>
      <c r="F4913">
        <v>284</v>
      </c>
      <c r="G4913" s="1">
        <v>45210</v>
      </c>
      <c r="H4913" s="6">
        <f t="shared" si="154"/>
        <v>28.937500000001108</v>
      </c>
      <c r="I4913" s="7">
        <f t="shared" si="155"/>
        <v>28.937500000001108</v>
      </c>
    </row>
    <row r="4914" spans="1:9" x14ac:dyDescent="0.2">
      <c r="A4914" t="s">
        <v>5349</v>
      </c>
      <c r="B4914">
        <v>5.1864999999999997</v>
      </c>
      <c r="C4914">
        <v>7.2635000000000005E-2</v>
      </c>
      <c r="D4914">
        <v>284</v>
      </c>
      <c r="E4914" t="s">
        <v>5349</v>
      </c>
      <c r="F4914">
        <v>284</v>
      </c>
      <c r="G4914" s="1">
        <v>45210</v>
      </c>
      <c r="H4914" s="6">
        <f t="shared" si="154"/>
        <v>28.947916666667776</v>
      </c>
      <c r="I4914" s="7">
        <f t="shared" si="155"/>
        <v>28.947916666667776</v>
      </c>
    </row>
    <row r="4915" spans="1:9" x14ac:dyDescent="0.2">
      <c r="A4915" t="s">
        <v>5350</v>
      </c>
      <c r="B4915">
        <v>5.2125000000000004</v>
      </c>
      <c r="C4915">
        <v>7.3010000000000005E-2</v>
      </c>
      <c r="D4915">
        <v>284</v>
      </c>
      <c r="E4915" t="s">
        <v>5350</v>
      </c>
      <c r="F4915">
        <v>284</v>
      </c>
      <c r="G4915" s="1">
        <v>45210</v>
      </c>
      <c r="H4915" s="6">
        <f t="shared" si="154"/>
        <v>28.958333333334444</v>
      </c>
      <c r="I4915" s="7">
        <f t="shared" si="155"/>
        <v>28.958333333334444</v>
      </c>
    </row>
    <row r="4916" spans="1:9" x14ac:dyDescent="0.2">
      <c r="A4916" t="s">
        <v>5351</v>
      </c>
      <c r="B4916">
        <v>5.3014999999999999</v>
      </c>
      <c r="C4916">
        <v>7.4260000000000007E-2</v>
      </c>
      <c r="D4916">
        <v>284</v>
      </c>
      <c r="E4916" t="s">
        <v>5351</v>
      </c>
      <c r="F4916">
        <v>284</v>
      </c>
      <c r="G4916" s="1">
        <v>45210</v>
      </c>
      <c r="H4916" s="6">
        <f t="shared" si="154"/>
        <v>28.968750000001112</v>
      </c>
      <c r="I4916" s="7">
        <f t="shared" si="155"/>
        <v>28.968750000001112</v>
      </c>
    </row>
    <row r="4917" spans="1:9" x14ac:dyDescent="0.2">
      <c r="A4917" t="s">
        <v>5352</v>
      </c>
      <c r="B4917" s="2" t="s">
        <v>5353</v>
      </c>
      <c r="C4917">
        <v>7.2864999999999999E-2</v>
      </c>
      <c r="D4917">
        <v>284</v>
      </c>
      <c r="E4917" t="s">
        <v>5352</v>
      </c>
      <c r="F4917">
        <v>284</v>
      </c>
      <c r="G4917" s="1">
        <v>45210</v>
      </c>
      <c r="H4917" s="6">
        <f t="shared" si="154"/>
        <v>28.97916666666778</v>
      </c>
      <c r="I4917" s="7">
        <f t="shared" si="155"/>
        <v>28.97916666666778</v>
      </c>
    </row>
    <row r="4918" spans="1:9" x14ac:dyDescent="0.2">
      <c r="A4918" t="s">
        <v>5354</v>
      </c>
      <c r="B4918">
        <v>5.2370000000000001</v>
      </c>
      <c r="C4918">
        <v>7.3349999999999999E-2</v>
      </c>
      <c r="D4918">
        <v>284</v>
      </c>
      <c r="E4918" t="s">
        <v>5354</v>
      </c>
      <c r="F4918">
        <v>284</v>
      </c>
      <c r="G4918" s="1">
        <v>45210</v>
      </c>
      <c r="H4918" s="6">
        <f t="shared" si="154"/>
        <v>28.989583333334448</v>
      </c>
      <c r="I4918" s="7">
        <f t="shared" si="155"/>
        <v>28.989583333334448</v>
      </c>
    </row>
    <row r="4919" spans="1:9" x14ac:dyDescent="0.2">
      <c r="A4919" t="s">
        <v>5355</v>
      </c>
      <c r="B4919">
        <v>5.2824999999999998</v>
      </c>
      <c r="C4919">
        <v>7.399E-2</v>
      </c>
      <c r="D4919">
        <v>284</v>
      </c>
      <c r="E4919" t="s">
        <v>5355</v>
      </c>
      <c r="F4919">
        <v>284</v>
      </c>
      <c r="G4919" s="1">
        <v>45210</v>
      </c>
      <c r="H4919" s="6">
        <f t="shared" si="154"/>
        <v>29.000000000001116</v>
      </c>
      <c r="I4919" s="7">
        <f t="shared" si="155"/>
        <v>29.000000000001116</v>
      </c>
    </row>
    <row r="4920" spans="1:9" x14ac:dyDescent="0.2">
      <c r="A4920" t="s">
        <v>5356</v>
      </c>
      <c r="B4920">
        <v>5.2469999999999999</v>
      </c>
      <c r="C4920">
        <v>7.349E-2</v>
      </c>
      <c r="D4920">
        <v>284</v>
      </c>
      <c r="E4920" t="s">
        <v>5356</v>
      </c>
      <c r="F4920">
        <v>284</v>
      </c>
      <c r="G4920" s="1">
        <v>45210</v>
      </c>
      <c r="H4920" s="6">
        <f t="shared" si="154"/>
        <v>29.010416666667783</v>
      </c>
      <c r="I4920" s="7">
        <f t="shared" si="155"/>
        <v>29.010416666667783</v>
      </c>
    </row>
    <row r="4921" spans="1:9" x14ac:dyDescent="0.2">
      <c r="A4921" t="s">
        <v>5357</v>
      </c>
      <c r="B4921">
        <v>5.2210000000000001</v>
      </c>
      <c r="C4921">
        <v>7.3114999999999999E-2</v>
      </c>
      <c r="D4921">
        <v>284</v>
      </c>
      <c r="E4921" t="s">
        <v>5357</v>
      </c>
      <c r="F4921">
        <v>284</v>
      </c>
      <c r="G4921" s="1">
        <v>45210</v>
      </c>
      <c r="H4921" s="6">
        <f t="shared" si="154"/>
        <v>29.020833333334451</v>
      </c>
      <c r="I4921" s="7">
        <f t="shared" si="155"/>
        <v>29.020833333334451</v>
      </c>
    </row>
    <row r="4922" spans="1:9" x14ac:dyDescent="0.2">
      <c r="A4922" t="s">
        <v>5358</v>
      </c>
      <c r="B4922">
        <v>5.2569999999999997</v>
      </c>
      <c r="C4922">
        <v>7.3645000000000002E-2</v>
      </c>
      <c r="D4922">
        <v>284</v>
      </c>
      <c r="E4922" t="s">
        <v>5358</v>
      </c>
      <c r="F4922">
        <v>284</v>
      </c>
      <c r="G4922" s="1">
        <v>45210</v>
      </c>
      <c r="H4922" s="6">
        <f t="shared" si="154"/>
        <v>29.031250000001119</v>
      </c>
      <c r="I4922" s="7">
        <f t="shared" si="155"/>
        <v>29.031250000001119</v>
      </c>
    </row>
    <row r="4923" spans="1:9" x14ac:dyDescent="0.2">
      <c r="A4923" t="s">
        <v>5359</v>
      </c>
      <c r="B4923">
        <v>5.2374999999999998</v>
      </c>
      <c r="C4923">
        <v>7.3370000000000005E-2</v>
      </c>
      <c r="D4923">
        <v>284</v>
      </c>
      <c r="E4923" t="s">
        <v>5359</v>
      </c>
      <c r="F4923">
        <v>284</v>
      </c>
      <c r="G4923" s="1">
        <v>45210</v>
      </c>
      <c r="H4923" s="6">
        <f t="shared" si="154"/>
        <v>29.041666666667787</v>
      </c>
      <c r="I4923" s="7">
        <f t="shared" si="155"/>
        <v>29.041666666667787</v>
      </c>
    </row>
    <row r="4924" spans="1:9" x14ac:dyDescent="0.2">
      <c r="A4924" t="s">
        <v>5360</v>
      </c>
      <c r="B4924">
        <v>5.1435000000000004</v>
      </c>
      <c r="C4924">
        <v>7.2020000000000001E-2</v>
      </c>
      <c r="D4924">
        <v>284</v>
      </c>
      <c r="E4924" t="s">
        <v>5360</v>
      </c>
      <c r="F4924">
        <v>284</v>
      </c>
      <c r="G4924" s="1">
        <v>45210</v>
      </c>
      <c r="H4924" s="6">
        <f t="shared" si="154"/>
        <v>29.052083333334455</v>
      </c>
      <c r="I4924" s="7">
        <f t="shared" si="155"/>
        <v>29.052083333334455</v>
      </c>
    </row>
    <row r="4925" spans="1:9" x14ac:dyDescent="0.2">
      <c r="A4925" t="s">
        <v>5361</v>
      </c>
      <c r="B4925">
        <v>5.1864999999999997</v>
      </c>
      <c r="C4925">
        <v>7.2645000000000001E-2</v>
      </c>
      <c r="D4925">
        <v>284</v>
      </c>
      <c r="E4925" t="s">
        <v>5361</v>
      </c>
      <c r="F4925">
        <v>284</v>
      </c>
      <c r="G4925" s="1">
        <v>45210</v>
      </c>
      <c r="H4925" s="6">
        <f t="shared" si="154"/>
        <v>29.062500000001123</v>
      </c>
      <c r="I4925" s="7">
        <f t="shared" si="155"/>
        <v>29.062500000001123</v>
      </c>
    </row>
    <row r="4926" spans="1:9" x14ac:dyDescent="0.2">
      <c r="A4926" t="s">
        <v>5362</v>
      </c>
      <c r="B4926">
        <v>5.1784999999999997</v>
      </c>
      <c r="C4926">
        <v>7.2535000000000002E-2</v>
      </c>
      <c r="D4926">
        <v>284</v>
      </c>
      <c r="E4926" t="s">
        <v>5362</v>
      </c>
      <c r="F4926">
        <v>284</v>
      </c>
      <c r="G4926" s="1">
        <v>45210</v>
      </c>
      <c r="H4926" s="6">
        <f t="shared" si="154"/>
        <v>29.072916666667791</v>
      </c>
      <c r="I4926" s="7">
        <f t="shared" si="155"/>
        <v>29.072916666667791</v>
      </c>
    </row>
    <row r="4927" spans="1:9" x14ac:dyDescent="0.2">
      <c r="A4927" t="s">
        <v>5363</v>
      </c>
      <c r="B4927">
        <v>5.1914999999999996</v>
      </c>
      <c r="C4927">
        <v>7.2724999999999998E-2</v>
      </c>
      <c r="D4927">
        <v>284</v>
      </c>
      <c r="E4927" t="s">
        <v>5363</v>
      </c>
      <c r="F4927">
        <v>284</v>
      </c>
      <c r="G4927" s="1">
        <v>45210</v>
      </c>
      <c r="H4927" s="6">
        <f t="shared" si="154"/>
        <v>29.083333333334458</v>
      </c>
      <c r="I4927" s="7">
        <f t="shared" si="155"/>
        <v>29.083333333334458</v>
      </c>
    </row>
    <row r="4928" spans="1:9" x14ac:dyDescent="0.2">
      <c r="A4928" t="s">
        <v>5364</v>
      </c>
      <c r="B4928" s="2" t="s">
        <v>5365</v>
      </c>
      <c r="C4928">
        <v>7.2739999999999999E-2</v>
      </c>
      <c r="D4928">
        <v>284</v>
      </c>
      <c r="E4928" t="s">
        <v>5364</v>
      </c>
      <c r="F4928">
        <v>284</v>
      </c>
      <c r="G4928" s="1">
        <v>45210</v>
      </c>
      <c r="H4928" s="6">
        <f t="shared" si="154"/>
        <v>29.093750000001126</v>
      </c>
      <c r="I4928" s="7">
        <f t="shared" si="155"/>
        <v>29.093750000001126</v>
      </c>
    </row>
    <row r="4929" spans="1:9" x14ac:dyDescent="0.2">
      <c r="A4929" t="s">
        <v>5366</v>
      </c>
      <c r="B4929">
        <v>5.2060000000000004</v>
      </c>
      <c r="C4929">
        <v>7.2910000000000003E-2</v>
      </c>
      <c r="D4929">
        <v>284</v>
      </c>
      <c r="E4929" t="s">
        <v>5366</v>
      </c>
      <c r="F4929">
        <v>284</v>
      </c>
      <c r="G4929" s="1">
        <v>45210</v>
      </c>
      <c r="H4929" s="6">
        <f t="shared" si="154"/>
        <v>29.104166666667794</v>
      </c>
      <c r="I4929" s="7">
        <f t="shared" si="155"/>
        <v>29.104166666667794</v>
      </c>
    </row>
    <row r="4930" spans="1:9" x14ac:dyDescent="0.2">
      <c r="A4930" t="s">
        <v>5367</v>
      </c>
      <c r="B4930">
        <v>5.1675000000000004</v>
      </c>
      <c r="C4930">
        <v>7.2359999999999994E-2</v>
      </c>
      <c r="D4930">
        <v>284</v>
      </c>
      <c r="E4930" t="s">
        <v>5367</v>
      </c>
      <c r="F4930">
        <v>284</v>
      </c>
      <c r="G4930" s="1">
        <v>45210</v>
      </c>
      <c r="H4930" s="6">
        <f t="shared" si="154"/>
        <v>29.114583333334462</v>
      </c>
      <c r="I4930" s="7">
        <f t="shared" si="155"/>
        <v>29.114583333334462</v>
      </c>
    </row>
    <row r="4931" spans="1:9" x14ac:dyDescent="0.2">
      <c r="A4931" t="s">
        <v>5368</v>
      </c>
      <c r="B4931">
        <v>5.1924999999999999</v>
      </c>
      <c r="C4931">
        <v>7.2730000000000003E-2</v>
      </c>
      <c r="D4931">
        <v>284</v>
      </c>
      <c r="E4931" t="s">
        <v>5368</v>
      </c>
      <c r="F4931">
        <v>284</v>
      </c>
      <c r="G4931" s="1">
        <v>45210</v>
      </c>
      <c r="H4931" s="6">
        <f t="shared" si="154"/>
        <v>29.12500000000113</v>
      </c>
      <c r="I4931" s="7">
        <f t="shared" si="155"/>
        <v>29.12500000000113</v>
      </c>
    </row>
    <row r="4932" spans="1:9" x14ac:dyDescent="0.2">
      <c r="A4932" t="s">
        <v>5369</v>
      </c>
      <c r="B4932">
        <v>5.1139999999999999</v>
      </c>
      <c r="C4932">
        <v>7.1620000000000003E-2</v>
      </c>
      <c r="D4932">
        <v>284</v>
      </c>
      <c r="E4932" t="s">
        <v>5369</v>
      </c>
      <c r="F4932">
        <v>284</v>
      </c>
      <c r="G4932" s="1">
        <v>45210</v>
      </c>
      <c r="H4932" s="6">
        <f t="shared" si="154"/>
        <v>29.135416666667798</v>
      </c>
      <c r="I4932" s="7">
        <f t="shared" si="155"/>
        <v>29.135416666667798</v>
      </c>
    </row>
    <row r="4933" spans="1:9" x14ac:dyDescent="0.2">
      <c r="A4933" t="s">
        <v>5370</v>
      </c>
      <c r="B4933">
        <v>5.1944999999999997</v>
      </c>
      <c r="C4933">
        <v>7.2755E-2</v>
      </c>
      <c r="D4933">
        <v>284</v>
      </c>
      <c r="E4933" t="s">
        <v>5370</v>
      </c>
      <c r="F4933">
        <v>284</v>
      </c>
      <c r="G4933" s="1">
        <v>45210</v>
      </c>
      <c r="H4933" s="6">
        <f t="shared" si="154"/>
        <v>29.145833333334465</v>
      </c>
      <c r="I4933" s="7">
        <f t="shared" si="155"/>
        <v>29.145833333334465</v>
      </c>
    </row>
    <row r="4934" spans="1:9" x14ac:dyDescent="0.2">
      <c r="A4934" t="s">
        <v>5371</v>
      </c>
      <c r="B4934">
        <v>5.2024999999999997</v>
      </c>
      <c r="C4934">
        <v>7.2870000000000004E-2</v>
      </c>
      <c r="D4934">
        <v>284</v>
      </c>
      <c r="E4934" t="s">
        <v>5371</v>
      </c>
      <c r="F4934">
        <v>284</v>
      </c>
      <c r="G4934" s="1">
        <v>45210</v>
      </c>
      <c r="H4934" s="6">
        <f t="shared" si="154"/>
        <v>29.156250000001133</v>
      </c>
      <c r="I4934" s="7">
        <f t="shared" si="155"/>
        <v>29.156250000001133</v>
      </c>
    </row>
    <row r="4935" spans="1:9" x14ac:dyDescent="0.2">
      <c r="A4935" t="s">
        <v>5372</v>
      </c>
      <c r="B4935">
        <v>5.1675000000000004</v>
      </c>
      <c r="C4935">
        <v>7.238E-2</v>
      </c>
      <c r="D4935">
        <v>284</v>
      </c>
      <c r="E4935" t="s">
        <v>5372</v>
      </c>
      <c r="F4935">
        <v>284</v>
      </c>
      <c r="G4935" s="1">
        <v>45210</v>
      </c>
      <c r="H4935" s="6">
        <f t="shared" si="154"/>
        <v>29.166666666667801</v>
      </c>
      <c r="I4935" s="7">
        <f t="shared" si="155"/>
        <v>29.166666666667801</v>
      </c>
    </row>
    <row r="4936" spans="1:9" x14ac:dyDescent="0.2">
      <c r="A4936" t="s">
        <v>5373</v>
      </c>
      <c r="B4936">
        <v>5.2110000000000003</v>
      </c>
      <c r="C4936">
        <v>7.2995000000000004E-2</v>
      </c>
      <c r="D4936">
        <v>284</v>
      </c>
      <c r="E4936" t="s">
        <v>5373</v>
      </c>
      <c r="F4936">
        <v>284</v>
      </c>
      <c r="G4936" s="1">
        <v>45210</v>
      </c>
      <c r="H4936" s="6">
        <f t="shared" si="154"/>
        <v>29.177083333334469</v>
      </c>
      <c r="I4936" s="7">
        <f t="shared" si="155"/>
        <v>29.177083333334469</v>
      </c>
    </row>
    <row r="4937" spans="1:9" x14ac:dyDescent="0.2">
      <c r="A4937" t="s">
        <v>5374</v>
      </c>
      <c r="B4937">
        <v>5.2229999999999999</v>
      </c>
      <c r="C4937">
        <v>7.3164999999999994E-2</v>
      </c>
      <c r="D4937">
        <v>284</v>
      </c>
      <c r="E4937" t="s">
        <v>5374</v>
      </c>
      <c r="F4937">
        <v>284</v>
      </c>
      <c r="G4937" s="1">
        <v>45210</v>
      </c>
      <c r="H4937" s="6">
        <f t="shared" si="154"/>
        <v>29.187500000001137</v>
      </c>
      <c r="I4937" s="7">
        <f t="shared" si="155"/>
        <v>29.187500000001137</v>
      </c>
    </row>
    <row r="4938" spans="1:9" x14ac:dyDescent="0.2">
      <c r="A4938" t="s">
        <v>5375</v>
      </c>
      <c r="B4938">
        <v>5.2140000000000004</v>
      </c>
      <c r="C4938">
        <v>7.3005E-2</v>
      </c>
      <c r="D4938">
        <v>284</v>
      </c>
      <c r="E4938" t="s">
        <v>5375</v>
      </c>
      <c r="F4938">
        <v>284</v>
      </c>
      <c r="G4938" s="1">
        <v>45210</v>
      </c>
      <c r="H4938" s="6">
        <f t="shared" si="154"/>
        <v>29.197916666667805</v>
      </c>
      <c r="I4938" s="7">
        <f t="shared" si="155"/>
        <v>29.197916666667805</v>
      </c>
    </row>
    <row r="4939" spans="1:9" x14ac:dyDescent="0.2">
      <c r="A4939" t="s">
        <v>5376</v>
      </c>
      <c r="B4939">
        <v>5.1304999999999996</v>
      </c>
      <c r="C4939">
        <v>7.1845000000000006E-2</v>
      </c>
      <c r="D4939">
        <v>284</v>
      </c>
      <c r="E4939" t="s">
        <v>5376</v>
      </c>
      <c r="F4939">
        <v>284</v>
      </c>
      <c r="G4939" s="1">
        <v>45210</v>
      </c>
      <c r="H4939" s="6">
        <f t="shared" si="154"/>
        <v>29.208333333334473</v>
      </c>
      <c r="I4939" s="7">
        <f t="shared" si="155"/>
        <v>29.208333333334473</v>
      </c>
    </row>
    <row r="4940" spans="1:9" x14ac:dyDescent="0.2">
      <c r="A4940" t="s">
        <v>5377</v>
      </c>
      <c r="B4940">
        <v>5.1585000000000001</v>
      </c>
      <c r="C4940">
        <v>7.2255E-2</v>
      </c>
      <c r="D4940">
        <v>284</v>
      </c>
      <c r="E4940" t="s">
        <v>5377</v>
      </c>
      <c r="F4940">
        <v>284</v>
      </c>
      <c r="G4940" s="1">
        <v>45210</v>
      </c>
      <c r="H4940" s="6">
        <f t="shared" si="154"/>
        <v>29.21875000000114</v>
      </c>
      <c r="I4940" s="7">
        <f t="shared" si="155"/>
        <v>29.21875000000114</v>
      </c>
    </row>
    <row r="4941" spans="1:9" x14ac:dyDescent="0.2">
      <c r="A4941" t="s">
        <v>5378</v>
      </c>
      <c r="B4941">
        <v>5.1124999999999998</v>
      </c>
      <c r="C4941">
        <v>7.1609999999999993E-2</v>
      </c>
      <c r="D4941">
        <v>284</v>
      </c>
      <c r="E4941" t="s">
        <v>5378</v>
      </c>
      <c r="F4941">
        <v>284</v>
      </c>
      <c r="G4941" s="1">
        <v>45210</v>
      </c>
      <c r="H4941" s="6">
        <f t="shared" si="154"/>
        <v>29.229166666667808</v>
      </c>
      <c r="I4941" s="7">
        <f t="shared" si="155"/>
        <v>29.229166666667808</v>
      </c>
    </row>
    <row r="4942" spans="1:9" x14ac:dyDescent="0.2">
      <c r="A4942" t="s">
        <v>5379</v>
      </c>
      <c r="B4942">
        <v>5.1764999999999999</v>
      </c>
      <c r="C4942">
        <v>7.2495000000000004E-2</v>
      </c>
      <c r="D4942">
        <v>284</v>
      </c>
      <c r="E4942" t="s">
        <v>5379</v>
      </c>
      <c r="F4942">
        <v>284</v>
      </c>
      <c r="G4942" s="1">
        <v>45210</v>
      </c>
      <c r="H4942" s="6">
        <f t="shared" si="154"/>
        <v>29.239583333334476</v>
      </c>
      <c r="I4942" s="7">
        <f t="shared" si="155"/>
        <v>29.239583333334476</v>
      </c>
    </row>
    <row r="4943" spans="1:9" x14ac:dyDescent="0.2">
      <c r="A4943" t="s">
        <v>5380</v>
      </c>
      <c r="B4943">
        <v>5.0465</v>
      </c>
      <c r="C4943">
        <v>7.0669999999999997E-2</v>
      </c>
      <c r="D4943">
        <v>284</v>
      </c>
      <c r="E4943" t="s">
        <v>5380</v>
      </c>
      <c r="F4943">
        <v>284</v>
      </c>
      <c r="G4943" s="1">
        <v>45210</v>
      </c>
      <c r="H4943" s="6">
        <f t="shared" si="154"/>
        <v>29.250000000001144</v>
      </c>
      <c r="I4943" s="7">
        <f t="shared" si="155"/>
        <v>29.250000000001144</v>
      </c>
    </row>
    <row r="4944" spans="1:9" x14ac:dyDescent="0.2">
      <c r="A4944" t="s">
        <v>5381</v>
      </c>
      <c r="B4944">
        <v>5.0640000000000001</v>
      </c>
      <c r="C4944">
        <v>7.0919999999999997E-2</v>
      </c>
      <c r="D4944">
        <v>284</v>
      </c>
      <c r="E4944" t="s">
        <v>5381</v>
      </c>
      <c r="F4944">
        <v>284</v>
      </c>
      <c r="G4944" s="1">
        <v>45210</v>
      </c>
      <c r="H4944" s="6">
        <f t="shared" si="154"/>
        <v>29.260416666667812</v>
      </c>
      <c r="I4944" s="7">
        <f t="shared" si="155"/>
        <v>29.260416666667812</v>
      </c>
    </row>
    <row r="4945" spans="1:9" x14ac:dyDescent="0.2">
      <c r="A4945" t="s">
        <v>5382</v>
      </c>
      <c r="B4945">
        <v>4.9414999999999996</v>
      </c>
      <c r="C4945">
        <v>6.9199999999999998E-2</v>
      </c>
      <c r="D4945">
        <v>284</v>
      </c>
      <c r="E4945" t="s">
        <v>5382</v>
      </c>
      <c r="F4945">
        <v>284</v>
      </c>
      <c r="G4945" s="1">
        <v>45210</v>
      </c>
      <c r="H4945" s="6">
        <f t="shared" si="154"/>
        <v>29.27083333333448</v>
      </c>
      <c r="I4945" s="7">
        <f t="shared" si="155"/>
        <v>29.27083333333448</v>
      </c>
    </row>
    <row r="4946" spans="1:9" x14ac:dyDescent="0.2">
      <c r="A4946" t="s">
        <v>5383</v>
      </c>
      <c r="B4946">
        <v>4.9295</v>
      </c>
      <c r="C4946">
        <v>6.9055000000000005E-2</v>
      </c>
      <c r="D4946">
        <v>284</v>
      </c>
      <c r="E4946" t="s">
        <v>5383</v>
      </c>
      <c r="F4946">
        <v>284</v>
      </c>
      <c r="G4946" s="1">
        <v>45210</v>
      </c>
      <c r="H4946" s="6">
        <f t="shared" si="154"/>
        <v>29.281250000001148</v>
      </c>
      <c r="I4946" s="7">
        <f t="shared" si="155"/>
        <v>29.281250000001148</v>
      </c>
    </row>
    <row r="4947" spans="1:9" x14ac:dyDescent="0.2">
      <c r="A4947" t="s">
        <v>5384</v>
      </c>
      <c r="B4947" s="2" t="s">
        <v>5385</v>
      </c>
      <c r="C4947">
        <v>6.9150000000000003E-2</v>
      </c>
      <c r="D4947">
        <v>284</v>
      </c>
      <c r="E4947" t="s">
        <v>5384</v>
      </c>
      <c r="F4947">
        <v>284</v>
      </c>
      <c r="G4947" s="1">
        <v>45210</v>
      </c>
      <c r="H4947" s="6">
        <f t="shared" si="154"/>
        <v>29.291666666667815</v>
      </c>
      <c r="I4947" s="7">
        <f t="shared" si="155"/>
        <v>29.291666666667815</v>
      </c>
    </row>
    <row r="4948" spans="1:9" x14ac:dyDescent="0.2">
      <c r="A4948" t="s">
        <v>5386</v>
      </c>
      <c r="B4948">
        <v>4.9015000000000004</v>
      </c>
      <c r="C4948">
        <v>6.8650000000000003E-2</v>
      </c>
      <c r="D4948">
        <v>284</v>
      </c>
      <c r="E4948" t="s">
        <v>5386</v>
      </c>
      <c r="F4948">
        <v>284</v>
      </c>
      <c r="G4948" s="1">
        <v>45210</v>
      </c>
      <c r="H4948" s="6">
        <f t="shared" si="154"/>
        <v>29.302083333334483</v>
      </c>
      <c r="I4948" s="7">
        <f t="shared" si="155"/>
        <v>29.302083333334483</v>
      </c>
    </row>
    <row r="4949" spans="1:9" x14ac:dyDescent="0.2">
      <c r="A4949" t="s">
        <v>5387</v>
      </c>
      <c r="B4949">
        <v>4.8494999999999999</v>
      </c>
      <c r="C4949">
        <v>6.7915000000000003E-2</v>
      </c>
      <c r="D4949">
        <v>284</v>
      </c>
      <c r="E4949" t="s">
        <v>5387</v>
      </c>
      <c r="F4949">
        <v>284</v>
      </c>
      <c r="G4949" s="1">
        <v>45210</v>
      </c>
      <c r="H4949" s="6">
        <f t="shared" si="154"/>
        <v>29.312500000001151</v>
      </c>
      <c r="I4949" s="7">
        <f t="shared" si="155"/>
        <v>29.312500000001151</v>
      </c>
    </row>
    <row r="4950" spans="1:9" x14ac:dyDescent="0.2">
      <c r="A4950" t="s">
        <v>5388</v>
      </c>
      <c r="B4950">
        <v>4.7934999999999999</v>
      </c>
      <c r="C4950">
        <v>6.7144999999999996E-2</v>
      </c>
      <c r="D4950">
        <v>284</v>
      </c>
      <c r="E4950" t="s">
        <v>5388</v>
      </c>
      <c r="F4950">
        <v>284</v>
      </c>
      <c r="G4950" s="1">
        <v>45210</v>
      </c>
      <c r="H4950" s="6">
        <f t="shared" si="154"/>
        <v>29.322916666667819</v>
      </c>
      <c r="I4950" s="7">
        <f t="shared" si="155"/>
        <v>29.322916666667819</v>
      </c>
    </row>
    <row r="4951" spans="1:9" x14ac:dyDescent="0.2">
      <c r="A4951" t="s">
        <v>5389</v>
      </c>
      <c r="B4951">
        <v>4.7725</v>
      </c>
      <c r="C4951">
        <v>6.6849999999999896E-2</v>
      </c>
      <c r="D4951">
        <v>284</v>
      </c>
      <c r="E4951" t="s">
        <v>5389</v>
      </c>
      <c r="F4951">
        <v>284</v>
      </c>
      <c r="G4951" s="1">
        <v>45210</v>
      </c>
      <c r="H4951" s="6">
        <f t="shared" si="154"/>
        <v>29.333333333334487</v>
      </c>
      <c r="I4951" s="7">
        <f t="shared" si="155"/>
        <v>29.333333333334487</v>
      </c>
    </row>
    <row r="4952" spans="1:9" x14ac:dyDescent="0.2">
      <c r="A4952" t="s">
        <v>5390</v>
      </c>
      <c r="B4952">
        <v>4.6829999999999998</v>
      </c>
      <c r="C4952">
        <v>6.5595000000000001E-2</v>
      </c>
      <c r="D4952">
        <v>284</v>
      </c>
      <c r="E4952" t="s">
        <v>5390</v>
      </c>
      <c r="F4952">
        <v>284</v>
      </c>
      <c r="G4952" s="1">
        <v>45210</v>
      </c>
      <c r="H4952" s="6">
        <f t="shared" si="154"/>
        <v>29.343750000001155</v>
      </c>
      <c r="I4952" s="7">
        <f t="shared" si="155"/>
        <v>29.343750000001155</v>
      </c>
    </row>
    <row r="4953" spans="1:9" x14ac:dyDescent="0.2">
      <c r="A4953" t="s">
        <v>5391</v>
      </c>
      <c r="B4953">
        <v>4.7084999999999999</v>
      </c>
      <c r="C4953">
        <v>6.5939999999999999E-2</v>
      </c>
      <c r="D4953">
        <v>284</v>
      </c>
      <c r="E4953" t="s">
        <v>5391</v>
      </c>
      <c r="F4953">
        <v>284</v>
      </c>
      <c r="G4953" s="1">
        <v>45210</v>
      </c>
      <c r="H4953" s="6">
        <f t="shared" si="154"/>
        <v>29.354166666667822</v>
      </c>
      <c r="I4953" s="7">
        <f t="shared" si="155"/>
        <v>29.354166666667822</v>
      </c>
    </row>
    <row r="4954" spans="1:9" x14ac:dyDescent="0.2">
      <c r="A4954" t="s">
        <v>5392</v>
      </c>
      <c r="B4954">
        <v>4.6805000000000003</v>
      </c>
      <c r="C4954">
        <v>6.5559999999999993E-2</v>
      </c>
      <c r="D4954">
        <v>284</v>
      </c>
      <c r="E4954" t="s">
        <v>5392</v>
      </c>
      <c r="F4954">
        <v>284</v>
      </c>
      <c r="G4954" s="1">
        <v>45210</v>
      </c>
      <c r="H4954" s="6">
        <f t="shared" si="154"/>
        <v>29.36458333333449</v>
      </c>
      <c r="I4954" s="7">
        <f t="shared" si="155"/>
        <v>29.36458333333449</v>
      </c>
    </row>
    <row r="4955" spans="1:9" x14ac:dyDescent="0.2">
      <c r="A4955" t="s">
        <v>5393</v>
      </c>
      <c r="B4955">
        <v>4.6435000000000004</v>
      </c>
      <c r="C4955">
        <v>6.5030000000000004E-2</v>
      </c>
      <c r="D4955">
        <v>284</v>
      </c>
      <c r="E4955" t="s">
        <v>5393</v>
      </c>
      <c r="F4955">
        <v>284</v>
      </c>
      <c r="G4955" s="1">
        <v>45210</v>
      </c>
      <c r="H4955" s="6">
        <f t="shared" si="154"/>
        <v>29.375000000001158</v>
      </c>
      <c r="I4955" s="7">
        <f t="shared" si="155"/>
        <v>29.375000000001158</v>
      </c>
    </row>
    <row r="4956" spans="1:9" x14ac:dyDescent="0.2">
      <c r="A4956" t="s">
        <v>5394</v>
      </c>
      <c r="B4956">
        <v>4.6074999999999999</v>
      </c>
      <c r="C4956">
        <v>6.4555000000000001E-2</v>
      </c>
      <c r="D4956">
        <v>284</v>
      </c>
      <c r="E4956" t="s">
        <v>5394</v>
      </c>
      <c r="F4956">
        <v>284</v>
      </c>
      <c r="G4956" s="1">
        <v>45210</v>
      </c>
      <c r="H4956" s="6">
        <f t="shared" ref="H4956:H5019" si="156">H4955+$K$1</f>
        <v>29.385416666667826</v>
      </c>
      <c r="I4956" s="7">
        <f t="shared" ref="I4956:I5019" si="157">I4955+$K$1</f>
        <v>29.385416666667826</v>
      </c>
    </row>
    <row r="4957" spans="1:9" x14ac:dyDescent="0.2">
      <c r="A4957" t="s">
        <v>5395</v>
      </c>
      <c r="B4957">
        <v>4.5975000000000001</v>
      </c>
      <c r="C4957">
        <v>6.4390000000000003E-2</v>
      </c>
      <c r="D4957">
        <v>284</v>
      </c>
      <c r="E4957" t="s">
        <v>5395</v>
      </c>
      <c r="F4957">
        <v>284</v>
      </c>
      <c r="G4957" s="1">
        <v>45210</v>
      </c>
      <c r="H4957" s="6">
        <f t="shared" si="156"/>
        <v>29.395833333334494</v>
      </c>
      <c r="I4957" s="7">
        <f t="shared" si="157"/>
        <v>29.395833333334494</v>
      </c>
    </row>
    <row r="4958" spans="1:9" x14ac:dyDescent="0.2">
      <c r="A4958" t="s">
        <v>5396</v>
      </c>
      <c r="B4958">
        <v>4.601</v>
      </c>
      <c r="C4958">
        <v>6.4449999999999993E-2</v>
      </c>
      <c r="D4958">
        <v>284</v>
      </c>
      <c r="E4958" t="s">
        <v>5396</v>
      </c>
      <c r="F4958">
        <v>284</v>
      </c>
      <c r="G4958" s="1">
        <v>45210</v>
      </c>
      <c r="H4958" s="6">
        <f t="shared" si="156"/>
        <v>29.406250000001162</v>
      </c>
      <c r="I4958" s="7">
        <f t="shared" si="157"/>
        <v>29.406250000001162</v>
      </c>
    </row>
    <row r="4959" spans="1:9" x14ac:dyDescent="0.2">
      <c r="A4959" t="s">
        <v>5397</v>
      </c>
      <c r="B4959">
        <v>4.5910000000000002</v>
      </c>
      <c r="C4959">
        <v>6.4305000000000001E-2</v>
      </c>
      <c r="D4959">
        <v>284</v>
      </c>
      <c r="E4959" t="s">
        <v>5397</v>
      </c>
      <c r="F4959">
        <v>284</v>
      </c>
      <c r="G4959" s="1">
        <v>45210</v>
      </c>
      <c r="H4959" s="6">
        <f t="shared" si="156"/>
        <v>29.41666666666783</v>
      </c>
      <c r="I4959" s="7">
        <f t="shared" si="157"/>
        <v>29.41666666666783</v>
      </c>
    </row>
    <row r="4960" spans="1:9" x14ac:dyDescent="0.2">
      <c r="A4960" t="s">
        <v>5398</v>
      </c>
      <c r="B4960">
        <v>4.5270000000000001</v>
      </c>
      <c r="C4960">
        <v>6.3409999999999994E-2</v>
      </c>
      <c r="D4960">
        <v>284</v>
      </c>
      <c r="E4960" t="s">
        <v>5398</v>
      </c>
      <c r="F4960">
        <v>284</v>
      </c>
      <c r="G4960" s="1">
        <v>45210</v>
      </c>
      <c r="H4960" s="6">
        <f t="shared" si="156"/>
        <v>29.427083333334497</v>
      </c>
      <c r="I4960" s="7">
        <f t="shared" si="157"/>
        <v>29.427083333334497</v>
      </c>
    </row>
    <row r="4961" spans="1:9" x14ac:dyDescent="0.2">
      <c r="A4961" t="s">
        <v>5399</v>
      </c>
      <c r="B4961" s="2" t="s">
        <v>5400</v>
      </c>
      <c r="C4961">
        <v>6.3744999999999996E-2</v>
      </c>
      <c r="D4961">
        <v>284</v>
      </c>
      <c r="E4961" t="s">
        <v>5399</v>
      </c>
      <c r="F4961">
        <v>284</v>
      </c>
      <c r="G4961" s="1">
        <v>45210</v>
      </c>
      <c r="H4961" s="6">
        <f t="shared" si="156"/>
        <v>29.437500000001165</v>
      </c>
      <c r="I4961" s="7">
        <f t="shared" si="157"/>
        <v>29.437500000001165</v>
      </c>
    </row>
    <row r="4962" spans="1:9" x14ac:dyDescent="0.2">
      <c r="A4962" t="s">
        <v>5401</v>
      </c>
      <c r="B4962">
        <v>4.5925000000000002</v>
      </c>
      <c r="C4962">
        <v>6.4320000000000002E-2</v>
      </c>
      <c r="D4962">
        <v>284</v>
      </c>
      <c r="E4962" t="s">
        <v>5401</v>
      </c>
      <c r="F4962">
        <v>284</v>
      </c>
      <c r="G4962" s="1">
        <v>45210</v>
      </c>
      <c r="H4962" s="6">
        <f t="shared" si="156"/>
        <v>29.447916666667833</v>
      </c>
      <c r="I4962" s="7">
        <f t="shared" si="157"/>
        <v>29.447916666667833</v>
      </c>
    </row>
    <row r="4963" spans="1:9" x14ac:dyDescent="0.2">
      <c r="A4963" t="s">
        <v>5402</v>
      </c>
      <c r="B4963" s="2" t="s">
        <v>5403</v>
      </c>
      <c r="C4963">
        <v>6.4320000000000002E-2</v>
      </c>
      <c r="D4963">
        <v>284</v>
      </c>
      <c r="E4963" t="s">
        <v>5402</v>
      </c>
      <c r="F4963">
        <v>284</v>
      </c>
      <c r="G4963" s="1">
        <v>45210</v>
      </c>
      <c r="H4963" s="6">
        <f t="shared" si="156"/>
        <v>29.458333333334501</v>
      </c>
      <c r="I4963" s="7">
        <f t="shared" si="157"/>
        <v>29.458333333334501</v>
      </c>
    </row>
    <row r="4964" spans="1:9" x14ac:dyDescent="0.2">
      <c r="A4964" t="s">
        <v>5404</v>
      </c>
      <c r="B4964">
        <v>4.5049999999999999</v>
      </c>
      <c r="C4964">
        <v>6.3085000000000002E-2</v>
      </c>
      <c r="D4964">
        <v>284</v>
      </c>
      <c r="E4964" t="s">
        <v>5404</v>
      </c>
      <c r="F4964">
        <v>284</v>
      </c>
      <c r="G4964" s="1">
        <v>45210</v>
      </c>
      <c r="H4964" s="6">
        <f t="shared" si="156"/>
        <v>29.468750000001169</v>
      </c>
      <c r="I4964" s="7">
        <f t="shared" si="157"/>
        <v>29.468750000001169</v>
      </c>
    </row>
    <row r="4965" spans="1:9" x14ac:dyDescent="0.2">
      <c r="A4965" t="s">
        <v>5405</v>
      </c>
      <c r="B4965">
        <v>4.5510000000000002</v>
      </c>
      <c r="C4965">
        <v>6.3740000000000005E-2</v>
      </c>
      <c r="D4965">
        <v>284</v>
      </c>
      <c r="E4965" t="s">
        <v>5405</v>
      </c>
      <c r="F4965">
        <v>284</v>
      </c>
      <c r="G4965" s="1">
        <v>45210</v>
      </c>
      <c r="H4965" s="6">
        <f t="shared" si="156"/>
        <v>29.479166666667837</v>
      </c>
      <c r="I4965" s="7">
        <f t="shared" si="157"/>
        <v>29.479166666667837</v>
      </c>
    </row>
    <row r="4966" spans="1:9" x14ac:dyDescent="0.2">
      <c r="A4966" t="s">
        <v>5406</v>
      </c>
      <c r="B4966">
        <v>4.5774999999999997</v>
      </c>
      <c r="C4966">
        <v>6.4104999999999995E-2</v>
      </c>
      <c r="D4966">
        <v>284</v>
      </c>
      <c r="E4966" t="s">
        <v>5406</v>
      </c>
      <c r="F4966">
        <v>284</v>
      </c>
      <c r="G4966" s="1">
        <v>45210</v>
      </c>
      <c r="H4966" s="6">
        <f t="shared" si="156"/>
        <v>29.489583333334505</v>
      </c>
      <c r="I4966" s="7">
        <f t="shared" si="157"/>
        <v>29.489583333334505</v>
      </c>
    </row>
    <row r="4967" spans="1:9" x14ac:dyDescent="0.2">
      <c r="A4967" t="s">
        <v>5407</v>
      </c>
      <c r="B4967">
        <v>4.5664999999999996</v>
      </c>
      <c r="C4967">
        <v>6.3969999999999999E-2</v>
      </c>
      <c r="D4967">
        <v>284</v>
      </c>
      <c r="E4967" t="s">
        <v>5407</v>
      </c>
      <c r="F4967">
        <v>284</v>
      </c>
      <c r="G4967" s="1">
        <v>45210</v>
      </c>
      <c r="H4967" s="6">
        <f t="shared" si="156"/>
        <v>29.500000000001172</v>
      </c>
      <c r="I4967" s="7">
        <f t="shared" si="157"/>
        <v>29.500000000001172</v>
      </c>
    </row>
    <row r="4968" spans="1:9" x14ac:dyDescent="0.2">
      <c r="A4968" t="s">
        <v>5408</v>
      </c>
      <c r="B4968">
        <v>4.6055000000000001</v>
      </c>
      <c r="C4968">
        <v>6.4509999999999998E-2</v>
      </c>
      <c r="D4968">
        <v>284</v>
      </c>
      <c r="E4968" t="s">
        <v>5408</v>
      </c>
      <c r="F4968">
        <v>284</v>
      </c>
      <c r="G4968" s="1">
        <v>45210</v>
      </c>
      <c r="H4968" s="6">
        <f t="shared" si="156"/>
        <v>29.51041666666784</v>
      </c>
      <c r="I4968" s="7">
        <f t="shared" si="157"/>
        <v>29.51041666666784</v>
      </c>
    </row>
    <row r="4969" spans="1:9" x14ac:dyDescent="0.2">
      <c r="A4969" t="s">
        <v>5409</v>
      </c>
      <c r="B4969">
        <v>4.4954999999999998</v>
      </c>
      <c r="C4969">
        <v>6.2979999999999994E-2</v>
      </c>
      <c r="D4969">
        <v>284</v>
      </c>
      <c r="E4969" t="s">
        <v>5409</v>
      </c>
      <c r="F4969">
        <v>284</v>
      </c>
      <c r="G4969" s="1">
        <v>45210</v>
      </c>
      <c r="H4969" s="6">
        <f t="shared" si="156"/>
        <v>29.520833333334508</v>
      </c>
      <c r="I4969" s="7">
        <f t="shared" si="157"/>
        <v>29.520833333334508</v>
      </c>
    </row>
    <row r="4970" spans="1:9" x14ac:dyDescent="0.2">
      <c r="A4970" t="s">
        <v>5410</v>
      </c>
      <c r="B4970">
        <v>4.4924999999999997</v>
      </c>
      <c r="C4970">
        <v>6.293E-2</v>
      </c>
      <c r="D4970">
        <v>284</v>
      </c>
      <c r="E4970" t="s">
        <v>5410</v>
      </c>
      <c r="F4970">
        <v>284</v>
      </c>
      <c r="G4970" s="1">
        <v>45210</v>
      </c>
      <c r="H4970" s="6">
        <f t="shared" si="156"/>
        <v>29.531250000001176</v>
      </c>
      <c r="I4970" s="7">
        <f t="shared" si="157"/>
        <v>29.531250000001176</v>
      </c>
    </row>
    <row r="4971" spans="1:9" x14ac:dyDescent="0.2">
      <c r="A4971" t="s">
        <v>5411</v>
      </c>
      <c r="B4971">
        <v>4.5255000000000001</v>
      </c>
      <c r="C4971">
        <v>6.3390000000000002E-2</v>
      </c>
      <c r="D4971">
        <v>284</v>
      </c>
      <c r="E4971" t="s">
        <v>5411</v>
      </c>
      <c r="F4971">
        <v>284</v>
      </c>
      <c r="G4971" s="1">
        <v>45210</v>
      </c>
      <c r="H4971" s="6">
        <f t="shared" si="156"/>
        <v>29.541666666667844</v>
      </c>
      <c r="I4971" s="7">
        <f t="shared" si="157"/>
        <v>29.541666666667844</v>
      </c>
    </row>
    <row r="4972" spans="1:9" x14ac:dyDescent="0.2">
      <c r="A4972" t="s">
        <v>5412</v>
      </c>
      <c r="B4972">
        <v>4.55</v>
      </c>
      <c r="C4972">
        <v>6.3719999999999999E-2</v>
      </c>
      <c r="D4972">
        <v>284</v>
      </c>
      <c r="E4972" t="s">
        <v>5412</v>
      </c>
      <c r="F4972">
        <v>284</v>
      </c>
      <c r="G4972" s="1">
        <v>45210</v>
      </c>
      <c r="H4972" s="6">
        <f t="shared" si="156"/>
        <v>29.552083333334512</v>
      </c>
      <c r="I4972" s="7">
        <f t="shared" si="157"/>
        <v>29.552083333334512</v>
      </c>
    </row>
    <row r="4973" spans="1:9" x14ac:dyDescent="0.2">
      <c r="A4973" t="s">
        <v>5413</v>
      </c>
      <c r="B4973">
        <v>4.5635000000000003</v>
      </c>
      <c r="C4973">
        <v>6.3920000000000005E-2</v>
      </c>
      <c r="D4973">
        <v>284</v>
      </c>
      <c r="E4973" t="s">
        <v>5413</v>
      </c>
      <c r="F4973">
        <v>284</v>
      </c>
      <c r="G4973" s="1">
        <v>45210</v>
      </c>
      <c r="H4973" s="6">
        <f t="shared" si="156"/>
        <v>29.56250000000118</v>
      </c>
      <c r="I4973" s="7">
        <f t="shared" si="157"/>
        <v>29.56250000000118</v>
      </c>
    </row>
    <row r="4974" spans="1:9" x14ac:dyDescent="0.2">
      <c r="A4974" t="s">
        <v>5414</v>
      </c>
      <c r="B4974">
        <v>4.5765000000000002</v>
      </c>
      <c r="C4974">
        <v>6.411E-2</v>
      </c>
      <c r="D4974">
        <v>284</v>
      </c>
      <c r="E4974" t="s">
        <v>5414</v>
      </c>
      <c r="F4974">
        <v>284</v>
      </c>
      <c r="G4974" s="1">
        <v>45210</v>
      </c>
      <c r="H4974" s="6">
        <f t="shared" si="156"/>
        <v>29.572916666667847</v>
      </c>
      <c r="I4974" s="7">
        <f t="shared" si="157"/>
        <v>29.572916666667847</v>
      </c>
    </row>
    <row r="4975" spans="1:9" x14ac:dyDescent="0.2">
      <c r="A4975" t="s">
        <v>5415</v>
      </c>
      <c r="B4975">
        <v>4.4669999999999996</v>
      </c>
      <c r="C4975">
        <v>6.2570000000000001E-2</v>
      </c>
      <c r="D4975">
        <v>284</v>
      </c>
      <c r="E4975" t="s">
        <v>5415</v>
      </c>
      <c r="F4975">
        <v>284</v>
      </c>
      <c r="G4975" s="1">
        <v>45210</v>
      </c>
      <c r="H4975" s="6">
        <f t="shared" si="156"/>
        <v>29.583333333334515</v>
      </c>
      <c r="I4975" s="7">
        <f t="shared" si="157"/>
        <v>29.583333333334515</v>
      </c>
    </row>
    <row r="4976" spans="1:9" x14ac:dyDescent="0.2">
      <c r="A4976" t="s">
        <v>5416</v>
      </c>
      <c r="B4976">
        <v>4.4935</v>
      </c>
      <c r="C4976">
        <v>6.2924999999999995E-2</v>
      </c>
      <c r="D4976">
        <v>284</v>
      </c>
      <c r="E4976" t="s">
        <v>5416</v>
      </c>
      <c r="F4976">
        <v>284</v>
      </c>
      <c r="G4976" s="1">
        <v>45210</v>
      </c>
      <c r="H4976" s="6">
        <f t="shared" si="156"/>
        <v>29.593750000001183</v>
      </c>
      <c r="I4976" s="7">
        <f t="shared" si="157"/>
        <v>29.593750000001183</v>
      </c>
    </row>
    <row r="4977" spans="1:9" x14ac:dyDescent="0.2">
      <c r="A4977" t="s">
        <v>5417</v>
      </c>
      <c r="B4977">
        <v>4.5575000000000001</v>
      </c>
      <c r="C4977">
        <v>6.3850000000000004E-2</v>
      </c>
      <c r="D4977">
        <v>285</v>
      </c>
      <c r="E4977" t="s">
        <v>5417</v>
      </c>
      <c r="F4977">
        <v>284</v>
      </c>
      <c r="G4977" s="1">
        <v>45210</v>
      </c>
      <c r="H4977" s="6">
        <f t="shared" si="156"/>
        <v>29.604166666667851</v>
      </c>
      <c r="I4977" s="7">
        <f t="shared" si="157"/>
        <v>29.604166666667851</v>
      </c>
    </row>
    <row r="4978" spans="1:9" x14ac:dyDescent="0.2">
      <c r="A4978" t="s">
        <v>5418</v>
      </c>
      <c r="B4978">
        <v>4.5395000000000003</v>
      </c>
      <c r="C4978">
        <v>6.3575000000000007E-2</v>
      </c>
      <c r="D4978">
        <v>285</v>
      </c>
      <c r="E4978" t="s">
        <v>5418</v>
      </c>
      <c r="F4978">
        <v>284</v>
      </c>
      <c r="G4978" s="1">
        <v>45210</v>
      </c>
      <c r="H4978" s="6">
        <f t="shared" si="156"/>
        <v>29.614583333334519</v>
      </c>
      <c r="I4978" s="7">
        <f t="shared" si="157"/>
        <v>29.614583333334519</v>
      </c>
    </row>
    <row r="4979" spans="1:9" x14ac:dyDescent="0.2">
      <c r="A4979" t="s">
        <v>5419</v>
      </c>
      <c r="B4979">
        <v>4.6340000000000003</v>
      </c>
      <c r="C4979">
        <v>6.4909999999999995E-2</v>
      </c>
      <c r="D4979">
        <v>285</v>
      </c>
      <c r="E4979" t="s">
        <v>5419</v>
      </c>
      <c r="F4979">
        <v>284</v>
      </c>
      <c r="G4979" s="1">
        <v>45210</v>
      </c>
      <c r="H4979" s="6">
        <f t="shared" si="156"/>
        <v>29.625000000001187</v>
      </c>
      <c r="I4979" s="7">
        <f t="shared" si="157"/>
        <v>29.625000000001187</v>
      </c>
    </row>
    <row r="4980" spans="1:9" x14ac:dyDescent="0.2">
      <c r="A4980" t="s">
        <v>5420</v>
      </c>
      <c r="B4980">
        <v>4.617</v>
      </c>
      <c r="C4980">
        <v>6.4670000000000005E-2</v>
      </c>
      <c r="D4980">
        <v>285</v>
      </c>
      <c r="E4980" t="s">
        <v>5420</v>
      </c>
      <c r="F4980">
        <v>284</v>
      </c>
      <c r="G4980" s="1">
        <v>45210</v>
      </c>
      <c r="H4980" s="6">
        <f t="shared" si="156"/>
        <v>29.635416666667854</v>
      </c>
      <c r="I4980" s="7">
        <f t="shared" si="157"/>
        <v>29.635416666667854</v>
      </c>
    </row>
    <row r="4981" spans="1:9" x14ac:dyDescent="0.2">
      <c r="A4981" t="s">
        <v>5421</v>
      </c>
      <c r="B4981">
        <v>4.5785</v>
      </c>
      <c r="C4981">
        <v>6.4115000000000005E-2</v>
      </c>
      <c r="D4981">
        <v>285</v>
      </c>
      <c r="E4981" t="s">
        <v>5421</v>
      </c>
      <c r="F4981">
        <v>284</v>
      </c>
      <c r="G4981" s="1">
        <v>45210</v>
      </c>
      <c r="H4981" s="6">
        <f t="shared" si="156"/>
        <v>29.645833333334522</v>
      </c>
      <c r="I4981" s="7">
        <f t="shared" si="157"/>
        <v>29.645833333334522</v>
      </c>
    </row>
    <row r="4982" spans="1:9" x14ac:dyDescent="0.2">
      <c r="A4982" t="s">
        <v>5422</v>
      </c>
      <c r="B4982">
        <v>4.6769999999999996</v>
      </c>
      <c r="C4982">
        <v>6.5509999999999999E-2</v>
      </c>
      <c r="D4982">
        <v>285</v>
      </c>
      <c r="E4982" t="s">
        <v>5422</v>
      </c>
      <c r="F4982">
        <v>284</v>
      </c>
      <c r="G4982" s="1">
        <v>45210</v>
      </c>
      <c r="H4982" s="6">
        <f t="shared" si="156"/>
        <v>29.65625000000119</v>
      </c>
      <c r="I4982" s="7">
        <f t="shared" si="157"/>
        <v>29.65625000000119</v>
      </c>
    </row>
    <row r="4983" spans="1:9" x14ac:dyDescent="0.2">
      <c r="A4983" t="s">
        <v>5423</v>
      </c>
      <c r="B4983">
        <v>4.617</v>
      </c>
      <c r="C4983">
        <v>6.4659999999999995E-2</v>
      </c>
      <c r="D4983">
        <v>285</v>
      </c>
      <c r="E4983" t="s">
        <v>5423</v>
      </c>
      <c r="F4983">
        <v>284</v>
      </c>
      <c r="G4983" s="1">
        <v>45210</v>
      </c>
      <c r="H4983" s="6">
        <f t="shared" si="156"/>
        <v>29.666666666667858</v>
      </c>
      <c r="I4983" s="7">
        <f t="shared" si="157"/>
        <v>29.666666666667858</v>
      </c>
    </row>
    <row r="4984" spans="1:9" x14ac:dyDescent="0.2">
      <c r="A4984" t="s">
        <v>5424</v>
      </c>
      <c r="B4984">
        <v>4.6289999999999996</v>
      </c>
      <c r="C4984">
        <v>6.4824999999999994E-2</v>
      </c>
      <c r="D4984">
        <v>285</v>
      </c>
      <c r="E4984" t="s">
        <v>5424</v>
      </c>
      <c r="F4984">
        <v>284</v>
      </c>
      <c r="G4984" s="1">
        <v>45210</v>
      </c>
      <c r="H4984" s="6">
        <f t="shared" si="156"/>
        <v>29.677083333334526</v>
      </c>
      <c r="I4984" s="7">
        <f t="shared" si="157"/>
        <v>29.677083333334526</v>
      </c>
    </row>
    <row r="4985" spans="1:9" x14ac:dyDescent="0.2">
      <c r="A4985" t="s">
        <v>5425</v>
      </c>
      <c r="B4985">
        <v>4.6059999999999999</v>
      </c>
      <c r="C4985">
        <v>6.4509999999999998E-2</v>
      </c>
      <c r="D4985">
        <v>285</v>
      </c>
      <c r="E4985" t="s">
        <v>5425</v>
      </c>
      <c r="F4985">
        <v>284</v>
      </c>
      <c r="G4985" s="1">
        <v>45210</v>
      </c>
      <c r="H4985" s="6">
        <f t="shared" si="156"/>
        <v>29.687500000001194</v>
      </c>
      <c r="I4985" s="7">
        <f t="shared" si="157"/>
        <v>29.687500000001194</v>
      </c>
    </row>
    <row r="4986" spans="1:9" x14ac:dyDescent="0.2">
      <c r="A4986" t="s">
        <v>5426</v>
      </c>
      <c r="B4986">
        <v>4.6935000000000002</v>
      </c>
      <c r="C4986">
        <v>6.5750000000000003E-2</v>
      </c>
      <c r="D4986">
        <v>285</v>
      </c>
      <c r="E4986" t="s">
        <v>5426</v>
      </c>
      <c r="F4986">
        <v>284</v>
      </c>
      <c r="G4986" s="1">
        <v>45210</v>
      </c>
      <c r="H4986" s="6">
        <f t="shared" si="156"/>
        <v>29.697916666667862</v>
      </c>
      <c r="I4986" s="7">
        <f t="shared" si="157"/>
        <v>29.697916666667862</v>
      </c>
    </row>
    <row r="4987" spans="1:9" x14ac:dyDescent="0.2">
      <c r="A4987" t="s">
        <v>5427</v>
      </c>
      <c r="B4987">
        <v>4.7035</v>
      </c>
      <c r="C4987">
        <v>6.5875000000000003E-2</v>
      </c>
      <c r="D4987">
        <v>285</v>
      </c>
      <c r="E4987" t="s">
        <v>5427</v>
      </c>
      <c r="F4987">
        <v>284</v>
      </c>
      <c r="G4987" s="1">
        <v>45210</v>
      </c>
      <c r="H4987" s="6">
        <f t="shared" si="156"/>
        <v>29.708333333334529</v>
      </c>
      <c r="I4987" s="7">
        <f t="shared" si="157"/>
        <v>29.708333333334529</v>
      </c>
    </row>
    <row r="4988" spans="1:9" x14ac:dyDescent="0.2">
      <c r="A4988" t="s">
        <v>5428</v>
      </c>
      <c r="B4988">
        <v>4.7030000000000003</v>
      </c>
      <c r="C4988">
        <v>6.5869999999999998E-2</v>
      </c>
      <c r="D4988">
        <v>285</v>
      </c>
      <c r="E4988" t="s">
        <v>5428</v>
      </c>
      <c r="F4988">
        <v>284</v>
      </c>
      <c r="G4988" s="1">
        <v>45210</v>
      </c>
      <c r="H4988" s="6">
        <f t="shared" si="156"/>
        <v>29.718750000001197</v>
      </c>
      <c r="I4988" s="7">
        <f t="shared" si="157"/>
        <v>29.718750000001197</v>
      </c>
    </row>
    <row r="4989" spans="1:9" x14ac:dyDescent="0.2">
      <c r="A4989" t="s">
        <v>5429</v>
      </c>
      <c r="B4989">
        <v>4.7430000000000003</v>
      </c>
      <c r="C4989">
        <v>6.6439999999999999E-2</v>
      </c>
      <c r="D4989">
        <v>285</v>
      </c>
      <c r="E4989" t="s">
        <v>5429</v>
      </c>
      <c r="F4989">
        <v>284</v>
      </c>
      <c r="G4989" s="1">
        <v>45210</v>
      </c>
      <c r="H4989" s="6">
        <f t="shared" si="156"/>
        <v>29.729166666667865</v>
      </c>
      <c r="I4989" s="7">
        <f t="shared" si="157"/>
        <v>29.729166666667865</v>
      </c>
    </row>
    <row r="4990" spans="1:9" x14ac:dyDescent="0.2">
      <c r="A4990" t="s">
        <v>5430</v>
      </c>
      <c r="B4990">
        <v>4.76</v>
      </c>
      <c r="C4990">
        <v>6.6674999999999998E-2</v>
      </c>
      <c r="D4990">
        <v>285</v>
      </c>
      <c r="E4990" t="s">
        <v>5430</v>
      </c>
      <c r="F4990">
        <v>284</v>
      </c>
      <c r="G4990" s="1">
        <v>45210</v>
      </c>
      <c r="H4990" s="6">
        <f t="shared" si="156"/>
        <v>29.739583333334533</v>
      </c>
      <c r="I4990" s="7">
        <f t="shared" si="157"/>
        <v>29.739583333334533</v>
      </c>
    </row>
    <row r="4991" spans="1:9" x14ac:dyDescent="0.2">
      <c r="A4991" t="s">
        <v>5431</v>
      </c>
      <c r="B4991">
        <v>4.8354999999999997</v>
      </c>
      <c r="C4991">
        <v>6.7729999999999999E-2</v>
      </c>
      <c r="D4991">
        <v>285</v>
      </c>
      <c r="E4991" t="s">
        <v>5431</v>
      </c>
      <c r="F4991">
        <v>284</v>
      </c>
      <c r="G4991" s="1">
        <v>45210</v>
      </c>
      <c r="H4991" s="6">
        <f t="shared" si="156"/>
        <v>29.750000000001201</v>
      </c>
      <c r="I4991" s="7">
        <f t="shared" si="157"/>
        <v>29.750000000001201</v>
      </c>
    </row>
    <row r="4992" spans="1:9" x14ac:dyDescent="0.2">
      <c r="A4992" t="s">
        <v>5432</v>
      </c>
      <c r="B4992">
        <v>4.87</v>
      </c>
      <c r="C4992">
        <v>6.8214999999999998E-2</v>
      </c>
      <c r="D4992">
        <v>285</v>
      </c>
      <c r="E4992" t="s">
        <v>5432</v>
      </c>
      <c r="F4992">
        <v>284</v>
      </c>
      <c r="G4992" s="1">
        <v>45210</v>
      </c>
      <c r="H4992" s="6">
        <f t="shared" si="156"/>
        <v>29.760416666667869</v>
      </c>
      <c r="I4992" s="7">
        <f t="shared" si="157"/>
        <v>29.760416666667869</v>
      </c>
    </row>
    <row r="4993" spans="1:9" x14ac:dyDescent="0.2">
      <c r="A4993" t="s">
        <v>5433</v>
      </c>
      <c r="B4993">
        <v>4.9204999999999997</v>
      </c>
      <c r="C4993">
        <v>6.8940000000000001E-2</v>
      </c>
      <c r="D4993">
        <v>285</v>
      </c>
      <c r="E4993" t="s">
        <v>5433</v>
      </c>
      <c r="F4993">
        <v>284</v>
      </c>
      <c r="G4993" s="1">
        <v>45210</v>
      </c>
      <c r="H4993" s="6">
        <f t="shared" si="156"/>
        <v>29.770833333334537</v>
      </c>
      <c r="I4993" s="7">
        <f t="shared" si="157"/>
        <v>29.770833333334537</v>
      </c>
    </row>
    <row r="4994" spans="1:9" x14ac:dyDescent="0.2">
      <c r="A4994" t="s">
        <v>5434</v>
      </c>
      <c r="B4994">
        <v>4.9414999999999996</v>
      </c>
      <c r="C4994">
        <v>6.9220000000000004E-2</v>
      </c>
      <c r="D4994">
        <v>285</v>
      </c>
      <c r="E4994" t="s">
        <v>5434</v>
      </c>
      <c r="F4994">
        <v>284</v>
      </c>
      <c r="G4994" s="1">
        <v>45210</v>
      </c>
      <c r="H4994" s="6">
        <f t="shared" si="156"/>
        <v>29.781250000001204</v>
      </c>
      <c r="I4994" s="7">
        <f t="shared" si="157"/>
        <v>29.781250000001204</v>
      </c>
    </row>
    <row r="4995" spans="1:9" x14ac:dyDescent="0.2">
      <c r="A4995" t="s">
        <v>5435</v>
      </c>
      <c r="B4995">
        <v>5.0065</v>
      </c>
      <c r="C4995">
        <v>7.0135000000000003E-2</v>
      </c>
      <c r="D4995">
        <v>285</v>
      </c>
      <c r="E4995" t="s">
        <v>5435</v>
      </c>
      <c r="F4995">
        <v>284</v>
      </c>
      <c r="G4995" s="1">
        <v>45210</v>
      </c>
      <c r="H4995" s="6">
        <f t="shared" si="156"/>
        <v>29.791666666667872</v>
      </c>
      <c r="I4995" s="7">
        <f t="shared" si="157"/>
        <v>29.791666666667872</v>
      </c>
    </row>
    <row r="4996" spans="1:9" x14ac:dyDescent="0.2">
      <c r="A4996" t="s">
        <v>5436</v>
      </c>
      <c r="B4996">
        <v>5.0285000000000002</v>
      </c>
      <c r="C4996">
        <v>7.0434999999999998E-2</v>
      </c>
      <c r="D4996">
        <v>285</v>
      </c>
      <c r="E4996" t="s">
        <v>5436</v>
      </c>
      <c r="F4996">
        <v>284</v>
      </c>
      <c r="G4996" s="1">
        <v>45210</v>
      </c>
      <c r="H4996" s="6">
        <f t="shared" si="156"/>
        <v>29.80208333333454</v>
      </c>
      <c r="I4996" s="7">
        <f t="shared" si="157"/>
        <v>29.80208333333454</v>
      </c>
    </row>
    <row r="4997" spans="1:9" x14ac:dyDescent="0.2">
      <c r="A4997" t="s">
        <v>5437</v>
      </c>
      <c r="B4997">
        <v>5.0819999999999999</v>
      </c>
      <c r="C4997">
        <v>7.1190000000000003E-2</v>
      </c>
      <c r="D4997">
        <v>285</v>
      </c>
      <c r="E4997" t="s">
        <v>5437</v>
      </c>
      <c r="F4997">
        <v>284</v>
      </c>
      <c r="G4997" s="1">
        <v>45210</v>
      </c>
      <c r="H4997" s="6">
        <f t="shared" si="156"/>
        <v>29.812500000001208</v>
      </c>
      <c r="I4997" s="7">
        <f t="shared" si="157"/>
        <v>29.812500000001208</v>
      </c>
    </row>
    <row r="4998" spans="1:9" x14ac:dyDescent="0.2">
      <c r="A4998" t="s">
        <v>5438</v>
      </c>
      <c r="B4998">
        <v>5.0305</v>
      </c>
      <c r="C4998">
        <v>7.0444999999999994E-2</v>
      </c>
      <c r="D4998">
        <v>285</v>
      </c>
      <c r="E4998" t="s">
        <v>5438</v>
      </c>
      <c r="F4998">
        <v>284</v>
      </c>
      <c r="G4998" s="1">
        <v>45210</v>
      </c>
      <c r="H4998" s="6">
        <f t="shared" si="156"/>
        <v>29.822916666667876</v>
      </c>
      <c r="I4998" s="7">
        <f t="shared" si="157"/>
        <v>29.822916666667876</v>
      </c>
    </row>
    <row r="4999" spans="1:9" x14ac:dyDescent="0.2">
      <c r="A4999" t="s">
        <v>5439</v>
      </c>
      <c r="B4999">
        <v>5.0279999999999996</v>
      </c>
      <c r="C4999">
        <v>7.0419999999999996E-2</v>
      </c>
      <c r="D4999">
        <v>285</v>
      </c>
      <c r="E4999" t="s">
        <v>5439</v>
      </c>
      <c r="F4999">
        <v>284</v>
      </c>
      <c r="G4999" s="1">
        <v>45210</v>
      </c>
      <c r="H4999" s="6">
        <f t="shared" si="156"/>
        <v>29.833333333334544</v>
      </c>
      <c r="I4999" s="7">
        <f t="shared" si="157"/>
        <v>29.833333333334544</v>
      </c>
    </row>
    <row r="5000" spans="1:9" x14ac:dyDescent="0.2">
      <c r="A5000" t="s">
        <v>5440</v>
      </c>
      <c r="B5000">
        <v>5.0449999999999999</v>
      </c>
      <c r="C5000">
        <v>7.0644999999999999E-2</v>
      </c>
      <c r="D5000">
        <v>285</v>
      </c>
      <c r="E5000" t="s">
        <v>5440</v>
      </c>
      <c r="F5000">
        <v>284</v>
      </c>
      <c r="G5000" s="1">
        <v>45210</v>
      </c>
      <c r="H5000" s="6">
        <f t="shared" si="156"/>
        <v>29.843750000001211</v>
      </c>
      <c r="I5000" s="7">
        <f t="shared" si="157"/>
        <v>29.843750000001211</v>
      </c>
    </row>
    <row r="5001" spans="1:9" x14ac:dyDescent="0.2">
      <c r="A5001" t="s">
        <v>5441</v>
      </c>
      <c r="B5001">
        <v>5.0529999999999999</v>
      </c>
      <c r="C5001">
        <v>7.0760000000000003E-2</v>
      </c>
      <c r="D5001">
        <v>285</v>
      </c>
      <c r="E5001" t="s">
        <v>5441</v>
      </c>
      <c r="F5001">
        <v>285</v>
      </c>
      <c r="G5001" s="1">
        <v>45211</v>
      </c>
      <c r="H5001" s="6">
        <f t="shared" si="156"/>
        <v>29.854166666667879</v>
      </c>
      <c r="I5001" s="7">
        <f t="shared" si="157"/>
        <v>29.854166666667879</v>
      </c>
    </row>
    <row r="5002" spans="1:9" x14ac:dyDescent="0.2">
      <c r="A5002" t="s">
        <v>5442</v>
      </c>
      <c r="B5002">
        <v>5.0620000000000003</v>
      </c>
      <c r="C5002">
        <v>7.0904999999999996E-2</v>
      </c>
      <c r="D5002">
        <v>285</v>
      </c>
      <c r="E5002" t="s">
        <v>5442</v>
      </c>
      <c r="F5002">
        <v>285</v>
      </c>
      <c r="G5002" s="1">
        <v>45211</v>
      </c>
      <c r="H5002" s="6">
        <f t="shared" si="156"/>
        <v>29.864583333334547</v>
      </c>
      <c r="I5002" s="7">
        <f t="shared" si="157"/>
        <v>29.864583333334547</v>
      </c>
    </row>
    <row r="5003" spans="1:9" x14ac:dyDescent="0.2">
      <c r="A5003" t="s">
        <v>5443</v>
      </c>
      <c r="B5003">
        <v>5.0964999999999998</v>
      </c>
      <c r="C5003">
        <v>7.1389999999999995E-2</v>
      </c>
      <c r="D5003">
        <v>285</v>
      </c>
      <c r="E5003" t="s">
        <v>5443</v>
      </c>
      <c r="F5003">
        <v>285</v>
      </c>
      <c r="G5003" s="1">
        <v>45211</v>
      </c>
      <c r="H5003" s="6">
        <f t="shared" si="156"/>
        <v>29.875000000001215</v>
      </c>
      <c r="I5003" s="7">
        <f t="shared" si="157"/>
        <v>29.875000000001215</v>
      </c>
    </row>
    <row r="5004" spans="1:9" x14ac:dyDescent="0.2">
      <c r="A5004" t="s">
        <v>5444</v>
      </c>
      <c r="B5004">
        <v>5.0514999999999999</v>
      </c>
      <c r="C5004">
        <v>7.0749999999999993E-2</v>
      </c>
      <c r="D5004">
        <v>285</v>
      </c>
      <c r="E5004" t="s">
        <v>5444</v>
      </c>
      <c r="F5004">
        <v>285</v>
      </c>
      <c r="G5004" s="1">
        <v>45211</v>
      </c>
      <c r="H5004" s="6">
        <f t="shared" si="156"/>
        <v>29.885416666667883</v>
      </c>
      <c r="I5004" s="7">
        <f t="shared" si="157"/>
        <v>29.885416666667883</v>
      </c>
    </row>
    <row r="5005" spans="1:9" x14ac:dyDescent="0.2">
      <c r="A5005" t="s">
        <v>5445</v>
      </c>
      <c r="B5005">
        <v>5.1159999999999997</v>
      </c>
      <c r="C5005">
        <v>7.1650000000000005E-2</v>
      </c>
      <c r="D5005">
        <v>285</v>
      </c>
      <c r="E5005" t="s">
        <v>5445</v>
      </c>
      <c r="F5005">
        <v>285</v>
      </c>
      <c r="G5005" s="1">
        <v>45211</v>
      </c>
      <c r="H5005" s="6">
        <f t="shared" si="156"/>
        <v>29.895833333334551</v>
      </c>
      <c r="I5005" s="7">
        <f t="shared" si="157"/>
        <v>29.895833333334551</v>
      </c>
    </row>
    <row r="5006" spans="1:9" x14ac:dyDescent="0.2">
      <c r="A5006" t="s">
        <v>5446</v>
      </c>
      <c r="B5006">
        <v>5.0155000000000003</v>
      </c>
      <c r="C5006">
        <v>7.0249999999999896E-2</v>
      </c>
      <c r="D5006">
        <v>285</v>
      </c>
      <c r="E5006" t="s">
        <v>5446</v>
      </c>
      <c r="F5006">
        <v>285</v>
      </c>
      <c r="G5006" s="1">
        <v>45211</v>
      </c>
      <c r="H5006" s="6">
        <f t="shared" si="156"/>
        <v>29.906250000001219</v>
      </c>
      <c r="I5006" s="7">
        <f t="shared" si="157"/>
        <v>29.906250000001219</v>
      </c>
    </row>
    <row r="5007" spans="1:9" x14ac:dyDescent="0.2">
      <c r="A5007" t="s">
        <v>5447</v>
      </c>
      <c r="B5007">
        <v>5.1174999999999997</v>
      </c>
      <c r="C5007">
        <v>7.1690000000000004E-2</v>
      </c>
      <c r="D5007">
        <v>285</v>
      </c>
      <c r="E5007" t="s">
        <v>5447</v>
      </c>
      <c r="F5007">
        <v>285</v>
      </c>
      <c r="G5007" s="1">
        <v>45211</v>
      </c>
      <c r="H5007" s="6">
        <f t="shared" si="156"/>
        <v>29.916666666667886</v>
      </c>
      <c r="I5007" s="7">
        <f t="shared" si="157"/>
        <v>29.916666666667886</v>
      </c>
    </row>
    <row r="5008" spans="1:9" x14ac:dyDescent="0.2">
      <c r="A5008" t="s">
        <v>5448</v>
      </c>
      <c r="B5008">
        <v>5.1174999999999997</v>
      </c>
      <c r="C5008">
        <v>7.1675000000000003E-2</v>
      </c>
      <c r="D5008">
        <v>285</v>
      </c>
      <c r="E5008" t="s">
        <v>5448</v>
      </c>
      <c r="F5008">
        <v>285</v>
      </c>
      <c r="G5008" s="1">
        <v>45211</v>
      </c>
      <c r="H5008" s="6">
        <f t="shared" si="156"/>
        <v>29.927083333334554</v>
      </c>
      <c r="I5008" s="7">
        <f t="shared" si="157"/>
        <v>29.927083333334554</v>
      </c>
    </row>
    <row r="5009" spans="1:9" x14ac:dyDescent="0.2">
      <c r="A5009" t="s">
        <v>5449</v>
      </c>
      <c r="B5009">
        <v>5.1509999999999998</v>
      </c>
      <c r="C5009">
        <v>7.2164999999999896E-2</v>
      </c>
      <c r="D5009">
        <v>285</v>
      </c>
      <c r="E5009" t="s">
        <v>5449</v>
      </c>
      <c r="F5009">
        <v>285</v>
      </c>
      <c r="G5009" s="1">
        <v>45211</v>
      </c>
      <c r="H5009" s="6">
        <f t="shared" si="156"/>
        <v>29.937500000001222</v>
      </c>
      <c r="I5009" s="7">
        <f t="shared" si="157"/>
        <v>29.937500000001222</v>
      </c>
    </row>
    <row r="5010" spans="1:9" x14ac:dyDescent="0.2">
      <c r="A5010" t="s">
        <v>5450</v>
      </c>
      <c r="B5010">
        <v>5.1429999999999998</v>
      </c>
      <c r="C5010">
        <v>7.2059999999999999E-2</v>
      </c>
      <c r="D5010">
        <v>285</v>
      </c>
      <c r="E5010" t="s">
        <v>5450</v>
      </c>
      <c r="F5010">
        <v>285</v>
      </c>
      <c r="G5010" s="1">
        <v>45211</v>
      </c>
      <c r="H5010" s="6">
        <f t="shared" si="156"/>
        <v>29.94791666666789</v>
      </c>
      <c r="I5010" s="7">
        <f t="shared" si="157"/>
        <v>29.94791666666789</v>
      </c>
    </row>
    <row r="5011" spans="1:9" x14ac:dyDescent="0.2">
      <c r="A5011" t="s">
        <v>5451</v>
      </c>
      <c r="B5011">
        <v>5.18</v>
      </c>
      <c r="C5011">
        <v>7.2565000000000004E-2</v>
      </c>
      <c r="D5011">
        <v>285</v>
      </c>
      <c r="E5011" t="s">
        <v>5451</v>
      </c>
      <c r="F5011">
        <v>285</v>
      </c>
      <c r="G5011" s="1">
        <v>45211</v>
      </c>
      <c r="H5011" s="6">
        <f t="shared" si="156"/>
        <v>29.958333333334558</v>
      </c>
      <c r="I5011" s="7">
        <f t="shared" si="157"/>
        <v>29.958333333334558</v>
      </c>
    </row>
    <row r="5012" spans="1:9" x14ac:dyDescent="0.2">
      <c r="A5012" t="s">
        <v>5452</v>
      </c>
      <c r="B5012" s="2" t="s">
        <v>5453</v>
      </c>
      <c r="C5012">
        <v>7.1879999999999999E-2</v>
      </c>
      <c r="D5012">
        <v>285</v>
      </c>
      <c r="E5012" t="s">
        <v>5452</v>
      </c>
      <c r="F5012">
        <v>285</v>
      </c>
      <c r="G5012" s="1">
        <v>45211</v>
      </c>
      <c r="H5012" s="6">
        <f t="shared" si="156"/>
        <v>29.968750000001226</v>
      </c>
      <c r="I5012" s="7">
        <f t="shared" si="157"/>
        <v>29.968750000001226</v>
      </c>
    </row>
    <row r="5013" spans="1:9" x14ac:dyDescent="0.2">
      <c r="A5013" t="s">
        <v>5454</v>
      </c>
      <c r="B5013">
        <v>5.1485000000000003</v>
      </c>
      <c r="C5013">
        <v>7.2114999999999999E-2</v>
      </c>
      <c r="D5013">
        <v>285</v>
      </c>
      <c r="E5013" t="s">
        <v>5454</v>
      </c>
      <c r="F5013">
        <v>285</v>
      </c>
      <c r="G5013" s="1">
        <v>45211</v>
      </c>
      <c r="H5013" s="6">
        <f t="shared" si="156"/>
        <v>29.979166666667894</v>
      </c>
      <c r="I5013" s="7">
        <f t="shared" si="157"/>
        <v>29.979166666667894</v>
      </c>
    </row>
    <row r="5014" spans="1:9" x14ac:dyDescent="0.2">
      <c r="A5014" t="s">
        <v>5455</v>
      </c>
      <c r="B5014">
        <v>5.1509999999999998</v>
      </c>
      <c r="C5014">
        <v>7.2139999999999996E-2</v>
      </c>
      <c r="D5014">
        <v>285</v>
      </c>
      <c r="E5014" t="s">
        <v>5455</v>
      </c>
      <c r="F5014">
        <v>285</v>
      </c>
      <c r="G5014" s="1">
        <v>45211</v>
      </c>
      <c r="H5014" s="6">
        <f t="shared" si="156"/>
        <v>29.989583333334561</v>
      </c>
      <c r="I5014" s="7">
        <f t="shared" si="157"/>
        <v>29.989583333334561</v>
      </c>
    </row>
    <row r="5015" spans="1:9" x14ac:dyDescent="0.2">
      <c r="A5015" t="s">
        <v>5456</v>
      </c>
      <c r="B5015">
        <v>5.1604999999999999</v>
      </c>
      <c r="C5015">
        <v>7.2285000000000002E-2</v>
      </c>
      <c r="D5015">
        <v>285</v>
      </c>
      <c r="E5015" t="s">
        <v>5456</v>
      </c>
      <c r="F5015">
        <v>285</v>
      </c>
      <c r="G5015" s="1">
        <v>45211</v>
      </c>
      <c r="H5015" s="6">
        <f t="shared" si="156"/>
        <v>30.000000000001229</v>
      </c>
      <c r="I5015" s="7">
        <f t="shared" si="157"/>
        <v>30.000000000001229</v>
      </c>
    </row>
    <row r="5016" spans="1:9" x14ac:dyDescent="0.2">
      <c r="A5016" t="s">
        <v>5457</v>
      </c>
      <c r="B5016">
        <v>5.109</v>
      </c>
      <c r="C5016">
        <v>7.1550000000000002E-2</v>
      </c>
      <c r="D5016">
        <v>285</v>
      </c>
      <c r="E5016" t="s">
        <v>5457</v>
      </c>
      <c r="F5016">
        <v>285</v>
      </c>
      <c r="G5016" s="1">
        <v>45211</v>
      </c>
      <c r="H5016" s="6">
        <f t="shared" si="156"/>
        <v>30.010416666667897</v>
      </c>
      <c r="I5016" s="7">
        <f t="shared" si="157"/>
        <v>30.010416666667897</v>
      </c>
    </row>
    <row r="5017" spans="1:9" x14ac:dyDescent="0.2">
      <c r="A5017" t="s">
        <v>5458</v>
      </c>
      <c r="B5017">
        <v>5.0945</v>
      </c>
      <c r="C5017">
        <v>7.1340000000000001E-2</v>
      </c>
      <c r="D5017">
        <v>285</v>
      </c>
      <c r="E5017" t="s">
        <v>5458</v>
      </c>
      <c r="F5017">
        <v>285</v>
      </c>
      <c r="G5017" s="1">
        <v>45211</v>
      </c>
      <c r="H5017" s="6">
        <f t="shared" si="156"/>
        <v>30.020833333334565</v>
      </c>
      <c r="I5017" s="7">
        <f t="shared" si="157"/>
        <v>30.020833333334565</v>
      </c>
    </row>
    <row r="5018" spans="1:9" x14ac:dyDescent="0.2">
      <c r="A5018" t="s">
        <v>5459</v>
      </c>
      <c r="B5018">
        <v>5.1470000000000002</v>
      </c>
      <c r="C5018">
        <v>7.2090000000000001E-2</v>
      </c>
      <c r="D5018">
        <v>285</v>
      </c>
      <c r="E5018" t="s">
        <v>5459</v>
      </c>
      <c r="F5018">
        <v>285</v>
      </c>
      <c r="G5018" s="1">
        <v>45211</v>
      </c>
      <c r="H5018" s="6">
        <f t="shared" si="156"/>
        <v>30.031250000001233</v>
      </c>
      <c r="I5018" s="7">
        <f t="shared" si="157"/>
        <v>30.031250000001233</v>
      </c>
    </row>
    <row r="5019" spans="1:9" x14ac:dyDescent="0.2">
      <c r="A5019" t="s">
        <v>5460</v>
      </c>
      <c r="B5019">
        <v>5.0659999999999998</v>
      </c>
      <c r="C5019">
        <v>7.0974999999999996E-2</v>
      </c>
      <c r="D5019">
        <v>285</v>
      </c>
      <c r="E5019" t="s">
        <v>5460</v>
      </c>
      <c r="F5019">
        <v>285</v>
      </c>
      <c r="G5019" s="1">
        <v>45211</v>
      </c>
      <c r="H5019" s="6">
        <f t="shared" si="156"/>
        <v>30.041666666667901</v>
      </c>
      <c r="I5019" s="7">
        <f t="shared" si="157"/>
        <v>30.041666666667901</v>
      </c>
    </row>
    <row r="5020" spans="1:9" x14ac:dyDescent="0.2">
      <c r="A5020" t="s">
        <v>5461</v>
      </c>
      <c r="B5020">
        <v>5.18</v>
      </c>
      <c r="C5020">
        <v>7.2554999999999994E-2</v>
      </c>
      <c r="D5020">
        <v>285</v>
      </c>
      <c r="E5020" t="s">
        <v>5461</v>
      </c>
      <c r="F5020">
        <v>285</v>
      </c>
      <c r="G5020" s="1">
        <v>45211</v>
      </c>
      <c r="H5020" s="6">
        <f t="shared" ref="H5020:H5083" si="158">H5019+$K$1</f>
        <v>30.052083333334568</v>
      </c>
      <c r="I5020" s="7">
        <f t="shared" ref="I5020:I5083" si="159">I5019+$K$1</f>
        <v>30.052083333334568</v>
      </c>
    </row>
    <row r="5021" spans="1:9" x14ac:dyDescent="0.2">
      <c r="A5021" t="s">
        <v>5462</v>
      </c>
      <c r="B5021">
        <v>4.9275000000000002</v>
      </c>
      <c r="C5021">
        <v>6.9034999999999999E-2</v>
      </c>
      <c r="D5021">
        <v>285</v>
      </c>
      <c r="E5021" t="s">
        <v>5462</v>
      </c>
      <c r="F5021">
        <v>285</v>
      </c>
      <c r="G5021" s="1">
        <v>45211</v>
      </c>
      <c r="H5021" s="6">
        <f t="shared" si="158"/>
        <v>30.062500000001236</v>
      </c>
      <c r="I5021" s="7">
        <f t="shared" si="159"/>
        <v>30.062500000001236</v>
      </c>
    </row>
    <row r="5022" spans="1:9" x14ac:dyDescent="0.2">
      <c r="A5022" t="s">
        <v>5463</v>
      </c>
      <c r="B5022">
        <v>4.8775000000000004</v>
      </c>
      <c r="C5022">
        <v>6.8309999999999996E-2</v>
      </c>
      <c r="D5022">
        <v>285</v>
      </c>
      <c r="E5022" t="s">
        <v>5463</v>
      </c>
      <c r="F5022">
        <v>285</v>
      </c>
      <c r="G5022" s="1">
        <v>45211</v>
      </c>
      <c r="H5022" s="6">
        <f t="shared" si="158"/>
        <v>30.072916666667904</v>
      </c>
      <c r="I5022" s="7">
        <f t="shared" si="159"/>
        <v>30.072916666667904</v>
      </c>
    </row>
    <row r="5023" spans="1:9" x14ac:dyDescent="0.2">
      <c r="A5023" t="s">
        <v>5464</v>
      </c>
      <c r="B5023">
        <v>5.0034999999999998</v>
      </c>
      <c r="C5023">
        <v>7.0065000000000002E-2</v>
      </c>
      <c r="D5023">
        <v>285</v>
      </c>
      <c r="E5023" t="s">
        <v>5464</v>
      </c>
      <c r="F5023">
        <v>285</v>
      </c>
      <c r="G5023" s="1">
        <v>45211</v>
      </c>
      <c r="H5023" s="6">
        <f t="shared" si="158"/>
        <v>30.083333333334572</v>
      </c>
      <c r="I5023" s="7">
        <f t="shared" si="159"/>
        <v>30.083333333334572</v>
      </c>
    </row>
    <row r="5024" spans="1:9" x14ac:dyDescent="0.2">
      <c r="A5024" t="s">
        <v>5465</v>
      </c>
      <c r="B5024">
        <v>5.024</v>
      </c>
      <c r="C5024">
        <v>7.0364999999999997E-2</v>
      </c>
      <c r="D5024">
        <v>285</v>
      </c>
      <c r="E5024" t="s">
        <v>5465</v>
      </c>
      <c r="F5024">
        <v>285</v>
      </c>
      <c r="G5024" s="1">
        <v>45211</v>
      </c>
      <c r="H5024" s="6">
        <f t="shared" si="158"/>
        <v>30.09375000000124</v>
      </c>
      <c r="I5024" s="7">
        <f t="shared" si="159"/>
        <v>30.09375000000124</v>
      </c>
    </row>
    <row r="5025" spans="1:9" x14ac:dyDescent="0.2">
      <c r="A5025" t="s">
        <v>5466</v>
      </c>
      <c r="B5025">
        <v>5.024</v>
      </c>
      <c r="C5025">
        <v>7.0364999999999997E-2</v>
      </c>
      <c r="D5025">
        <v>285</v>
      </c>
      <c r="E5025" t="s">
        <v>5466</v>
      </c>
      <c r="F5025">
        <v>285</v>
      </c>
      <c r="G5025" s="1">
        <v>45211</v>
      </c>
      <c r="H5025" s="6">
        <f t="shared" si="158"/>
        <v>30.104166666667908</v>
      </c>
      <c r="I5025" s="7">
        <f t="shared" si="159"/>
        <v>30.104166666667908</v>
      </c>
    </row>
    <row r="5026" spans="1:9" x14ac:dyDescent="0.2">
      <c r="A5026" t="s">
        <v>5467</v>
      </c>
      <c r="B5026">
        <v>5.0865</v>
      </c>
      <c r="C5026">
        <v>7.1254999999999999E-2</v>
      </c>
      <c r="D5026">
        <v>285</v>
      </c>
      <c r="E5026" t="s">
        <v>5467</v>
      </c>
      <c r="F5026">
        <v>285</v>
      </c>
      <c r="G5026" s="1">
        <v>45211</v>
      </c>
      <c r="H5026" s="6">
        <f t="shared" si="158"/>
        <v>30.114583333334576</v>
      </c>
      <c r="I5026" s="7">
        <f t="shared" si="159"/>
        <v>30.114583333334576</v>
      </c>
    </row>
    <row r="5027" spans="1:9" x14ac:dyDescent="0.2">
      <c r="A5027" t="s">
        <v>5468</v>
      </c>
      <c r="B5027" s="2" t="s">
        <v>5469</v>
      </c>
      <c r="C5027">
        <v>6.8915000000000004E-2</v>
      </c>
      <c r="D5027">
        <v>285</v>
      </c>
      <c r="E5027" t="s">
        <v>5468</v>
      </c>
      <c r="F5027">
        <v>285</v>
      </c>
      <c r="G5027" s="1">
        <v>45211</v>
      </c>
      <c r="H5027" s="6">
        <f t="shared" si="158"/>
        <v>30.125000000001243</v>
      </c>
      <c r="I5027" s="7">
        <f t="shared" si="159"/>
        <v>30.125000000001243</v>
      </c>
    </row>
    <row r="5028" spans="1:9" x14ac:dyDescent="0.2">
      <c r="A5028" t="s">
        <v>5470</v>
      </c>
      <c r="B5028" s="2" t="s">
        <v>4421</v>
      </c>
      <c r="C5028">
        <v>7.0230000000000001E-2</v>
      </c>
      <c r="D5028">
        <v>285</v>
      </c>
      <c r="E5028" t="s">
        <v>5470</v>
      </c>
      <c r="F5028">
        <v>285</v>
      </c>
      <c r="G5028" s="1">
        <v>45211</v>
      </c>
      <c r="H5028" s="6">
        <f t="shared" si="158"/>
        <v>30.135416666667911</v>
      </c>
      <c r="I5028" s="7">
        <f t="shared" si="159"/>
        <v>30.135416666667911</v>
      </c>
    </row>
    <row r="5029" spans="1:9" x14ac:dyDescent="0.2">
      <c r="A5029" t="s">
        <v>5471</v>
      </c>
      <c r="B5029">
        <v>5.0125000000000002</v>
      </c>
      <c r="C5029">
        <v>7.0215E-2</v>
      </c>
      <c r="D5029">
        <v>285</v>
      </c>
      <c r="E5029" t="s">
        <v>5471</v>
      </c>
      <c r="F5029">
        <v>285</v>
      </c>
      <c r="G5029" s="1">
        <v>45211</v>
      </c>
      <c r="H5029" s="6">
        <f t="shared" si="158"/>
        <v>30.145833333334579</v>
      </c>
      <c r="I5029" s="7">
        <f t="shared" si="159"/>
        <v>30.145833333334579</v>
      </c>
    </row>
    <row r="5030" spans="1:9" x14ac:dyDescent="0.2">
      <c r="A5030" t="s">
        <v>5472</v>
      </c>
      <c r="B5030">
        <v>5.1109999999999998</v>
      </c>
      <c r="C5030">
        <v>7.1590000000000001E-2</v>
      </c>
      <c r="D5030">
        <v>285</v>
      </c>
      <c r="E5030" t="s">
        <v>5472</v>
      </c>
      <c r="F5030">
        <v>285</v>
      </c>
      <c r="G5030" s="1">
        <v>45211</v>
      </c>
      <c r="H5030" s="6">
        <f t="shared" si="158"/>
        <v>30.156250000001247</v>
      </c>
      <c r="I5030" s="7">
        <f t="shared" si="159"/>
        <v>30.156250000001247</v>
      </c>
    </row>
    <row r="5031" spans="1:9" x14ac:dyDescent="0.2">
      <c r="A5031" t="s">
        <v>5473</v>
      </c>
      <c r="B5031">
        <v>4.9630000000000001</v>
      </c>
      <c r="C5031">
        <v>6.9504999999999997E-2</v>
      </c>
      <c r="D5031">
        <v>285</v>
      </c>
      <c r="E5031" t="s">
        <v>5473</v>
      </c>
      <c r="F5031">
        <v>285</v>
      </c>
      <c r="G5031" s="1">
        <v>45211</v>
      </c>
      <c r="H5031" s="6">
        <f t="shared" si="158"/>
        <v>30.166666666667915</v>
      </c>
      <c r="I5031" s="7">
        <f t="shared" si="159"/>
        <v>30.166666666667915</v>
      </c>
    </row>
    <row r="5032" spans="1:9" x14ac:dyDescent="0.2">
      <c r="A5032" t="s">
        <v>5474</v>
      </c>
      <c r="B5032">
        <v>5.1150000000000002</v>
      </c>
      <c r="C5032">
        <v>7.1645E-2</v>
      </c>
      <c r="D5032">
        <v>285</v>
      </c>
      <c r="E5032" t="s">
        <v>5474</v>
      </c>
      <c r="F5032">
        <v>285</v>
      </c>
      <c r="G5032" s="1">
        <v>45211</v>
      </c>
      <c r="H5032" s="6">
        <f t="shared" si="158"/>
        <v>30.177083333334583</v>
      </c>
      <c r="I5032" s="7">
        <f t="shared" si="159"/>
        <v>30.177083333334583</v>
      </c>
    </row>
    <row r="5033" spans="1:9" x14ac:dyDescent="0.2">
      <c r="A5033" t="s">
        <v>5475</v>
      </c>
      <c r="B5033">
        <v>5.0095000000000001</v>
      </c>
      <c r="C5033">
        <v>7.0150000000000004E-2</v>
      </c>
      <c r="D5033">
        <v>285</v>
      </c>
      <c r="E5033" t="s">
        <v>5475</v>
      </c>
      <c r="F5033">
        <v>285</v>
      </c>
      <c r="G5033" s="1">
        <v>45211</v>
      </c>
      <c r="H5033" s="6">
        <f t="shared" si="158"/>
        <v>30.187500000001251</v>
      </c>
      <c r="I5033" s="7">
        <f t="shared" si="159"/>
        <v>30.187500000001251</v>
      </c>
    </row>
    <row r="5034" spans="1:9" x14ac:dyDescent="0.2">
      <c r="A5034" t="s">
        <v>5476</v>
      </c>
      <c r="B5034">
        <v>5.1189999999999998</v>
      </c>
      <c r="C5034">
        <v>7.1694999999999995E-2</v>
      </c>
      <c r="D5034">
        <v>285</v>
      </c>
      <c r="E5034" t="s">
        <v>5476</v>
      </c>
      <c r="F5034">
        <v>285</v>
      </c>
      <c r="G5034" s="1">
        <v>45211</v>
      </c>
      <c r="H5034" s="6">
        <f t="shared" si="158"/>
        <v>30.197916666667918</v>
      </c>
      <c r="I5034" s="7">
        <f t="shared" si="159"/>
        <v>30.197916666667918</v>
      </c>
    </row>
    <row r="5035" spans="1:9" x14ac:dyDescent="0.2">
      <c r="A5035" t="s">
        <v>5477</v>
      </c>
      <c r="B5035">
        <v>4.8644999999999996</v>
      </c>
      <c r="C5035">
        <v>6.8135000000000001E-2</v>
      </c>
      <c r="D5035">
        <v>285</v>
      </c>
      <c r="E5035" t="s">
        <v>5477</v>
      </c>
      <c r="F5035">
        <v>285</v>
      </c>
      <c r="G5035" s="1">
        <v>45211</v>
      </c>
      <c r="H5035" s="6">
        <f t="shared" si="158"/>
        <v>30.208333333334586</v>
      </c>
      <c r="I5035" s="7">
        <f t="shared" si="159"/>
        <v>30.208333333334586</v>
      </c>
    </row>
    <row r="5036" spans="1:9" x14ac:dyDescent="0.2">
      <c r="A5036" t="s">
        <v>5478</v>
      </c>
      <c r="B5036">
        <v>4.8094999999999999</v>
      </c>
      <c r="C5036">
        <v>6.7349999999999993E-2</v>
      </c>
      <c r="D5036">
        <v>285</v>
      </c>
      <c r="E5036" t="s">
        <v>5478</v>
      </c>
      <c r="F5036">
        <v>285</v>
      </c>
      <c r="G5036" s="1">
        <v>45211</v>
      </c>
      <c r="H5036" s="6">
        <f t="shared" si="158"/>
        <v>30.218750000001254</v>
      </c>
      <c r="I5036" s="7">
        <f t="shared" si="159"/>
        <v>30.218750000001254</v>
      </c>
    </row>
    <row r="5037" spans="1:9" x14ac:dyDescent="0.2">
      <c r="A5037" t="s">
        <v>5479</v>
      </c>
      <c r="B5037" s="2" t="s">
        <v>5480</v>
      </c>
      <c r="C5037">
        <v>6.6110000000000002E-2</v>
      </c>
      <c r="D5037">
        <v>285</v>
      </c>
      <c r="E5037" t="s">
        <v>5479</v>
      </c>
      <c r="F5037">
        <v>285</v>
      </c>
      <c r="G5037" s="1">
        <v>45211</v>
      </c>
      <c r="H5037" s="6">
        <f t="shared" si="158"/>
        <v>30.229166666667922</v>
      </c>
      <c r="I5037" s="7">
        <f t="shared" si="159"/>
        <v>30.229166666667922</v>
      </c>
    </row>
    <row r="5038" spans="1:9" x14ac:dyDescent="0.2">
      <c r="A5038" t="s">
        <v>5481</v>
      </c>
      <c r="B5038">
        <v>4.702</v>
      </c>
      <c r="C5038">
        <v>6.5865000000000007E-2</v>
      </c>
      <c r="D5038">
        <v>285</v>
      </c>
      <c r="E5038" t="s">
        <v>5481</v>
      </c>
      <c r="F5038">
        <v>285</v>
      </c>
      <c r="G5038" s="1">
        <v>45211</v>
      </c>
      <c r="H5038" s="6">
        <f t="shared" si="158"/>
        <v>30.23958333333459</v>
      </c>
      <c r="I5038" s="7">
        <f t="shared" si="159"/>
        <v>30.23958333333459</v>
      </c>
    </row>
    <row r="5039" spans="1:9" x14ac:dyDescent="0.2">
      <c r="A5039" t="s">
        <v>5482</v>
      </c>
      <c r="B5039">
        <v>4.5914999999999999</v>
      </c>
      <c r="C5039">
        <v>6.4310000000000006E-2</v>
      </c>
      <c r="D5039">
        <v>285</v>
      </c>
      <c r="E5039" t="s">
        <v>5482</v>
      </c>
      <c r="F5039">
        <v>285</v>
      </c>
      <c r="G5039" s="1">
        <v>45211</v>
      </c>
      <c r="H5039" s="6">
        <f t="shared" si="158"/>
        <v>30.250000000001258</v>
      </c>
      <c r="I5039" s="7">
        <f t="shared" si="159"/>
        <v>30.250000000001258</v>
      </c>
    </row>
    <row r="5040" spans="1:9" x14ac:dyDescent="0.2">
      <c r="A5040" t="s">
        <v>5483</v>
      </c>
      <c r="B5040">
        <v>5.0199999999999996</v>
      </c>
      <c r="C5040">
        <v>7.0300000000000001E-2</v>
      </c>
      <c r="D5040">
        <v>285</v>
      </c>
      <c r="E5040" t="s">
        <v>5483</v>
      </c>
      <c r="F5040">
        <v>285</v>
      </c>
      <c r="G5040" s="1">
        <v>45211</v>
      </c>
      <c r="H5040" s="6">
        <f t="shared" si="158"/>
        <v>30.260416666667926</v>
      </c>
      <c r="I5040" s="7">
        <f t="shared" si="159"/>
        <v>30.260416666667926</v>
      </c>
    </row>
    <row r="5041" spans="1:9" x14ac:dyDescent="0.2">
      <c r="A5041" t="s">
        <v>5484</v>
      </c>
      <c r="B5041">
        <v>5.4844999999999997</v>
      </c>
      <c r="C5041">
        <v>7.6804999999999998E-2</v>
      </c>
      <c r="D5041">
        <v>285</v>
      </c>
      <c r="E5041" t="s">
        <v>5484</v>
      </c>
      <c r="F5041">
        <v>285</v>
      </c>
      <c r="G5041" s="1">
        <v>45211</v>
      </c>
      <c r="H5041" s="6">
        <f t="shared" si="158"/>
        <v>30.270833333334593</v>
      </c>
      <c r="I5041" s="7">
        <f t="shared" si="159"/>
        <v>30.270833333334593</v>
      </c>
    </row>
    <row r="5042" spans="1:9" x14ac:dyDescent="0.2">
      <c r="A5042" t="s">
        <v>5485</v>
      </c>
      <c r="B5042">
        <v>4.7344999999999997</v>
      </c>
      <c r="C5042">
        <v>6.6314999999999999E-2</v>
      </c>
      <c r="D5042">
        <v>285</v>
      </c>
      <c r="E5042" t="s">
        <v>5485</v>
      </c>
      <c r="F5042">
        <v>285</v>
      </c>
      <c r="G5042" s="1">
        <v>45211</v>
      </c>
      <c r="H5042" s="6">
        <f t="shared" si="158"/>
        <v>30.281250000001261</v>
      </c>
      <c r="I5042" s="7">
        <f t="shared" si="159"/>
        <v>30.281250000001261</v>
      </c>
    </row>
    <row r="5043" spans="1:9" x14ac:dyDescent="0.2">
      <c r="A5043" t="s">
        <v>5486</v>
      </c>
      <c r="B5043">
        <v>4.8449999999999998</v>
      </c>
      <c r="C5043">
        <v>6.7875000000000005E-2</v>
      </c>
      <c r="D5043">
        <v>285</v>
      </c>
      <c r="E5043" t="s">
        <v>5486</v>
      </c>
      <c r="F5043">
        <v>285</v>
      </c>
      <c r="G5043" s="1">
        <v>45211</v>
      </c>
      <c r="H5043" s="6">
        <f t="shared" si="158"/>
        <v>30.291666666667929</v>
      </c>
      <c r="I5043" s="7">
        <f t="shared" si="159"/>
        <v>30.291666666667929</v>
      </c>
    </row>
    <row r="5044" spans="1:9" x14ac:dyDescent="0.2">
      <c r="A5044" t="s">
        <v>5487</v>
      </c>
      <c r="B5044">
        <v>4.6935000000000002</v>
      </c>
      <c r="C5044">
        <v>6.5754999999999994E-2</v>
      </c>
      <c r="D5044">
        <v>285</v>
      </c>
      <c r="E5044" t="s">
        <v>5487</v>
      </c>
      <c r="F5044">
        <v>285</v>
      </c>
      <c r="G5044" s="1">
        <v>45211</v>
      </c>
      <c r="H5044" s="6">
        <f t="shared" si="158"/>
        <v>30.302083333334597</v>
      </c>
      <c r="I5044" s="7">
        <f t="shared" si="159"/>
        <v>30.302083333334597</v>
      </c>
    </row>
    <row r="5045" spans="1:9" x14ac:dyDescent="0.2">
      <c r="A5045" t="s">
        <v>5488</v>
      </c>
      <c r="B5045">
        <v>4.5890000000000004</v>
      </c>
      <c r="C5045">
        <v>6.4305000000000001E-2</v>
      </c>
      <c r="D5045">
        <v>285</v>
      </c>
      <c r="E5045" t="s">
        <v>5488</v>
      </c>
      <c r="F5045">
        <v>285</v>
      </c>
      <c r="G5045" s="1">
        <v>45211</v>
      </c>
      <c r="H5045" s="6">
        <f t="shared" si="158"/>
        <v>30.312500000001265</v>
      </c>
      <c r="I5045" s="7">
        <f t="shared" si="159"/>
        <v>30.312500000001265</v>
      </c>
    </row>
    <row r="5046" spans="1:9" x14ac:dyDescent="0.2">
      <c r="A5046" t="s">
        <v>5489</v>
      </c>
      <c r="B5046">
        <v>4.5540000000000003</v>
      </c>
      <c r="C5046">
        <v>6.3789999999999999E-2</v>
      </c>
      <c r="D5046">
        <v>285</v>
      </c>
      <c r="E5046" t="s">
        <v>5489</v>
      </c>
      <c r="F5046">
        <v>285</v>
      </c>
      <c r="G5046" s="1">
        <v>45211</v>
      </c>
      <c r="H5046" s="6">
        <f t="shared" si="158"/>
        <v>30.322916666667933</v>
      </c>
      <c r="I5046" s="7">
        <f t="shared" si="159"/>
        <v>30.322916666667933</v>
      </c>
    </row>
    <row r="5047" spans="1:9" x14ac:dyDescent="0.2">
      <c r="A5047" t="s">
        <v>5490</v>
      </c>
      <c r="B5047">
        <v>4.2965</v>
      </c>
      <c r="C5047">
        <v>6.0185000000000002E-2</v>
      </c>
      <c r="D5047">
        <v>285</v>
      </c>
      <c r="E5047" t="s">
        <v>5490</v>
      </c>
      <c r="F5047">
        <v>285</v>
      </c>
      <c r="G5047" s="1">
        <v>45211</v>
      </c>
      <c r="H5047" s="6">
        <f t="shared" si="158"/>
        <v>30.3333333333346</v>
      </c>
      <c r="I5047" s="7">
        <f t="shared" si="159"/>
        <v>30.3333333333346</v>
      </c>
    </row>
    <row r="5048" spans="1:9" x14ac:dyDescent="0.2">
      <c r="A5048" t="s">
        <v>5491</v>
      </c>
      <c r="B5048">
        <v>4.2965</v>
      </c>
      <c r="C5048">
        <v>6.0185000000000002E-2</v>
      </c>
      <c r="D5048">
        <v>285</v>
      </c>
      <c r="E5048" t="s">
        <v>5491</v>
      </c>
      <c r="F5048">
        <v>285</v>
      </c>
      <c r="G5048" s="1">
        <v>45211</v>
      </c>
      <c r="H5048" s="6">
        <f t="shared" si="158"/>
        <v>30.343750000001268</v>
      </c>
      <c r="I5048" s="7">
        <f t="shared" si="159"/>
        <v>30.343750000001268</v>
      </c>
    </row>
    <row r="5049" spans="1:9" x14ac:dyDescent="0.2">
      <c r="A5049" t="s">
        <v>5492</v>
      </c>
      <c r="B5049">
        <v>4.5125000000000002</v>
      </c>
      <c r="C5049">
        <v>6.3210000000000002E-2</v>
      </c>
      <c r="D5049">
        <v>285</v>
      </c>
      <c r="E5049" t="s">
        <v>5492</v>
      </c>
      <c r="F5049">
        <v>285</v>
      </c>
      <c r="G5049" s="1">
        <v>45211</v>
      </c>
      <c r="H5049" s="6">
        <f t="shared" si="158"/>
        <v>30.354166666667936</v>
      </c>
      <c r="I5049" s="7">
        <f t="shared" si="159"/>
        <v>30.354166666667936</v>
      </c>
    </row>
    <row r="5050" spans="1:9" x14ac:dyDescent="0.2">
      <c r="A5050" t="s">
        <v>5493</v>
      </c>
      <c r="B5050">
        <v>4.5744999999999996</v>
      </c>
      <c r="C5050">
        <v>6.4070000000000002E-2</v>
      </c>
      <c r="D5050">
        <v>285</v>
      </c>
      <c r="E5050" t="s">
        <v>5493</v>
      </c>
      <c r="F5050">
        <v>285</v>
      </c>
      <c r="G5050" s="1">
        <v>45211</v>
      </c>
      <c r="H5050" s="6">
        <f t="shared" si="158"/>
        <v>30.364583333334604</v>
      </c>
      <c r="I5050" s="7">
        <f t="shared" si="159"/>
        <v>30.364583333334604</v>
      </c>
    </row>
    <row r="5051" spans="1:9" x14ac:dyDescent="0.2">
      <c r="A5051" t="s">
        <v>5494</v>
      </c>
      <c r="B5051">
        <v>4.4835000000000003</v>
      </c>
      <c r="C5051">
        <v>6.2789999999999999E-2</v>
      </c>
      <c r="D5051">
        <v>285</v>
      </c>
      <c r="E5051" t="s">
        <v>5494</v>
      </c>
      <c r="F5051">
        <v>285</v>
      </c>
      <c r="G5051" s="1">
        <v>45211</v>
      </c>
      <c r="H5051" s="6">
        <f t="shared" si="158"/>
        <v>30.375000000001272</v>
      </c>
      <c r="I5051" s="7">
        <f t="shared" si="159"/>
        <v>30.375000000001272</v>
      </c>
    </row>
    <row r="5052" spans="1:9" x14ac:dyDescent="0.2">
      <c r="A5052" t="s">
        <v>5495</v>
      </c>
      <c r="B5052">
        <v>4.3754999999999997</v>
      </c>
      <c r="C5052">
        <v>6.1289999999999997E-2</v>
      </c>
      <c r="D5052">
        <v>285</v>
      </c>
      <c r="E5052" t="s">
        <v>5495</v>
      </c>
      <c r="F5052">
        <v>285</v>
      </c>
      <c r="G5052" s="1">
        <v>45211</v>
      </c>
      <c r="H5052" s="6">
        <f t="shared" si="158"/>
        <v>30.38541666666794</v>
      </c>
      <c r="I5052" s="7">
        <f t="shared" si="159"/>
        <v>30.38541666666794</v>
      </c>
    </row>
    <row r="5053" spans="1:9" x14ac:dyDescent="0.2">
      <c r="A5053" t="s">
        <v>5496</v>
      </c>
      <c r="B5053">
        <v>4.4065000000000003</v>
      </c>
      <c r="C5053">
        <v>6.1710000000000001E-2</v>
      </c>
      <c r="D5053">
        <v>285</v>
      </c>
      <c r="E5053" t="s">
        <v>5496</v>
      </c>
      <c r="F5053">
        <v>285</v>
      </c>
      <c r="G5053" s="1">
        <v>45211</v>
      </c>
      <c r="H5053" s="6">
        <f t="shared" si="158"/>
        <v>30.395833333334608</v>
      </c>
      <c r="I5053" s="7">
        <f t="shared" si="159"/>
        <v>30.395833333334608</v>
      </c>
    </row>
    <row r="5054" spans="1:9" x14ac:dyDescent="0.2">
      <c r="A5054" t="s">
        <v>5497</v>
      </c>
      <c r="B5054">
        <v>4.3514999999999997</v>
      </c>
      <c r="C5054">
        <v>6.0975000000000001E-2</v>
      </c>
      <c r="D5054">
        <v>285</v>
      </c>
      <c r="E5054" t="s">
        <v>5497</v>
      </c>
      <c r="F5054">
        <v>285</v>
      </c>
      <c r="G5054" s="1">
        <v>45211</v>
      </c>
      <c r="H5054" s="6">
        <f t="shared" si="158"/>
        <v>30.406250000001275</v>
      </c>
      <c r="I5054" s="7">
        <f t="shared" si="159"/>
        <v>30.406250000001275</v>
      </c>
    </row>
    <row r="5055" spans="1:9" x14ac:dyDescent="0.2">
      <c r="A5055" t="s">
        <v>5498</v>
      </c>
      <c r="B5055">
        <v>4.2750000000000004</v>
      </c>
      <c r="C5055">
        <v>5.9880000000000003E-2</v>
      </c>
      <c r="D5055">
        <v>285</v>
      </c>
      <c r="E5055" t="s">
        <v>5498</v>
      </c>
      <c r="F5055">
        <v>285</v>
      </c>
      <c r="G5055" s="1">
        <v>45211</v>
      </c>
      <c r="H5055" s="6">
        <f t="shared" si="158"/>
        <v>30.416666666667943</v>
      </c>
      <c r="I5055" s="7">
        <f t="shared" si="159"/>
        <v>30.416666666667943</v>
      </c>
    </row>
    <row r="5056" spans="1:9" x14ac:dyDescent="0.2">
      <c r="A5056" t="s">
        <v>5499</v>
      </c>
      <c r="B5056">
        <v>4.4720000000000004</v>
      </c>
      <c r="C5056">
        <v>6.2640000000000001E-2</v>
      </c>
      <c r="D5056">
        <v>285</v>
      </c>
      <c r="E5056" t="s">
        <v>5499</v>
      </c>
      <c r="F5056">
        <v>285</v>
      </c>
      <c r="G5056" s="1">
        <v>45211</v>
      </c>
      <c r="H5056" s="6">
        <f t="shared" si="158"/>
        <v>30.427083333334611</v>
      </c>
      <c r="I5056" s="7">
        <f t="shared" si="159"/>
        <v>30.427083333334611</v>
      </c>
    </row>
    <row r="5057" spans="1:9" x14ac:dyDescent="0.2">
      <c r="A5057" t="s">
        <v>5500</v>
      </c>
      <c r="B5057">
        <v>4.5244999999999997</v>
      </c>
      <c r="C5057">
        <v>6.3380000000000006E-2</v>
      </c>
      <c r="D5057">
        <v>285</v>
      </c>
      <c r="E5057" t="s">
        <v>5500</v>
      </c>
      <c r="F5057">
        <v>285</v>
      </c>
      <c r="G5057" s="1">
        <v>45211</v>
      </c>
      <c r="H5057" s="6">
        <f t="shared" si="158"/>
        <v>30.437500000001279</v>
      </c>
      <c r="I5057" s="7">
        <f t="shared" si="159"/>
        <v>30.437500000001279</v>
      </c>
    </row>
    <row r="5058" spans="1:9" x14ac:dyDescent="0.2">
      <c r="A5058" t="s">
        <v>5501</v>
      </c>
      <c r="B5058">
        <v>4.3490000000000002</v>
      </c>
      <c r="C5058" s="2" t="s">
        <v>2184</v>
      </c>
      <c r="D5058">
        <v>285</v>
      </c>
      <c r="E5058" t="s">
        <v>5501</v>
      </c>
      <c r="F5058">
        <v>285</v>
      </c>
      <c r="G5058" s="1">
        <v>45211</v>
      </c>
      <c r="H5058" s="6">
        <f t="shared" si="158"/>
        <v>30.447916666667947</v>
      </c>
      <c r="I5058" s="7">
        <f t="shared" si="159"/>
        <v>30.447916666667947</v>
      </c>
    </row>
    <row r="5059" spans="1:9" x14ac:dyDescent="0.2">
      <c r="A5059" t="s">
        <v>5502</v>
      </c>
      <c r="B5059">
        <v>4.5170000000000003</v>
      </c>
      <c r="C5059">
        <v>6.3280000000000003E-2</v>
      </c>
      <c r="D5059">
        <v>285</v>
      </c>
      <c r="E5059" t="s">
        <v>5502</v>
      </c>
      <c r="F5059">
        <v>285</v>
      </c>
      <c r="G5059" s="1">
        <v>45211</v>
      </c>
      <c r="H5059" s="6">
        <f t="shared" si="158"/>
        <v>30.458333333334615</v>
      </c>
      <c r="I5059" s="7">
        <f t="shared" si="159"/>
        <v>30.458333333334615</v>
      </c>
    </row>
    <row r="5060" spans="1:9" x14ac:dyDescent="0.2">
      <c r="A5060" t="s">
        <v>5503</v>
      </c>
      <c r="B5060">
        <v>4.3884999999999996</v>
      </c>
      <c r="C5060">
        <v>6.148E-2</v>
      </c>
      <c r="D5060">
        <v>285</v>
      </c>
      <c r="E5060" t="s">
        <v>5503</v>
      </c>
      <c r="F5060">
        <v>285</v>
      </c>
      <c r="G5060" s="1">
        <v>45211</v>
      </c>
      <c r="H5060" s="6">
        <f t="shared" si="158"/>
        <v>30.468750000001283</v>
      </c>
      <c r="I5060" s="7">
        <f t="shared" si="159"/>
        <v>30.468750000001283</v>
      </c>
    </row>
    <row r="5061" spans="1:9" x14ac:dyDescent="0.2">
      <c r="A5061" t="s">
        <v>5504</v>
      </c>
      <c r="B5061">
        <v>4.59</v>
      </c>
      <c r="C5061">
        <v>6.4284999999999995E-2</v>
      </c>
      <c r="D5061">
        <v>285</v>
      </c>
      <c r="E5061" t="s">
        <v>5504</v>
      </c>
      <c r="F5061">
        <v>285</v>
      </c>
      <c r="G5061" s="1">
        <v>45211</v>
      </c>
      <c r="H5061" s="6">
        <f t="shared" si="158"/>
        <v>30.47916666666795</v>
      </c>
      <c r="I5061" s="7">
        <f t="shared" si="159"/>
        <v>30.47916666666795</v>
      </c>
    </row>
    <row r="5062" spans="1:9" x14ac:dyDescent="0.2">
      <c r="A5062" t="s">
        <v>5505</v>
      </c>
      <c r="B5062">
        <v>4.4744999999999999</v>
      </c>
      <c r="C5062">
        <v>6.2670000000000003E-2</v>
      </c>
      <c r="D5062">
        <v>285</v>
      </c>
      <c r="E5062" t="s">
        <v>5505</v>
      </c>
      <c r="F5062">
        <v>285</v>
      </c>
      <c r="G5062" s="1">
        <v>45211</v>
      </c>
      <c r="H5062" s="6">
        <f t="shared" si="158"/>
        <v>30.489583333334618</v>
      </c>
      <c r="I5062" s="7">
        <f t="shared" si="159"/>
        <v>30.489583333334618</v>
      </c>
    </row>
    <row r="5063" spans="1:9" x14ac:dyDescent="0.2">
      <c r="A5063" t="s">
        <v>5506</v>
      </c>
      <c r="B5063">
        <v>4.4880000000000004</v>
      </c>
      <c r="C5063">
        <v>6.2859999999999999E-2</v>
      </c>
      <c r="D5063">
        <v>285</v>
      </c>
      <c r="E5063" t="s">
        <v>5506</v>
      </c>
      <c r="F5063">
        <v>285</v>
      </c>
      <c r="G5063" s="1">
        <v>45211</v>
      </c>
      <c r="H5063" s="6">
        <f t="shared" si="158"/>
        <v>30.500000000001286</v>
      </c>
      <c r="I5063" s="7">
        <f t="shared" si="159"/>
        <v>30.500000000001286</v>
      </c>
    </row>
    <row r="5064" spans="1:9" x14ac:dyDescent="0.2">
      <c r="A5064" t="s">
        <v>5507</v>
      </c>
      <c r="B5064">
        <v>4.4379999999999997</v>
      </c>
      <c r="C5064">
        <v>6.2179999999999999E-2</v>
      </c>
      <c r="D5064">
        <v>285</v>
      </c>
      <c r="E5064" t="s">
        <v>5507</v>
      </c>
      <c r="F5064">
        <v>285</v>
      </c>
      <c r="G5064" s="1">
        <v>45211</v>
      </c>
      <c r="H5064" s="6">
        <f t="shared" si="158"/>
        <v>30.510416666667954</v>
      </c>
      <c r="I5064" s="7">
        <f t="shared" si="159"/>
        <v>30.510416666667954</v>
      </c>
    </row>
    <row r="5065" spans="1:9" x14ac:dyDescent="0.2">
      <c r="A5065" t="s">
        <v>5508</v>
      </c>
      <c r="B5065">
        <v>4.3064999999999998</v>
      </c>
      <c r="C5065">
        <v>6.0330000000000002E-2</v>
      </c>
      <c r="D5065">
        <v>285</v>
      </c>
      <c r="E5065" t="s">
        <v>5508</v>
      </c>
      <c r="F5065">
        <v>285</v>
      </c>
      <c r="G5065" s="1">
        <v>45211</v>
      </c>
      <c r="H5065" s="6">
        <f t="shared" si="158"/>
        <v>30.520833333334622</v>
      </c>
      <c r="I5065" s="7">
        <f t="shared" si="159"/>
        <v>30.520833333334622</v>
      </c>
    </row>
    <row r="5066" spans="1:9" x14ac:dyDescent="0.2">
      <c r="A5066" t="s">
        <v>5509</v>
      </c>
      <c r="B5066">
        <v>4.2969999999999997</v>
      </c>
      <c r="C5066">
        <v>6.0179999999999997E-2</v>
      </c>
      <c r="D5066">
        <v>285</v>
      </c>
      <c r="E5066" t="s">
        <v>5509</v>
      </c>
      <c r="F5066">
        <v>285</v>
      </c>
      <c r="G5066" s="1">
        <v>45211</v>
      </c>
      <c r="H5066" s="6">
        <f t="shared" si="158"/>
        <v>30.53125000000129</v>
      </c>
      <c r="I5066" s="7">
        <f t="shared" si="159"/>
        <v>30.53125000000129</v>
      </c>
    </row>
    <row r="5067" spans="1:9" x14ac:dyDescent="0.2">
      <c r="A5067" t="s">
        <v>5510</v>
      </c>
      <c r="B5067">
        <v>4.367</v>
      </c>
      <c r="C5067">
        <v>6.1159999999999999E-2</v>
      </c>
      <c r="D5067">
        <v>285</v>
      </c>
      <c r="E5067" t="s">
        <v>5510</v>
      </c>
      <c r="F5067">
        <v>285</v>
      </c>
      <c r="G5067" s="1">
        <v>45211</v>
      </c>
      <c r="H5067" s="6">
        <f t="shared" si="158"/>
        <v>30.541666666667957</v>
      </c>
      <c r="I5067" s="7">
        <f t="shared" si="159"/>
        <v>30.541666666667957</v>
      </c>
    </row>
    <row r="5068" spans="1:9" x14ac:dyDescent="0.2">
      <c r="A5068" t="s">
        <v>5511</v>
      </c>
      <c r="B5068">
        <v>4.1185</v>
      </c>
      <c r="C5068">
        <v>5.7685E-2</v>
      </c>
      <c r="D5068">
        <v>285</v>
      </c>
      <c r="E5068" t="s">
        <v>5511</v>
      </c>
      <c r="F5068">
        <v>285</v>
      </c>
      <c r="G5068" s="1">
        <v>45211</v>
      </c>
      <c r="H5068" s="6">
        <f t="shared" si="158"/>
        <v>30.552083333334625</v>
      </c>
      <c r="I5068" s="7">
        <f t="shared" si="159"/>
        <v>30.552083333334625</v>
      </c>
    </row>
    <row r="5069" spans="1:9" x14ac:dyDescent="0.2">
      <c r="A5069" t="s">
        <v>5512</v>
      </c>
      <c r="B5069">
        <v>4.1094999999999997</v>
      </c>
      <c r="C5069">
        <v>5.7555000000000002E-2</v>
      </c>
      <c r="D5069">
        <v>285</v>
      </c>
      <c r="E5069" t="s">
        <v>5512</v>
      </c>
      <c r="F5069">
        <v>285</v>
      </c>
      <c r="G5069" s="1">
        <v>45211</v>
      </c>
      <c r="H5069" s="6">
        <f t="shared" si="158"/>
        <v>30.562500000001293</v>
      </c>
      <c r="I5069" s="7">
        <f t="shared" si="159"/>
        <v>30.562500000001293</v>
      </c>
    </row>
    <row r="5070" spans="1:9" x14ac:dyDescent="0.2">
      <c r="A5070" t="s">
        <v>5513</v>
      </c>
      <c r="B5070" s="2" t="s">
        <v>5514</v>
      </c>
      <c r="C5070">
        <v>5.9499999999999997E-2</v>
      </c>
      <c r="D5070">
        <v>285</v>
      </c>
      <c r="E5070" t="s">
        <v>5513</v>
      </c>
      <c r="F5070">
        <v>285</v>
      </c>
      <c r="G5070" s="1">
        <v>45211</v>
      </c>
      <c r="H5070" s="6">
        <f t="shared" si="158"/>
        <v>30.572916666667961</v>
      </c>
      <c r="I5070" s="7">
        <f t="shared" si="159"/>
        <v>30.572916666667961</v>
      </c>
    </row>
    <row r="5071" spans="1:9" x14ac:dyDescent="0.2">
      <c r="A5071" t="s">
        <v>5515</v>
      </c>
      <c r="B5071" s="2" t="s">
        <v>5516</v>
      </c>
      <c r="C5071">
        <v>6.021E-2</v>
      </c>
      <c r="D5071">
        <v>285</v>
      </c>
      <c r="E5071" t="s">
        <v>5515</v>
      </c>
      <c r="F5071">
        <v>285</v>
      </c>
      <c r="G5071" s="1">
        <v>45211</v>
      </c>
      <c r="H5071" s="6">
        <f t="shared" si="158"/>
        <v>30.583333333334629</v>
      </c>
      <c r="I5071" s="7">
        <f t="shared" si="159"/>
        <v>30.583333333334629</v>
      </c>
    </row>
    <row r="5072" spans="1:9" x14ac:dyDescent="0.2">
      <c r="A5072" t="s">
        <v>5517</v>
      </c>
      <c r="B5072">
        <v>4.3475000000000001</v>
      </c>
      <c r="C5072">
        <v>6.0894999999999998E-2</v>
      </c>
      <c r="D5072">
        <v>285</v>
      </c>
      <c r="E5072" t="s">
        <v>5517</v>
      </c>
      <c r="F5072">
        <v>285</v>
      </c>
      <c r="G5072" s="1">
        <v>45211</v>
      </c>
      <c r="H5072" s="6">
        <f t="shared" si="158"/>
        <v>30.593750000001297</v>
      </c>
      <c r="I5072" s="7">
        <f t="shared" si="159"/>
        <v>30.593750000001297</v>
      </c>
    </row>
    <row r="5073" spans="1:9" x14ac:dyDescent="0.2">
      <c r="A5073" t="s">
        <v>5518</v>
      </c>
      <c r="B5073">
        <v>4.5389999999999997</v>
      </c>
      <c r="C5073">
        <v>6.3585000000000003E-2</v>
      </c>
      <c r="D5073">
        <v>286</v>
      </c>
      <c r="E5073" t="s">
        <v>5518</v>
      </c>
      <c r="F5073">
        <v>285</v>
      </c>
      <c r="G5073" s="1">
        <v>45211</v>
      </c>
      <c r="H5073" s="6">
        <f t="shared" si="158"/>
        <v>30.604166666667965</v>
      </c>
      <c r="I5073" s="7">
        <f t="shared" si="159"/>
        <v>30.604166666667965</v>
      </c>
    </row>
    <row r="5074" spans="1:9" x14ac:dyDescent="0.2">
      <c r="A5074" t="s">
        <v>5519</v>
      </c>
      <c r="B5074">
        <v>4.6189999999999998</v>
      </c>
      <c r="C5074">
        <v>6.4689999999999998E-2</v>
      </c>
      <c r="D5074">
        <v>286</v>
      </c>
      <c r="E5074" t="s">
        <v>5519</v>
      </c>
      <c r="F5074">
        <v>285</v>
      </c>
      <c r="G5074" s="1">
        <v>45211</v>
      </c>
      <c r="H5074" s="6">
        <f t="shared" si="158"/>
        <v>30.614583333334632</v>
      </c>
      <c r="I5074" s="7">
        <f t="shared" si="159"/>
        <v>30.614583333334632</v>
      </c>
    </row>
    <row r="5075" spans="1:9" x14ac:dyDescent="0.2">
      <c r="A5075" t="s">
        <v>5520</v>
      </c>
      <c r="B5075">
        <v>4.6539999999999999</v>
      </c>
      <c r="C5075">
        <v>6.5180000000000002E-2</v>
      </c>
      <c r="D5075">
        <v>286</v>
      </c>
      <c r="E5075" t="s">
        <v>5520</v>
      </c>
      <c r="F5075">
        <v>285</v>
      </c>
      <c r="G5075" s="1">
        <v>45211</v>
      </c>
      <c r="H5075" s="6">
        <f t="shared" si="158"/>
        <v>30.6250000000013</v>
      </c>
      <c r="I5075" s="7">
        <f t="shared" si="159"/>
        <v>30.6250000000013</v>
      </c>
    </row>
    <row r="5076" spans="1:9" x14ac:dyDescent="0.2">
      <c r="A5076" t="s">
        <v>5521</v>
      </c>
      <c r="B5076">
        <v>4.6959999999999997</v>
      </c>
      <c r="C5076">
        <v>6.5795000000000006E-2</v>
      </c>
      <c r="D5076">
        <v>286</v>
      </c>
      <c r="E5076" t="s">
        <v>5521</v>
      </c>
      <c r="F5076">
        <v>285</v>
      </c>
      <c r="G5076" s="1">
        <v>45211</v>
      </c>
      <c r="H5076" s="6">
        <f t="shared" si="158"/>
        <v>30.635416666667968</v>
      </c>
      <c r="I5076" s="7">
        <f t="shared" si="159"/>
        <v>30.635416666667968</v>
      </c>
    </row>
    <row r="5077" spans="1:9" x14ac:dyDescent="0.2">
      <c r="A5077" t="s">
        <v>5522</v>
      </c>
      <c r="B5077" s="2" t="s">
        <v>5523</v>
      </c>
      <c r="C5077">
        <v>6.4610000000000001E-2</v>
      </c>
      <c r="D5077">
        <v>286</v>
      </c>
      <c r="E5077" t="s">
        <v>5522</v>
      </c>
      <c r="F5077">
        <v>285</v>
      </c>
      <c r="G5077" s="1">
        <v>45211</v>
      </c>
      <c r="H5077" s="6">
        <f t="shared" si="158"/>
        <v>30.645833333334636</v>
      </c>
      <c r="I5077" s="7">
        <f t="shared" si="159"/>
        <v>30.645833333334636</v>
      </c>
    </row>
    <row r="5078" spans="1:9" x14ac:dyDescent="0.2">
      <c r="A5078" t="s">
        <v>5524</v>
      </c>
      <c r="B5078">
        <v>4.6589999999999998</v>
      </c>
      <c r="C5078">
        <v>6.5244999999999997E-2</v>
      </c>
      <c r="D5078">
        <v>286</v>
      </c>
      <c r="E5078" t="s">
        <v>5524</v>
      </c>
      <c r="F5078">
        <v>285</v>
      </c>
      <c r="G5078" s="1">
        <v>45211</v>
      </c>
      <c r="H5078" s="6">
        <f t="shared" si="158"/>
        <v>30.656250000001304</v>
      </c>
      <c r="I5078" s="7">
        <f t="shared" si="159"/>
        <v>30.656250000001304</v>
      </c>
    </row>
    <row r="5079" spans="1:9" x14ac:dyDescent="0.2">
      <c r="A5079" t="s">
        <v>5525</v>
      </c>
      <c r="B5079">
        <v>4.6420000000000003</v>
      </c>
      <c r="C5079">
        <v>6.5000000000000002E-2</v>
      </c>
      <c r="D5079">
        <v>286</v>
      </c>
      <c r="E5079" t="s">
        <v>5525</v>
      </c>
      <c r="F5079">
        <v>285</v>
      </c>
      <c r="G5079" s="1">
        <v>45211</v>
      </c>
      <c r="H5079" s="6">
        <f t="shared" si="158"/>
        <v>30.666666666667972</v>
      </c>
      <c r="I5079" s="7">
        <f t="shared" si="159"/>
        <v>30.666666666667972</v>
      </c>
    </row>
    <row r="5080" spans="1:9" x14ac:dyDescent="0.2">
      <c r="A5080" t="s">
        <v>5526</v>
      </c>
      <c r="B5080">
        <v>4.5315000000000003</v>
      </c>
      <c r="C5080">
        <v>6.3485E-2</v>
      </c>
      <c r="D5080">
        <v>286</v>
      </c>
      <c r="E5080" t="s">
        <v>5526</v>
      </c>
      <c r="F5080">
        <v>285</v>
      </c>
      <c r="G5080" s="1">
        <v>45211</v>
      </c>
      <c r="H5080" s="6">
        <f t="shared" si="158"/>
        <v>30.67708333333464</v>
      </c>
      <c r="I5080" s="7">
        <f t="shared" si="159"/>
        <v>30.67708333333464</v>
      </c>
    </row>
    <row r="5081" spans="1:9" x14ac:dyDescent="0.2">
      <c r="A5081" t="s">
        <v>5527</v>
      </c>
      <c r="B5081">
        <v>4.6074999999999999</v>
      </c>
      <c r="C5081">
        <v>6.4530000000000004E-2</v>
      </c>
      <c r="D5081">
        <v>286</v>
      </c>
      <c r="E5081" t="s">
        <v>5527</v>
      </c>
      <c r="F5081">
        <v>285</v>
      </c>
      <c r="G5081" s="1">
        <v>45211</v>
      </c>
      <c r="H5081" s="6">
        <f t="shared" si="158"/>
        <v>30.687500000001307</v>
      </c>
      <c r="I5081" s="7">
        <f t="shared" si="159"/>
        <v>30.687500000001307</v>
      </c>
    </row>
    <row r="5082" spans="1:9" x14ac:dyDescent="0.2">
      <c r="A5082" t="s">
        <v>5528</v>
      </c>
      <c r="B5082">
        <v>4.7934999999999999</v>
      </c>
      <c r="C5082">
        <v>6.7135E-2</v>
      </c>
      <c r="D5082">
        <v>286</v>
      </c>
      <c r="E5082" t="s">
        <v>5528</v>
      </c>
      <c r="F5082">
        <v>285</v>
      </c>
      <c r="G5082" s="1">
        <v>45211</v>
      </c>
      <c r="H5082" s="6">
        <f t="shared" si="158"/>
        <v>30.697916666667975</v>
      </c>
      <c r="I5082" s="7">
        <f t="shared" si="159"/>
        <v>30.697916666667975</v>
      </c>
    </row>
    <row r="5083" spans="1:9" x14ac:dyDescent="0.2">
      <c r="A5083" t="s">
        <v>5529</v>
      </c>
      <c r="B5083">
        <v>4.819</v>
      </c>
      <c r="C5083">
        <v>6.7515000000000006E-2</v>
      </c>
      <c r="D5083">
        <v>286</v>
      </c>
      <c r="E5083" t="s">
        <v>5529</v>
      </c>
      <c r="F5083">
        <v>285</v>
      </c>
      <c r="G5083" s="1">
        <v>45211</v>
      </c>
      <c r="H5083" s="6">
        <f t="shared" si="158"/>
        <v>30.708333333334643</v>
      </c>
      <c r="I5083" s="7">
        <f t="shared" si="159"/>
        <v>30.708333333334643</v>
      </c>
    </row>
    <row r="5084" spans="1:9" x14ac:dyDescent="0.2">
      <c r="A5084" t="s">
        <v>5530</v>
      </c>
      <c r="B5084">
        <v>4.8319999999999999</v>
      </c>
      <c r="C5084">
        <v>6.7684999999999995E-2</v>
      </c>
      <c r="D5084">
        <v>286</v>
      </c>
      <c r="E5084" t="s">
        <v>5530</v>
      </c>
      <c r="F5084">
        <v>285</v>
      </c>
      <c r="G5084" s="1">
        <v>45211</v>
      </c>
      <c r="H5084" s="6">
        <f t="shared" ref="H5084:H5147" si="160">H5083+$K$1</f>
        <v>30.718750000001311</v>
      </c>
      <c r="I5084" s="7">
        <f t="shared" ref="I5084:I5147" si="161">I5083+$K$1</f>
        <v>30.718750000001311</v>
      </c>
    </row>
    <row r="5085" spans="1:9" x14ac:dyDescent="0.2">
      <c r="A5085" t="s">
        <v>5531</v>
      </c>
      <c r="B5085">
        <v>4.92</v>
      </c>
      <c r="C5085">
        <v>6.8925E-2</v>
      </c>
      <c r="D5085">
        <v>286</v>
      </c>
      <c r="E5085" t="s">
        <v>5531</v>
      </c>
      <c r="F5085">
        <v>285</v>
      </c>
      <c r="G5085" s="1">
        <v>45211</v>
      </c>
      <c r="H5085" s="6">
        <f t="shared" si="160"/>
        <v>30.729166666667979</v>
      </c>
      <c r="I5085" s="7">
        <f t="shared" si="161"/>
        <v>30.729166666667979</v>
      </c>
    </row>
    <row r="5086" spans="1:9" x14ac:dyDescent="0.2">
      <c r="A5086" t="s">
        <v>5532</v>
      </c>
      <c r="B5086">
        <v>5.0049999999999999</v>
      </c>
      <c r="C5086">
        <v>7.0114999999999997E-2</v>
      </c>
      <c r="D5086">
        <v>286</v>
      </c>
      <c r="E5086" t="s">
        <v>5532</v>
      </c>
      <c r="F5086">
        <v>285</v>
      </c>
      <c r="G5086" s="1">
        <v>45211</v>
      </c>
      <c r="H5086" s="6">
        <f t="shared" si="160"/>
        <v>30.739583333334647</v>
      </c>
      <c r="I5086" s="7">
        <f t="shared" si="161"/>
        <v>30.739583333334647</v>
      </c>
    </row>
    <row r="5087" spans="1:9" x14ac:dyDescent="0.2">
      <c r="A5087" t="s">
        <v>5533</v>
      </c>
      <c r="B5087">
        <v>5.0759999999999996</v>
      </c>
      <c r="C5087">
        <v>7.1084999999999995E-2</v>
      </c>
      <c r="D5087">
        <v>286</v>
      </c>
      <c r="E5087" t="s">
        <v>5533</v>
      </c>
      <c r="F5087">
        <v>285</v>
      </c>
      <c r="G5087" s="1">
        <v>45211</v>
      </c>
      <c r="H5087" s="6">
        <f t="shared" si="160"/>
        <v>30.750000000001315</v>
      </c>
      <c r="I5087" s="7">
        <f t="shared" si="161"/>
        <v>30.750000000001315</v>
      </c>
    </row>
    <row r="5088" spans="1:9" x14ac:dyDescent="0.2">
      <c r="A5088" t="s">
        <v>5534</v>
      </c>
      <c r="B5088">
        <v>4.4625000000000004</v>
      </c>
      <c r="C5088">
        <v>6.2509999999999996E-2</v>
      </c>
      <c r="D5088">
        <v>286</v>
      </c>
      <c r="E5088" t="s">
        <v>5534</v>
      </c>
      <c r="F5088">
        <v>285</v>
      </c>
      <c r="G5088" s="1">
        <v>45211</v>
      </c>
      <c r="H5088" s="6">
        <f t="shared" si="160"/>
        <v>30.760416666667982</v>
      </c>
      <c r="I5088" s="7">
        <f t="shared" si="161"/>
        <v>30.760416666667982</v>
      </c>
    </row>
    <row r="5089" spans="1:9" x14ac:dyDescent="0.2">
      <c r="A5089" t="s">
        <v>5535</v>
      </c>
      <c r="B5089">
        <v>5.0599999999999996</v>
      </c>
      <c r="C5089">
        <v>7.0864999999999997E-2</v>
      </c>
      <c r="D5089">
        <v>286</v>
      </c>
      <c r="E5089" t="s">
        <v>5535</v>
      </c>
      <c r="F5089">
        <v>285</v>
      </c>
      <c r="G5089" s="1">
        <v>45211</v>
      </c>
      <c r="H5089" s="6">
        <f t="shared" si="160"/>
        <v>30.77083333333465</v>
      </c>
      <c r="I5089" s="7">
        <f t="shared" si="161"/>
        <v>30.77083333333465</v>
      </c>
    </row>
    <row r="5090" spans="1:9" x14ac:dyDescent="0.2">
      <c r="A5090" t="s">
        <v>5536</v>
      </c>
      <c r="B5090">
        <v>5.0194999999999999</v>
      </c>
      <c r="C5090">
        <v>7.0309999999999997E-2</v>
      </c>
      <c r="D5090">
        <v>286</v>
      </c>
      <c r="E5090" t="s">
        <v>5536</v>
      </c>
      <c r="F5090">
        <v>285</v>
      </c>
      <c r="G5090" s="1">
        <v>45211</v>
      </c>
      <c r="H5090" s="6">
        <f t="shared" si="160"/>
        <v>30.781250000001318</v>
      </c>
      <c r="I5090" s="7">
        <f t="shared" si="161"/>
        <v>30.781250000001318</v>
      </c>
    </row>
    <row r="5091" spans="1:9" x14ac:dyDescent="0.2">
      <c r="A5091" t="s">
        <v>5537</v>
      </c>
      <c r="B5091">
        <v>5.1630000000000003</v>
      </c>
      <c r="C5091">
        <v>7.2309999999999999E-2</v>
      </c>
      <c r="D5091">
        <v>286</v>
      </c>
      <c r="E5091" t="s">
        <v>5537</v>
      </c>
      <c r="F5091">
        <v>285</v>
      </c>
      <c r="G5091" s="1">
        <v>45211</v>
      </c>
      <c r="H5091" s="6">
        <f t="shared" si="160"/>
        <v>30.791666666667986</v>
      </c>
      <c r="I5091" s="7">
        <f t="shared" si="161"/>
        <v>30.791666666667986</v>
      </c>
    </row>
    <row r="5092" spans="1:9" x14ac:dyDescent="0.2">
      <c r="A5092" t="s">
        <v>5538</v>
      </c>
      <c r="B5092">
        <v>5.18</v>
      </c>
      <c r="C5092">
        <v>7.2539999999999993E-2</v>
      </c>
      <c r="D5092">
        <v>286</v>
      </c>
      <c r="E5092" t="s">
        <v>5538</v>
      </c>
      <c r="F5092">
        <v>285</v>
      </c>
      <c r="G5092" s="1">
        <v>45211</v>
      </c>
      <c r="H5092" s="6">
        <f t="shared" si="160"/>
        <v>30.802083333334654</v>
      </c>
      <c r="I5092" s="7">
        <f t="shared" si="161"/>
        <v>30.802083333334654</v>
      </c>
    </row>
    <row r="5093" spans="1:9" x14ac:dyDescent="0.2">
      <c r="A5093" t="s">
        <v>5539</v>
      </c>
      <c r="B5093">
        <v>5.2430000000000003</v>
      </c>
      <c r="C5093">
        <v>7.3429999999999995E-2</v>
      </c>
      <c r="D5093">
        <v>286</v>
      </c>
      <c r="E5093" t="s">
        <v>5539</v>
      </c>
      <c r="F5093">
        <v>285</v>
      </c>
      <c r="G5093" s="1">
        <v>45211</v>
      </c>
      <c r="H5093" s="6">
        <f t="shared" si="160"/>
        <v>30.812500000001322</v>
      </c>
      <c r="I5093" s="7">
        <f t="shared" si="161"/>
        <v>30.812500000001322</v>
      </c>
    </row>
    <row r="5094" spans="1:9" x14ac:dyDescent="0.2">
      <c r="A5094" t="s">
        <v>5540</v>
      </c>
      <c r="B5094">
        <v>5.1485000000000003</v>
      </c>
      <c r="C5094">
        <v>7.2124999999999995E-2</v>
      </c>
      <c r="D5094">
        <v>286</v>
      </c>
      <c r="E5094" t="s">
        <v>5540</v>
      </c>
      <c r="F5094">
        <v>285</v>
      </c>
      <c r="G5094" s="1">
        <v>45211</v>
      </c>
      <c r="H5094" s="6">
        <f t="shared" si="160"/>
        <v>30.822916666667989</v>
      </c>
      <c r="I5094" s="7">
        <f t="shared" si="161"/>
        <v>30.822916666667989</v>
      </c>
    </row>
    <row r="5095" spans="1:9" x14ac:dyDescent="0.2">
      <c r="A5095" t="s">
        <v>5541</v>
      </c>
      <c r="B5095">
        <v>5.1885000000000003</v>
      </c>
      <c r="C5095">
        <v>7.2664999999999993E-2</v>
      </c>
      <c r="D5095">
        <v>286</v>
      </c>
      <c r="E5095" t="s">
        <v>5541</v>
      </c>
      <c r="F5095">
        <v>285</v>
      </c>
      <c r="G5095" s="1">
        <v>45211</v>
      </c>
      <c r="H5095" s="6">
        <f t="shared" si="160"/>
        <v>30.833333333334657</v>
      </c>
      <c r="I5095" s="7">
        <f t="shared" si="161"/>
        <v>30.833333333334657</v>
      </c>
    </row>
    <row r="5096" spans="1:9" x14ac:dyDescent="0.2">
      <c r="A5096" t="s">
        <v>5542</v>
      </c>
      <c r="B5096" s="2" t="s">
        <v>5543</v>
      </c>
      <c r="C5096">
        <v>7.1175000000000002E-2</v>
      </c>
      <c r="D5096">
        <v>286</v>
      </c>
      <c r="E5096" t="s">
        <v>5542</v>
      </c>
      <c r="F5096">
        <v>285</v>
      </c>
      <c r="G5096" s="1">
        <v>45211</v>
      </c>
      <c r="H5096" s="6">
        <f t="shared" si="160"/>
        <v>30.843750000001325</v>
      </c>
      <c r="I5096" s="7">
        <f t="shared" si="161"/>
        <v>30.843750000001325</v>
      </c>
    </row>
    <row r="5097" spans="1:9" x14ac:dyDescent="0.2">
      <c r="A5097" t="s">
        <v>5544</v>
      </c>
      <c r="B5097">
        <v>5.1154999999999999</v>
      </c>
      <c r="C5097">
        <v>7.1675000000000003E-2</v>
      </c>
      <c r="D5097">
        <v>286</v>
      </c>
      <c r="E5097" t="s">
        <v>5544</v>
      </c>
      <c r="F5097">
        <v>286</v>
      </c>
      <c r="G5097" s="1">
        <v>45212</v>
      </c>
      <c r="H5097" s="6">
        <f t="shared" si="160"/>
        <v>30.854166666667993</v>
      </c>
      <c r="I5097" s="7">
        <f t="shared" si="161"/>
        <v>30.854166666667993</v>
      </c>
    </row>
    <row r="5098" spans="1:9" x14ac:dyDescent="0.2">
      <c r="A5098" t="s">
        <v>5545</v>
      </c>
      <c r="B5098">
        <v>5.0110000000000001</v>
      </c>
      <c r="C5098">
        <v>7.0194999999999994E-2</v>
      </c>
      <c r="D5098">
        <v>286</v>
      </c>
      <c r="E5098" t="s">
        <v>5545</v>
      </c>
      <c r="F5098">
        <v>286</v>
      </c>
      <c r="G5098" s="1">
        <v>45212</v>
      </c>
      <c r="H5098" s="6">
        <f t="shared" si="160"/>
        <v>30.864583333334661</v>
      </c>
      <c r="I5098" s="7">
        <f t="shared" si="161"/>
        <v>30.864583333334661</v>
      </c>
    </row>
    <row r="5099" spans="1:9" x14ac:dyDescent="0.2">
      <c r="A5099" t="s">
        <v>5546</v>
      </c>
      <c r="B5099">
        <v>5.0629999999999997</v>
      </c>
      <c r="C5099">
        <v>7.0919999999999997E-2</v>
      </c>
      <c r="D5099">
        <v>286</v>
      </c>
      <c r="E5099" t="s">
        <v>5546</v>
      </c>
      <c r="F5099">
        <v>286</v>
      </c>
      <c r="G5099" s="1">
        <v>45212</v>
      </c>
      <c r="H5099" s="6">
        <f t="shared" si="160"/>
        <v>30.875000000001329</v>
      </c>
      <c r="I5099" s="7">
        <f t="shared" si="161"/>
        <v>30.875000000001329</v>
      </c>
    </row>
    <row r="5100" spans="1:9" x14ac:dyDescent="0.2">
      <c r="A5100" t="s">
        <v>5547</v>
      </c>
      <c r="B5100">
        <v>5.1139999999999999</v>
      </c>
      <c r="C5100">
        <v>7.1624999999999994E-2</v>
      </c>
      <c r="D5100">
        <v>286</v>
      </c>
      <c r="E5100" t="s">
        <v>5547</v>
      </c>
      <c r="F5100">
        <v>286</v>
      </c>
      <c r="G5100" s="1">
        <v>45212</v>
      </c>
      <c r="H5100" s="6">
        <f t="shared" si="160"/>
        <v>30.885416666667997</v>
      </c>
      <c r="I5100" s="7">
        <f t="shared" si="161"/>
        <v>30.885416666667997</v>
      </c>
    </row>
    <row r="5101" spans="1:9" x14ac:dyDescent="0.2">
      <c r="A5101" t="s">
        <v>5548</v>
      </c>
      <c r="B5101">
        <v>5.0034999999999998</v>
      </c>
      <c r="C5101">
        <v>7.0084999999999995E-2</v>
      </c>
      <c r="D5101">
        <v>286</v>
      </c>
      <c r="E5101" t="s">
        <v>5548</v>
      </c>
      <c r="F5101">
        <v>286</v>
      </c>
      <c r="G5101" s="1">
        <v>45212</v>
      </c>
      <c r="H5101" s="6">
        <f t="shared" si="160"/>
        <v>30.895833333334664</v>
      </c>
      <c r="I5101" s="7">
        <f t="shared" si="161"/>
        <v>30.895833333334664</v>
      </c>
    </row>
    <row r="5102" spans="1:9" x14ac:dyDescent="0.2">
      <c r="A5102" t="s">
        <v>5549</v>
      </c>
      <c r="B5102">
        <v>5.2805</v>
      </c>
      <c r="C5102">
        <v>7.3954999999999896E-2</v>
      </c>
      <c r="D5102">
        <v>286</v>
      </c>
      <c r="E5102" t="s">
        <v>5549</v>
      </c>
      <c r="F5102">
        <v>286</v>
      </c>
      <c r="G5102" s="1">
        <v>45212</v>
      </c>
      <c r="H5102" s="6">
        <f t="shared" si="160"/>
        <v>30.906250000001332</v>
      </c>
      <c r="I5102" s="7">
        <f t="shared" si="161"/>
        <v>30.906250000001332</v>
      </c>
    </row>
    <row r="5103" spans="1:9" x14ac:dyDescent="0.2">
      <c r="A5103" t="s">
        <v>5550</v>
      </c>
      <c r="B5103">
        <v>5.2949999999999999</v>
      </c>
      <c r="C5103">
        <v>7.4160000000000004E-2</v>
      </c>
      <c r="D5103">
        <v>286</v>
      </c>
      <c r="E5103" t="s">
        <v>5550</v>
      </c>
      <c r="F5103">
        <v>286</v>
      </c>
      <c r="G5103" s="1">
        <v>45212</v>
      </c>
      <c r="H5103" s="6">
        <f t="shared" si="160"/>
        <v>30.916666666668</v>
      </c>
      <c r="I5103" s="7">
        <f t="shared" si="161"/>
        <v>30.916666666668</v>
      </c>
    </row>
    <row r="5104" spans="1:9" x14ac:dyDescent="0.2">
      <c r="A5104" t="s">
        <v>5551</v>
      </c>
      <c r="B5104">
        <v>5.3029999999999999</v>
      </c>
      <c r="C5104">
        <v>7.4285000000000004E-2</v>
      </c>
      <c r="D5104">
        <v>286</v>
      </c>
      <c r="E5104" t="s">
        <v>5551</v>
      </c>
      <c r="F5104">
        <v>286</v>
      </c>
      <c r="G5104" s="1">
        <v>45212</v>
      </c>
      <c r="H5104" s="6">
        <f t="shared" si="160"/>
        <v>30.927083333334668</v>
      </c>
      <c r="I5104" s="7">
        <f t="shared" si="161"/>
        <v>30.927083333334668</v>
      </c>
    </row>
    <row r="5105" spans="1:9" x14ac:dyDescent="0.2">
      <c r="A5105" t="s">
        <v>5552</v>
      </c>
      <c r="B5105">
        <v>5.3125</v>
      </c>
      <c r="C5105">
        <v>7.4395000000000003E-2</v>
      </c>
      <c r="D5105">
        <v>286</v>
      </c>
      <c r="E5105" t="s">
        <v>5552</v>
      </c>
      <c r="F5105">
        <v>286</v>
      </c>
      <c r="G5105" s="1">
        <v>45212</v>
      </c>
      <c r="H5105" s="6">
        <f t="shared" si="160"/>
        <v>30.937500000001336</v>
      </c>
      <c r="I5105" s="7">
        <f t="shared" si="161"/>
        <v>30.937500000001336</v>
      </c>
    </row>
    <row r="5106" spans="1:9" x14ac:dyDescent="0.2">
      <c r="A5106" t="s">
        <v>5553</v>
      </c>
      <c r="B5106">
        <v>5.2809999999999997</v>
      </c>
      <c r="C5106">
        <v>7.3974999999999999E-2</v>
      </c>
      <c r="D5106">
        <v>286</v>
      </c>
      <c r="E5106" t="s">
        <v>5553</v>
      </c>
      <c r="F5106">
        <v>286</v>
      </c>
      <c r="G5106" s="1">
        <v>45212</v>
      </c>
      <c r="H5106" s="6">
        <f t="shared" si="160"/>
        <v>30.947916666668004</v>
      </c>
      <c r="I5106" s="7">
        <f t="shared" si="161"/>
        <v>30.947916666668004</v>
      </c>
    </row>
    <row r="5107" spans="1:9" x14ac:dyDescent="0.2">
      <c r="A5107" t="s">
        <v>5554</v>
      </c>
      <c r="B5107">
        <v>5.2294999999999998</v>
      </c>
      <c r="C5107">
        <v>7.3245000000000005E-2</v>
      </c>
      <c r="D5107">
        <v>286</v>
      </c>
      <c r="E5107" t="s">
        <v>5554</v>
      </c>
      <c r="F5107">
        <v>286</v>
      </c>
      <c r="G5107" s="1">
        <v>45212</v>
      </c>
      <c r="H5107" s="6">
        <f t="shared" si="160"/>
        <v>30.958333333334672</v>
      </c>
      <c r="I5107" s="7">
        <f t="shared" si="161"/>
        <v>30.958333333334672</v>
      </c>
    </row>
    <row r="5108" spans="1:9" x14ac:dyDescent="0.2">
      <c r="A5108" t="s">
        <v>5555</v>
      </c>
      <c r="B5108">
        <v>5.3440000000000003</v>
      </c>
      <c r="C5108">
        <v>7.485E-2</v>
      </c>
      <c r="D5108">
        <v>286</v>
      </c>
      <c r="E5108" t="s">
        <v>5555</v>
      </c>
      <c r="F5108">
        <v>286</v>
      </c>
      <c r="G5108" s="1">
        <v>45212</v>
      </c>
      <c r="H5108" s="6">
        <f t="shared" si="160"/>
        <v>30.968750000001339</v>
      </c>
      <c r="I5108" s="7">
        <f t="shared" si="161"/>
        <v>30.968750000001339</v>
      </c>
    </row>
    <row r="5109" spans="1:9" x14ac:dyDescent="0.2">
      <c r="A5109" t="s">
        <v>5556</v>
      </c>
      <c r="B5109">
        <v>5.4589999999999996</v>
      </c>
      <c r="C5109">
        <v>7.6465000000000005E-2</v>
      </c>
      <c r="D5109">
        <v>286</v>
      </c>
      <c r="E5109" t="s">
        <v>5556</v>
      </c>
      <c r="F5109">
        <v>286</v>
      </c>
      <c r="G5109" s="1">
        <v>45212</v>
      </c>
      <c r="H5109" s="6">
        <f t="shared" si="160"/>
        <v>30.979166666668007</v>
      </c>
      <c r="I5109" s="7">
        <f t="shared" si="161"/>
        <v>30.979166666668007</v>
      </c>
    </row>
    <row r="5110" spans="1:9" x14ac:dyDescent="0.2">
      <c r="A5110" t="s">
        <v>5557</v>
      </c>
      <c r="B5110">
        <v>5.12</v>
      </c>
      <c r="C5110">
        <v>7.1724999999999997E-2</v>
      </c>
      <c r="D5110">
        <v>286</v>
      </c>
      <c r="E5110" t="s">
        <v>5557</v>
      </c>
      <c r="F5110">
        <v>286</v>
      </c>
      <c r="G5110" s="1">
        <v>45212</v>
      </c>
      <c r="H5110" s="6">
        <f t="shared" si="160"/>
        <v>30.989583333334675</v>
      </c>
      <c r="I5110" s="7">
        <f t="shared" si="161"/>
        <v>30.989583333334675</v>
      </c>
    </row>
    <row r="5111" spans="1:9" x14ac:dyDescent="0.2">
      <c r="A5111" t="s">
        <v>5558</v>
      </c>
      <c r="B5111">
        <v>5.1050000000000004</v>
      </c>
      <c r="C5111">
        <v>7.1499999999999994E-2</v>
      </c>
      <c r="D5111">
        <v>286</v>
      </c>
      <c r="E5111" t="s">
        <v>5558</v>
      </c>
      <c r="F5111">
        <v>286</v>
      </c>
      <c r="G5111" s="1">
        <v>45212</v>
      </c>
      <c r="H5111" s="6">
        <f t="shared" si="160"/>
        <v>31.000000000001343</v>
      </c>
      <c r="I5111" s="7">
        <f t="shared" si="161"/>
        <v>31.000000000001343</v>
      </c>
    </row>
    <row r="5112" spans="1:9" x14ac:dyDescent="0.2">
      <c r="A5112" t="s">
        <v>5559</v>
      </c>
      <c r="B5112" s="2" t="s">
        <v>5560</v>
      </c>
      <c r="C5112" s="2" t="s">
        <v>5561</v>
      </c>
      <c r="D5112">
        <v>286</v>
      </c>
      <c r="E5112" t="s">
        <v>5559</v>
      </c>
      <c r="F5112">
        <v>286</v>
      </c>
      <c r="G5112" s="1">
        <v>45212</v>
      </c>
      <c r="H5112" s="6">
        <f t="shared" si="160"/>
        <v>31.010416666668011</v>
      </c>
      <c r="I5112" s="7">
        <f t="shared" si="161"/>
        <v>31.010416666668011</v>
      </c>
    </row>
    <row r="5113" spans="1:9" x14ac:dyDescent="0.2">
      <c r="A5113" t="s">
        <v>5562</v>
      </c>
      <c r="B5113">
        <v>5.1505000000000001</v>
      </c>
      <c r="C5113">
        <v>7.2124999999999995E-2</v>
      </c>
      <c r="D5113">
        <v>286</v>
      </c>
      <c r="E5113" t="s">
        <v>5562</v>
      </c>
      <c r="F5113">
        <v>286</v>
      </c>
      <c r="G5113" s="1">
        <v>45212</v>
      </c>
      <c r="H5113" s="6">
        <f t="shared" si="160"/>
        <v>31.020833333334679</v>
      </c>
      <c r="I5113" s="7">
        <f t="shared" si="161"/>
        <v>31.020833333334679</v>
      </c>
    </row>
    <row r="5114" spans="1:9" x14ac:dyDescent="0.2">
      <c r="A5114" t="s">
        <v>5563</v>
      </c>
      <c r="B5114">
        <v>5.0659999999999998</v>
      </c>
      <c r="C5114">
        <v>7.0934999999999998E-2</v>
      </c>
      <c r="D5114">
        <v>286</v>
      </c>
      <c r="E5114" t="s">
        <v>5563</v>
      </c>
      <c r="F5114">
        <v>286</v>
      </c>
      <c r="G5114" s="1">
        <v>45212</v>
      </c>
      <c r="H5114" s="6">
        <f t="shared" si="160"/>
        <v>31.031250000001346</v>
      </c>
      <c r="I5114" s="7">
        <f t="shared" si="161"/>
        <v>31.031250000001346</v>
      </c>
    </row>
    <row r="5115" spans="1:9" x14ac:dyDescent="0.2">
      <c r="A5115" t="s">
        <v>5564</v>
      </c>
      <c r="B5115">
        <v>4.9770000000000003</v>
      </c>
      <c r="C5115">
        <v>6.9714999999999999E-2</v>
      </c>
      <c r="D5115">
        <v>286</v>
      </c>
      <c r="E5115" t="s">
        <v>5564</v>
      </c>
      <c r="F5115">
        <v>286</v>
      </c>
      <c r="G5115" s="1">
        <v>45212</v>
      </c>
      <c r="H5115" s="6">
        <f t="shared" si="160"/>
        <v>31.041666666668014</v>
      </c>
      <c r="I5115" s="7">
        <f t="shared" si="161"/>
        <v>31.041666666668014</v>
      </c>
    </row>
    <row r="5116" spans="1:9" x14ac:dyDescent="0.2">
      <c r="A5116" t="s">
        <v>5565</v>
      </c>
      <c r="B5116">
        <v>5.3914999999999997</v>
      </c>
      <c r="C5116">
        <v>7.5509999999999994E-2</v>
      </c>
      <c r="D5116">
        <v>286</v>
      </c>
      <c r="E5116" t="s">
        <v>5565</v>
      </c>
      <c r="F5116">
        <v>286</v>
      </c>
      <c r="G5116" s="1">
        <v>45212</v>
      </c>
      <c r="H5116" s="6">
        <f t="shared" si="160"/>
        <v>31.052083333334682</v>
      </c>
      <c r="I5116" s="7">
        <f t="shared" si="161"/>
        <v>31.052083333334682</v>
      </c>
    </row>
    <row r="5117" spans="1:9" x14ac:dyDescent="0.2">
      <c r="A5117" t="s">
        <v>5566</v>
      </c>
      <c r="B5117">
        <v>5.5625</v>
      </c>
      <c r="C5117">
        <v>7.7920000000000003E-2</v>
      </c>
      <c r="D5117">
        <v>286</v>
      </c>
      <c r="E5117" t="s">
        <v>5566</v>
      </c>
      <c r="F5117">
        <v>286</v>
      </c>
      <c r="G5117" s="1">
        <v>45212</v>
      </c>
      <c r="H5117" s="6">
        <f t="shared" si="160"/>
        <v>31.06250000000135</v>
      </c>
      <c r="I5117" s="7">
        <f t="shared" si="161"/>
        <v>31.06250000000135</v>
      </c>
    </row>
    <row r="5118" spans="1:9" x14ac:dyDescent="0.2">
      <c r="A5118" t="s">
        <v>5567</v>
      </c>
      <c r="B5118">
        <v>5.5514999999999999</v>
      </c>
      <c r="C5118">
        <v>7.7759999999999996E-2</v>
      </c>
      <c r="D5118">
        <v>286</v>
      </c>
      <c r="E5118" t="s">
        <v>5567</v>
      </c>
      <c r="F5118">
        <v>286</v>
      </c>
      <c r="G5118" s="1">
        <v>45212</v>
      </c>
      <c r="H5118" s="6">
        <f t="shared" si="160"/>
        <v>31.072916666668018</v>
      </c>
      <c r="I5118" s="7">
        <f t="shared" si="161"/>
        <v>31.072916666668018</v>
      </c>
    </row>
    <row r="5119" spans="1:9" x14ac:dyDescent="0.2">
      <c r="A5119" t="s">
        <v>5568</v>
      </c>
      <c r="B5119" s="2" t="s">
        <v>5569</v>
      </c>
      <c r="C5119">
        <v>7.4429999999999996E-2</v>
      </c>
      <c r="D5119">
        <v>286</v>
      </c>
      <c r="E5119" t="s">
        <v>5568</v>
      </c>
      <c r="F5119">
        <v>286</v>
      </c>
      <c r="G5119" s="1">
        <v>45212</v>
      </c>
      <c r="H5119" s="6">
        <f t="shared" si="160"/>
        <v>31.083333333334686</v>
      </c>
      <c r="I5119" s="7">
        <f t="shared" si="161"/>
        <v>31.083333333334686</v>
      </c>
    </row>
    <row r="5120" spans="1:9" x14ac:dyDescent="0.2">
      <c r="A5120" t="s">
        <v>5570</v>
      </c>
      <c r="B5120">
        <v>5.1555</v>
      </c>
      <c r="C5120">
        <v>7.2224999999999998E-2</v>
      </c>
      <c r="D5120">
        <v>286</v>
      </c>
      <c r="E5120" t="s">
        <v>5570</v>
      </c>
      <c r="F5120">
        <v>286</v>
      </c>
      <c r="G5120" s="1">
        <v>45212</v>
      </c>
      <c r="H5120" s="6">
        <f t="shared" si="160"/>
        <v>31.093750000001354</v>
      </c>
      <c r="I5120" s="7">
        <f t="shared" si="161"/>
        <v>31.093750000001354</v>
      </c>
    </row>
    <row r="5121" spans="1:9" x14ac:dyDescent="0.2">
      <c r="A5121" t="s">
        <v>5571</v>
      </c>
      <c r="B5121">
        <v>5.2335000000000003</v>
      </c>
      <c r="C5121">
        <v>7.331E-2</v>
      </c>
      <c r="D5121">
        <v>286</v>
      </c>
      <c r="E5121" t="s">
        <v>5571</v>
      </c>
      <c r="F5121">
        <v>286</v>
      </c>
      <c r="G5121" s="1">
        <v>45212</v>
      </c>
      <c r="H5121" s="6">
        <f t="shared" si="160"/>
        <v>31.104166666668021</v>
      </c>
      <c r="I5121" s="7">
        <f t="shared" si="161"/>
        <v>31.104166666668021</v>
      </c>
    </row>
    <row r="5122" spans="1:9" x14ac:dyDescent="0.2">
      <c r="A5122" t="s">
        <v>5572</v>
      </c>
      <c r="B5122">
        <v>5.1795</v>
      </c>
      <c r="C5122">
        <v>7.2550000000000003E-2</v>
      </c>
      <c r="D5122">
        <v>286</v>
      </c>
      <c r="E5122" t="s">
        <v>5572</v>
      </c>
      <c r="F5122">
        <v>286</v>
      </c>
      <c r="G5122" s="1">
        <v>45212</v>
      </c>
      <c r="H5122" s="6">
        <f t="shared" si="160"/>
        <v>31.114583333334689</v>
      </c>
      <c r="I5122" s="7">
        <f t="shared" si="161"/>
        <v>31.114583333334689</v>
      </c>
    </row>
    <row r="5123" spans="1:9" x14ac:dyDescent="0.2">
      <c r="A5123" t="s">
        <v>5573</v>
      </c>
      <c r="B5123" s="2" t="s">
        <v>5344</v>
      </c>
      <c r="C5123">
        <v>7.3065000000000005E-2</v>
      </c>
      <c r="D5123">
        <v>286</v>
      </c>
      <c r="E5123" t="s">
        <v>5573</v>
      </c>
      <c r="F5123">
        <v>286</v>
      </c>
      <c r="G5123" s="1">
        <v>45212</v>
      </c>
      <c r="H5123" s="6">
        <f t="shared" si="160"/>
        <v>31.125000000001357</v>
      </c>
      <c r="I5123" s="7">
        <f t="shared" si="161"/>
        <v>31.125000000001357</v>
      </c>
    </row>
    <row r="5124" spans="1:9" x14ac:dyDescent="0.2">
      <c r="A5124" t="s">
        <v>5574</v>
      </c>
      <c r="B5124">
        <v>5.1269999999999998</v>
      </c>
      <c r="C5124">
        <v>7.1804999999999994E-2</v>
      </c>
      <c r="D5124">
        <v>286</v>
      </c>
      <c r="E5124" t="s">
        <v>5574</v>
      </c>
      <c r="F5124">
        <v>286</v>
      </c>
      <c r="G5124" s="1">
        <v>45212</v>
      </c>
      <c r="H5124" s="6">
        <f t="shared" si="160"/>
        <v>31.135416666668025</v>
      </c>
      <c r="I5124" s="7">
        <f t="shared" si="161"/>
        <v>31.135416666668025</v>
      </c>
    </row>
    <row r="5125" spans="1:9" x14ac:dyDescent="0.2">
      <c r="A5125" t="s">
        <v>5575</v>
      </c>
      <c r="B5125">
        <v>5.1965000000000003</v>
      </c>
      <c r="C5125">
        <v>7.2770000000000001E-2</v>
      </c>
      <c r="D5125">
        <v>286</v>
      </c>
      <c r="E5125" t="s">
        <v>5575</v>
      </c>
      <c r="F5125">
        <v>286</v>
      </c>
      <c r="G5125" s="1">
        <v>45212</v>
      </c>
      <c r="H5125" s="6">
        <f t="shared" si="160"/>
        <v>31.145833333334693</v>
      </c>
      <c r="I5125" s="7">
        <f t="shared" si="161"/>
        <v>31.145833333334693</v>
      </c>
    </row>
    <row r="5126" spans="1:9" x14ac:dyDescent="0.2">
      <c r="A5126" t="s">
        <v>5576</v>
      </c>
      <c r="B5126">
        <v>5.3964999999999996</v>
      </c>
      <c r="C5126">
        <v>7.5584999999999999E-2</v>
      </c>
      <c r="D5126">
        <v>286</v>
      </c>
      <c r="E5126" t="s">
        <v>5576</v>
      </c>
      <c r="F5126">
        <v>286</v>
      </c>
      <c r="G5126" s="1">
        <v>45212</v>
      </c>
      <c r="H5126" s="6">
        <f t="shared" si="160"/>
        <v>31.156250000001361</v>
      </c>
      <c r="I5126" s="7">
        <f t="shared" si="161"/>
        <v>31.156250000001361</v>
      </c>
    </row>
    <row r="5127" spans="1:9" x14ac:dyDescent="0.2">
      <c r="A5127" t="s">
        <v>5577</v>
      </c>
      <c r="B5127">
        <v>5.2290000000000001</v>
      </c>
      <c r="C5127">
        <v>7.3230000000000003E-2</v>
      </c>
      <c r="D5127">
        <v>286</v>
      </c>
      <c r="E5127" t="s">
        <v>5577</v>
      </c>
      <c r="F5127">
        <v>286</v>
      </c>
      <c r="G5127" s="1">
        <v>45212</v>
      </c>
      <c r="H5127" s="6">
        <f t="shared" si="160"/>
        <v>31.166666666668029</v>
      </c>
      <c r="I5127" s="7">
        <f t="shared" si="161"/>
        <v>31.166666666668029</v>
      </c>
    </row>
    <row r="5128" spans="1:9" x14ac:dyDescent="0.2">
      <c r="A5128" t="s">
        <v>5578</v>
      </c>
      <c r="B5128">
        <v>5.3170000000000002</v>
      </c>
      <c r="C5128">
        <v>7.4475E-2</v>
      </c>
      <c r="D5128">
        <v>286</v>
      </c>
      <c r="E5128" t="s">
        <v>5578</v>
      </c>
      <c r="F5128">
        <v>286</v>
      </c>
      <c r="G5128" s="1">
        <v>45212</v>
      </c>
      <c r="H5128" s="6">
        <f t="shared" si="160"/>
        <v>31.177083333334696</v>
      </c>
      <c r="I5128" s="7">
        <f t="shared" si="161"/>
        <v>31.177083333334696</v>
      </c>
    </row>
    <row r="5129" spans="1:9" x14ac:dyDescent="0.2">
      <c r="A5129" t="s">
        <v>5579</v>
      </c>
      <c r="B5129">
        <v>5.2610000000000001</v>
      </c>
      <c r="C5129">
        <v>7.3690000000000005E-2</v>
      </c>
      <c r="D5129">
        <v>286</v>
      </c>
      <c r="E5129" t="s">
        <v>5579</v>
      </c>
      <c r="F5129">
        <v>286</v>
      </c>
      <c r="G5129" s="1">
        <v>45212</v>
      </c>
      <c r="H5129" s="6">
        <f t="shared" si="160"/>
        <v>31.187500000001364</v>
      </c>
      <c r="I5129" s="7">
        <f t="shared" si="161"/>
        <v>31.187500000001364</v>
      </c>
    </row>
    <row r="5130" spans="1:9" x14ac:dyDescent="0.2">
      <c r="A5130" t="s">
        <v>5580</v>
      </c>
      <c r="B5130">
        <v>5.3330000000000002</v>
      </c>
      <c r="C5130">
        <v>7.4704999999999994E-2</v>
      </c>
      <c r="D5130">
        <v>286</v>
      </c>
      <c r="E5130" t="s">
        <v>5580</v>
      </c>
      <c r="F5130">
        <v>286</v>
      </c>
      <c r="G5130" s="1">
        <v>45212</v>
      </c>
      <c r="H5130" s="6">
        <f t="shared" si="160"/>
        <v>31.197916666668032</v>
      </c>
      <c r="I5130" s="7">
        <f t="shared" si="161"/>
        <v>31.197916666668032</v>
      </c>
    </row>
    <row r="5131" spans="1:9" x14ac:dyDescent="0.2">
      <c r="A5131" t="s">
        <v>5581</v>
      </c>
      <c r="B5131">
        <v>5.2125000000000004</v>
      </c>
      <c r="C5131">
        <v>7.2999999999999995E-2</v>
      </c>
      <c r="D5131">
        <v>286</v>
      </c>
      <c r="E5131" t="s">
        <v>5581</v>
      </c>
      <c r="F5131">
        <v>286</v>
      </c>
      <c r="G5131" s="1">
        <v>45212</v>
      </c>
      <c r="H5131" s="6">
        <f t="shared" si="160"/>
        <v>31.2083333333347</v>
      </c>
      <c r="I5131" s="7">
        <f t="shared" si="161"/>
        <v>31.2083333333347</v>
      </c>
    </row>
    <row r="5132" spans="1:9" x14ac:dyDescent="0.2">
      <c r="A5132" t="s">
        <v>5582</v>
      </c>
      <c r="B5132">
        <v>5.0964999999999998</v>
      </c>
      <c r="C5132">
        <v>7.1395E-2</v>
      </c>
      <c r="D5132">
        <v>286</v>
      </c>
      <c r="E5132" t="s">
        <v>5582</v>
      </c>
      <c r="F5132">
        <v>286</v>
      </c>
      <c r="G5132" s="1">
        <v>45212</v>
      </c>
      <c r="H5132" s="6">
        <f t="shared" si="160"/>
        <v>31.218750000001368</v>
      </c>
      <c r="I5132" s="7">
        <f t="shared" si="161"/>
        <v>31.218750000001368</v>
      </c>
    </row>
    <row r="5133" spans="1:9" x14ac:dyDescent="0.2">
      <c r="A5133" t="s">
        <v>5583</v>
      </c>
      <c r="B5133">
        <v>5.2015000000000002</v>
      </c>
      <c r="C5133">
        <v>7.2855000000000003E-2</v>
      </c>
      <c r="D5133">
        <v>286</v>
      </c>
      <c r="E5133" t="s">
        <v>5583</v>
      </c>
      <c r="F5133">
        <v>286</v>
      </c>
      <c r="G5133" s="1">
        <v>45212</v>
      </c>
      <c r="H5133" s="6">
        <f t="shared" si="160"/>
        <v>31.229166666668036</v>
      </c>
      <c r="I5133" s="7">
        <f t="shared" si="161"/>
        <v>31.229166666668036</v>
      </c>
    </row>
    <row r="5134" spans="1:9" x14ac:dyDescent="0.2">
      <c r="A5134" t="s">
        <v>5584</v>
      </c>
      <c r="B5134">
        <v>5.1965000000000003</v>
      </c>
      <c r="C5134">
        <v>7.2775000000000006E-2</v>
      </c>
      <c r="D5134">
        <v>286</v>
      </c>
      <c r="E5134" t="s">
        <v>5584</v>
      </c>
      <c r="F5134">
        <v>286</v>
      </c>
      <c r="G5134" s="1">
        <v>45212</v>
      </c>
      <c r="H5134" s="6">
        <f t="shared" si="160"/>
        <v>31.239583333334703</v>
      </c>
      <c r="I5134" s="7">
        <f t="shared" si="161"/>
        <v>31.239583333334703</v>
      </c>
    </row>
    <row r="5135" spans="1:9" x14ac:dyDescent="0.2">
      <c r="A5135" t="s">
        <v>5585</v>
      </c>
      <c r="B5135">
        <v>5.2314999999999996</v>
      </c>
      <c r="C5135">
        <v>7.3270000000000002E-2</v>
      </c>
      <c r="D5135">
        <v>286</v>
      </c>
      <c r="E5135" t="s">
        <v>5585</v>
      </c>
      <c r="F5135">
        <v>286</v>
      </c>
      <c r="G5135" s="1">
        <v>45212</v>
      </c>
      <c r="H5135" s="6">
        <f t="shared" si="160"/>
        <v>31.250000000001371</v>
      </c>
      <c r="I5135" s="7">
        <f t="shared" si="161"/>
        <v>31.250000000001371</v>
      </c>
    </row>
    <row r="5136" spans="1:9" x14ac:dyDescent="0.2">
      <c r="A5136" t="s">
        <v>5586</v>
      </c>
      <c r="B5136">
        <v>5.07</v>
      </c>
      <c r="C5136">
        <v>7.1014999999999995E-2</v>
      </c>
      <c r="D5136">
        <v>286</v>
      </c>
      <c r="E5136" t="s">
        <v>5586</v>
      </c>
      <c r="F5136">
        <v>286</v>
      </c>
      <c r="G5136" s="1">
        <v>45212</v>
      </c>
      <c r="H5136" s="6">
        <f t="shared" si="160"/>
        <v>31.260416666668039</v>
      </c>
      <c r="I5136" s="7">
        <f t="shared" si="161"/>
        <v>31.260416666668039</v>
      </c>
    </row>
    <row r="5137" spans="1:9" x14ac:dyDescent="0.2">
      <c r="A5137" t="s">
        <v>5587</v>
      </c>
      <c r="B5137">
        <v>4.9115000000000002</v>
      </c>
      <c r="C5137">
        <v>6.88E-2</v>
      </c>
      <c r="D5137">
        <v>286</v>
      </c>
      <c r="E5137" t="s">
        <v>5587</v>
      </c>
      <c r="F5137">
        <v>286</v>
      </c>
      <c r="G5137" s="1">
        <v>45212</v>
      </c>
      <c r="H5137" s="6">
        <f t="shared" si="160"/>
        <v>31.270833333334707</v>
      </c>
      <c r="I5137" s="7">
        <f t="shared" si="161"/>
        <v>31.270833333334707</v>
      </c>
    </row>
    <row r="5138" spans="1:9" x14ac:dyDescent="0.2">
      <c r="A5138" t="s">
        <v>5588</v>
      </c>
      <c r="B5138">
        <v>5.1825000000000001</v>
      </c>
      <c r="C5138">
        <v>7.2594999999999896E-2</v>
      </c>
      <c r="D5138">
        <v>286</v>
      </c>
      <c r="E5138" t="s">
        <v>5588</v>
      </c>
      <c r="F5138">
        <v>286</v>
      </c>
      <c r="G5138" s="1">
        <v>45212</v>
      </c>
      <c r="H5138" s="6">
        <f t="shared" si="160"/>
        <v>31.281250000001375</v>
      </c>
      <c r="I5138" s="7">
        <f t="shared" si="161"/>
        <v>31.281250000001375</v>
      </c>
    </row>
    <row r="5139" spans="1:9" x14ac:dyDescent="0.2">
      <c r="A5139" t="s">
        <v>5589</v>
      </c>
      <c r="B5139" s="2" t="s">
        <v>5161</v>
      </c>
      <c r="C5139">
        <v>7.1080000000000004E-2</v>
      </c>
      <c r="D5139">
        <v>286</v>
      </c>
      <c r="E5139" t="s">
        <v>5589</v>
      </c>
      <c r="F5139">
        <v>286</v>
      </c>
      <c r="G5139" s="1">
        <v>45212</v>
      </c>
      <c r="H5139" s="6">
        <f t="shared" si="160"/>
        <v>31.291666666668043</v>
      </c>
      <c r="I5139" s="7">
        <f t="shared" si="161"/>
        <v>31.291666666668043</v>
      </c>
    </row>
    <row r="5140" spans="1:9" x14ac:dyDescent="0.2">
      <c r="A5140" t="s">
        <v>5590</v>
      </c>
      <c r="B5140">
        <v>4.7865000000000002</v>
      </c>
      <c r="C5140">
        <v>6.7040000000000002E-2</v>
      </c>
      <c r="D5140">
        <v>286</v>
      </c>
      <c r="E5140" t="s">
        <v>5590</v>
      </c>
      <c r="F5140">
        <v>286</v>
      </c>
      <c r="G5140" s="1">
        <v>45212</v>
      </c>
      <c r="H5140" s="6">
        <f t="shared" si="160"/>
        <v>31.302083333334711</v>
      </c>
      <c r="I5140" s="7">
        <f t="shared" si="161"/>
        <v>31.302083333334711</v>
      </c>
    </row>
    <row r="5141" spans="1:9" x14ac:dyDescent="0.2">
      <c r="A5141" t="s">
        <v>5591</v>
      </c>
      <c r="B5141">
        <v>4.8819999999999997</v>
      </c>
      <c r="C5141">
        <v>6.8360000000000004E-2</v>
      </c>
      <c r="D5141">
        <v>286</v>
      </c>
      <c r="E5141" t="s">
        <v>5591</v>
      </c>
      <c r="F5141">
        <v>286</v>
      </c>
      <c r="G5141" s="1">
        <v>45212</v>
      </c>
      <c r="H5141" s="6">
        <f t="shared" si="160"/>
        <v>31.312500000001378</v>
      </c>
      <c r="I5141" s="7">
        <f t="shared" si="161"/>
        <v>31.312500000001378</v>
      </c>
    </row>
    <row r="5142" spans="1:9" x14ac:dyDescent="0.2">
      <c r="A5142" t="s">
        <v>5592</v>
      </c>
      <c r="B5142">
        <v>4.8460000000000001</v>
      </c>
      <c r="C5142">
        <v>6.7875000000000005E-2</v>
      </c>
      <c r="D5142">
        <v>286</v>
      </c>
      <c r="E5142" t="s">
        <v>5592</v>
      </c>
      <c r="F5142">
        <v>286</v>
      </c>
      <c r="G5142" s="1">
        <v>45212</v>
      </c>
      <c r="H5142" s="6">
        <f t="shared" si="160"/>
        <v>31.322916666668046</v>
      </c>
      <c r="I5142" s="7">
        <f t="shared" si="161"/>
        <v>31.322916666668046</v>
      </c>
    </row>
    <row r="5143" spans="1:9" x14ac:dyDescent="0.2">
      <c r="A5143" t="s">
        <v>5593</v>
      </c>
      <c r="B5143">
        <v>4.8525</v>
      </c>
      <c r="C5143">
        <v>6.7974999999999994E-2</v>
      </c>
      <c r="D5143">
        <v>286</v>
      </c>
      <c r="E5143" t="s">
        <v>5593</v>
      </c>
      <c r="F5143">
        <v>286</v>
      </c>
      <c r="G5143" s="1">
        <v>45212</v>
      </c>
      <c r="H5143" s="6">
        <f t="shared" si="160"/>
        <v>31.333333333334714</v>
      </c>
      <c r="I5143" s="7">
        <f t="shared" si="161"/>
        <v>31.333333333334714</v>
      </c>
    </row>
    <row r="5144" spans="1:9" x14ac:dyDescent="0.2">
      <c r="A5144" t="s">
        <v>5594</v>
      </c>
      <c r="B5144">
        <v>4.8855000000000004</v>
      </c>
      <c r="C5144">
        <v>6.8415000000000004E-2</v>
      </c>
      <c r="D5144">
        <v>286</v>
      </c>
      <c r="E5144" t="s">
        <v>5594</v>
      </c>
      <c r="F5144">
        <v>286</v>
      </c>
      <c r="G5144" s="1">
        <v>45212</v>
      </c>
      <c r="H5144" s="6">
        <f t="shared" si="160"/>
        <v>31.343750000001382</v>
      </c>
      <c r="I5144" s="7">
        <f t="shared" si="161"/>
        <v>31.343750000001382</v>
      </c>
    </row>
    <row r="5145" spans="1:9" x14ac:dyDescent="0.2">
      <c r="A5145" t="s">
        <v>5595</v>
      </c>
      <c r="B5145">
        <v>4.7374999999999998</v>
      </c>
      <c r="C5145">
        <v>6.6350000000000006E-2</v>
      </c>
      <c r="D5145">
        <v>286</v>
      </c>
      <c r="E5145" t="s">
        <v>5595</v>
      </c>
      <c r="F5145">
        <v>286</v>
      </c>
      <c r="G5145" s="1">
        <v>45212</v>
      </c>
      <c r="H5145" s="6">
        <f t="shared" si="160"/>
        <v>31.35416666666805</v>
      </c>
      <c r="I5145" s="7">
        <f t="shared" si="161"/>
        <v>31.35416666666805</v>
      </c>
    </row>
    <row r="5146" spans="1:9" x14ac:dyDescent="0.2">
      <c r="A5146" t="s">
        <v>5596</v>
      </c>
      <c r="B5146">
        <v>4.8085000000000004</v>
      </c>
      <c r="C5146">
        <v>6.7360000000000003E-2</v>
      </c>
      <c r="D5146">
        <v>286</v>
      </c>
      <c r="E5146" t="s">
        <v>5596</v>
      </c>
      <c r="F5146">
        <v>286</v>
      </c>
      <c r="G5146" s="1">
        <v>45212</v>
      </c>
      <c r="H5146" s="6">
        <f t="shared" si="160"/>
        <v>31.364583333334718</v>
      </c>
      <c r="I5146" s="7">
        <f t="shared" si="161"/>
        <v>31.364583333334718</v>
      </c>
    </row>
    <row r="5147" spans="1:9" x14ac:dyDescent="0.2">
      <c r="A5147" t="s">
        <v>5597</v>
      </c>
      <c r="B5147">
        <v>4.6985000000000001</v>
      </c>
      <c r="C5147">
        <v>6.5820000000000004E-2</v>
      </c>
      <c r="D5147">
        <v>286</v>
      </c>
      <c r="E5147" t="s">
        <v>5597</v>
      </c>
      <c r="F5147">
        <v>286</v>
      </c>
      <c r="G5147" s="1">
        <v>45212</v>
      </c>
      <c r="H5147" s="6">
        <f t="shared" si="160"/>
        <v>31.375000000001386</v>
      </c>
      <c r="I5147" s="7">
        <f t="shared" si="161"/>
        <v>31.375000000001386</v>
      </c>
    </row>
    <row r="5148" spans="1:9" x14ac:dyDescent="0.2">
      <c r="A5148" t="s">
        <v>5598</v>
      </c>
      <c r="B5148">
        <v>4.6535000000000002</v>
      </c>
      <c r="C5148">
        <v>6.5195000000000003E-2</v>
      </c>
      <c r="D5148">
        <v>286</v>
      </c>
      <c r="E5148" t="s">
        <v>5598</v>
      </c>
      <c r="F5148">
        <v>286</v>
      </c>
      <c r="G5148" s="1">
        <v>45212</v>
      </c>
      <c r="H5148" s="6">
        <f t="shared" ref="H5148:H5211" si="162">H5147+$K$1</f>
        <v>31.385416666668053</v>
      </c>
      <c r="I5148" s="7">
        <f t="shared" ref="I5148:I5211" si="163">I5147+$K$1</f>
        <v>31.385416666668053</v>
      </c>
    </row>
    <row r="5149" spans="1:9" x14ac:dyDescent="0.2">
      <c r="A5149" t="s">
        <v>5599</v>
      </c>
      <c r="B5149">
        <v>4.5875000000000004</v>
      </c>
      <c r="C5149">
        <v>6.4244999999999997E-2</v>
      </c>
      <c r="D5149">
        <v>286</v>
      </c>
      <c r="E5149" t="s">
        <v>5599</v>
      </c>
      <c r="F5149">
        <v>286</v>
      </c>
      <c r="G5149" s="1">
        <v>45212</v>
      </c>
      <c r="H5149" s="6">
        <f t="shared" si="162"/>
        <v>31.395833333334721</v>
      </c>
      <c r="I5149" s="7">
        <f t="shared" si="163"/>
        <v>31.395833333334721</v>
      </c>
    </row>
    <row r="5150" spans="1:9" x14ac:dyDescent="0.2">
      <c r="A5150" t="s">
        <v>5600</v>
      </c>
      <c r="B5150">
        <v>4.6204999999999998</v>
      </c>
      <c r="C5150">
        <v>6.4714999999999995E-2</v>
      </c>
      <c r="D5150">
        <v>286</v>
      </c>
      <c r="E5150" t="s">
        <v>5600</v>
      </c>
      <c r="F5150">
        <v>286</v>
      </c>
      <c r="G5150" s="1">
        <v>45212</v>
      </c>
      <c r="H5150" s="6">
        <f t="shared" si="162"/>
        <v>31.406250000001389</v>
      </c>
      <c r="I5150" s="7">
        <f t="shared" si="163"/>
        <v>31.406250000001389</v>
      </c>
    </row>
    <row r="5151" spans="1:9" x14ac:dyDescent="0.2">
      <c r="A5151" t="s">
        <v>5601</v>
      </c>
      <c r="B5151">
        <v>4.7939999999999996</v>
      </c>
      <c r="C5151">
        <v>6.7154999999999895E-2</v>
      </c>
      <c r="D5151">
        <v>286</v>
      </c>
      <c r="E5151" t="s">
        <v>5601</v>
      </c>
      <c r="F5151">
        <v>286</v>
      </c>
      <c r="G5151" s="1">
        <v>45212</v>
      </c>
      <c r="H5151" s="6">
        <f t="shared" si="162"/>
        <v>31.416666666668057</v>
      </c>
      <c r="I5151" s="7">
        <f t="shared" si="163"/>
        <v>31.416666666668057</v>
      </c>
    </row>
    <row r="5152" spans="1:9" x14ac:dyDescent="0.2">
      <c r="A5152" t="s">
        <v>5602</v>
      </c>
      <c r="B5152">
        <v>4.9234999999999998</v>
      </c>
      <c r="C5152">
        <v>6.8959999999999994E-2</v>
      </c>
      <c r="D5152">
        <v>286</v>
      </c>
      <c r="E5152" t="s">
        <v>5602</v>
      </c>
      <c r="F5152">
        <v>286</v>
      </c>
      <c r="G5152" s="1">
        <v>45212</v>
      </c>
      <c r="H5152" s="6">
        <f t="shared" si="162"/>
        <v>31.427083333334725</v>
      </c>
      <c r="I5152" s="7">
        <f t="shared" si="163"/>
        <v>31.427083333334725</v>
      </c>
    </row>
    <row r="5153" spans="1:9" x14ac:dyDescent="0.2">
      <c r="A5153" t="s">
        <v>5603</v>
      </c>
      <c r="B5153">
        <v>4.8795000000000002</v>
      </c>
      <c r="C5153">
        <v>6.8360000000000004E-2</v>
      </c>
      <c r="D5153">
        <v>286</v>
      </c>
      <c r="E5153" t="s">
        <v>5603</v>
      </c>
      <c r="F5153">
        <v>286</v>
      </c>
      <c r="G5153" s="1">
        <v>45212</v>
      </c>
      <c r="H5153" s="6">
        <f t="shared" si="162"/>
        <v>31.437500000001393</v>
      </c>
      <c r="I5153" s="7">
        <f t="shared" si="163"/>
        <v>31.437500000001393</v>
      </c>
    </row>
    <row r="5154" spans="1:9" x14ac:dyDescent="0.2">
      <c r="A5154" t="s">
        <v>5604</v>
      </c>
      <c r="B5154">
        <v>4.8099999999999996</v>
      </c>
      <c r="C5154">
        <v>6.7364999999999994E-2</v>
      </c>
      <c r="D5154">
        <v>286</v>
      </c>
      <c r="E5154" t="s">
        <v>5604</v>
      </c>
      <c r="F5154">
        <v>286</v>
      </c>
      <c r="G5154" s="1">
        <v>45212</v>
      </c>
      <c r="H5154" s="6">
        <f t="shared" si="162"/>
        <v>31.447916666668061</v>
      </c>
      <c r="I5154" s="7">
        <f t="shared" si="163"/>
        <v>31.447916666668061</v>
      </c>
    </row>
    <row r="5155" spans="1:9" x14ac:dyDescent="0.2">
      <c r="A5155" t="s">
        <v>5605</v>
      </c>
      <c r="B5155">
        <v>4.8369999999999997</v>
      </c>
      <c r="C5155">
        <v>6.7754999999999996E-2</v>
      </c>
      <c r="D5155">
        <v>286</v>
      </c>
      <c r="E5155" t="s">
        <v>5605</v>
      </c>
      <c r="F5155">
        <v>286</v>
      </c>
      <c r="G5155" s="1">
        <v>45212</v>
      </c>
      <c r="H5155" s="6">
        <f t="shared" si="162"/>
        <v>31.458333333334728</v>
      </c>
      <c r="I5155" s="7">
        <f t="shared" si="163"/>
        <v>31.458333333334728</v>
      </c>
    </row>
    <row r="5156" spans="1:9" x14ac:dyDescent="0.2">
      <c r="A5156" t="s">
        <v>5606</v>
      </c>
      <c r="B5156">
        <v>4.7584999999999997</v>
      </c>
      <c r="C5156">
        <v>6.6665000000000002E-2</v>
      </c>
      <c r="D5156">
        <v>286</v>
      </c>
      <c r="E5156" t="s">
        <v>5606</v>
      </c>
      <c r="F5156">
        <v>286</v>
      </c>
      <c r="G5156" s="1">
        <v>45212</v>
      </c>
      <c r="H5156" s="6">
        <f t="shared" si="162"/>
        <v>31.468750000001396</v>
      </c>
      <c r="I5156" s="7">
        <f t="shared" si="163"/>
        <v>31.468750000001396</v>
      </c>
    </row>
    <row r="5157" spans="1:9" x14ac:dyDescent="0.2">
      <c r="A5157" t="s">
        <v>5607</v>
      </c>
      <c r="B5157" s="2" t="s">
        <v>5608</v>
      </c>
      <c r="C5157">
        <v>6.9665000000000005E-2</v>
      </c>
      <c r="D5157">
        <v>286</v>
      </c>
      <c r="E5157" t="s">
        <v>5607</v>
      </c>
      <c r="F5157">
        <v>286</v>
      </c>
      <c r="G5157" s="1">
        <v>45212</v>
      </c>
      <c r="H5157" s="6">
        <f t="shared" si="162"/>
        <v>31.479166666668064</v>
      </c>
      <c r="I5157" s="7">
        <f t="shared" si="163"/>
        <v>31.479166666668064</v>
      </c>
    </row>
    <row r="5158" spans="1:9" x14ac:dyDescent="0.2">
      <c r="A5158" t="s">
        <v>5609</v>
      </c>
      <c r="B5158">
        <v>5.0270000000000001</v>
      </c>
      <c r="C5158">
        <v>7.0400000000000004E-2</v>
      </c>
      <c r="D5158">
        <v>286</v>
      </c>
      <c r="E5158" t="s">
        <v>5609</v>
      </c>
      <c r="F5158">
        <v>286</v>
      </c>
      <c r="G5158" s="1">
        <v>45212</v>
      </c>
      <c r="H5158" s="6">
        <f t="shared" si="162"/>
        <v>31.489583333334732</v>
      </c>
      <c r="I5158" s="7">
        <f t="shared" si="163"/>
        <v>31.489583333334732</v>
      </c>
    </row>
    <row r="5159" spans="1:9" x14ac:dyDescent="0.2">
      <c r="A5159" t="s">
        <v>5610</v>
      </c>
      <c r="B5159">
        <v>4.9429999999999996</v>
      </c>
      <c r="C5159">
        <v>6.9235000000000005E-2</v>
      </c>
      <c r="D5159">
        <v>286</v>
      </c>
      <c r="E5159" t="s">
        <v>5610</v>
      </c>
      <c r="F5159">
        <v>286</v>
      </c>
      <c r="G5159" s="1">
        <v>45212</v>
      </c>
      <c r="H5159" s="6">
        <f t="shared" si="162"/>
        <v>31.5000000000014</v>
      </c>
      <c r="I5159" s="7">
        <f t="shared" si="163"/>
        <v>31.5000000000014</v>
      </c>
    </row>
    <row r="5160" spans="1:9" x14ac:dyDescent="0.2">
      <c r="A5160" t="s">
        <v>5611</v>
      </c>
      <c r="B5160">
        <v>4.9835000000000003</v>
      </c>
      <c r="C5160">
        <v>6.9785E-2</v>
      </c>
      <c r="D5160">
        <v>286</v>
      </c>
      <c r="E5160" t="s">
        <v>5611</v>
      </c>
      <c r="F5160">
        <v>286</v>
      </c>
      <c r="G5160" s="1">
        <v>45212</v>
      </c>
      <c r="H5160" s="6">
        <f t="shared" si="162"/>
        <v>31.510416666668068</v>
      </c>
      <c r="I5160" s="7">
        <f t="shared" si="163"/>
        <v>31.510416666668068</v>
      </c>
    </row>
    <row r="5161" spans="1:9" x14ac:dyDescent="0.2">
      <c r="A5161" t="s">
        <v>5612</v>
      </c>
      <c r="B5161">
        <v>5.0575000000000001</v>
      </c>
      <c r="C5161">
        <v>7.084E-2</v>
      </c>
      <c r="D5161">
        <v>286</v>
      </c>
      <c r="E5161" t="s">
        <v>5612</v>
      </c>
      <c r="F5161">
        <v>286</v>
      </c>
      <c r="G5161" s="1">
        <v>45212</v>
      </c>
      <c r="H5161" s="6">
        <f t="shared" si="162"/>
        <v>31.520833333334735</v>
      </c>
      <c r="I5161" s="7">
        <f t="shared" si="163"/>
        <v>31.520833333334735</v>
      </c>
    </row>
    <row r="5162" spans="1:9" x14ac:dyDescent="0.2">
      <c r="A5162" t="s">
        <v>5613</v>
      </c>
      <c r="B5162">
        <v>4.8650000000000002</v>
      </c>
      <c r="C5162">
        <v>6.8165000000000003E-2</v>
      </c>
      <c r="D5162">
        <v>286</v>
      </c>
      <c r="E5162" t="s">
        <v>5613</v>
      </c>
      <c r="F5162">
        <v>286</v>
      </c>
      <c r="G5162" s="1">
        <v>45212</v>
      </c>
      <c r="H5162" s="6">
        <f t="shared" si="162"/>
        <v>31.531250000001403</v>
      </c>
      <c r="I5162" s="7">
        <f t="shared" si="163"/>
        <v>31.531250000001403</v>
      </c>
    </row>
    <row r="5163" spans="1:9" x14ac:dyDescent="0.2">
      <c r="A5163" t="s">
        <v>5614</v>
      </c>
      <c r="B5163">
        <v>4.8789999999999996</v>
      </c>
      <c r="C5163">
        <v>6.8339999999999998E-2</v>
      </c>
      <c r="D5163">
        <v>286</v>
      </c>
      <c r="E5163" t="s">
        <v>5614</v>
      </c>
      <c r="F5163">
        <v>286</v>
      </c>
      <c r="G5163" s="1">
        <v>45212</v>
      </c>
      <c r="H5163" s="6">
        <f t="shared" si="162"/>
        <v>31.541666666668071</v>
      </c>
      <c r="I5163" s="7">
        <f t="shared" si="163"/>
        <v>31.541666666668071</v>
      </c>
    </row>
    <row r="5164" spans="1:9" x14ac:dyDescent="0.2">
      <c r="A5164" t="s">
        <v>5615</v>
      </c>
      <c r="B5164">
        <v>4.7214999999999998</v>
      </c>
      <c r="C5164">
        <v>6.6159999999999997E-2</v>
      </c>
      <c r="D5164">
        <v>286</v>
      </c>
      <c r="E5164" t="s">
        <v>5615</v>
      </c>
      <c r="F5164">
        <v>286</v>
      </c>
      <c r="G5164" s="1">
        <v>45212</v>
      </c>
      <c r="H5164" s="6">
        <f t="shared" si="162"/>
        <v>31.552083333334739</v>
      </c>
      <c r="I5164" s="7">
        <f t="shared" si="163"/>
        <v>31.552083333334739</v>
      </c>
    </row>
    <row r="5165" spans="1:9" x14ac:dyDescent="0.2">
      <c r="A5165" t="s">
        <v>5616</v>
      </c>
      <c r="B5165">
        <v>4.8185000000000002</v>
      </c>
      <c r="C5165">
        <v>6.7494999999999999E-2</v>
      </c>
      <c r="D5165">
        <v>286</v>
      </c>
      <c r="E5165" t="s">
        <v>5616</v>
      </c>
      <c r="F5165">
        <v>286</v>
      </c>
      <c r="G5165" s="1">
        <v>45212</v>
      </c>
      <c r="H5165" s="6">
        <f t="shared" si="162"/>
        <v>31.562500000001407</v>
      </c>
      <c r="I5165" s="7">
        <f t="shared" si="163"/>
        <v>31.562500000001407</v>
      </c>
    </row>
    <row r="5166" spans="1:9" x14ac:dyDescent="0.2">
      <c r="A5166" t="s">
        <v>5617</v>
      </c>
      <c r="B5166">
        <v>4.8890000000000002</v>
      </c>
      <c r="C5166">
        <v>6.8479999999999999E-2</v>
      </c>
      <c r="D5166">
        <v>286</v>
      </c>
      <c r="E5166" t="s">
        <v>5617</v>
      </c>
      <c r="F5166">
        <v>286</v>
      </c>
      <c r="G5166" s="1">
        <v>45212</v>
      </c>
      <c r="H5166" s="6">
        <f t="shared" si="162"/>
        <v>31.572916666668075</v>
      </c>
      <c r="I5166" s="7">
        <f t="shared" si="163"/>
        <v>31.572916666668075</v>
      </c>
    </row>
    <row r="5167" spans="1:9" x14ac:dyDescent="0.2">
      <c r="A5167" t="s">
        <v>5618</v>
      </c>
      <c r="B5167">
        <v>4.8170000000000002</v>
      </c>
      <c r="C5167">
        <v>6.7470000000000002E-2</v>
      </c>
      <c r="D5167">
        <v>286</v>
      </c>
      <c r="E5167" t="s">
        <v>5618</v>
      </c>
      <c r="F5167">
        <v>286</v>
      </c>
      <c r="G5167" s="1">
        <v>45212</v>
      </c>
      <c r="H5167" s="6">
        <f t="shared" si="162"/>
        <v>31.583333333334743</v>
      </c>
      <c r="I5167" s="7">
        <f t="shared" si="163"/>
        <v>31.583333333334743</v>
      </c>
    </row>
    <row r="5168" spans="1:9" x14ac:dyDescent="0.2">
      <c r="A5168" t="s">
        <v>5619</v>
      </c>
      <c r="B5168">
        <v>4.9960000000000004</v>
      </c>
      <c r="C5168">
        <v>6.9974999999999996E-2</v>
      </c>
      <c r="D5168">
        <v>286</v>
      </c>
      <c r="E5168" t="s">
        <v>5619</v>
      </c>
      <c r="F5168">
        <v>286</v>
      </c>
      <c r="G5168" s="1">
        <v>45212</v>
      </c>
      <c r="H5168" s="6">
        <f t="shared" si="162"/>
        <v>31.59375000000141</v>
      </c>
      <c r="I5168" s="7">
        <f t="shared" si="163"/>
        <v>31.59375000000141</v>
      </c>
    </row>
    <row r="5169" spans="1:9" x14ac:dyDescent="0.2">
      <c r="A5169" t="s">
        <v>5620</v>
      </c>
      <c r="B5169">
        <v>4.9915000000000003</v>
      </c>
      <c r="C5169">
        <v>6.9915000000000005E-2</v>
      </c>
      <c r="D5169">
        <v>287</v>
      </c>
      <c r="E5169" t="s">
        <v>5620</v>
      </c>
      <c r="F5169">
        <v>286</v>
      </c>
      <c r="G5169" s="1">
        <v>45212</v>
      </c>
      <c r="H5169" s="6">
        <f t="shared" si="162"/>
        <v>31.604166666668078</v>
      </c>
      <c r="I5169" s="7">
        <f t="shared" si="163"/>
        <v>31.604166666668078</v>
      </c>
    </row>
    <row r="5170" spans="1:9" x14ac:dyDescent="0.2">
      <c r="A5170" t="s">
        <v>5621</v>
      </c>
      <c r="B5170">
        <v>5.0155000000000003</v>
      </c>
      <c r="C5170">
        <v>7.0235000000000006E-2</v>
      </c>
      <c r="D5170">
        <v>287</v>
      </c>
      <c r="E5170" t="s">
        <v>5621</v>
      </c>
      <c r="F5170">
        <v>286</v>
      </c>
      <c r="G5170" s="1">
        <v>45212</v>
      </c>
      <c r="H5170" s="6">
        <f t="shared" si="162"/>
        <v>31.614583333334746</v>
      </c>
      <c r="I5170" s="7">
        <f t="shared" si="163"/>
        <v>31.614583333334746</v>
      </c>
    </row>
    <row r="5171" spans="1:9" x14ac:dyDescent="0.2">
      <c r="A5171" t="s">
        <v>5622</v>
      </c>
      <c r="B5171">
        <v>4.9405000000000001</v>
      </c>
      <c r="C5171">
        <v>6.9214999999999999E-2</v>
      </c>
      <c r="D5171">
        <v>287</v>
      </c>
      <c r="E5171" t="s">
        <v>5622</v>
      </c>
      <c r="F5171">
        <v>286</v>
      </c>
      <c r="G5171" s="1">
        <v>45212</v>
      </c>
      <c r="H5171" s="6">
        <f t="shared" si="162"/>
        <v>31.625000000001414</v>
      </c>
      <c r="I5171" s="7">
        <f t="shared" si="163"/>
        <v>31.625000000001414</v>
      </c>
    </row>
    <row r="5172" spans="1:9" x14ac:dyDescent="0.2">
      <c r="A5172" t="s">
        <v>5623</v>
      </c>
      <c r="B5172">
        <v>4.8765000000000001</v>
      </c>
      <c r="C5172">
        <v>6.8294999999999995E-2</v>
      </c>
      <c r="D5172">
        <v>287</v>
      </c>
      <c r="E5172" t="s">
        <v>5623</v>
      </c>
      <c r="F5172">
        <v>286</v>
      </c>
      <c r="G5172" s="1">
        <v>45212</v>
      </c>
      <c r="H5172" s="6">
        <f t="shared" si="162"/>
        <v>31.635416666668082</v>
      </c>
      <c r="I5172" s="7">
        <f t="shared" si="163"/>
        <v>31.635416666668082</v>
      </c>
    </row>
    <row r="5173" spans="1:9" x14ac:dyDescent="0.2">
      <c r="A5173" t="s">
        <v>5624</v>
      </c>
      <c r="B5173">
        <v>4.9915000000000003</v>
      </c>
      <c r="C5173">
        <v>6.9885000000000003E-2</v>
      </c>
      <c r="D5173">
        <v>287</v>
      </c>
      <c r="E5173" t="s">
        <v>5624</v>
      </c>
      <c r="F5173">
        <v>286</v>
      </c>
      <c r="G5173" s="1">
        <v>45212</v>
      </c>
      <c r="H5173" s="6">
        <f t="shared" si="162"/>
        <v>31.64583333333475</v>
      </c>
      <c r="I5173" s="7">
        <f t="shared" si="163"/>
        <v>31.64583333333475</v>
      </c>
    </row>
    <row r="5174" spans="1:9" x14ac:dyDescent="0.2">
      <c r="A5174" t="s">
        <v>5625</v>
      </c>
      <c r="B5174">
        <v>4.8925000000000001</v>
      </c>
      <c r="C5174">
        <v>6.8500000000000005E-2</v>
      </c>
      <c r="D5174">
        <v>287</v>
      </c>
      <c r="E5174" t="s">
        <v>5625</v>
      </c>
      <c r="F5174">
        <v>286</v>
      </c>
      <c r="G5174" s="1">
        <v>45212</v>
      </c>
      <c r="H5174" s="6">
        <f t="shared" si="162"/>
        <v>31.656250000001418</v>
      </c>
      <c r="I5174" s="7">
        <f t="shared" si="163"/>
        <v>31.656250000001418</v>
      </c>
    </row>
    <row r="5175" spans="1:9" x14ac:dyDescent="0.2">
      <c r="A5175" t="s">
        <v>5626</v>
      </c>
      <c r="B5175">
        <v>4.9429999999999996</v>
      </c>
      <c r="C5175">
        <v>6.9235000000000005E-2</v>
      </c>
      <c r="D5175">
        <v>287</v>
      </c>
      <c r="E5175" t="s">
        <v>5626</v>
      </c>
      <c r="F5175">
        <v>286</v>
      </c>
      <c r="G5175" s="1">
        <v>45212</v>
      </c>
      <c r="H5175" s="6">
        <f t="shared" si="162"/>
        <v>31.666666666668085</v>
      </c>
      <c r="I5175" s="7">
        <f t="shared" si="163"/>
        <v>31.666666666668085</v>
      </c>
    </row>
    <row r="5176" spans="1:9" x14ac:dyDescent="0.2">
      <c r="A5176" t="s">
        <v>5627</v>
      </c>
      <c r="B5176">
        <v>5.0730000000000004</v>
      </c>
      <c r="C5176">
        <v>7.1069999999999994E-2</v>
      </c>
      <c r="D5176">
        <v>287</v>
      </c>
      <c r="E5176" t="s">
        <v>5627</v>
      </c>
      <c r="F5176">
        <v>286</v>
      </c>
      <c r="G5176" s="1">
        <v>45212</v>
      </c>
      <c r="H5176" s="6">
        <f t="shared" si="162"/>
        <v>31.677083333334753</v>
      </c>
      <c r="I5176" s="7">
        <f t="shared" si="163"/>
        <v>31.677083333334753</v>
      </c>
    </row>
    <row r="5177" spans="1:9" x14ac:dyDescent="0.2">
      <c r="A5177" t="s">
        <v>5628</v>
      </c>
      <c r="B5177">
        <v>4.976</v>
      </c>
      <c r="C5177">
        <v>6.9709999999999994E-2</v>
      </c>
      <c r="D5177">
        <v>287</v>
      </c>
      <c r="E5177" t="s">
        <v>5628</v>
      </c>
      <c r="F5177">
        <v>286</v>
      </c>
      <c r="G5177" s="1">
        <v>45212</v>
      </c>
      <c r="H5177" s="6">
        <f t="shared" si="162"/>
        <v>31.687500000001421</v>
      </c>
      <c r="I5177" s="7">
        <f t="shared" si="163"/>
        <v>31.687500000001421</v>
      </c>
    </row>
    <row r="5178" spans="1:9" x14ac:dyDescent="0.2">
      <c r="A5178" t="s">
        <v>5629</v>
      </c>
      <c r="B5178">
        <v>5.0235000000000003</v>
      </c>
      <c r="C5178">
        <v>7.0360000000000006E-2</v>
      </c>
      <c r="D5178">
        <v>287</v>
      </c>
      <c r="E5178" t="s">
        <v>5629</v>
      </c>
      <c r="F5178">
        <v>286</v>
      </c>
      <c r="G5178" s="1">
        <v>45212</v>
      </c>
      <c r="H5178" s="6">
        <f t="shared" si="162"/>
        <v>31.697916666668089</v>
      </c>
      <c r="I5178" s="7">
        <f t="shared" si="163"/>
        <v>31.697916666668089</v>
      </c>
    </row>
    <row r="5179" spans="1:9" x14ac:dyDescent="0.2">
      <c r="A5179" t="s">
        <v>5630</v>
      </c>
      <c r="B5179">
        <v>5.0045000000000002</v>
      </c>
      <c r="C5179">
        <v>7.0095000000000005E-2</v>
      </c>
      <c r="D5179">
        <v>287</v>
      </c>
      <c r="E5179" t="s">
        <v>5630</v>
      </c>
      <c r="F5179">
        <v>286</v>
      </c>
      <c r="G5179" s="1">
        <v>45212</v>
      </c>
      <c r="H5179" s="6">
        <f t="shared" si="162"/>
        <v>31.708333333334757</v>
      </c>
      <c r="I5179" s="7">
        <f t="shared" si="163"/>
        <v>31.708333333334757</v>
      </c>
    </row>
    <row r="5180" spans="1:9" x14ac:dyDescent="0.2">
      <c r="A5180" t="s">
        <v>5631</v>
      </c>
      <c r="B5180">
        <v>4.9749999999999996</v>
      </c>
      <c r="C5180">
        <v>6.9684999999999997E-2</v>
      </c>
      <c r="D5180">
        <v>287</v>
      </c>
      <c r="E5180" t="s">
        <v>5631</v>
      </c>
      <c r="F5180">
        <v>286</v>
      </c>
      <c r="G5180" s="1">
        <v>45212</v>
      </c>
      <c r="H5180" s="6">
        <f t="shared" si="162"/>
        <v>31.718750000001425</v>
      </c>
      <c r="I5180" s="7">
        <f t="shared" si="163"/>
        <v>31.718750000001425</v>
      </c>
    </row>
    <row r="5181" spans="1:9" x14ac:dyDescent="0.2">
      <c r="A5181" t="s">
        <v>5632</v>
      </c>
      <c r="B5181">
        <v>4.99</v>
      </c>
      <c r="C5181">
        <v>6.9900000000000004E-2</v>
      </c>
      <c r="D5181">
        <v>287</v>
      </c>
      <c r="E5181" t="s">
        <v>5632</v>
      </c>
      <c r="F5181">
        <v>286</v>
      </c>
      <c r="G5181" s="1">
        <v>45212</v>
      </c>
      <c r="H5181" s="6">
        <f t="shared" si="162"/>
        <v>31.729166666668092</v>
      </c>
      <c r="I5181" s="7">
        <f t="shared" si="163"/>
        <v>31.729166666668092</v>
      </c>
    </row>
    <row r="5182" spans="1:9" x14ac:dyDescent="0.2">
      <c r="A5182" t="s">
        <v>5633</v>
      </c>
      <c r="B5182">
        <v>5.1935000000000002</v>
      </c>
      <c r="C5182">
        <v>7.2749999999999995E-2</v>
      </c>
      <c r="D5182">
        <v>287</v>
      </c>
      <c r="E5182" t="s">
        <v>5633</v>
      </c>
      <c r="F5182">
        <v>286</v>
      </c>
      <c r="G5182" s="1">
        <v>45212</v>
      </c>
      <c r="H5182" s="6">
        <f t="shared" si="162"/>
        <v>31.73958333333476</v>
      </c>
      <c r="I5182" s="7">
        <f t="shared" si="163"/>
        <v>31.73958333333476</v>
      </c>
    </row>
    <row r="5183" spans="1:9" x14ac:dyDescent="0.2">
      <c r="A5183" t="s">
        <v>5634</v>
      </c>
      <c r="B5183">
        <v>5.1805000000000003</v>
      </c>
      <c r="C5183">
        <v>7.2559999999999999E-2</v>
      </c>
      <c r="D5183">
        <v>287</v>
      </c>
      <c r="E5183" t="s">
        <v>5634</v>
      </c>
      <c r="F5183">
        <v>286</v>
      </c>
      <c r="G5183" s="1">
        <v>45212</v>
      </c>
      <c r="H5183" s="6">
        <f t="shared" si="162"/>
        <v>31.750000000001428</v>
      </c>
      <c r="I5183" s="7">
        <f t="shared" si="163"/>
        <v>31.750000000001428</v>
      </c>
    </row>
    <row r="5184" spans="1:9" x14ac:dyDescent="0.2">
      <c r="A5184" t="s">
        <v>5635</v>
      </c>
      <c r="B5184">
        <v>5.1384999999999996</v>
      </c>
      <c r="C5184">
        <v>7.1970000000000006E-2</v>
      </c>
      <c r="D5184">
        <v>287</v>
      </c>
      <c r="E5184" t="s">
        <v>5635</v>
      </c>
      <c r="F5184">
        <v>286</v>
      </c>
      <c r="G5184" s="1">
        <v>45212</v>
      </c>
      <c r="H5184" s="6">
        <f t="shared" si="162"/>
        <v>31.760416666668096</v>
      </c>
      <c r="I5184" s="7">
        <f t="shared" si="163"/>
        <v>31.760416666668096</v>
      </c>
    </row>
    <row r="5185" spans="1:9" x14ac:dyDescent="0.2">
      <c r="A5185" t="s">
        <v>5636</v>
      </c>
      <c r="B5185">
        <v>5.0940000000000003</v>
      </c>
      <c r="C5185">
        <v>7.1360000000000007E-2</v>
      </c>
      <c r="D5185">
        <v>287</v>
      </c>
      <c r="E5185" t="s">
        <v>5636</v>
      </c>
      <c r="F5185">
        <v>286</v>
      </c>
      <c r="G5185" s="1">
        <v>45212</v>
      </c>
      <c r="H5185" s="6">
        <f t="shared" si="162"/>
        <v>31.770833333334764</v>
      </c>
      <c r="I5185" s="7">
        <f t="shared" si="163"/>
        <v>31.770833333334764</v>
      </c>
    </row>
    <row r="5186" spans="1:9" x14ac:dyDescent="0.2">
      <c r="A5186" t="s">
        <v>5637</v>
      </c>
      <c r="B5186">
        <v>5.1769999999999996</v>
      </c>
      <c r="C5186">
        <v>7.2505E-2</v>
      </c>
      <c r="D5186">
        <v>287</v>
      </c>
      <c r="E5186" t="s">
        <v>5637</v>
      </c>
      <c r="F5186">
        <v>286</v>
      </c>
      <c r="G5186" s="1">
        <v>45212</v>
      </c>
      <c r="H5186" s="6">
        <f t="shared" si="162"/>
        <v>31.781250000001432</v>
      </c>
      <c r="I5186" s="7">
        <f t="shared" si="163"/>
        <v>31.781250000001432</v>
      </c>
    </row>
    <row r="5187" spans="1:9" x14ac:dyDescent="0.2">
      <c r="A5187" t="s">
        <v>5638</v>
      </c>
      <c r="B5187">
        <v>5.2664999999999997</v>
      </c>
      <c r="C5187">
        <v>7.3774999999999993E-2</v>
      </c>
      <c r="D5187">
        <v>287</v>
      </c>
      <c r="E5187" t="s">
        <v>5638</v>
      </c>
      <c r="F5187">
        <v>286</v>
      </c>
      <c r="G5187" s="1">
        <v>45212</v>
      </c>
      <c r="H5187" s="6">
        <f t="shared" si="162"/>
        <v>31.7916666666681</v>
      </c>
      <c r="I5187" s="7">
        <f t="shared" si="163"/>
        <v>31.7916666666681</v>
      </c>
    </row>
    <row r="5188" spans="1:9" x14ac:dyDescent="0.2">
      <c r="A5188" t="s">
        <v>5639</v>
      </c>
      <c r="B5188">
        <v>5.3010000000000002</v>
      </c>
      <c r="C5188">
        <v>7.4245000000000005E-2</v>
      </c>
      <c r="D5188">
        <v>287</v>
      </c>
      <c r="E5188" t="s">
        <v>5639</v>
      </c>
      <c r="F5188">
        <v>286</v>
      </c>
      <c r="G5188" s="1">
        <v>45212</v>
      </c>
      <c r="H5188" s="6">
        <f t="shared" si="162"/>
        <v>31.802083333334767</v>
      </c>
      <c r="I5188" s="7">
        <f t="shared" si="163"/>
        <v>31.802083333334767</v>
      </c>
    </row>
    <row r="5189" spans="1:9" x14ac:dyDescent="0.2">
      <c r="A5189" t="s">
        <v>5640</v>
      </c>
      <c r="B5189">
        <v>5.3819999999999997</v>
      </c>
      <c r="C5189">
        <v>7.5359999999999996E-2</v>
      </c>
      <c r="D5189">
        <v>287</v>
      </c>
      <c r="E5189" t="s">
        <v>5640</v>
      </c>
      <c r="F5189">
        <v>286</v>
      </c>
      <c r="G5189" s="1">
        <v>45212</v>
      </c>
      <c r="H5189" s="6">
        <f t="shared" si="162"/>
        <v>31.812500000001435</v>
      </c>
      <c r="I5189" s="7">
        <f t="shared" si="163"/>
        <v>31.812500000001435</v>
      </c>
    </row>
    <row r="5190" spans="1:9" x14ac:dyDescent="0.2">
      <c r="A5190" t="s">
        <v>5641</v>
      </c>
      <c r="B5190">
        <v>5.3090000000000002</v>
      </c>
      <c r="C5190">
        <v>7.4370000000000006E-2</v>
      </c>
      <c r="D5190">
        <v>287</v>
      </c>
      <c r="E5190" t="s">
        <v>5641</v>
      </c>
      <c r="F5190">
        <v>286</v>
      </c>
      <c r="G5190" s="1">
        <v>45212</v>
      </c>
      <c r="H5190" s="6">
        <f t="shared" si="162"/>
        <v>31.822916666668103</v>
      </c>
      <c r="I5190" s="7">
        <f t="shared" si="163"/>
        <v>31.822916666668103</v>
      </c>
    </row>
    <row r="5191" spans="1:9" x14ac:dyDescent="0.2">
      <c r="A5191" t="s">
        <v>5642</v>
      </c>
      <c r="B5191">
        <v>5.31</v>
      </c>
      <c r="C5191">
        <v>7.4365000000000001E-2</v>
      </c>
      <c r="D5191">
        <v>287</v>
      </c>
      <c r="E5191" t="s">
        <v>5642</v>
      </c>
      <c r="F5191">
        <v>286</v>
      </c>
      <c r="G5191" s="1">
        <v>45212</v>
      </c>
      <c r="H5191" s="6">
        <f t="shared" si="162"/>
        <v>31.833333333334771</v>
      </c>
      <c r="I5191" s="7">
        <f t="shared" si="163"/>
        <v>31.833333333334771</v>
      </c>
    </row>
    <row r="5192" spans="1:9" x14ac:dyDescent="0.2">
      <c r="A5192" t="s">
        <v>5643</v>
      </c>
      <c r="B5192">
        <v>5.27</v>
      </c>
      <c r="C5192">
        <v>7.3834999999999998E-2</v>
      </c>
      <c r="D5192">
        <v>287</v>
      </c>
      <c r="E5192" t="s">
        <v>5643</v>
      </c>
      <c r="F5192">
        <v>286</v>
      </c>
      <c r="G5192" s="1">
        <v>45212</v>
      </c>
      <c r="H5192" s="6">
        <f t="shared" si="162"/>
        <v>31.843750000001439</v>
      </c>
      <c r="I5192" s="7">
        <f t="shared" si="163"/>
        <v>31.843750000001439</v>
      </c>
    </row>
    <row r="5193" spans="1:9" x14ac:dyDescent="0.2">
      <c r="A5193" t="s">
        <v>5644</v>
      </c>
      <c r="B5193">
        <v>5.2885</v>
      </c>
      <c r="C5193">
        <v>7.4090000000000003E-2</v>
      </c>
      <c r="D5193">
        <v>287</v>
      </c>
      <c r="E5193" t="s">
        <v>5644</v>
      </c>
      <c r="F5193">
        <v>287</v>
      </c>
      <c r="G5193" s="1">
        <v>45213</v>
      </c>
      <c r="H5193" s="6">
        <f t="shared" si="162"/>
        <v>31.854166666668107</v>
      </c>
      <c r="I5193" s="7">
        <f t="shared" si="163"/>
        <v>31.854166666668107</v>
      </c>
    </row>
    <row r="5194" spans="1:9" x14ac:dyDescent="0.2">
      <c r="A5194" t="s">
        <v>5645</v>
      </c>
      <c r="B5194">
        <v>5.3019999999999996</v>
      </c>
      <c r="C5194">
        <v>7.4285000000000004E-2</v>
      </c>
      <c r="D5194">
        <v>287</v>
      </c>
      <c r="E5194" t="s">
        <v>5645</v>
      </c>
      <c r="F5194">
        <v>287</v>
      </c>
      <c r="G5194" s="1">
        <v>45213</v>
      </c>
      <c r="H5194" s="6">
        <f t="shared" si="162"/>
        <v>31.864583333334775</v>
      </c>
      <c r="I5194" s="7">
        <f t="shared" si="163"/>
        <v>31.864583333334775</v>
      </c>
    </row>
    <row r="5195" spans="1:9" x14ac:dyDescent="0.2">
      <c r="A5195" t="s">
        <v>5646</v>
      </c>
      <c r="B5195">
        <v>5.3475000000000001</v>
      </c>
      <c r="C5195">
        <v>7.492E-2</v>
      </c>
      <c r="D5195">
        <v>287</v>
      </c>
      <c r="E5195" t="s">
        <v>5646</v>
      </c>
      <c r="F5195">
        <v>287</v>
      </c>
      <c r="G5195" s="1">
        <v>45213</v>
      </c>
      <c r="H5195" s="6">
        <f t="shared" si="162"/>
        <v>31.875000000001442</v>
      </c>
      <c r="I5195" s="7">
        <f t="shared" si="163"/>
        <v>31.875000000001442</v>
      </c>
    </row>
    <row r="5196" spans="1:9" x14ac:dyDescent="0.2">
      <c r="A5196" t="s">
        <v>5647</v>
      </c>
      <c r="B5196">
        <v>5.2234999999999996</v>
      </c>
      <c r="C5196">
        <v>7.3164999999999994E-2</v>
      </c>
      <c r="D5196">
        <v>287</v>
      </c>
      <c r="E5196" t="s">
        <v>5647</v>
      </c>
      <c r="F5196">
        <v>287</v>
      </c>
      <c r="G5196" s="1">
        <v>45213</v>
      </c>
      <c r="H5196" s="6">
        <f t="shared" si="162"/>
        <v>31.88541666666811</v>
      </c>
      <c r="I5196" s="7">
        <f t="shared" si="163"/>
        <v>31.88541666666811</v>
      </c>
    </row>
    <row r="5197" spans="1:9" x14ac:dyDescent="0.2">
      <c r="A5197" t="s">
        <v>5648</v>
      </c>
      <c r="B5197">
        <v>5.2404999999999999</v>
      </c>
      <c r="C5197">
        <v>7.3410000000000003E-2</v>
      </c>
      <c r="D5197">
        <v>287</v>
      </c>
      <c r="E5197" t="s">
        <v>5648</v>
      </c>
      <c r="F5197">
        <v>287</v>
      </c>
      <c r="G5197" s="1">
        <v>45213</v>
      </c>
      <c r="H5197" s="6">
        <f t="shared" si="162"/>
        <v>31.895833333334778</v>
      </c>
      <c r="I5197" s="7">
        <f t="shared" si="163"/>
        <v>31.895833333334778</v>
      </c>
    </row>
    <row r="5198" spans="1:9" x14ac:dyDescent="0.2">
      <c r="A5198" t="s">
        <v>5649</v>
      </c>
      <c r="B5198">
        <v>5.2080000000000002</v>
      </c>
      <c r="C5198">
        <v>7.2944999999999996E-2</v>
      </c>
      <c r="D5198">
        <v>287</v>
      </c>
      <c r="E5198" t="s">
        <v>5649</v>
      </c>
      <c r="F5198">
        <v>287</v>
      </c>
      <c r="G5198" s="1">
        <v>45213</v>
      </c>
      <c r="H5198" s="6">
        <f t="shared" si="162"/>
        <v>31.906250000001446</v>
      </c>
      <c r="I5198" s="7">
        <f t="shared" si="163"/>
        <v>31.906250000001446</v>
      </c>
    </row>
    <row r="5199" spans="1:9" x14ac:dyDescent="0.2">
      <c r="A5199" t="s">
        <v>5650</v>
      </c>
      <c r="B5199">
        <v>5.2270000000000003</v>
      </c>
      <c r="C5199">
        <v>7.3219999999999993E-2</v>
      </c>
      <c r="D5199">
        <v>287</v>
      </c>
      <c r="E5199" t="s">
        <v>5650</v>
      </c>
      <c r="F5199">
        <v>287</v>
      </c>
      <c r="G5199" s="1">
        <v>45213</v>
      </c>
      <c r="H5199" s="6">
        <f t="shared" si="162"/>
        <v>31.916666666668114</v>
      </c>
      <c r="I5199" s="7">
        <f t="shared" si="163"/>
        <v>31.916666666668114</v>
      </c>
    </row>
    <row r="5200" spans="1:9" x14ac:dyDescent="0.2">
      <c r="A5200" t="s">
        <v>5651</v>
      </c>
      <c r="B5200">
        <v>5.2065000000000001</v>
      </c>
      <c r="C5200">
        <v>7.2925000000000004E-2</v>
      </c>
      <c r="D5200">
        <v>287</v>
      </c>
      <c r="E5200" t="s">
        <v>5651</v>
      </c>
      <c r="F5200">
        <v>287</v>
      </c>
      <c r="G5200" s="1">
        <v>45213</v>
      </c>
      <c r="H5200" s="6">
        <f t="shared" si="162"/>
        <v>31.927083333334782</v>
      </c>
      <c r="I5200" s="7">
        <f t="shared" si="163"/>
        <v>31.927083333334782</v>
      </c>
    </row>
    <row r="5201" spans="1:9" x14ac:dyDescent="0.2">
      <c r="A5201" t="s">
        <v>5652</v>
      </c>
      <c r="B5201">
        <v>5.2389999999999999</v>
      </c>
      <c r="C5201">
        <v>7.3380000000000001E-2</v>
      </c>
      <c r="D5201">
        <v>287</v>
      </c>
      <c r="E5201" t="s">
        <v>5652</v>
      </c>
      <c r="F5201">
        <v>287</v>
      </c>
      <c r="G5201" s="1">
        <v>45213</v>
      </c>
      <c r="H5201" s="6">
        <f t="shared" si="162"/>
        <v>31.93750000000145</v>
      </c>
      <c r="I5201" s="7">
        <f t="shared" si="163"/>
        <v>31.93750000000145</v>
      </c>
    </row>
    <row r="5202" spans="1:9" x14ac:dyDescent="0.2">
      <c r="A5202" t="s">
        <v>5653</v>
      </c>
      <c r="B5202">
        <v>5.3064999999999998</v>
      </c>
      <c r="C5202">
        <v>7.4344999999999994E-2</v>
      </c>
      <c r="D5202">
        <v>287</v>
      </c>
      <c r="E5202" t="s">
        <v>5653</v>
      </c>
      <c r="F5202">
        <v>287</v>
      </c>
      <c r="G5202" s="1">
        <v>45213</v>
      </c>
      <c r="H5202" s="6">
        <f t="shared" si="162"/>
        <v>31.947916666668117</v>
      </c>
      <c r="I5202" s="7">
        <f t="shared" si="163"/>
        <v>31.947916666668117</v>
      </c>
    </row>
    <row r="5203" spans="1:9" x14ac:dyDescent="0.2">
      <c r="A5203" t="s">
        <v>5654</v>
      </c>
      <c r="B5203">
        <v>5.3689999999999998</v>
      </c>
      <c r="C5203">
        <v>7.5194999999999998E-2</v>
      </c>
      <c r="D5203">
        <v>287</v>
      </c>
      <c r="E5203" t="s">
        <v>5654</v>
      </c>
      <c r="F5203">
        <v>287</v>
      </c>
      <c r="G5203" s="1">
        <v>45213</v>
      </c>
      <c r="H5203" s="6">
        <f t="shared" si="162"/>
        <v>31.958333333334785</v>
      </c>
      <c r="I5203" s="7">
        <f t="shared" si="163"/>
        <v>31.958333333334785</v>
      </c>
    </row>
    <row r="5204" spans="1:9" x14ac:dyDescent="0.2">
      <c r="A5204" t="s">
        <v>5655</v>
      </c>
      <c r="B5204">
        <v>5.4234999999999998</v>
      </c>
      <c r="C5204">
        <v>7.5965000000000005E-2</v>
      </c>
      <c r="D5204">
        <v>287</v>
      </c>
      <c r="E5204" t="s">
        <v>5655</v>
      </c>
      <c r="F5204">
        <v>287</v>
      </c>
      <c r="G5204" s="1">
        <v>45213</v>
      </c>
      <c r="H5204" s="6">
        <f t="shared" si="162"/>
        <v>31.968750000001453</v>
      </c>
      <c r="I5204" s="7">
        <f t="shared" si="163"/>
        <v>31.968750000001453</v>
      </c>
    </row>
    <row r="5205" spans="1:9" x14ac:dyDescent="0.2">
      <c r="A5205" t="s">
        <v>5656</v>
      </c>
      <c r="B5205">
        <v>5.4539999999999997</v>
      </c>
      <c r="C5205">
        <v>7.6395000000000005E-2</v>
      </c>
      <c r="D5205">
        <v>287</v>
      </c>
      <c r="E5205" t="s">
        <v>5656</v>
      </c>
      <c r="F5205">
        <v>287</v>
      </c>
      <c r="G5205" s="1">
        <v>45213</v>
      </c>
      <c r="H5205" s="6">
        <f t="shared" si="162"/>
        <v>31.979166666668121</v>
      </c>
      <c r="I5205" s="7">
        <f t="shared" si="163"/>
        <v>31.979166666668121</v>
      </c>
    </row>
    <row r="5206" spans="1:9" x14ac:dyDescent="0.2">
      <c r="A5206" t="s">
        <v>5657</v>
      </c>
      <c r="B5206">
        <v>5.3220000000000001</v>
      </c>
      <c r="C5206">
        <v>7.4535000000000004E-2</v>
      </c>
      <c r="D5206">
        <v>287</v>
      </c>
      <c r="E5206" t="s">
        <v>5657</v>
      </c>
      <c r="F5206">
        <v>287</v>
      </c>
      <c r="G5206" s="1">
        <v>45213</v>
      </c>
      <c r="H5206" s="6">
        <f t="shared" si="162"/>
        <v>31.989583333334789</v>
      </c>
      <c r="I5206" s="7">
        <f t="shared" si="163"/>
        <v>31.989583333334789</v>
      </c>
    </row>
    <row r="5207" spans="1:9" x14ac:dyDescent="0.2">
      <c r="A5207" t="s">
        <v>5658</v>
      </c>
      <c r="B5207">
        <v>5.2725</v>
      </c>
      <c r="C5207">
        <v>7.3849999999999999E-2</v>
      </c>
      <c r="D5207">
        <v>287</v>
      </c>
      <c r="E5207" t="s">
        <v>5658</v>
      </c>
      <c r="F5207">
        <v>287</v>
      </c>
      <c r="G5207" s="1">
        <v>45213</v>
      </c>
      <c r="H5207" s="6">
        <f t="shared" si="162"/>
        <v>32.000000000001457</v>
      </c>
      <c r="I5207" s="7">
        <f t="shared" si="163"/>
        <v>32.000000000001457</v>
      </c>
    </row>
    <row r="5208" spans="1:9" x14ac:dyDescent="0.2">
      <c r="A5208" t="s">
        <v>5659</v>
      </c>
      <c r="B5208">
        <v>5.1464999999999996</v>
      </c>
      <c r="C5208">
        <v>7.2075E-2</v>
      </c>
      <c r="D5208">
        <v>287</v>
      </c>
      <c r="E5208" t="s">
        <v>5659</v>
      </c>
      <c r="F5208">
        <v>287</v>
      </c>
      <c r="G5208" s="1">
        <v>45213</v>
      </c>
      <c r="H5208" s="6">
        <f t="shared" si="162"/>
        <v>32.010416666668121</v>
      </c>
      <c r="I5208" s="7">
        <f t="shared" si="163"/>
        <v>32.010416666668121</v>
      </c>
    </row>
    <row r="5209" spans="1:9" x14ac:dyDescent="0.2">
      <c r="A5209" t="s">
        <v>5660</v>
      </c>
      <c r="B5209">
        <v>5.2515000000000001</v>
      </c>
      <c r="C5209">
        <v>7.3550000000000004E-2</v>
      </c>
      <c r="D5209">
        <v>287</v>
      </c>
      <c r="E5209" t="s">
        <v>5660</v>
      </c>
      <c r="F5209">
        <v>287</v>
      </c>
      <c r="G5209" s="1">
        <v>45213</v>
      </c>
      <c r="H5209" s="6">
        <f t="shared" si="162"/>
        <v>32.020833333334785</v>
      </c>
      <c r="I5209" s="7">
        <f t="shared" si="163"/>
        <v>32.020833333334785</v>
      </c>
    </row>
    <row r="5210" spans="1:9" x14ac:dyDescent="0.2">
      <c r="A5210" t="s">
        <v>5661</v>
      </c>
      <c r="B5210">
        <v>5.1349999999999998</v>
      </c>
      <c r="C5210">
        <v>7.1910000000000002E-2</v>
      </c>
      <c r="D5210">
        <v>287</v>
      </c>
      <c r="E5210" t="s">
        <v>5661</v>
      </c>
      <c r="F5210">
        <v>287</v>
      </c>
      <c r="G5210" s="1">
        <v>45213</v>
      </c>
      <c r="H5210" s="6">
        <f t="shared" si="162"/>
        <v>32.03125000000145</v>
      </c>
      <c r="I5210" s="7">
        <f t="shared" si="163"/>
        <v>32.03125000000145</v>
      </c>
    </row>
    <row r="5211" spans="1:9" x14ac:dyDescent="0.2">
      <c r="A5211" t="s">
        <v>5662</v>
      </c>
      <c r="B5211">
        <v>5.1740000000000004</v>
      </c>
      <c r="C5211">
        <v>7.2474999999999998E-2</v>
      </c>
      <c r="D5211">
        <v>287</v>
      </c>
      <c r="E5211" t="s">
        <v>5662</v>
      </c>
      <c r="F5211">
        <v>287</v>
      </c>
      <c r="G5211" s="1">
        <v>45213</v>
      </c>
      <c r="H5211" s="6">
        <f t="shared" si="162"/>
        <v>32.041666666668114</v>
      </c>
      <c r="I5211" s="7">
        <f t="shared" si="163"/>
        <v>32.041666666668114</v>
      </c>
    </row>
    <row r="5212" spans="1:9" x14ac:dyDescent="0.2">
      <c r="A5212" t="s">
        <v>5663</v>
      </c>
      <c r="B5212">
        <v>5.0955000000000004</v>
      </c>
      <c r="C5212">
        <v>7.1370000000000003E-2</v>
      </c>
      <c r="D5212">
        <v>287</v>
      </c>
      <c r="E5212" t="s">
        <v>5663</v>
      </c>
      <c r="F5212">
        <v>287</v>
      </c>
      <c r="G5212" s="1">
        <v>45213</v>
      </c>
      <c r="H5212" s="6">
        <f t="shared" ref="H5212:H5275" si="164">H5211+$K$1</f>
        <v>32.052083333334778</v>
      </c>
      <c r="I5212" s="7">
        <f t="shared" ref="I5212:I5275" si="165">I5211+$K$1</f>
        <v>32.052083333334778</v>
      </c>
    </row>
    <row r="5213" spans="1:9" x14ac:dyDescent="0.2">
      <c r="A5213" t="s">
        <v>5664</v>
      </c>
      <c r="B5213">
        <v>5.2930000000000001</v>
      </c>
      <c r="C5213">
        <v>7.4145000000000003E-2</v>
      </c>
      <c r="D5213">
        <v>287</v>
      </c>
      <c r="E5213" t="s">
        <v>5664</v>
      </c>
      <c r="F5213">
        <v>287</v>
      </c>
      <c r="G5213" s="1">
        <v>45213</v>
      </c>
      <c r="H5213" s="6">
        <f t="shared" si="164"/>
        <v>32.062500000001442</v>
      </c>
      <c r="I5213" s="7">
        <f t="shared" si="165"/>
        <v>32.062500000001442</v>
      </c>
    </row>
    <row r="5214" spans="1:9" x14ac:dyDescent="0.2">
      <c r="A5214" t="s">
        <v>5665</v>
      </c>
      <c r="B5214">
        <v>5.2569999999999997</v>
      </c>
      <c r="C5214">
        <v>7.3639999999999997E-2</v>
      </c>
      <c r="D5214">
        <v>287</v>
      </c>
      <c r="E5214" t="s">
        <v>5665</v>
      </c>
      <c r="F5214">
        <v>287</v>
      </c>
      <c r="G5214" s="1">
        <v>45213</v>
      </c>
      <c r="H5214" s="6">
        <f t="shared" si="164"/>
        <v>32.072916666668107</v>
      </c>
      <c r="I5214" s="7">
        <f t="shared" si="165"/>
        <v>32.072916666668107</v>
      </c>
    </row>
    <row r="5215" spans="1:9" x14ac:dyDescent="0.2">
      <c r="A5215" t="s">
        <v>5666</v>
      </c>
      <c r="B5215">
        <v>5.3334999999999999</v>
      </c>
      <c r="C5215">
        <v>7.4709999999999999E-2</v>
      </c>
      <c r="D5215">
        <v>287</v>
      </c>
      <c r="E5215" t="s">
        <v>5666</v>
      </c>
      <c r="F5215">
        <v>287</v>
      </c>
      <c r="G5215" s="1">
        <v>45213</v>
      </c>
      <c r="H5215" s="6">
        <f t="shared" si="164"/>
        <v>32.083333333334771</v>
      </c>
      <c r="I5215" s="7">
        <f t="shared" si="165"/>
        <v>32.083333333334771</v>
      </c>
    </row>
    <row r="5216" spans="1:9" x14ac:dyDescent="0.2">
      <c r="A5216" t="s">
        <v>5667</v>
      </c>
      <c r="B5216">
        <v>5.327</v>
      </c>
      <c r="C5216">
        <v>7.4624999999999997E-2</v>
      </c>
      <c r="D5216">
        <v>287</v>
      </c>
      <c r="E5216" t="s">
        <v>5667</v>
      </c>
      <c r="F5216">
        <v>287</v>
      </c>
      <c r="G5216" s="1">
        <v>45213</v>
      </c>
      <c r="H5216" s="6">
        <f t="shared" si="164"/>
        <v>32.093750000001435</v>
      </c>
      <c r="I5216" s="7">
        <f t="shared" si="165"/>
        <v>32.093750000001435</v>
      </c>
    </row>
    <row r="5217" spans="1:9" x14ac:dyDescent="0.2">
      <c r="A5217" t="s">
        <v>5668</v>
      </c>
      <c r="B5217">
        <v>5.2675000000000001</v>
      </c>
      <c r="C5217">
        <v>7.3760000000000006E-2</v>
      </c>
      <c r="D5217">
        <v>287</v>
      </c>
      <c r="E5217" t="s">
        <v>5668</v>
      </c>
      <c r="F5217">
        <v>287</v>
      </c>
      <c r="G5217" s="1">
        <v>45213</v>
      </c>
      <c r="H5217" s="6">
        <f t="shared" si="164"/>
        <v>32.1041666666681</v>
      </c>
      <c r="I5217" s="7">
        <f t="shared" si="165"/>
        <v>32.1041666666681</v>
      </c>
    </row>
    <row r="5218" spans="1:9" x14ac:dyDescent="0.2">
      <c r="A5218" t="s">
        <v>5669</v>
      </c>
      <c r="B5218">
        <v>5.3339999999999996</v>
      </c>
      <c r="C5218">
        <v>7.4715000000000004E-2</v>
      </c>
      <c r="D5218">
        <v>287</v>
      </c>
      <c r="E5218" t="s">
        <v>5669</v>
      </c>
      <c r="F5218">
        <v>287</v>
      </c>
      <c r="G5218" s="1">
        <v>45213</v>
      </c>
      <c r="H5218" s="6">
        <f t="shared" si="164"/>
        <v>32.114583333334764</v>
      </c>
      <c r="I5218" s="7">
        <f t="shared" si="165"/>
        <v>32.114583333334764</v>
      </c>
    </row>
    <row r="5219" spans="1:9" x14ac:dyDescent="0.2">
      <c r="A5219" t="s">
        <v>5670</v>
      </c>
      <c r="B5219">
        <v>5.2050000000000001</v>
      </c>
      <c r="C5219">
        <v>7.2919999999999999E-2</v>
      </c>
      <c r="D5219">
        <v>287</v>
      </c>
      <c r="E5219" t="s">
        <v>5670</v>
      </c>
      <c r="F5219">
        <v>287</v>
      </c>
      <c r="G5219" s="1">
        <v>45213</v>
      </c>
      <c r="H5219" s="6">
        <f t="shared" si="164"/>
        <v>32.125000000001428</v>
      </c>
      <c r="I5219" s="7">
        <f t="shared" si="165"/>
        <v>32.125000000001428</v>
      </c>
    </row>
    <row r="5220" spans="1:9" x14ac:dyDescent="0.2">
      <c r="A5220" t="s">
        <v>5671</v>
      </c>
      <c r="B5220">
        <v>5.4634999999999998</v>
      </c>
      <c r="C5220">
        <v>7.6520000000000005E-2</v>
      </c>
      <c r="D5220">
        <v>287</v>
      </c>
      <c r="E5220" t="s">
        <v>5671</v>
      </c>
      <c r="F5220">
        <v>287</v>
      </c>
      <c r="G5220" s="1">
        <v>45213</v>
      </c>
      <c r="H5220" s="6">
        <f t="shared" si="164"/>
        <v>32.135416666668092</v>
      </c>
      <c r="I5220" s="7">
        <f t="shared" si="165"/>
        <v>32.135416666668092</v>
      </c>
    </row>
    <row r="5221" spans="1:9" x14ac:dyDescent="0.2">
      <c r="A5221" t="s">
        <v>5672</v>
      </c>
      <c r="B5221">
        <v>5.423</v>
      </c>
      <c r="C5221">
        <v>7.5950000000000004E-2</v>
      </c>
      <c r="D5221">
        <v>287</v>
      </c>
      <c r="E5221" t="s">
        <v>5672</v>
      </c>
      <c r="F5221">
        <v>287</v>
      </c>
      <c r="G5221" s="1">
        <v>45213</v>
      </c>
      <c r="H5221" s="6">
        <f t="shared" si="164"/>
        <v>32.145833333334757</v>
      </c>
      <c r="I5221" s="7">
        <f t="shared" si="165"/>
        <v>32.145833333334757</v>
      </c>
    </row>
    <row r="5222" spans="1:9" x14ac:dyDescent="0.2">
      <c r="A5222" t="s">
        <v>5673</v>
      </c>
      <c r="B5222">
        <v>5.4210000000000003</v>
      </c>
      <c r="C5222">
        <v>7.5929999999999997E-2</v>
      </c>
      <c r="D5222">
        <v>287</v>
      </c>
      <c r="E5222" t="s">
        <v>5673</v>
      </c>
      <c r="F5222">
        <v>287</v>
      </c>
      <c r="G5222" s="1">
        <v>45213</v>
      </c>
      <c r="H5222" s="6">
        <f t="shared" si="164"/>
        <v>32.156250000001421</v>
      </c>
      <c r="I5222" s="7">
        <f t="shared" si="165"/>
        <v>32.156250000001421</v>
      </c>
    </row>
    <row r="5223" spans="1:9" x14ac:dyDescent="0.2">
      <c r="A5223" t="s">
        <v>5674</v>
      </c>
      <c r="B5223">
        <v>5.3445</v>
      </c>
      <c r="C5223">
        <v>7.4859999999999996E-2</v>
      </c>
      <c r="D5223">
        <v>287</v>
      </c>
      <c r="E5223" t="s">
        <v>5674</v>
      </c>
      <c r="F5223">
        <v>287</v>
      </c>
      <c r="G5223" s="1">
        <v>45213</v>
      </c>
      <c r="H5223" s="6">
        <f t="shared" si="164"/>
        <v>32.166666666668085</v>
      </c>
      <c r="I5223" s="7">
        <f t="shared" si="165"/>
        <v>32.166666666668085</v>
      </c>
    </row>
    <row r="5224" spans="1:9" x14ac:dyDescent="0.2">
      <c r="A5224" t="s">
        <v>5675</v>
      </c>
      <c r="B5224">
        <v>5.4394999999999998</v>
      </c>
      <c r="C5224">
        <v>7.6189999999999994E-2</v>
      </c>
      <c r="D5224">
        <v>287</v>
      </c>
      <c r="E5224" t="s">
        <v>5675</v>
      </c>
      <c r="F5224">
        <v>287</v>
      </c>
      <c r="G5224" s="1">
        <v>45213</v>
      </c>
      <c r="H5224" s="6">
        <f t="shared" si="164"/>
        <v>32.17708333333475</v>
      </c>
      <c r="I5224" s="7">
        <f t="shared" si="165"/>
        <v>32.17708333333475</v>
      </c>
    </row>
    <row r="5225" spans="1:9" x14ac:dyDescent="0.2">
      <c r="A5225" t="s">
        <v>5676</v>
      </c>
      <c r="B5225">
        <v>5.4610000000000003</v>
      </c>
      <c r="C5225">
        <v>7.6490000000000002E-2</v>
      </c>
      <c r="D5225">
        <v>287</v>
      </c>
      <c r="E5225" t="s">
        <v>5676</v>
      </c>
      <c r="F5225">
        <v>287</v>
      </c>
      <c r="G5225" s="1">
        <v>45213</v>
      </c>
      <c r="H5225" s="6">
        <f t="shared" si="164"/>
        <v>32.187500000001414</v>
      </c>
      <c r="I5225" s="7">
        <f t="shared" si="165"/>
        <v>32.187500000001414</v>
      </c>
    </row>
    <row r="5226" spans="1:9" x14ac:dyDescent="0.2">
      <c r="A5226" t="s">
        <v>5677</v>
      </c>
      <c r="B5226">
        <v>5.3955000000000002</v>
      </c>
      <c r="C5226">
        <v>7.5564999999999993E-2</v>
      </c>
      <c r="D5226">
        <v>287</v>
      </c>
      <c r="E5226" t="s">
        <v>5677</v>
      </c>
      <c r="F5226">
        <v>287</v>
      </c>
      <c r="G5226" s="1">
        <v>45213</v>
      </c>
      <c r="H5226" s="6">
        <f t="shared" si="164"/>
        <v>32.197916666668078</v>
      </c>
      <c r="I5226" s="7">
        <f t="shared" si="165"/>
        <v>32.197916666668078</v>
      </c>
    </row>
    <row r="5227" spans="1:9" x14ac:dyDescent="0.2">
      <c r="A5227" t="s">
        <v>5678</v>
      </c>
      <c r="B5227">
        <v>5.2465000000000002</v>
      </c>
      <c r="C5227">
        <v>7.3495000000000005E-2</v>
      </c>
      <c r="D5227">
        <v>287</v>
      </c>
      <c r="E5227" t="s">
        <v>5678</v>
      </c>
      <c r="F5227">
        <v>287</v>
      </c>
      <c r="G5227" s="1">
        <v>45213</v>
      </c>
      <c r="H5227" s="6">
        <f t="shared" si="164"/>
        <v>32.208333333334743</v>
      </c>
      <c r="I5227" s="7">
        <f t="shared" si="165"/>
        <v>32.208333333334743</v>
      </c>
    </row>
    <row r="5228" spans="1:9" x14ac:dyDescent="0.2">
      <c r="A5228" t="s">
        <v>5679</v>
      </c>
      <c r="B5228">
        <v>5.1909999999999998</v>
      </c>
      <c r="C5228">
        <v>7.2700000000000001E-2</v>
      </c>
      <c r="D5228">
        <v>287</v>
      </c>
      <c r="E5228" t="s">
        <v>5679</v>
      </c>
      <c r="F5228">
        <v>287</v>
      </c>
      <c r="G5228" s="1">
        <v>45213</v>
      </c>
      <c r="H5228" s="6">
        <f t="shared" si="164"/>
        <v>32.218750000001407</v>
      </c>
      <c r="I5228" s="7">
        <f t="shared" si="165"/>
        <v>32.218750000001407</v>
      </c>
    </row>
    <row r="5229" spans="1:9" x14ac:dyDescent="0.2">
      <c r="A5229" t="s">
        <v>5680</v>
      </c>
      <c r="B5229">
        <v>5.2439999999999998</v>
      </c>
      <c r="C5229">
        <v>7.3444999999999996E-2</v>
      </c>
      <c r="D5229">
        <v>287</v>
      </c>
      <c r="E5229" t="s">
        <v>5680</v>
      </c>
      <c r="F5229">
        <v>287</v>
      </c>
      <c r="G5229" s="1">
        <v>45213</v>
      </c>
      <c r="H5229" s="6">
        <f t="shared" si="164"/>
        <v>32.229166666668071</v>
      </c>
      <c r="I5229" s="7">
        <f t="shared" si="165"/>
        <v>32.229166666668071</v>
      </c>
    </row>
    <row r="5230" spans="1:9" x14ac:dyDescent="0.2">
      <c r="A5230" t="s">
        <v>5681</v>
      </c>
      <c r="B5230">
        <v>5.1360000000000001</v>
      </c>
      <c r="C5230">
        <v>7.1944999999999995E-2</v>
      </c>
      <c r="D5230">
        <v>287</v>
      </c>
      <c r="E5230" t="s">
        <v>5681</v>
      </c>
      <c r="F5230">
        <v>287</v>
      </c>
      <c r="G5230" s="1">
        <v>45213</v>
      </c>
      <c r="H5230" s="6">
        <f t="shared" si="164"/>
        <v>32.239583333334735</v>
      </c>
      <c r="I5230" s="7">
        <f t="shared" si="165"/>
        <v>32.239583333334735</v>
      </c>
    </row>
    <row r="5231" spans="1:9" x14ac:dyDescent="0.2">
      <c r="A5231" t="s">
        <v>5682</v>
      </c>
      <c r="B5231">
        <v>5.1924999999999999</v>
      </c>
      <c r="C5231">
        <v>7.2730000000000003E-2</v>
      </c>
      <c r="D5231">
        <v>287</v>
      </c>
      <c r="E5231" t="s">
        <v>5682</v>
      </c>
      <c r="F5231">
        <v>287</v>
      </c>
      <c r="G5231" s="1">
        <v>45213</v>
      </c>
      <c r="H5231" s="6">
        <f t="shared" si="164"/>
        <v>32.2500000000014</v>
      </c>
      <c r="I5231" s="7">
        <f t="shared" si="165"/>
        <v>32.2500000000014</v>
      </c>
    </row>
    <row r="5232" spans="1:9" x14ac:dyDescent="0.2">
      <c r="A5232" t="s">
        <v>5683</v>
      </c>
      <c r="B5232">
        <v>5.1734999999999998</v>
      </c>
      <c r="C5232">
        <v>7.2470000000000007E-2</v>
      </c>
      <c r="D5232">
        <v>287</v>
      </c>
      <c r="E5232" t="s">
        <v>5683</v>
      </c>
      <c r="F5232">
        <v>287</v>
      </c>
      <c r="G5232" s="1">
        <v>45213</v>
      </c>
      <c r="H5232" s="6">
        <f t="shared" si="164"/>
        <v>32.260416666668064</v>
      </c>
      <c r="I5232" s="7">
        <f t="shared" si="165"/>
        <v>32.260416666668064</v>
      </c>
    </row>
    <row r="5233" spans="1:9" x14ac:dyDescent="0.2">
      <c r="A5233" t="s">
        <v>5684</v>
      </c>
      <c r="B5233">
        <v>4.9904999999999999</v>
      </c>
      <c r="C5233">
        <v>6.9900000000000004E-2</v>
      </c>
      <c r="D5233">
        <v>287</v>
      </c>
      <c r="E5233" t="s">
        <v>5684</v>
      </c>
      <c r="F5233">
        <v>287</v>
      </c>
      <c r="G5233" s="1">
        <v>45213</v>
      </c>
      <c r="H5233" s="6">
        <f t="shared" si="164"/>
        <v>32.270833333334728</v>
      </c>
      <c r="I5233" s="7">
        <f t="shared" si="165"/>
        <v>32.270833333334728</v>
      </c>
    </row>
    <row r="5234" spans="1:9" x14ac:dyDescent="0.2">
      <c r="A5234" t="s">
        <v>5685</v>
      </c>
      <c r="B5234">
        <v>4.9435000000000002</v>
      </c>
      <c r="C5234">
        <v>6.9250000000000006E-2</v>
      </c>
      <c r="D5234">
        <v>287</v>
      </c>
      <c r="E5234" t="s">
        <v>5685</v>
      </c>
      <c r="F5234">
        <v>287</v>
      </c>
      <c r="G5234" s="1">
        <v>45213</v>
      </c>
      <c r="H5234" s="6">
        <f t="shared" si="164"/>
        <v>32.281250000001393</v>
      </c>
      <c r="I5234" s="7">
        <f t="shared" si="165"/>
        <v>32.281250000001393</v>
      </c>
    </row>
    <row r="5235" spans="1:9" x14ac:dyDescent="0.2">
      <c r="A5235" t="s">
        <v>5686</v>
      </c>
      <c r="B5235">
        <v>5.0605000000000002</v>
      </c>
      <c r="C5235">
        <v>7.0889999999999995E-2</v>
      </c>
      <c r="D5235">
        <v>287</v>
      </c>
      <c r="E5235" t="s">
        <v>5686</v>
      </c>
      <c r="F5235">
        <v>287</v>
      </c>
      <c r="G5235" s="1">
        <v>45213</v>
      </c>
      <c r="H5235" s="6">
        <f t="shared" si="164"/>
        <v>32.291666666668057</v>
      </c>
      <c r="I5235" s="7">
        <f t="shared" si="165"/>
        <v>32.291666666668057</v>
      </c>
    </row>
    <row r="5236" spans="1:9" x14ac:dyDescent="0.2">
      <c r="A5236" t="s">
        <v>5687</v>
      </c>
      <c r="B5236">
        <v>5.0090000000000003</v>
      </c>
      <c r="C5236">
        <v>7.0169999999999996E-2</v>
      </c>
      <c r="D5236">
        <v>287</v>
      </c>
      <c r="E5236" t="s">
        <v>5687</v>
      </c>
      <c r="F5236">
        <v>287</v>
      </c>
      <c r="G5236" s="1">
        <v>45213</v>
      </c>
      <c r="H5236" s="6">
        <f t="shared" si="164"/>
        <v>32.302083333334721</v>
      </c>
      <c r="I5236" s="7">
        <f t="shared" si="165"/>
        <v>32.302083333334721</v>
      </c>
    </row>
    <row r="5237" spans="1:9" x14ac:dyDescent="0.2">
      <c r="A5237" t="s">
        <v>5688</v>
      </c>
      <c r="B5237">
        <v>4.9965000000000002</v>
      </c>
      <c r="C5237">
        <v>6.9989999999999997E-2</v>
      </c>
      <c r="D5237">
        <v>287</v>
      </c>
      <c r="E5237" t="s">
        <v>5688</v>
      </c>
      <c r="F5237">
        <v>287</v>
      </c>
      <c r="G5237" s="1">
        <v>45213</v>
      </c>
      <c r="H5237" s="6">
        <f t="shared" si="164"/>
        <v>32.312500000001386</v>
      </c>
      <c r="I5237" s="7">
        <f t="shared" si="165"/>
        <v>32.312500000001386</v>
      </c>
    </row>
    <row r="5238" spans="1:9" x14ac:dyDescent="0.2">
      <c r="A5238" t="s">
        <v>5689</v>
      </c>
      <c r="B5238" s="2" t="s">
        <v>5690</v>
      </c>
      <c r="C5238">
        <v>6.9309999999999997E-2</v>
      </c>
      <c r="D5238">
        <v>287</v>
      </c>
      <c r="E5238" t="s">
        <v>5689</v>
      </c>
      <c r="F5238">
        <v>287</v>
      </c>
      <c r="G5238" s="1">
        <v>45213</v>
      </c>
      <c r="H5238" s="6">
        <f t="shared" si="164"/>
        <v>32.32291666666805</v>
      </c>
      <c r="I5238" s="7">
        <f t="shared" si="165"/>
        <v>32.32291666666805</v>
      </c>
    </row>
    <row r="5239" spans="1:9" x14ac:dyDescent="0.2">
      <c r="A5239" t="s">
        <v>5691</v>
      </c>
      <c r="B5239">
        <v>4.79</v>
      </c>
      <c r="C5239">
        <v>6.7095000000000002E-2</v>
      </c>
      <c r="D5239">
        <v>287</v>
      </c>
      <c r="E5239" t="s">
        <v>5691</v>
      </c>
      <c r="F5239">
        <v>287</v>
      </c>
      <c r="G5239" s="1">
        <v>45213</v>
      </c>
      <c r="H5239" s="6">
        <f t="shared" si="164"/>
        <v>32.333333333334714</v>
      </c>
      <c r="I5239" s="7">
        <f t="shared" si="165"/>
        <v>32.333333333334714</v>
      </c>
    </row>
    <row r="5240" spans="1:9" x14ac:dyDescent="0.2">
      <c r="A5240" t="s">
        <v>5692</v>
      </c>
      <c r="B5240">
        <v>4.8224999999999998</v>
      </c>
      <c r="C5240">
        <v>6.7544999999999994E-2</v>
      </c>
      <c r="D5240">
        <v>287</v>
      </c>
      <c r="E5240" t="s">
        <v>5692</v>
      </c>
      <c r="F5240">
        <v>287</v>
      </c>
      <c r="G5240" s="1">
        <v>45213</v>
      </c>
      <c r="H5240" s="6">
        <f t="shared" si="164"/>
        <v>32.343750000001378</v>
      </c>
      <c r="I5240" s="7">
        <f t="shared" si="165"/>
        <v>32.343750000001378</v>
      </c>
    </row>
    <row r="5241" spans="1:9" x14ac:dyDescent="0.2">
      <c r="A5241" t="s">
        <v>5693</v>
      </c>
      <c r="B5241">
        <v>4.7995000000000001</v>
      </c>
      <c r="C5241">
        <v>6.7224999999999993E-2</v>
      </c>
      <c r="D5241">
        <v>287</v>
      </c>
      <c r="E5241" t="s">
        <v>5693</v>
      </c>
      <c r="F5241">
        <v>287</v>
      </c>
      <c r="G5241" s="1">
        <v>45213</v>
      </c>
      <c r="H5241" s="6">
        <f t="shared" si="164"/>
        <v>32.354166666668043</v>
      </c>
      <c r="I5241" s="7">
        <f t="shared" si="165"/>
        <v>32.354166666668043</v>
      </c>
    </row>
    <row r="5242" spans="1:9" x14ac:dyDescent="0.2">
      <c r="A5242" t="s">
        <v>5694</v>
      </c>
      <c r="B5242">
        <v>4.8159999999999998</v>
      </c>
      <c r="C5242">
        <v>6.7449999999999996E-2</v>
      </c>
      <c r="D5242">
        <v>287</v>
      </c>
      <c r="E5242" t="s">
        <v>5694</v>
      </c>
      <c r="F5242">
        <v>287</v>
      </c>
      <c r="G5242" s="1">
        <v>45213</v>
      </c>
      <c r="H5242" s="6">
        <f t="shared" si="164"/>
        <v>32.364583333334707</v>
      </c>
      <c r="I5242" s="7">
        <f t="shared" si="165"/>
        <v>32.364583333334707</v>
      </c>
    </row>
    <row r="5243" spans="1:9" x14ac:dyDescent="0.2">
      <c r="A5243" t="s">
        <v>5695</v>
      </c>
      <c r="B5243">
        <v>4.5919999999999996</v>
      </c>
      <c r="C5243">
        <v>6.4324999999999993E-2</v>
      </c>
      <c r="D5243">
        <v>287</v>
      </c>
      <c r="E5243" t="s">
        <v>5695</v>
      </c>
      <c r="F5243">
        <v>287</v>
      </c>
      <c r="G5243" s="1">
        <v>45213</v>
      </c>
      <c r="H5243" s="6">
        <f t="shared" si="164"/>
        <v>32.375000000001371</v>
      </c>
      <c r="I5243" s="7">
        <f t="shared" si="165"/>
        <v>32.375000000001371</v>
      </c>
    </row>
    <row r="5244" spans="1:9" x14ac:dyDescent="0.2">
      <c r="A5244" t="s">
        <v>5696</v>
      </c>
      <c r="B5244">
        <v>4.8304999999999998</v>
      </c>
      <c r="C5244">
        <v>6.7650000000000002E-2</v>
      </c>
      <c r="D5244">
        <v>287</v>
      </c>
      <c r="E5244" t="s">
        <v>5696</v>
      </c>
      <c r="F5244">
        <v>287</v>
      </c>
      <c r="G5244" s="1">
        <v>45213</v>
      </c>
      <c r="H5244" s="6">
        <f t="shared" si="164"/>
        <v>32.385416666668036</v>
      </c>
      <c r="I5244" s="7">
        <f t="shared" si="165"/>
        <v>32.385416666668036</v>
      </c>
    </row>
    <row r="5245" spans="1:9" x14ac:dyDescent="0.2">
      <c r="A5245" t="s">
        <v>5697</v>
      </c>
      <c r="B5245">
        <v>4.9005000000000001</v>
      </c>
      <c r="C5245">
        <v>6.8650000000000003E-2</v>
      </c>
      <c r="D5245">
        <v>287</v>
      </c>
      <c r="E5245" t="s">
        <v>5697</v>
      </c>
      <c r="F5245">
        <v>287</v>
      </c>
      <c r="G5245" s="1">
        <v>45213</v>
      </c>
      <c r="H5245" s="6">
        <f t="shared" si="164"/>
        <v>32.3958333333347</v>
      </c>
      <c r="I5245" s="7">
        <f t="shared" si="165"/>
        <v>32.3958333333347</v>
      </c>
    </row>
    <row r="5246" spans="1:9" x14ac:dyDescent="0.2">
      <c r="A5246" t="s">
        <v>5698</v>
      </c>
      <c r="B5246">
        <v>4.7290000000000001</v>
      </c>
      <c r="C5246">
        <v>6.6239999999999993E-2</v>
      </c>
      <c r="D5246">
        <v>287</v>
      </c>
      <c r="E5246" t="s">
        <v>5698</v>
      </c>
      <c r="F5246">
        <v>287</v>
      </c>
      <c r="G5246" s="1">
        <v>45213</v>
      </c>
      <c r="H5246" s="6">
        <f t="shared" si="164"/>
        <v>32.406250000001364</v>
      </c>
      <c r="I5246" s="7">
        <f t="shared" si="165"/>
        <v>32.406250000001364</v>
      </c>
    </row>
    <row r="5247" spans="1:9" x14ac:dyDescent="0.2">
      <c r="A5247" t="s">
        <v>5699</v>
      </c>
      <c r="B5247">
        <v>4.8369999999999997</v>
      </c>
      <c r="C5247">
        <v>6.7745E-2</v>
      </c>
      <c r="D5247">
        <v>287</v>
      </c>
      <c r="E5247" t="s">
        <v>5699</v>
      </c>
      <c r="F5247">
        <v>287</v>
      </c>
      <c r="G5247" s="1">
        <v>45213</v>
      </c>
      <c r="H5247" s="6">
        <f t="shared" si="164"/>
        <v>32.416666666668029</v>
      </c>
      <c r="I5247" s="7">
        <f t="shared" si="165"/>
        <v>32.416666666668029</v>
      </c>
    </row>
    <row r="5248" spans="1:9" x14ac:dyDescent="0.2">
      <c r="A5248" t="s">
        <v>5700</v>
      </c>
      <c r="B5248">
        <v>4.8979999999999997</v>
      </c>
      <c r="C5248">
        <v>6.8610000000000004E-2</v>
      </c>
      <c r="D5248">
        <v>287</v>
      </c>
      <c r="E5248" t="s">
        <v>5700</v>
      </c>
      <c r="F5248">
        <v>287</v>
      </c>
      <c r="G5248" s="1">
        <v>45213</v>
      </c>
      <c r="H5248" s="6">
        <f t="shared" si="164"/>
        <v>32.427083333334693</v>
      </c>
      <c r="I5248" s="7">
        <f t="shared" si="165"/>
        <v>32.427083333334693</v>
      </c>
    </row>
    <row r="5249" spans="1:9" x14ac:dyDescent="0.2">
      <c r="A5249" t="s">
        <v>5701</v>
      </c>
      <c r="B5249">
        <v>4.9005000000000001</v>
      </c>
      <c r="C5249">
        <v>6.8635000000000002E-2</v>
      </c>
      <c r="D5249">
        <v>287</v>
      </c>
      <c r="E5249" t="s">
        <v>5701</v>
      </c>
      <c r="F5249">
        <v>287</v>
      </c>
      <c r="G5249" s="1">
        <v>45213</v>
      </c>
      <c r="H5249" s="6">
        <f t="shared" si="164"/>
        <v>32.437500000001357</v>
      </c>
      <c r="I5249" s="7">
        <f t="shared" si="165"/>
        <v>32.437500000001357</v>
      </c>
    </row>
    <row r="5250" spans="1:9" x14ac:dyDescent="0.2">
      <c r="A5250" t="s">
        <v>5702</v>
      </c>
      <c r="B5250">
        <v>4.9050000000000002</v>
      </c>
      <c r="C5250">
        <v>6.8699999999999997E-2</v>
      </c>
      <c r="D5250">
        <v>287</v>
      </c>
      <c r="E5250" t="s">
        <v>5702</v>
      </c>
      <c r="F5250">
        <v>287</v>
      </c>
      <c r="G5250" s="1">
        <v>45213</v>
      </c>
      <c r="H5250" s="6">
        <f t="shared" si="164"/>
        <v>32.447916666668021</v>
      </c>
      <c r="I5250" s="7">
        <f t="shared" si="165"/>
        <v>32.447916666668021</v>
      </c>
    </row>
    <row r="5251" spans="1:9" x14ac:dyDescent="0.2">
      <c r="A5251" t="s">
        <v>5703</v>
      </c>
      <c r="B5251">
        <v>4.8775000000000004</v>
      </c>
      <c r="C5251">
        <v>6.8334999999999896E-2</v>
      </c>
      <c r="D5251">
        <v>287</v>
      </c>
      <c r="E5251" t="s">
        <v>5703</v>
      </c>
      <c r="F5251">
        <v>287</v>
      </c>
      <c r="G5251" s="1">
        <v>45213</v>
      </c>
      <c r="H5251" s="6">
        <f t="shared" si="164"/>
        <v>32.458333333334686</v>
      </c>
      <c r="I5251" s="7">
        <f t="shared" si="165"/>
        <v>32.458333333334686</v>
      </c>
    </row>
    <row r="5252" spans="1:9" x14ac:dyDescent="0.2">
      <c r="A5252" t="s">
        <v>5704</v>
      </c>
      <c r="B5252">
        <v>4.8034999999999997</v>
      </c>
      <c r="C5252">
        <v>6.7299999999999999E-2</v>
      </c>
      <c r="D5252">
        <v>287</v>
      </c>
      <c r="E5252" t="s">
        <v>5704</v>
      </c>
      <c r="F5252">
        <v>287</v>
      </c>
      <c r="G5252" s="1">
        <v>45213</v>
      </c>
      <c r="H5252" s="6">
        <f t="shared" si="164"/>
        <v>32.46875000000135</v>
      </c>
      <c r="I5252" s="7">
        <f t="shared" si="165"/>
        <v>32.46875000000135</v>
      </c>
    </row>
    <row r="5253" spans="1:9" x14ac:dyDescent="0.2">
      <c r="A5253" t="s">
        <v>5705</v>
      </c>
      <c r="B5253">
        <v>4.7675000000000001</v>
      </c>
      <c r="C5253">
        <v>6.6784999999999997E-2</v>
      </c>
      <c r="D5253">
        <v>287</v>
      </c>
      <c r="E5253" t="s">
        <v>5705</v>
      </c>
      <c r="F5253">
        <v>287</v>
      </c>
      <c r="G5253" s="1">
        <v>45213</v>
      </c>
      <c r="H5253" s="6">
        <f t="shared" si="164"/>
        <v>32.479166666668014</v>
      </c>
      <c r="I5253" s="7">
        <f t="shared" si="165"/>
        <v>32.479166666668014</v>
      </c>
    </row>
    <row r="5254" spans="1:9" x14ac:dyDescent="0.2">
      <c r="A5254" t="s">
        <v>5706</v>
      </c>
      <c r="B5254">
        <v>4.8570000000000002</v>
      </c>
      <c r="C5254">
        <v>6.8029999999999993E-2</v>
      </c>
      <c r="D5254">
        <v>287</v>
      </c>
      <c r="E5254" t="s">
        <v>5706</v>
      </c>
      <c r="F5254">
        <v>287</v>
      </c>
      <c r="G5254" s="1">
        <v>45213</v>
      </c>
      <c r="H5254" s="6">
        <f t="shared" si="164"/>
        <v>32.489583333334679</v>
      </c>
      <c r="I5254" s="7">
        <f t="shared" si="165"/>
        <v>32.489583333334679</v>
      </c>
    </row>
    <row r="5255" spans="1:9" x14ac:dyDescent="0.2">
      <c r="A5255" t="s">
        <v>5707</v>
      </c>
      <c r="B5255">
        <v>4.8230000000000004</v>
      </c>
      <c r="C5255">
        <v>6.7565E-2</v>
      </c>
      <c r="D5255">
        <v>287</v>
      </c>
      <c r="E5255" t="s">
        <v>5707</v>
      </c>
      <c r="F5255">
        <v>287</v>
      </c>
      <c r="G5255" s="1">
        <v>45213</v>
      </c>
      <c r="H5255" s="6">
        <f t="shared" si="164"/>
        <v>32.500000000001343</v>
      </c>
      <c r="I5255" s="7">
        <f t="shared" si="165"/>
        <v>32.500000000001343</v>
      </c>
    </row>
    <row r="5256" spans="1:9" x14ac:dyDescent="0.2">
      <c r="A5256" t="s">
        <v>5708</v>
      </c>
      <c r="B5256">
        <v>4.83</v>
      </c>
      <c r="C5256">
        <v>6.7680000000000004E-2</v>
      </c>
      <c r="D5256">
        <v>287</v>
      </c>
      <c r="E5256" t="s">
        <v>5708</v>
      </c>
      <c r="F5256">
        <v>287</v>
      </c>
      <c r="G5256" s="1">
        <v>45213</v>
      </c>
      <c r="H5256" s="6">
        <f t="shared" si="164"/>
        <v>32.510416666668007</v>
      </c>
      <c r="I5256" s="7">
        <f t="shared" si="165"/>
        <v>32.510416666668007</v>
      </c>
    </row>
    <row r="5257" spans="1:9" x14ac:dyDescent="0.2">
      <c r="A5257" t="s">
        <v>5709</v>
      </c>
      <c r="B5257">
        <v>4.84</v>
      </c>
      <c r="C5257">
        <v>6.7784999999999998E-2</v>
      </c>
      <c r="D5257">
        <v>287</v>
      </c>
      <c r="E5257" t="s">
        <v>5709</v>
      </c>
      <c r="F5257">
        <v>287</v>
      </c>
      <c r="G5257" s="1">
        <v>45213</v>
      </c>
      <c r="H5257" s="6">
        <f t="shared" si="164"/>
        <v>32.520833333334672</v>
      </c>
      <c r="I5257" s="7">
        <f t="shared" si="165"/>
        <v>32.520833333334672</v>
      </c>
    </row>
    <row r="5258" spans="1:9" x14ac:dyDescent="0.2">
      <c r="A5258" t="s">
        <v>5710</v>
      </c>
      <c r="B5258">
        <v>4.8754999999999997</v>
      </c>
      <c r="C5258">
        <v>6.8290000000000003E-2</v>
      </c>
      <c r="D5258">
        <v>287</v>
      </c>
      <c r="E5258" t="s">
        <v>5710</v>
      </c>
      <c r="F5258">
        <v>287</v>
      </c>
      <c r="G5258" s="1">
        <v>45213</v>
      </c>
      <c r="H5258" s="6">
        <f t="shared" si="164"/>
        <v>32.531250000001336</v>
      </c>
      <c r="I5258" s="7">
        <f t="shared" si="165"/>
        <v>32.531250000001336</v>
      </c>
    </row>
    <row r="5259" spans="1:9" x14ac:dyDescent="0.2">
      <c r="A5259" t="s">
        <v>5711</v>
      </c>
      <c r="B5259">
        <v>4.8674999999999997</v>
      </c>
      <c r="C5259">
        <v>6.8180000000000004E-2</v>
      </c>
      <c r="D5259">
        <v>287</v>
      </c>
      <c r="E5259" t="s">
        <v>5711</v>
      </c>
      <c r="F5259">
        <v>287</v>
      </c>
      <c r="G5259" s="1">
        <v>45213</v>
      </c>
      <c r="H5259" s="6">
        <f t="shared" si="164"/>
        <v>32.541666666668</v>
      </c>
      <c r="I5259" s="7">
        <f t="shared" si="165"/>
        <v>32.541666666668</v>
      </c>
    </row>
    <row r="5260" spans="1:9" x14ac:dyDescent="0.2">
      <c r="A5260" t="s">
        <v>5712</v>
      </c>
      <c r="B5260">
        <v>4.8875000000000002</v>
      </c>
      <c r="C5260">
        <v>6.8455000000000002E-2</v>
      </c>
      <c r="D5260">
        <v>287</v>
      </c>
      <c r="E5260" t="s">
        <v>5712</v>
      </c>
      <c r="F5260">
        <v>287</v>
      </c>
      <c r="G5260" s="1">
        <v>45213</v>
      </c>
      <c r="H5260" s="6">
        <f t="shared" si="164"/>
        <v>32.552083333334664</v>
      </c>
      <c r="I5260" s="7">
        <f t="shared" si="165"/>
        <v>32.552083333334664</v>
      </c>
    </row>
    <row r="5261" spans="1:9" x14ac:dyDescent="0.2">
      <c r="A5261" t="s">
        <v>5713</v>
      </c>
      <c r="B5261">
        <v>4.8925000000000001</v>
      </c>
      <c r="C5261">
        <v>6.8515000000000006E-2</v>
      </c>
      <c r="D5261">
        <v>287</v>
      </c>
      <c r="E5261" t="s">
        <v>5713</v>
      </c>
      <c r="F5261">
        <v>287</v>
      </c>
      <c r="G5261" s="1">
        <v>45213</v>
      </c>
      <c r="H5261" s="6">
        <f t="shared" si="164"/>
        <v>32.562500000001329</v>
      </c>
      <c r="I5261" s="7">
        <f t="shared" si="165"/>
        <v>32.562500000001329</v>
      </c>
    </row>
    <row r="5262" spans="1:9" x14ac:dyDescent="0.2">
      <c r="A5262" t="s">
        <v>5714</v>
      </c>
      <c r="B5262">
        <v>4.8869999999999996</v>
      </c>
      <c r="C5262">
        <v>6.8470000000000003E-2</v>
      </c>
      <c r="D5262">
        <v>287</v>
      </c>
      <c r="E5262" t="s">
        <v>5714</v>
      </c>
      <c r="F5262">
        <v>287</v>
      </c>
      <c r="G5262" s="1">
        <v>45213</v>
      </c>
      <c r="H5262" s="6">
        <f t="shared" si="164"/>
        <v>32.572916666667993</v>
      </c>
      <c r="I5262" s="7">
        <f t="shared" si="165"/>
        <v>32.572916666667993</v>
      </c>
    </row>
    <row r="5263" spans="1:9" x14ac:dyDescent="0.2">
      <c r="A5263" t="s">
        <v>5715</v>
      </c>
      <c r="B5263">
        <v>4.9465000000000003</v>
      </c>
      <c r="C5263">
        <v>6.9275000000000003E-2</v>
      </c>
      <c r="D5263">
        <v>287</v>
      </c>
      <c r="E5263" t="s">
        <v>5715</v>
      </c>
      <c r="F5263">
        <v>287</v>
      </c>
      <c r="G5263" s="1">
        <v>45213</v>
      </c>
      <c r="H5263" s="6">
        <f t="shared" si="164"/>
        <v>32.583333333334657</v>
      </c>
      <c r="I5263" s="7">
        <f t="shared" si="165"/>
        <v>32.583333333334657</v>
      </c>
    </row>
    <row r="5264" spans="1:9" x14ac:dyDescent="0.2">
      <c r="A5264" t="s">
        <v>5716</v>
      </c>
      <c r="B5264">
        <v>5.024</v>
      </c>
      <c r="C5264">
        <v>7.0364999999999997E-2</v>
      </c>
      <c r="D5264">
        <v>287</v>
      </c>
      <c r="E5264" t="s">
        <v>5716</v>
      </c>
      <c r="F5264">
        <v>287</v>
      </c>
      <c r="G5264" s="1">
        <v>45213</v>
      </c>
      <c r="H5264" s="6">
        <f t="shared" si="164"/>
        <v>32.593750000001322</v>
      </c>
      <c r="I5264" s="7">
        <f t="shared" si="165"/>
        <v>32.593750000001322</v>
      </c>
    </row>
    <row r="5265" spans="1:9" x14ac:dyDescent="0.2">
      <c r="A5265" t="s">
        <v>5717</v>
      </c>
      <c r="B5265">
        <v>4.9615</v>
      </c>
      <c r="C5265">
        <v>6.9495000000000001E-2</v>
      </c>
      <c r="D5265">
        <v>288</v>
      </c>
      <c r="E5265" t="s">
        <v>5717</v>
      </c>
      <c r="F5265">
        <v>287</v>
      </c>
      <c r="G5265" s="1">
        <v>45213</v>
      </c>
      <c r="H5265" s="6">
        <f t="shared" si="164"/>
        <v>32.604166666667986</v>
      </c>
      <c r="I5265" s="7">
        <f t="shared" si="165"/>
        <v>32.604166666667986</v>
      </c>
    </row>
    <row r="5266" spans="1:9" x14ac:dyDescent="0.2">
      <c r="A5266" t="s">
        <v>5718</v>
      </c>
      <c r="B5266">
        <v>4.9165000000000001</v>
      </c>
      <c r="C5266">
        <v>6.8870000000000001E-2</v>
      </c>
      <c r="D5266">
        <v>288</v>
      </c>
      <c r="E5266" t="s">
        <v>5718</v>
      </c>
      <c r="F5266">
        <v>287</v>
      </c>
      <c r="G5266" s="1">
        <v>45213</v>
      </c>
      <c r="H5266" s="6">
        <f t="shared" si="164"/>
        <v>32.61458333333465</v>
      </c>
      <c r="I5266" s="7">
        <f t="shared" si="165"/>
        <v>32.61458333333465</v>
      </c>
    </row>
    <row r="5267" spans="1:9" x14ac:dyDescent="0.2">
      <c r="A5267" t="s">
        <v>5719</v>
      </c>
      <c r="B5267">
        <v>5.0350000000000001</v>
      </c>
      <c r="C5267">
        <v>7.0504999999999998E-2</v>
      </c>
      <c r="D5267">
        <v>288</v>
      </c>
      <c r="E5267" t="s">
        <v>5719</v>
      </c>
      <c r="F5267">
        <v>287</v>
      </c>
      <c r="G5267" s="1">
        <v>45213</v>
      </c>
      <c r="H5267" s="6">
        <f t="shared" si="164"/>
        <v>32.625000000001315</v>
      </c>
      <c r="I5267" s="7">
        <f t="shared" si="165"/>
        <v>32.625000000001315</v>
      </c>
    </row>
    <row r="5268" spans="1:9" x14ac:dyDescent="0.2">
      <c r="A5268" t="s">
        <v>5720</v>
      </c>
      <c r="B5268">
        <v>5.0190000000000001</v>
      </c>
      <c r="C5268">
        <v>7.0300000000000001E-2</v>
      </c>
      <c r="D5268">
        <v>288</v>
      </c>
      <c r="E5268" t="s">
        <v>5720</v>
      </c>
      <c r="F5268">
        <v>287</v>
      </c>
      <c r="G5268" s="1">
        <v>45213</v>
      </c>
      <c r="H5268" s="6">
        <f t="shared" si="164"/>
        <v>32.635416666667979</v>
      </c>
      <c r="I5268" s="7">
        <f t="shared" si="165"/>
        <v>32.635416666667979</v>
      </c>
    </row>
    <row r="5269" spans="1:9" x14ac:dyDescent="0.2">
      <c r="A5269" t="s">
        <v>5721</v>
      </c>
      <c r="B5269">
        <v>5.0250000000000004</v>
      </c>
      <c r="C5269">
        <v>7.0370000000000002E-2</v>
      </c>
      <c r="D5269">
        <v>288</v>
      </c>
      <c r="E5269" t="s">
        <v>5721</v>
      </c>
      <c r="F5269">
        <v>287</v>
      </c>
      <c r="G5269" s="1">
        <v>45213</v>
      </c>
      <c r="H5269" s="6">
        <f t="shared" si="164"/>
        <v>32.645833333334643</v>
      </c>
      <c r="I5269" s="7">
        <f t="shared" si="165"/>
        <v>32.645833333334643</v>
      </c>
    </row>
    <row r="5270" spans="1:9" x14ac:dyDescent="0.2">
      <c r="A5270" t="s">
        <v>5722</v>
      </c>
      <c r="B5270">
        <v>4.992</v>
      </c>
      <c r="C5270">
        <v>6.9930000000000006E-2</v>
      </c>
      <c r="D5270">
        <v>288</v>
      </c>
      <c r="E5270" t="s">
        <v>5722</v>
      </c>
      <c r="F5270">
        <v>287</v>
      </c>
      <c r="G5270" s="1">
        <v>45213</v>
      </c>
      <c r="H5270" s="6">
        <f t="shared" si="164"/>
        <v>32.656250000001307</v>
      </c>
      <c r="I5270" s="7">
        <f t="shared" si="165"/>
        <v>32.656250000001307</v>
      </c>
    </row>
    <row r="5271" spans="1:9" x14ac:dyDescent="0.2">
      <c r="A5271" t="s">
        <v>5723</v>
      </c>
      <c r="B5271">
        <v>4.9584999999999999</v>
      </c>
      <c r="C5271">
        <v>6.9434999999999997E-2</v>
      </c>
      <c r="D5271">
        <v>288</v>
      </c>
      <c r="E5271" t="s">
        <v>5723</v>
      </c>
      <c r="F5271">
        <v>287</v>
      </c>
      <c r="G5271" s="1">
        <v>45213</v>
      </c>
      <c r="H5271" s="6">
        <f t="shared" si="164"/>
        <v>32.666666666667972</v>
      </c>
      <c r="I5271" s="7">
        <f t="shared" si="165"/>
        <v>32.666666666667972</v>
      </c>
    </row>
    <row r="5272" spans="1:9" x14ac:dyDescent="0.2">
      <c r="A5272" t="s">
        <v>5724</v>
      </c>
      <c r="B5272">
        <v>4.9554999999999998</v>
      </c>
      <c r="C5272">
        <v>6.9385000000000002E-2</v>
      </c>
      <c r="D5272">
        <v>288</v>
      </c>
      <c r="E5272" t="s">
        <v>5724</v>
      </c>
      <c r="F5272">
        <v>287</v>
      </c>
      <c r="G5272" s="1">
        <v>45213</v>
      </c>
      <c r="H5272" s="6">
        <f t="shared" si="164"/>
        <v>32.677083333334636</v>
      </c>
      <c r="I5272" s="7">
        <f t="shared" si="165"/>
        <v>32.677083333334636</v>
      </c>
    </row>
    <row r="5273" spans="1:9" x14ac:dyDescent="0.2">
      <c r="A5273" t="s">
        <v>5725</v>
      </c>
      <c r="B5273">
        <v>5.0519999999999996</v>
      </c>
      <c r="C5273">
        <v>7.0760000000000003E-2</v>
      </c>
      <c r="D5273">
        <v>288</v>
      </c>
      <c r="E5273" t="s">
        <v>5725</v>
      </c>
      <c r="F5273">
        <v>287</v>
      </c>
      <c r="G5273" s="1">
        <v>45213</v>
      </c>
      <c r="H5273" s="6">
        <f t="shared" si="164"/>
        <v>32.6875000000013</v>
      </c>
      <c r="I5273" s="7">
        <f t="shared" si="165"/>
        <v>32.6875000000013</v>
      </c>
    </row>
    <row r="5274" spans="1:9" x14ac:dyDescent="0.2">
      <c r="A5274" t="s">
        <v>5726</v>
      </c>
      <c r="B5274">
        <v>5.1405000000000003</v>
      </c>
      <c r="C5274">
        <v>7.2010000000000005E-2</v>
      </c>
      <c r="D5274">
        <v>288</v>
      </c>
      <c r="E5274" t="s">
        <v>5726</v>
      </c>
      <c r="F5274">
        <v>287</v>
      </c>
      <c r="G5274" s="1">
        <v>45213</v>
      </c>
      <c r="H5274" s="6">
        <f t="shared" si="164"/>
        <v>32.697916666667965</v>
      </c>
      <c r="I5274" s="7">
        <f t="shared" si="165"/>
        <v>32.697916666667965</v>
      </c>
    </row>
    <row r="5275" spans="1:9" x14ac:dyDescent="0.2">
      <c r="A5275" t="s">
        <v>5727</v>
      </c>
      <c r="B5275">
        <v>5.109</v>
      </c>
      <c r="C5275">
        <v>7.1565000000000004E-2</v>
      </c>
      <c r="D5275">
        <v>288</v>
      </c>
      <c r="E5275" t="s">
        <v>5727</v>
      </c>
      <c r="F5275">
        <v>287</v>
      </c>
      <c r="G5275" s="1">
        <v>45213</v>
      </c>
      <c r="H5275" s="6">
        <f t="shared" si="164"/>
        <v>32.708333333334629</v>
      </c>
      <c r="I5275" s="7">
        <f t="shared" si="165"/>
        <v>32.708333333334629</v>
      </c>
    </row>
    <row r="5276" spans="1:9" x14ac:dyDescent="0.2">
      <c r="A5276" t="s">
        <v>5728</v>
      </c>
      <c r="B5276">
        <v>5.1079999999999997</v>
      </c>
      <c r="C5276">
        <v>7.1554999999999994E-2</v>
      </c>
      <c r="D5276">
        <v>288</v>
      </c>
      <c r="E5276" t="s">
        <v>5728</v>
      </c>
      <c r="F5276">
        <v>287</v>
      </c>
      <c r="G5276" s="1">
        <v>45213</v>
      </c>
      <c r="H5276" s="6">
        <f t="shared" ref="H5276:H5339" si="166">H5275+$K$1</f>
        <v>32.718750000001293</v>
      </c>
      <c r="I5276" s="7">
        <f t="shared" ref="I5276:I5339" si="167">I5275+$K$1</f>
        <v>32.718750000001293</v>
      </c>
    </row>
    <row r="5277" spans="1:9" x14ac:dyDescent="0.2">
      <c r="A5277" t="s">
        <v>5729</v>
      </c>
      <c r="B5277">
        <v>5.173</v>
      </c>
      <c r="C5277">
        <v>7.2470000000000007E-2</v>
      </c>
      <c r="D5277">
        <v>288</v>
      </c>
      <c r="E5277" t="s">
        <v>5729</v>
      </c>
      <c r="F5277">
        <v>287</v>
      </c>
      <c r="G5277" s="1">
        <v>45213</v>
      </c>
      <c r="H5277" s="6">
        <f t="shared" si="166"/>
        <v>32.729166666667957</v>
      </c>
      <c r="I5277" s="7">
        <f t="shared" si="167"/>
        <v>32.729166666667957</v>
      </c>
    </row>
    <row r="5278" spans="1:9" x14ac:dyDescent="0.2">
      <c r="A5278" t="s">
        <v>5730</v>
      </c>
      <c r="B5278">
        <v>5.2750000000000004</v>
      </c>
      <c r="C5278">
        <v>7.3880000000000001E-2</v>
      </c>
      <c r="D5278">
        <v>288</v>
      </c>
      <c r="E5278" t="s">
        <v>5730</v>
      </c>
      <c r="F5278">
        <v>287</v>
      </c>
      <c r="G5278" s="1">
        <v>45213</v>
      </c>
      <c r="H5278" s="6">
        <f t="shared" si="166"/>
        <v>32.739583333334622</v>
      </c>
      <c r="I5278" s="7">
        <f t="shared" si="167"/>
        <v>32.739583333334622</v>
      </c>
    </row>
    <row r="5279" spans="1:9" x14ac:dyDescent="0.2">
      <c r="A5279" t="s">
        <v>5731</v>
      </c>
      <c r="B5279">
        <v>5.2575000000000003</v>
      </c>
      <c r="C5279">
        <v>7.3639999999999997E-2</v>
      </c>
      <c r="D5279">
        <v>288</v>
      </c>
      <c r="E5279" t="s">
        <v>5731</v>
      </c>
      <c r="F5279">
        <v>287</v>
      </c>
      <c r="G5279" s="1">
        <v>45213</v>
      </c>
      <c r="H5279" s="6">
        <f t="shared" si="166"/>
        <v>32.750000000001286</v>
      </c>
      <c r="I5279" s="7">
        <f t="shared" si="167"/>
        <v>32.750000000001286</v>
      </c>
    </row>
    <row r="5280" spans="1:9" x14ac:dyDescent="0.2">
      <c r="A5280" t="s">
        <v>5732</v>
      </c>
      <c r="B5280">
        <v>5.2774999999999999</v>
      </c>
      <c r="C5280">
        <v>7.3935000000000001E-2</v>
      </c>
      <c r="D5280">
        <v>288</v>
      </c>
      <c r="E5280" t="s">
        <v>5732</v>
      </c>
      <c r="F5280">
        <v>287</v>
      </c>
      <c r="G5280" s="1">
        <v>45213</v>
      </c>
      <c r="H5280" s="6">
        <f t="shared" si="166"/>
        <v>32.76041666666795</v>
      </c>
      <c r="I5280" s="7">
        <f t="shared" si="167"/>
        <v>32.76041666666795</v>
      </c>
    </row>
    <row r="5281" spans="1:9" x14ac:dyDescent="0.2">
      <c r="A5281" t="s">
        <v>5733</v>
      </c>
      <c r="B5281">
        <v>5.3025000000000002</v>
      </c>
      <c r="C5281">
        <v>7.4274999999999994E-2</v>
      </c>
      <c r="D5281">
        <v>288</v>
      </c>
      <c r="E5281" t="s">
        <v>5733</v>
      </c>
      <c r="F5281">
        <v>287</v>
      </c>
      <c r="G5281" s="1">
        <v>45213</v>
      </c>
      <c r="H5281" s="6">
        <f t="shared" si="166"/>
        <v>32.770833333334615</v>
      </c>
      <c r="I5281" s="7">
        <f t="shared" si="167"/>
        <v>32.770833333334615</v>
      </c>
    </row>
    <row r="5282" spans="1:9" x14ac:dyDescent="0.2">
      <c r="A5282" t="s">
        <v>5734</v>
      </c>
      <c r="B5282">
        <v>5.3090000000000002</v>
      </c>
      <c r="C5282">
        <v>7.4365000000000001E-2</v>
      </c>
      <c r="D5282">
        <v>288</v>
      </c>
      <c r="E5282" t="s">
        <v>5734</v>
      </c>
      <c r="F5282">
        <v>287</v>
      </c>
      <c r="G5282" s="1">
        <v>45213</v>
      </c>
      <c r="H5282" s="6">
        <f t="shared" si="166"/>
        <v>32.781250000001279</v>
      </c>
      <c r="I5282" s="7">
        <f t="shared" si="167"/>
        <v>32.781250000001279</v>
      </c>
    </row>
    <row r="5283" spans="1:9" x14ac:dyDescent="0.2">
      <c r="A5283" t="s">
        <v>5735</v>
      </c>
      <c r="B5283">
        <v>5.4204999999999997</v>
      </c>
      <c r="C5283">
        <v>7.5924999999999895E-2</v>
      </c>
      <c r="D5283">
        <v>288</v>
      </c>
      <c r="E5283" t="s">
        <v>5735</v>
      </c>
      <c r="F5283">
        <v>287</v>
      </c>
      <c r="G5283" s="1">
        <v>45213</v>
      </c>
      <c r="H5283" s="6">
        <f t="shared" si="166"/>
        <v>32.791666666667943</v>
      </c>
      <c r="I5283" s="7">
        <f t="shared" si="167"/>
        <v>32.791666666667943</v>
      </c>
    </row>
    <row r="5284" spans="1:9" x14ac:dyDescent="0.2">
      <c r="A5284" t="s">
        <v>5736</v>
      </c>
      <c r="B5284">
        <v>5.4305000000000003</v>
      </c>
      <c r="C5284">
        <v>7.6054999999999998E-2</v>
      </c>
      <c r="D5284">
        <v>288</v>
      </c>
      <c r="E5284" t="s">
        <v>5736</v>
      </c>
      <c r="F5284">
        <v>287</v>
      </c>
      <c r="G5284" s="1">
        <v>45213</v>
      </c>
      <c r="H5284" s="6">
        <f t="shared" si="166"/>
        <v>32.802083333334608</v>
      </c>
      <c r="I5284" s="7">
        <f t="shared" si="167"/>
        <v>32.802083333334608</v>
      </c>
    </row>
    <row r="5285" spans="1:9" x14ac:dyDescent="0.2">
      <c r="A5285" t="s">
        <v>5737</v>
      </c>
      <c r="B5285">
        <v>5.3194999999999997</v>
      </c>
      <c r="C5285">
        <v>7.4524999999999994E-2</v>
      </c>
      <c r="D5285">
        <v>288</v>
      </c>
      <c r="E5285" t="s">
        <v>5737</v>
      </c>
      <c r="F5285">
        <v>287</v>
      </c>
      <c r="G5285" s="1">
        <v>45213</v>
      </c>
      <c r="H5285" s="6">
        <f t="shared" si="166"/>
        <v>32.812500000001272</v>
      </c>
      <c r="I5285" s="7">
        <f t="shared" si="167"/>
        <v>32.812500000001272</v>
      </c>
    </row>
    <row r="5286" spans="1:9" x14ac:dyDescent="0.2">
      <c r="A5286" t="s">
        <v>5738</v>
      </c>
      <c r="B5286">
        <v>5.415</v>
      </c>
      <c r="C5286">
        <v>7.5840000000000005E-2</v>
      </c>
      <c r="D5286">
        <v>288</v>
      </c>
      <c r="E5286" t="s">
        <v>5738</v>
      </c>
      <c r="F5286">
        <v>287</v>
      </c>
      <c r="G5286" s="1">
        <v>45213</v>
      </c>
      <c r="H5286" s="6">
        <f t="shared" si="166"/>
        <v>32.822916666667936</v>
      </c>
      <c r="I5286" s="7">
        <f t="shared" si="167"/>
        <v>32.822916666667936</v>
      </c>
    </row>
    <row r="5287" spans="1:9" x14ac:dyDescent="0.2">
      <c r="A5287" t="s">
        <v>5739</v>
      </c>
      <c r="B5287">
        <v>5.3715000000000002</v>
      </c>
      <c r="C5287">
        <v>7.5255000000000002E-2</v>
      </c>
      <c r="D5287">
        <v>288</v>
      </c>
      <c r="E5287" t="s">
        <v>5739</v>
      </c>
      <c r="F5287">
        <v>287</v>
      </c>
      <c r="G5287" s="1">
        <v>45213</v>
      </c>
      <c r="H5287" s="6">
        <f t="shared" si="166"/>
        <v>32.8333333333346</v>
      </c>
      <c r="I5287" s="7">
        <f t="shared" si="167"/>
        <v>32.8333333333346</v>
      </c>
    </row>
    <row r="5288" spans="1:9" x14ac:dyDescent="0.2">
      <c r="A5288" t="s">
        <v>5740</v>
      </c>
      <c r="B5288">
        <v>5.4115000000000002</v>
      </c>
      <c r="C5288">
        <v>7.5800000000000006E-2</v>
      </c>
      <c r="D5288">
        <v>288</v>
      </c>
      <c r="E5288" t="s">
        <v>5740</v>
      </c>
      <c r="F5288">
        <v>287</v>
      </c>
      <c r="G5288" s="1">
        <v>45213</v>
      </c>
      <c r="H5288" s="6">
        <f t="shared" si="166"/>
        <v>32.843750000001265</v>
      </c>
      <c r="I5288" s="7">
        <f t="shared" si="167"/>
        <v>32.843750000001265</v>
      </c>
    </row>
    <row r="5289" spans="1:9" x14ac:dyDescent="0.2">
      <c r="A5289" t="s">
        <v>5741</v>
      </c>
      <c r="B5289">
        <v>5.4234999999999998</v>
      </c>
      <c r="C5289">
        <v>7.5950000000000004E-2</v>
      </c>
      <c r="D5289">
        <v>288</v>
      </c>
      <c r="E5289" t="s">
        <v>5741</v>
      </c>
      <c r="F5289">
        <v>288</v>
      </c>
      <c r="G5289" s="1">
        <v>45214</v>
      </c>
      <c r="H5289" s="6">
        <f t="shared" si="166"/>
        <v>32.854166666667929</v>
      </c>
      <c r="I5289" s="7">
        <f t="shared" si="167"/>
        <v>32.854166666667929</v>
      </c>
    </row>
    <row r="5290" spans="1:9" x14ac:dyDescent="0.2">
      <c r="A5290" t="s">
        <v>5742</v>
      </c>
      <c r="B5290">
        <v>5.4074999999999998</v>
      </c>
      <c r="C5290">
        <v>7.5719999999999996E-2</v>
      </c>
      <c r="D5290">
        <v>288</v>
      </c>
      <c r="E5290" t="s">
        <v>5742</v>
      </c>
      <c r="F5290">
        <v>288</v>
      </c>
      <c r="G5290" s="1">
        <v>45214</v>
      </c>
      <c r="H5290" s="6">
        <f t="shared" si="166"/>
        <v>32.864583333334593</v>
      </c>
      <c r="I5290" s="7">
        <f t="shared" si="167"/>
        <v>32.864583333334593</v>
      </c>
    </row>
    <row r="5291" spans="1:9" x14ac:dyDescent="0.2">
      <c r="A5291" t="s">
        <v>5743</v>
      </c>
      <c r="B5291">
        <v>5.3579999999999997</v>
      </c>
      <c r="C5291">
        <v>7.5045000000000001E-2</v>
      </c>
      <c r="D5291">
        <v>288</v>
      </c>
      <c r="E5291" t="s">
        <v>5743</v>
      </c>
      <c r="F5291">
        <v>288</v>
      </c>
      <c r="G5291" s="1">
        <v>45214</v>
      </c>
      <c r="H5291" s="6">
        <f t="shared" si="166"/>
        <v>32.875000000001258</v>
      </c>
      <c r="I5291" s="7">
        <f t="shared" si="167"/>
        <v>32.875000000001258</v>
      </c>
    </row>
    <row r="5292" spans="1:9" x14ac:dyDescent="0.2">
      <c r="A5292" t="s">
        <v>5744</v>
      </c>
      <c r="B5292">
        <v>5.4130000000000003</v>
      </c>
      <c r="C5292">
        <v>7.5819999999999999E-2</v>
      </c>
      <c r="D5292">
        <v>288</v>
      </c>
      <c r="E5292" t="s">
        <v>5744</v>
      </c>
      <c r="F5292">
        <v>288</v>
      </c>
      <c r="G5292" s="1">
        <v>45214</v>
      </c>
      <c r="H5292" s="6">
        <f t="shared" si="166"/>
        <v>32.885416666667922</v>
      </c>
      <c r="I5292" s="7">
        <f t="shared" si="167"/>
        <v>32.885416666667922</v>
      </c>
    </row>
    <row r="5293" spans="1:9" x14ac:dyDescent="0.2">
      <c r="A5293" t="s">
        <v>5745</v>
      </c>
      <c r="B5293">
        <v>5.4584999999999999</v>
      </c>
      <c r="C5293">
        <v>7.6454999999999995E-2</v>
      </c>
      <c r="D5293">
        <v>288</v>
      </c>
      <c r="E5293" t="s">
        <v>5745</v>
      </c>
      <c r="F5293">
        <v>288</v>
      </c>
      <c r="G5293" s="1">
        <v>45214</v>
      </c>
      <c r="H5293" s="6">
        <f t="shared" si="166"/>
        <v>32.895833333334586</v>
      </c>
      <c r="I5293" s="7">
        <f t="shared" si="167"/>
        <v>32.895833333334586</v>
      </c>
    </row>
    <row r="5294" spans="1:9" x14ac:dyDescent="0.2">
      <c r="A5294" t="s">
        <v>5746</v>
      </c>
      <c r="B5294">
        <v>5.3665000000000003</v>
      </c>
      <c r="C5294">
        <v>7.5164999999999996E-2</v>
      </c>
      <c r="D5294">
        <v>288</v>
      </c>
      <c r="E5294" t="s">
        <v>5746</v>
      </c>
      <c r="F5294">
        <v>288</v>
      </c>
      <c r="G5294" s="1">
        <v>45214</v>
      </c>
      <c r="H5294" s="6">
        <f t="shared" si="166"/>
        <v>32.906250000001251</v>
      </c>
      <c r="I5294" s="7">
        <f t="shared" si="167"/>
        <v>32.906250000001251</v>
      </c>
    </row>
    <row r="5295" spans="1:9" x14ac:dyDescent="0.2">
      <c r="A5295" t="s">
        <v>5747</v>
      </c>
      <c r="B5295">
        <v>5.3890000000000002</v>
      </c>
      <c r="C5295">
        <v>7.5490000000000002E-2</v>
      </c>
      <c r="D5295">
        <v>288</v>
      </c>
      <c r="E5295" t="s">
        <v>5747</v>
      </c>
      <c r="F5295">
        <v>288</v>
      </c>
      <c r="G5295" s="1">
        <v>45214</v>
      </c>
      <c r="H5295" s="6">
        <f t="shared" si="166"/>
        <v>32.916666666667915</v>
      </c>
      <c r="I5295" s="7">
        <f t="shared" si="167"/>
        <v>32.916666666667915</v>
      </c>
    </row>
    <row r="5296" spans="1:9" x14ac:dyDescent="0.2">
      <c r="A5296" t="s">
        <v>5748</v>
      </c>
      <c r="B5296">
        <v>5.3150000000000004</v>
      </c>
      <c r="C5296">
        <v>7.4414999999999995E-2</v>
      </c>
      <c r="D5296">
        <v>288</v>
      </c>
      <c r="E5296" t="s">
        <v>5748</v>
      </c>
      <c r="F5296">
        <v>288</v>
      </c>
      <c r="G5296" s="1">
        <v>45214</v>
      </c>
      <c r="H5296" s="6">
        <f t="shared" si="166"/>
        <v>32.927083333334579</v>
      </c>
      <c r="I5296" s="7">
        <f t="shared" si="167"/>
        <v>32.927083333334579</v>
      </c>
    </row>
    <row r="5297" spans="1:9" x14ac:dyDescent="0.2">
      <c r="A5297" t="s">
        <v>5749</v>
      </c>
      <c r="B5297">
        <v>5.3319999999999999</v>
      </c>
      <c r="C5297">
        <v>7.467E-2</v>
      </c>
      <c r="D5297">
        <v>288</v>
      </c>
      <c r="E5297" t="s">
        <v>5749</v>
      </c>
      <c r="F5297">
        <v>288</v>
      </c>
      <c r="G5297" s="1">
        <v>45214</v>
      </c>
      <c r="H5297" s="6">
        <f t="shared" si="166"/>
        <v>32.937500000001243</v>
      </c>
      <c r="I5297" s="7">
        <f t="shared" si="167"/>
        <v>32.937500000001243</v>
      </c>
    </row>
    <row r="5298" spans="1:9" x14ac:dyDescent="0.2">
      <c r="A5298" t="s">
        <v>5750</v>
      </c>
      <c r="B5298" s="2" t="s">
        <v>5751</v>
      </c>
      <c r="C5298">
        <v>7.4569999999999997E-2</v>
      </c>
      <c r="D5298">
        <v>288</v>
      </c>
      <c r="E5298" t="s">
        <v>5750</v>
      </c>
      <c r="F5298">
        <v>288</v>
      </c>
      <c r="G5298" s="1">
        <v>45214</v>
      </c>
      <c r="H5298" s="6">
        <f t="shared" si="166"/>
        <v>32.947916666667908</v>
      </c>
      <c r="I5298" s="7">
        <f t="shared" si="167"/>
        <v>32.947916666667908</v>
      </c>
    </row>
    <row r="5299" spans="1:9" x14ac:dyDescent="0.2">
      <c r="A5299" t="s">
        <v>5752</v>
      </c>
      <c r="B5299">
        <v>5.2279999999999998</v>
      </c>
      <c r="C5299">
        <v>7.3230000000000003E-2</v>
      </c>
      <c r="D5299">
        <v>288</v>
      </c>
      <c r="E5299" t="s">
        <v>5752</v>
      </c>
      <c r="F5299">
        <v>288</v>
      </c>
      <c r="G5299" s="1">
        <v>45214</v>
      </c>
      <c r="H5299" s="6">
        <f t="shared" si="166"/>
        <v>32.958333333334572</v>
      </c>
      <c r="I5299" s="7">
        <f t="shared" si="167"/>
        <v>32.958333333334572</v>
      </c>
    </row>
    <row r="5300" spans="1:9" x14ac:dyDescent="0.2">
      <c r="A5300" t="s">
        <v>5753</v>
      </c>
      <c r="B5300">
        <v>4.9935</v>
      </c>
      <c r="C5300">
        <v>6.9959999999999994E-2</v>
      </c>
      <c r="D5300">
        <v>288</v>
      </c>
      <c r="E5300" t="s">
        <v>5753</v>
      </c>
      <c r="F5300">
        <v>288</v>
      </c>
      <c r="G5300" s="1">
        <v>45214</v>
      </c>
      <c r="H5300" s="6">
        <f t="shared" si="166"/>
        <v>32.968750000001236</v>
      </c>
      <c r="I5300" s="7">
        <f t="shared" si="167"/>
        <v>32.968750000001236</v>
      </c>
    </row>
    <row r="5301" spans="1:9" x14ac:dyDescent="0.2">
      <c r="A5301" t="s">
        <v>5754</v>
      </c>
      <c r="B5301">
        <v>5.1635</v>
      </c>
      <c r="C5301">
        <v>7.2330000000000005E-2</v>
      </c>
      <c r="D5301">
        <v>288</v>
      </c>
      <c r="E5301" t="s">
        <v>5754</v>
      </c>
      <c r="F5301">
        <v>288</v>
      </c>
      <c r="G5301" s="1">
        <v>45214</v>
      </c>
      <c r="H5301" s="6">
        <f t="shared" si="166"/>
        <v>32.979166666667901</v>
      </c>
      <c r="I5301" s="7">
        <f t="shared" si="167"/>
        <v>32.979166666667901</v>
      </c>
    </row>
    <row r="5302" spans="1:9" x14ac:dyDescent="0.2">
      <c r="A5302" t="s">
        <v>5755</v>
      </c>
      <c r="B5302">
        <v>5.2755000000000001</v>
      </c>
      <c r="C5302">
        <v>7.3889999999999997E-2</v>
      </c>
      <c r="D5302">
        <v>288</v>
      </c>
      <c r="E5302" t="s">
        <v>5755</v>
      </c>
      <c r="F5302">
        <v>288</v>
      </c>
      <c r="G5302" s="1">
        <v>45214</v>
      </c>
      <c r="H5302" s="6">
        <f t="shared" si="166"/>
        <v>32.989583333334565</v>
      </c>
      <c r="I5302" s="7">
        <f t="shared" si="167"/>
        <v>32.989583333334565</v>
      </c>
    </row>
    <row r="5303" spans="1:9" x14ac:dyDescent="0.2">
      <c r="A5303" t="s">
        <v>5756</v>
      </c>
      <c r="B5303">
        <v>5.3760000000000003</v>
      </c>
      <c r="C5303">
        <v>7.5300000000000006E-2</v>
      </c>
      <c r="D5303">
        <v>288</v>
      </c>
      <c r="E5303" t="s">
        <v>5756</v>
      </c>
      <c r="F5303">
        <v>288</v>
      </c>
      <c r="G5303" s="1">
        <v>45214</v>
      </c>
      <c r="H5303" s="6">
        <f t="shared" si="166"/>
        <v>33.000000000001229</v>
      </c>
      <c r="I5303" s="7">
        <f t="shared" si="167"/>
        <v>33.000000000001229</v>
      </c>
    </row>
    <row r="5304" spans="1:9" x14ac:dyDescent="0.2">
      <c r="A5304" t="s">
        <v>5757</v>
      </c>
      <c r="B5304">
        <v>5.2744999999999997</v>
      </c>
      <c r="C5304">
        <v>7.3874999999999996E-2</v>
      </c>
      <c r="D5304">
        <v>288</v>
      </c>
      <c r="E5304" t="s">
        <v>5757</v>
      </c>
      <c r="F5304">
        <v>288</v>
      </c>
      <c r="G5304" s="1">
        <v>45214</v>
      </c>
      <c r="H5304" s="6">
        <f t="shared" si="166"/>
        <v>33.010416666667894</v>
      </c>
      <c r="I5304" s="7">
        <f t="shared" si="167"/>
        <v>33.010416666667894</v>
      </c>
    </row>
    <row r="5305" spans="1:9" x14ac:dyDescent="0.2">
      <c r="A5305" t="s">
        <v>5758</v>
      </c>
      <c r="B5305">
        <v>5.3635000000000002</v>
      </c>
      <c r="C5305">
        <v>7.5105000000000005E-2</v>
      </c>
      <c r="D5305">
        <v>288</v>
      </c>
      <c r="E5305" t="s">
        <v>5758</v>
      </c>
      <c r="F5305">
        <v>288</v>
      </c>
      <c r="G5305" s="1">
        <v>45214</v>
      </c>
      <c r="H5305" s="6">
        <f t="shared" si="166"/>
        <v>33.020833333334558</v>
      </c>
      <c r="I5305" s="7">
        <f t="shared" si="167"/>
        <v>33.020833333334558</v>
      </c>
    </row>
    <row r="5306" spans="1:9" x14ac:dyDescent="0.2">
      <c r="A5306" t="s">
        <v>5759</v>
      </c>
      <c r="B5306">
        <v>5.4450000000000003</v>
      </c>
      <c r="C5306">
        <v>7.6270000000000004E-2</v>
      </c>
      <c r="D5306">
        <v>288</v>
      </c>
      <c r="E5306" t="s">
        <v>5759</v>
      </c>
      <c r="F5306">
        <v>288</v>
      </c>
      <c r="G5306" s="1">
        <v>45214</v>
      </c>
      <c r="H5306" s="6">
        <f t="shared" si="166"/>
        <v>33.031250000001222</v>
      </c>
      <c r="I5306" s="7">
        <f t="shared" si="167"/>
        <v>33.031250000001222</v>
      </c>
    </row>
    <row r="5307" spans="1:9" x14ac:dyDescent="0.2">
      <c r="A5307" t="s">
        <v>5760</v>
      </c>
      <c r="B5307">
        <v>5.3040000000000003</v>
      </c>
      <c r="C5307">
        <v>7.4295E-2</v>
      </c>
      <c r="D5307">
        <v>288</v>
      </c>
      <c r="E5307" t="s">
        <v>5760</v>
      </c>
      <c r="F5307">
        <v>288</v>
      </c>
      <c r="G5307" s="1">
        <v>45214</v>
      </c>
      <c r="H5307" s="6">
        <f t="shared" si="166"/>
        <v>33.041666666667886</v>
      </c>
      <c r="I5307" s="7">
        <f t="shared" si="167"/>
        <v>33.041666666667886</v>
      </c>
    </row>
    <row r="5308" spans="1:9" x14ac:dyDescent="0.2">
      <c r="A5308" t="s">
        <v>5761</v>
      </c>
      <c r="B5308">
        <v>5.18</v>
      </c>
      <c r="C5308">
        <v>7.2550000000000003E-2</v>
      </c>
      <c r="D5308">
        <v>288</v>
      </c>
      <c r="E5308" t="s">
        <v>5761</v>
      </c>
      <c r="F5308">
        <v>288</v>
      </c>
      <c r="G5308" s="1">
        <v>45214</v>
      </c>
      <c r="H5308" s="6">
        <f t="shared" si="166"/>
        <v>33.052083333334551</v>
      </c>
      <c r="I5308" s="7">
        <f t="shared" si="167"/>
        <v>33.052083333334551</v>
      </c>
    </row>
    <row r="5309" spans="1:9" x14ac:dyDescent="0.2">
      <c r="A5309" t="s">
        <v>5762</v>
      </c>
      <c r="B5309" s="2" t="s">
        <v>5763</v>
      </c>
      <c r="C5309">
        <v>7.3370000000000005E-2</v>
      </c>
      <c r="D5309">
        <v>288</v>
      </c>
      <c r="E5309" t="s">
        <v>5762</v>
      </c>
      <c r="F5309">
        <v>288</v>
      </c>
      <c r="G5309" s="1">
        <v>45214</v>
      </c>
      <c r="H5309" s="6">
        <f t="shared" si="166"/>
        <v>33.062500000001215</v>
      </c>
      <c r="I5309" s="7">
        <f t="shared" si="167"/>
        <v>33.062500000001215</v>
      </c>
    </row>
    <row r="5310" spans="1:9" x14ac:dyDescent="0.2">
      <c r="A5310" t="s">
        <v>5764</v>
      </c>
      <c r="B5310">
        <v>5.335</v>
      </c>
      <c r="C5310">
        <v>7.4709999999999999E-2</v>
      </c>
      <c r="D5310">
        <v>288</v>
      </c>
      <c r="E5310" t="s">
        <v>5764</v>
      </c>
      <c r="F5310">
        <v>288</v>
      </c>
      <c r="G5310" s="1">
        <v>45214</v>
      </c>
      <c r="H5310" s="6">
        <f t="shared" si="166"/>
        <v>33.072916666667879</v>
      </c>
      <c r="I5310" s="7">
        <f t="shared" si="167"/>
        <v>33.072916666667879</v>
      </c>
    </row>
    <row r="5311" spans="1:9" x14ac:dyDescent="0.2">
      <c r="A5311" t="s">
        <v>5765</v>
      </c>
      <c r="B5311">
        <v>5.3494999999999999</v>
      </c>
      <c r="C5311">
        <v>7.4929999999999997E-2</v>
      </c>
      <c r="D5311">
        <v>288</v>
      </c>
      <c r="E5311" t="s">
        <v>5765</v>
      </c>
      <c r="F5311">
        <v>288</v>
      </c>
      <c r="G5311" s="1">
        <v>45214</v>
      </c>
      <c r="H5311" s="6">
        <f t="shared" si="166"/>
        <v>33.083333333334544</v>
      </c>
      <c r="I5311" s="7">
        <f t="shared" si="167"/>
        <v>33.083333333334544</v>
      </c>
    </row>
    <row r="5312" spans="1:9" x14ac:dyDescent="0.2">
      <c r="A5312" t="s">
        <v>5766</v>
      </c>
      <c r="B5312">
        <v>5.2435</v>
      </c>
      <c r="C5312">
        <v>7.3429999999999995E-2</v>
      </c>
      <c r="D5312">
        <v>288</v>
      </c>
      <c r="E5312" t="s">
        <v>5766</v>
      </c>
      <c r="F5312">
        <v>288</v>
      </c>
      <c r="G5312" s="1">
        <v>45214</v>
      </c>
      <c r="H5312" s="6">
        <f t="shared" si="166"/>
        <v>33.093750000001208</v>
      </c>
      <c r="I5312" s="7">
        <f t="shared" si="167"/>
        <v>33.093750000001208</v>
      </c>
    </row>
    <row r="5313" spans="1:9" x14ac:dyDescent="0.2">
      <c r="A5313" t="s">
        <v>5767</v>
      </c>
      <c r="B5313">
        <v>5.2554999999999996</v>
      </c>
      <c r="C5313">
        <v>7.3609999999999995E-2</v>
      </c>
      <c r="D5313">
        <v>288</v>
      </c>
      <c r="E5313" t="s">
        <v>5767</v>
      </c>
      <c r="F5313">
        <v>288</v>
      </c>
      <c r="G5313" s="1">
        <v>45214</v>
      </c>
      <c r="H5313" s="6">
        <f t="shared" si="166"/>
        <v>33.104166666667872</v>
      </c>
      <c r="I5313" s="7">
        <f t="shared" si="167"/>
        <v>33.104166666667872</v>
      </c>
    </row>
    <row r="5314" spans="1:9" x14ac:dyDescent="0.2">
      <c r="A5314" t="s">
        <v>5768</v>
      </c>
      <c r="B5314">
        <v>5.2634999999999996</v>
      </c>
      <c r="C5314">
        <v>7.3719999999999994E-2</v>
      </c>
      <c r="D5314">
        <v>288</v>
      </c>
      <c r="E5314" t="s">
        <v>5768</v>
      </c>
      <c r="F5314">
        <v>288</v>
      </c>
      <c r="G5314" s="1">
        <v>45214</v>
      </c>
      <c r="H5314" s="6">
        <f t="shared" si="166"/>
        <v>33.114583333334537</v>
      </c>
      <c r="I5314" s="7">
        <f t="shared" si="167"/>
        <v>33.114583333334537</v>
      </c>
    </row>
    <row r="5315" spans="1:9" x14ac:dyDescent="0.2">
      <c r="A5315" t="s">
        <v>5769</v>
      </c>
      <c r="B5315">
        <v>5.2270000000000003</v>
      </c>
      <c r="C5315">
        <v>7.3224999999999998E-2</v>
      </c>
      <c r="D5315">
        <v>288</v>
      </c>
      <c r="E5315" t="s">
        <v>5769</v>
      </c>
      <c r="F5315">
        <v>288</v>
      </c>
      <c r="G5315" s="1">
        <v>45214</v>
      </c>
      <c r="H5315" s="6">
        <f t="shared" si="166"/>
        <v>33.125000000001201</v>
      </c>
      <c r="I5315" s="7">
        <f t="shared" si="167"/>
        <v>33.125000000001201</v>
      </c>
    </row>
    <row r="5316" spans="1:9" x14ac:dyDescent="0.2">
      <c r="A5316" t="s">
        <v>5770</v>
      </c>
      <c r="B5316">
        <v>5.2214999999999998</v>
      </c>
      <c r="C5316">
        <v>7.3150000000000007E-2</v>
      </c>
      <c r="D5316">
        <v>288</v>
      </c>
      <c r="E5316" t="s">
        <v>5770</v>
      </c>
      <c r="F5316">
        <v>288</v>
      </c>
      <c r="G5316" s="1">
        <v>45214</v>
      </c>
      <c r="H5316" s="6">
        <f t="shared" si="166"/>
        <v>33.135416666667865</v>
      </c>
      <c r="I5316" s="7">
        <f t="shared" si="167"/>
        <v>33.135416666667865</v>
      </c>
    </row>
    <row r="5317" spans="1:9" x14ac:dyDescent="0.2">
      <c r="A5317" t="s">
        <v>5771</v>
      </c>
      <c r="B5317">
        <v>5.1180000000000003</v>
      </c>
      <c r="C5317">
        <v>7.1684999999999999E-2</v>
      </c>
      <c r="D5317">
        <v>288</v>
      </c>
      <c r="E5317" t="s">
        <v>5771</v>
      </c>
      <c r="F5317">
        <v>288</v>
      </c>
      <c r="G5317" s="1">
        <v>45214</v>
      </c>
      <c r="H5317" s="6">
        <f t="shared" si="166"/>
        <v>33.145833333334529</v>
      </c>
      <c r="I5317" s="7">
        <f t="shared" si="167"/>
        <v>33.145833333334529</v>
      </c>
    </row>
    <row r="5318" spans="1:9" x14ac:dyDescent="0.2">
      <c r="A5318" t="s">
        <v>5772</v>
      </c>
      <c r="B5318">
        <v>5.1855000000000002</v>
      </c>
      <c r="C5318">
        <v>7.263E-2</v>
      </c>
      <c r="D5318">
        <v>288</v>
      </c>
      <c r="E5318" t="s">
        <v>5772</v>
      </c>
      <c r="F5318">
        <v>288</v>
      </c>
      <c r="G5318" s="1">
        <v>45214</v>
      </c>
      <c r="H5318" s="6">
        <f t="shared" si="166"/>
        <v>33.156250000001194</v>
      </c>
      <c r="I5318" s="7">
        <f t="shared" si="167"/>
        <v>33.156250000001194</v>
      </c>
    </row>
    <row r="5319" spans="1:9" x14ac:dyDescent="0.2">
      <c r="A5319" t="s">
        <v>5773</v>
      </c>
      <c r="B5319">
        <v>5.367</v>
      </c>
      <c r="C5319">
        <v>7.5179999999999997E-2</v>
      </c>
      <c r="D5319">
        <v>288</v>
      </c>
      <c r="E5319" t="s">
        <v>5773</v>
      </c>
      <c r="F5319">
        <v>288</v>
      </c>
      <c r="G5319" s="1">
        <v>45214</v>
      </c>
      <c r="H5319" s="6">
        <f t="shared" si="166"/>
        <v>33.166666666667858</v>
      </c>
      <c r="I5319" s="7">
        <f t="shared" si="167"/>
        <v>33.166666666667858</v>
      </c>
    </row>
    <row r="5320" spans="1:9" x14ac:dyDescent="0.2">
      <c r="A5320" t="s">
        <v>5774</v>
      </c>
      <c r="B5320">
        <v>5.2605000000000004</v>
      </c>
      <c r="C5320">
        <v>7.3664999999999994E-2</v>
      </c>
      <c r="D5320">
        <v>288</v>
      </c>
      <c r="E5320" t="s">
        <v>5774</v>
      </c>
      <c r="F5320">
        <v>288</v>
      </c>
      <c r="G5320" s="1">
        <v>45214</v>
      </c>
      <c r="H5320" s="6">
        <f t="shared" si="166"/>
        <v>33.177083333334522</v>
      </c>
      <c r="I5320" s="7">
        <f t="shared" si="167"/>
        <v>33.177083333334522</v>
      </c>
    </row>
    <row r="5321" spans="1:9" x14ac:dyDescent="0.2">
      <c r="A5321" t="s">
        <v>5775</v>
      </c>
      <c r="B5321">
        <v>5.2069999999999999</v>
      </c>
      <c r="C5321">
        <v>7.2929999999999995E-2</v>
      </c>
      <c r="D5321">
        <v>288</v>
      </c>
      <c r="E5321" t="s">
        <v>5775</v>
      </c>
      <c r="F5321">
        <v>288</v>
      </c>
      <c r="G5321" s="1">
        <v>45214</v>
      </c>
      <c r="H5321" s="6">
        <f t="shared" si="166"/>
        <v>33.187500000001187</v>
      </c>
      <c r="I5321" s="7">
        <f t="shared" si="167"/>
        <v>33.187500000001187</v>
      </c>
    </row>
    <row r="5322" spans="1:9" x14ac:dyDescent="0.2">
      <c r="A5322" t="s">
        <v>5776</v>
      </c>
      <c r="B5322">
        <v>4.8780000000000001</v>
      </c>
      <c r="C5322">
        <v>6.8309999999999996E-2</v>
      </c>
      <c r="D5322">
        <v>288</v>
      </c>
      <c r="E5322" t="s">
        <v>5776</v>
      </c>
      <c r="F5322">
        <v>288</v>
      </c>
      <c r="G5322" s="1">
        <v>45214</v>
      </c>
      <c r="H5322" s="6">
        <f t="shared" si="166"/>
        <v>33.197916666667851</v>
      </c>
      <c r="I5322" s="7">
        <f t="shared" si="167"/>
        <v>33.197916666667851</v>
      </c>
    </row>
    <row r="5323" spans="1:9" x14ac:dyDescent="0.2">
      <c r="A5323" t="s">
        <v>5777</v>
      </c>
      <c r="B5323">
        <v>5.1455000000000002</v>
      </c>
      <c r="C5323">
        <v>7.2075E-2</v>
      </c>
      <c r="D5323">
        <v>288</v>
      </c>
      <c r="E5323" t="s">
        <v>5777</v>
      </c>
      <c r="F5323">
        <v>288</v>
      </c>
      <c r="G5323" s="1">
        <v>45214</v>
      </c>
      <c r="H5323" s="6">
        <f t="shared" si="166"/>
        <v>33.208333333334515</v>
      </c>
      <c r="I5323" s="7">
        <f t="shared" si="167"/>
        <v>33.208333333334515</v>
      </c>
    </row>
    <row r="5324" spans="1:9" x14ac:dyDescent="0.2">
      <c r="A5324" t="s">
        <v>5778</v>
      </c>
      <c r="B5324">
        <v>5.3105000000000002</v>
      </c>
      <c r="C5324">
        <v>7.4365000000000001E-2</v>
      </c>
      <c r="D5324">
        <v>288</v>
      </c>
      <c r="E5324" t="s">
        <v>5778</v>
      </c>
      <c r="F5324">
        <v>288</v>
      </c>
      <c r="G5324" s="1">
        <v>45214</v>
      </c>
      <c r="H5324" s="6">
        <f t="shared" si="166"/>
        <v>33.21875000000118</v>
      </c>
      <c r="I5324" s="7">
        <f t="shared" si="167"/>
        <v>33.21875000000118</v>
      </c>
    </row>
    <row r="5325" spans="1:9" x14ac:dyDescent="0.2">
      <c r="A5325" t="s">
        <v>5779</v>
      </c>
      <c r="B5325">
        <v>5.0625</v>
      </c>
      <c r="C5325">
        <v>7.0925000000000002E-2</v>
      </c>
      <c r="D5325">
        <v>288</v>
      </c>
      <c r="E5325" t="s">
        <v>5779</v>
      </c>
      <c r="F5325">
        <v>288</v>
      </c>
      <c r="G5325" s="1">
        <v>45214</v>
      </c>
      <c r="H5325" s="6">
        <f t="shared" si="166"/>
        <v>33.229166666667844</v>
      </c>
      <c r="I5325" s="7">
        <f t="shared" si="167"/>
        <v>33.229166666667844</v>
      </c>
    </row>
    <row r="5326" spans="1:9" x14ac:dyDescent="0.2">
      <c r="A5326" t="s">
        <v>5780</v>
      </c>
      <c r="B5326">
        <v>5.1675000000000004</v>
      </c>
      <c r="C5326">
        <v>7.238E-2</v>
      </c>
      <c r="D5326">
        <v>288</v>
      </c>
      <c r="E5326" t="s">
        <v>5780</v>
      </c>
      <c r="F5326">
        <v>288</v>
      </c>
      <c r="G5326" s="1">
        <v>45214</v>
      </c>
      <c r="H5326" s="6">
        <f t="shared" si="166"/>
        <v>33.239583333334508</v>
      </c>
      <c r="I5326" s="7">
        <f t="shared" si="167"/>
        <v>33.239583333334508</v>
      </c>
    </row>
    <row r="5327" spans="1:9" x14ac:dyDescent="0.2">
      <c r="A5327" t="s">
        <v>5781</v>
      </c>
      <c r="B5327">
        <v>5.1624999999999996</v>
      </c>
      <c r="C5327">
        <v>7.2315000000000004E-2</v>
      </c>
      <c r="D5327">
        <v>288</v>
      </c>
      <c r="E5327" t="s">
        <v>5781</v>
      </c>
      <c r="F5327">
        <v>288</v>
      </c>
      <c r="G5327" s="1">
        <v>45214</v>
      </c>
      <c r="H5327" s="6">
        <f t="shared" si="166"/>
        <v>33.250000000001172</v>
      </c>
      <c r="I5327" s="7">
        <f t="shared" si="167"/>
        <v>33.250000000001172</v>
      </c>
    </row>
    <row r="5328" spans="1:9" x14ac:dyDescent="0.2">
      <c r="A5328" t="s">
        <v>5782</v>
      </c>
      <c r="B5328">
        <v>5.1535000000000002</v>
      </c>
      <c r="C5328">
        <v>7.2184999999999999E-2</v>
      </c>
      <c r="D5328">
        <v>288</v>
      </c>
      <c r="E5328" t="s">
        <v>5782</v>
      </c>
      <c r="F5328">
        <v>288</v>
      </c>
      <c r="G5328" s="1">
        <v>45214</v>
      </c>
      <c r="H5328" s="6">
        <f t="shared" si="166"/>
        <v>33.260416666667837</v>
      </c>
      <c r="I5328" s="7">
        <f t="shared" si="167"/>
        <v>33.260416666667837</v>
      </c>
    </row>
    <row r="5329" spans="1:9" x14ac:dyDescent="0.2">
      <c r="A5329" t="s">
        <v>5783</v>
      </c>
      <c r="B5329">
        <v>5.0854999999999997</v>
      </c>
      <c r="C5329">
        <v>7.1224999999999997E-2</v>
      </c>
      <c r="D5329">
        <v>288</v>
      </c>
      <c r="E5329" t="s">
        <v>5783</v>
      </c>
      <c r="F5329">
        <v>288</v>
      </c>
      <c r="G5329" s="1">
        <v>45214</v>
      </c>
      <c r="H5329" s="6">
        <f t="shared" si="166"/>
        <v>33.270833333334501</v>
      </c>
      <c r="I5329" s="7">
        <f t="shared" si="167"/>
        <v>33.270833333334501</v>
      </c>
    </row>
    <row r="5330" spans="1:9" x14ac:dyDescent="0.2">
      <c r="A5330" t="s">
        <v>5784</v>
      </c>
      <c r="B5330">
        <v>5.1055000000000001</v>
      </c>
      <c r="C5330">
        <v>7.1499999999999994E-2</v>
      </c>
      <c r="D5330">
        <v>288</v>
      </c>
      <c r="E5330" t="s">
        <v>5784</v>
      </c>
      <c r="F5330">
        <v>288</v>
      </c>
      <c r="G5330" s="1">
        <v>45214</v>
      </c>
      <c r="H5330" s="6">
        <f t="shared" si="166"/>
        <v>33.281250000001165</v>
      </c>
      <c r="I5330" s="7">
        <f t="shared" si="167"/>
        <v>33.281250000001165</v>
      </c>
    </row>
    <row r="5331" spans="1:9" x14ac:dyDescent="0.2">
      <c r="A5331" t="s">
        <v>5785</v>
      </c>
      <c r="B5331">
        <v>5.0484999999999998</v>
      </c>
      <c r="C5331">
        <v>7.0724999999999996E-2</v>
      </c>
      <c r="D5331">
        <v>288</v>
      </c>
      <c r="E5331" t="s">
        <v>5785</v>
      </c>
      <c r="F5331">
        <v>288</v>
      </c>
      <c r="G5331" s="1">
        <v>45214</v>
      </c>
      <c r="H5331" s="6">
        <f t="shared" si="166"/>
        <v>33.29166666666783</v>
      </c>
      <c r="I5331" s="7">
        <f t="shared" si="167"/>
        <v>33.29166666666783</v>
      </c>
    </row>
    <row r="5332" spans="1:9" x14ac:dyDescent="0.2">
      <c r="A5332" t="s">
        <v>5786</v>
      </c>
      <c r="B5332">
        <v>5.0629999999999997</v>
      </c>
      <c r="C5332">
        <v>7.0910000000000001E-2</v>
      </c>
      <c r="D5332">
        <v>288</v>
      </c>
      <c r="E5332" t="s">
        <v>5786</v>
      </c>
      <c r="F5332">
        <v>288</v>
      </c>
      <c r="G5332" s="1">
        <v>45214</v>
      </c>
      <c r="H5332" s="6">
        <f t="shared" si="166"/>
        <v>33.302083333334494</v>
      </c>
      <c r="I5332" s="7">
        <f t="shared" si="167"/>
        <v>33.302083333334494</v>
      </c>
    </row>
    <row r="5333" spans="1:9" x14ac:dyDescent="0.2">
      <c r="A5333" t="s">
        <v>5787</v>
      </c>
      <c r="B5333">
        <v>5.0465</v>
      </c>
      <c r="C5333">
        <v>7.0679999999999896E-2</v>
      </c>
      <c r="D5333">
        <v>288</v>
      </c>
      <c r="E5333" t="s">
        <v>5787</v>
      </c>
      <c r="F5333">
        <v>288</v>
      </c>
      <c r="G5333" s="1">
        <v>45214</v>
      </c>
      <c r="H5333" s="6">
        <f t="shared" si="166"/>
        <v>33.312500000001158</v>
      </c>
      <c r="I5333" s="7">
        <f t="shared" si="167"/>
        <v>33.312500000001158</v>
      </c>
    </row>
    <row r="5334" spans="1:9" x14ac:dyDescent="0.2">
      <c r="A5334" t="s">
        <v>5788</v>
      </c>
      <c r="B5334">
        <v>4.8685</v>
      </c>
      <c r="C5334">
        <v>6.8199999999999997E-2</v>
      </c>
      <c r="D5334">
        <v>288</v>
      </c>
      <c r="E5334" t="s">
        <v>5788</v>
      </c>
      <c r="F5334">
        <v>288</v>
      </c>
      <c r="G5334" s="1">
        <v>45214</v>
      </c>
      <c r="H5334" s="6">
        <f t="shared" si="166"/>
        <v>33.322916666667822</v>
      </c>
      <c r="I5334" s="7">
        <f t="shared" si="167"/>
        <v>33.322916666667822</v>
      </c>
    </row>
    <row r="5335" spans="1:9" x14ac:dyDescent="0.2">
      <c r="A5335" t="s">
        <v>5789</v>
      </c>
      <c r="B5335">
        <v>4.8094999999999999</v>
      </c>
      <c r="C5335">
        <v>6.7385E-2</v>
      </c>
      <c r="D5335">
        <v>288</v>
      </c>
      <c r="E5335" t="s">
        <v>5789</v>
      </c>
      <c r="F5335">
        <v>288</v>
      </c>
      <c r="G5335" s="1">
        <v>45214</v>
      </c>
      <c r="H5335" s="6">
        <f t="shared" si="166"/>
        <v>33.333333333334487</v>
      </c>
      <c r="I5335" s="7">
        <f t="shared" si="167"/>
        <v>33.333333333334487</v>
      </c>
    </row>
    <row r="5336" spans="1:9" x14ac:dyDescent="0.2">
      <c r="A5336" t="s">
        <v>5790</v>
      </c>
      <c r="B5336">
        <v>4.7404999999999999</v>
      </c>
      <c r="C5336">
        <v>6.6394999999999996E-2</v>
      </c>
      <c r="D5336">
        <v>288</v>
      </c>
      <c r="E5336" t="s">
        <v>5790</v>
      </c>
      <c r="F5336">
        <v>288</v>
      </c>
      <c r="G5336" s="1">
        <v>45214</v>
      </c>
      <c r="H5336" s="6">
        <f t="shared" si="166"/>
        <v>33.343750000001151</v>
      </c>
      <c r="I5336" s="7">
        <f t="shared" si="167"/>
        <v>33.343750000001151</v>
      </c>
    </row>
    <row r="5337" spans="1:9" x14ac:dyDescent="0.2">
      <c r="A5337" t="s">
        <v>5791</v>
      </c>
      <c r="B5337">
        <v>4.718</v>
      </c>
      <c r="C5337">
        <v>6.6089999999999996E-2</v>
      </c>
      <c r="D5337">
        <v>288</v>
      </c>
      <c r="E5337" t="s">
        <v>5791</v>
      </c>
      <c r="F5337">
        <v>288</v>
      </c>
      <c r="G5337" s="1">
        <v>45214</v>
      </c>
      <c r="H5337" s="6">
        <f t="shared" si="166"/>
        <v>33.354166666667815</v>
      </c>
      <c r="I5337" s="7">
        <f t="shared" si="167"/>
        <v>33.354166666667815</v>
      </c>
    </row>
    <row r="5338" spans="1:9" x14ac:dyDescent="0.2">
      <c r="A5338" t="s">
        <v>5792</v>
      </c>
      <c r="B5338">
        <v>4.6284999999999998</v>
      </c>
      <c r="C5338">
        <v>6.4829999999999999E-2</v>
      </c>
      <c r="D5338">
        <v>288</v>
      </c>
      <c r="E5338" t="s">
        <v>5792</v>
      </c>
      <c r="F5338">
        <v>288</v>
      </c>
      <c r="G5338" s="1">
        <v>45214</v>
      </c>
      <c r="H5338" s="6">
        <f t="shared" si="166"/>
        <v>33.36458333333448</v>
      </c>
      <c r="I5338" s="7">
        <f t="shared" si="167"/>
        <v>33.36458333333448</v>
      </c>
    </row>
    <row r="5339" spans="1:9" x14ac:dyDescent="0.2">
      <c r="A5339" t="s">
        <v>5793</v>
      </c>
      <c r="B5339">
        <v>4.6715</v>
      </c>
      <c r="C5339">
        <v>6.5434999999999993E-2</v>
      </c>
      <c r="D5339">
        <v>288</v>
      </c>
      <c r="E5339" t="s">
        <v>5793</v>
      </c>
      <c r="F5339">
        <v>288</v>
      </c>
      <c r="G5339" s="1">
        <v>45214</v>
      </c>
      <c r="H5339" s="6">
        <f t="shared" si="166"/>
        <v>33.375000000001144</v>
      </c>
      <c r="I5339" s="7">
        <f t="shared" si="167"/>
        <v>33.375000000001144</v>
      </c>
    </row>
    <row r="5340" spans="1:9" x14ac:dyDescent="0.2">
      <c r="A5340" t="s">
        <v>5794</v>
      </c>
      <c r="B5340">
        <v>4.7210000000000001</v>
      </c>
      <c r="C5340">
        <v>6.6125000000000003E-2</v>
      </c>
      <c r="D5340">
        <v>288</v>
      </c>
      <c r="E5340" t="s">
        <v>5794</v>
      </c>
      <c r="F5340">
        <v>288</v>
      </c>
      <c r="G5340" s="1">
        <v>45214</v>
      </c>
      <c r="H5340" s="6">
        <f t="shared" ref="H5340:H5403" si="168">H5339+$K$1</f>
        <v>33.385416666667808</v>
      </c>
      <c r="I5340" s="7">
        <f t="shared" ref="I5340:I5403" si="169">I5339+$K$1</f>
        <v>33.385416666667808</v>
      </c>
    </row>
    <row r="5341" spans="1:9" x14ac:dyDescent="0.2">
      <c r="A5341" t="s">
        <v>5795</v>
      </c>
      <c r="B5341">
        <v>4.6589999999999998</v>
      </c>
      <c r="C5341">
        <v>6.5240000000000006E-2</v>
      </c>
      <c r="D5341">
        <v>288</v>
      </c>
      <c r="E5341" t="s">
        <v>5795</v>
      </c>
      <c r="F5341">
        <v>288</v>
      </c>
      <c r="G5341" s="1">
        <v>45214</v>
      </c>
      <c r="H5341" s="6">
        <f t="shared" si="168"/>
        <v>33.395833333334473</v>
      </c>
      <c r="I5341" s="7">
        <f t="shared" si="169"/>
        <v>33.395833333334473</v>
      </c>
    </row>
    <row r="5342" spans="1:9" x14ac:dyDescent="0.2">
      <c r="A5342" t="s">
        <v>5796</v>
      </c>
      <c r="B5342">
        <v>4.6455000000000002</v>
      </c>
      <c r="C5342">
        <v>6.5064999999999998E-2</v>
      </c>
      <c r="D5342">
        <v>288</v>
      </c>
      <c r="E5342" t="s">
        <v>5796</v>
      </c>
      <c r="F5342">
        <v>288</v>
      </c>
      <c r="G5342" s="1">
        <v>45214</v>
      </c>
      <c r="H5342" s="6">
        <f t="shared" si="168"/>
        <v>33.406250000001137</v>
      </c>
      <c r="I5342" s="7">
        <f t="shared" si="169"/>
        <v>33.406250000001137</v>
      </c>
    </row>
    <row r="5343" spans="1:9" x14ac:dyDescent="0.2">
      <c r="A5343" t="s">
        <v>5797</v>
      </c>
      <c r="B5343">
        <v>4.649</v>
      </c>
      <c r="C5343">
        <v>6.5095E-2</v>
      </c>
      <c r="D5343">
        <v>288</v>
      </c>
      <c r="E5343" t="s">
        <v>5797</v>
      </c>
      <c r="F5343">
        <v>288</v>
      </c>
      <c r="G5343" s="1">
        <v>45214</v>
      </c>
      <c r="H5343" s="6">
        <f t="shared" si="168"/>
        <v>33.416666666667801</v>
      </c>
      <c r="I5343" s="7">
        <f t="shared" si="169"/>
        <v>33.416666666667801</v>
      </c>
    </row>
    <row r="5344" spans="1:9" x14ac:dyDescent="0.2">
      <c r="A5344" t="s">
        <v>5798</v>
      </c>
      <c r="B5344">
        <v>4.5919999999999996</v>
      </c>
      <c r="C5344">
        <v>6.4320000000000002E-2</v>
      </c>
      <c r="D5344">
        <v>288</v>
      </c>
      <c r="E5344" t="s">
        <v>5798</v>
      </c>
      <c r="F5344">
        <v>288</v>
      </c>
      <c r="G5344" s="1">
        <v>45214</v>
      </c>
      <c r="H5344" s="6">
        <f t="shared" si="168"/>
        <v>33.427083333334465</v>
      </c>
      <c r="I5344" s="7">
        <f t="shared" si="169"/>
        <v>33.427083333334465</v>
      </c>
    </row>
    <row r="5345" spans="1:9" x14ac:dyDescent="0.2">
      <c r="A5345" t="s">
        <v>5799</v>
      </c>
      <c r="B5345">
        <v>4.5865</v>
      </c>
      <c r="C5345">
        <v>6.4235E-2</v>
      </c>
      <c r="D5345">
        <v>288</v>
      </c>
      <c r="E5345" t="s">
        <v>5799</v>
      </c>
      <c r="F5345">
        <v>288</v>
      </c>
      <c r="G5345" s="1">
        <v>45214</v>
      </c>
      <c r="H5345" s="6">
        <f t="shared" si="168"/>
        <v>33.43750000000113</v>
      </c>
      <c r="I5345" s="7">
        <f t="shared" si="169"/>
        <v>33.43750000000113</v>
      </c>
    </row>
    <row r="5346" spans="1:9" x14ac:dyDescent="0.2">
      <c r="A5346" t="s">
        <v>5800</v>
      </c>
      <c r="B5346">
        <v>4.6515000000000004</v>
      </c>
      <c r="C5346">
        <v>6.515E-2</v>
      </c>
      <c r="D5346">
        <v>288</v>
      </c>
      <c r="E5346" t="s">
        <v>5800</v>
      </c>
      <c r="F5346">
        <v>288</v>
      </c>
      <c r="G5346" s="1">
        <v>45214</v>
      </c>
      <c r="H5346" s="6">
        <f t="shared" si="168"/>
        <v>33.447916666667794</v>
      </c>
      <c r="I5346" s="7">
        <f t="shared" si="169"/>
        <v>33.447916666667794</v>
      </c>
    </row>
    <row r="5347" spans="1:9" x14ac:dyDescent="0.2">
      <c r="A5347" t="s">
        <v>5801</v>
      </c>
      <c r="B5347">
        <v>4.8029999999999999</v>
      </c>
      <c r="C5347">
        <v>6.7275000000000001E-2</v>
      </c>
      <c r="D5347">
        <v>288</v>
      </c>
      <c r="E5347" t="s">
        <v>5801</v>
      </c>
      <c r="F5347">
        <v>288</v>
      </c>
      <c r="G5347" s="1">
        <v>45214</v>
      </c>
      <c r="H5347" s="6">
        <f t="shared" si="168"/>
        <v>33.458333333334458</v>
      </c>
      <c r="I5347" s="7">
        <f t="shared" si="169"/>
        <v>33.458333333334458</v>
      </c>
    </row>
    <row r="5348" spans="1:9" x14ac:dyDescent="0.2">
      <c r="A5348" t="s">
        <v>5802</v>
      </c>
      <c r="B5348">
        <v>4.82</v>
      </c>
      <c r="C5348">
        <v>6.7510000000000001E-2</v>
      </c>
      <c r="D5348">
        <v>288</v>
      </c>
      <c r="E5348" t="s">
        <v>5802</v>
      </c>
      <c r="F5348">
        <v>288</v>
      </c>
      <c r="G5348" s="1">
        <v>45214</v>
      </c>
      <c r="H5348" s="6">
        <f t="shared" si="168"/>
        <v>33.468750000001123</v>
      </c>
      <c r="I5348" s="7">
        <f t="shared" si="169"/>
        <v>33.468750000001123</v>
      </c>
    </row>
    <row r="5349" spans="1:9" x14ac:dyDescent="0.2">
      <c r="A5349" t="s">
        <v>5803</v>
      </c>
      <c r="B5349">
        <v>4.7290000000000001</v>
      </c>
      <c r="C5349">
        <v>6.6254999999999994E-2</v>
      </c>
      <c r="D5349">
        <v>288</v>
      </c>
      <c r="E5349" t="s">
        <v>5803</v>
      </c>
      <c r="F5349">
        <v>288</v>
      </c>
      <c r="G5349" s="1">
        <v>45214</v>
      </c>
      <c r="H5349" s="6">
        <f t="shared" si="168"/>
        <v>33.479166666667787</v>
      </c>
      <c r="I5349" s="7">
        <f t="shared" si="169"/>
        <v>33.479166666667787</v>
      </c>
    </row>
    <row r="5350" spans="1:9" x14ac:dyDescent="0.2">
      <c r="A5350" t="s">
        <v>5804</v>
      </c>
      <c r="B5350">
        <v>4.7445000000000004</v>
      </c>
      <c r="C5350">
        <v>6.6434999999999994E-2</v>
      </c>
      <c r="D5350">
        <v>288</v>
      </c>
      <c r="E5350" t="s">
        <v>5804</v>
      </c>
      <c r="F5350">
        <v>288</v>
      </c>
      <c r="G5350" s="1">
        <v>45214</v>
      </c>
      <c r="H5350" s="6">
        <f t="shared" si="168"/>
        <v>33.489583333334451</v>
      </c>
      <c r="I5350" s="7">
        <f t="shared" si="169"/>
        <v>33.489583333334451</v>
      </c>
    </row>
    <row r="5351" spans="1:9" x14ac:dyDescent="0.2">
      <c r="A5351" t="s">
        <v>5805</v>
      </c>
      <c r="B5351" s="2" t="s">
        <v>5806</v>
      </c>
      <c r="C5351">
        <v>6.7684999999999995E-2</v>
      </c>
      <c r="D5351">
        <v>288</v>
      </c>
      <c r="E5351" t="s">
        <v>5805</v>
      </c>
      <c r="F5351">
        <v>288</v>
      </c>
      <c r="G5351" s="1">
        <v>45214</v>
      </c>
      <c r="H5351" s="6">
        <f t="shared" si="168"/>
        <v>33.500000000001116</v>
      </c>
      <c r="I5351" s="7">
        <f t="shared" si="169"/>
        <v>33.500000000001116</v>
      </c>
    </row>
    <row r="5352" spans="1:9" x14ac:dyDescent="0.2">
      <c r="A5352" t="s">
        <v>5807</v>
      </c>
      <c r="B5352">
        <v>4.8019999999999996</v>
      </c>
      <c r="C5352">
        <v>6.7279999999999895E-2</v>
      </c>
      <c r="D5352">
        <v>288</v>
      </c>
      <c r="E5352" t="s">
        <v>5807</v>
      </c>
      <c r="F5352">
        <v>288</v>
      </c>
      <c r="G5352" s="1">
        <v>45214</v>
      </c>
      <c r="H5352" s="6">
        <f t="shared" si="168"/>
        <v>33.51041666666778</v>
      </c>
      <c r="I5352" s="7">
        <f t="shared" si="169"/>
        <v>33.51041666666778</v>
      </c>
    </row>
    <row r="5353" spans="1:9" x14ac:dyDescent="0.2">
      <c r="A5353" t="s">
        <v>5808</v>
      </c>
      <c r="B5353">
        <v>4.7664999999999997</v>
      </c>
      <c r="C5353">
        <v>6.6765000000000005E-2</v>
      </c>
      <c r="D5353">
        <v>288</v>
      </c>
      <c r="E5353" t="s">
        <v>5808</v>
      </c>
      <c r="F5353">
        <v>288</v>
      </c>
      <c r="G5353" s="1">
        <v>45214</v>
      </c>
      <c r="H5353" s="6">
        <f t="shared" si="168"/>
        <v>33.520833333334444</v>
      </c>
      <c r="I5353" s="7">
        <f t="shared" si="169"/>
        <v>33.520833333334444</v>
      </c>
    </row>
    <row r="5354" spans="1:9" x14ac:dyDescent="0.2">
      <c r="A5354" t="s">
        <v>5809</v>
      </c>
      <c r="B5354" s="2" t="s">
        <v>5810</v>
      </c>
      <c r="C5354">
        <v>6.7129999999999995E-2</v>
      </c>
      <c r="D5354">
        <v>288</v>
      </c>
      <c r="E5354" t="s">
        <v>5809</v>
      </c>
      <c r="F5354">
        <v>288</v>
      </c>
      <c r="G5354" s="1">
        <v>45214</v>
      </c>
      <c r="H5354" s="6">
        <f t="shared" si="168"/>
        <v>33.531250000001108</v>
      </c>
      <c r="I5354" s="7">
        <f t="shared" si="169"/>
        <v>33.531250000001108</v>
      </c>
    </row>
    <row r="5355" spans="1:9" x14ac:dyDescent="0.2">
      <c r="A5355" t="s">
        <v>5811</v>
      </c>
      <c r="B5355">
        <v>4.774</v>
      </c>
      <c r="C5355">
        <v>6.6890000000000005E-2</v>
      </c>
      <c r="D5355">
        <v>288</v>
      </c>
      <c r="E5355" t="s">
        <v>5811</v>
      </c>
      <c r="F5355">
        <v>288</v>
      </c>
      <c r="G5355" s="1">
        <v>45214</v>
      </c>
      <c r="H5355" s="6">
        <f t="shared" si="168"/>
        <v>33.541666666667773</v>
      </c>
      <c r="I5355" s="7">
        <f t="shared" si="169"/>
        <v>33.541666666667773</v>
      </c>
    </row>
    <row r="5356" spans="1:9" x14ac:dyDescent="0.2">
      <c r="A5356" t="s">
        <v>5812</v>
      </c>
      <c r="B5356">
        <v>4.7699999999999996</v>
      </c>
      <c r="C5356">
        <v>6.6830000000000001E-2</v>
      </c>
      <c r="D5356">
        <v>288</v>
      </c>
      <c r="E5356" t="s">
        <v>5812</v>
      </c>
      <c r="F5356">
        <v>288</v>
      </c>
      <c r="G5356" s="1">
        <v>45214</v>
      </c>
      <c r="H5356" s="6">
        <f t="shared" si="168"/>
        <v>33.552083333334437</v>
      </c>
      <c r="I5356" s="7">
        <f t="shared" si="169"/>
        <v>33.552083333334437</v>
      </c>
    </row>
    <row r="5357" spans="1:9" x14ac:dyDescent="0.2">
      <c r="A5357" t="s">
        <v>5813</v>
      </c>
      <c r="B5357">
        <v>4.7445000000000004</v>
      </c>
      <c r="C5357">
        <v>6.6460000000000005E-2</v>
      </c>
      <c r="D5357">
        <v>288</v>
      </c>
      <c r="E5357" t="s">
        <v>5813</v>
      </c>
      <c r="F5357">
        <v>288</v>
      </c>
      <c r="G5357" s="1">
        <v>45214</v>
      </c>
      <c r="H5357" s="6">
        <f t="shared" si="168"/>
        <v>33.562500000001101</v>
      </c>
      <c r="I5357" s="7">
        <f t="shared" si="169"/>
        <v>33.562500000001101</v>
      </c>
    </row>
    <row r="5358" spans="1:9" x14ac:dyDescent="0.2">
      <c r="A5358" t="s">
        <v>5814</v>
      </c>
      <c r="B5358">
        <v>4.593</v>
      </c>
      <c r="C5358">
        <v>6.4335000000000003E-2</v>
      </c>
      <c r="D5358">
        <v>288</v>
      </c>
      <c r="E5358" t="s">
        <v>5814</v>
      </c>
      <c r="F5358">
        <v>288</v>
      </c>
      <c r="G5358" s="1">
        <v>45214</v>
      </c>
      <c r="H5358" s="6">
        <f t="shared" si="168"/>
        <v>33.572916666667766</v>
      </c>
      <c r="I5358" s="7">
        <f t="shared" si="169"/>
        <v>33.572916666667766</v>
      </c>
    </row>
    <row r="5359" spans="1:9" x14ac:dyDescent="0.2">
      <c r="A5359" t="s">
        <v>5815</v>
      </c>
      <c r="B5359">
        <v>4.6935000000000002</v>
      </c>
      <c r="C5359">
        <v>6.5720000000000001E-2</v>
      </c>
      <c r="D5359">
        <v>288</v>
      </c>
      <c r="E5359" t="s">
        <v>5815</v>
      </c>
      <c r="F5359">
        <v>288</v>
      </c>
      <c r="G5359" s="1">
        <v>45214</v>
      </c>
      <c r="H5359" s="6">
        <f t="shared" si="168"/>
        <v>33.58333333333443</v>
      </c>
      <c r="I5359" s="7">
        <f t="shared" si="169"/>
        <v>33.58333333333443</v>
      </c>
    </row>
    <row r="5360" spans="1:9" x14ac:dyDescent="0.2">
      <c r="A5360" t="s">
        <v>5816</v>
      </c>
      <c r="B5360">
        <v>4.6120000000000001</v>
      </c>
      <c r="C5360">
        <v>6.4600000000000005E-2</v>
      </c>
      <c r="D5360">
        <v>288</v>
      </c>
      <c r="E5360" t="s">
        <v>5816</v>
      </c>
      <c r="F5360">
        <v>288</v>
      </c>
      <c r="G5360" s="1">
        <v>45214</v>
      </c>
      <c r="H5360" s="6">
        <f t="shared" si="168"/>
        <v>33.593750000001094</v>
      </c>
      <c r="I5360" s="7">
        <f t="shared" si="169"/>
        <v>33.593750000001094</v>
      </c>
    </row>
    <row r="5361" spans="1:9" x14ac:dyDescent="0.2">
      <c r="A5361" t="s">
        <v>5817</v>
      </c>
      <c r="B5361">
        <v>4.7530000000000001</v>
      </c>
      <c r="C5361">
        <v>6.6564999999999999E-2</v>
      </c>
      <c r="D5361">
        <v>289</v>
      </c>
      <c r="E5361" t="s">
        <v>5817</v>
      </c>
      <c r="F5361">
        <v>288</v>
      </c>
      <c r="G5361" s="1">
        <v>45214</v>
      </c>
      <c r="H5361" s="6">
        <f t="shared" si="168"/>
        <v>33.604166666667759</v>
      </c>
      <c r="I5361" s="7">
        <f t="shared" si="169"/>
        <v>33.604166666667759</v>
      </c>
    </row>
    <row r="5362" spans="1:9" x14ac:dyDescent="0.2">
      <c r="A5362" t="s">
        <v>5818</v>
      </c>
      <c r="B5362">
        <v>4.7065000000000001</v>
      </c>
      <c r="C5362">
        <v>6.5915000000000001E-2</v>
      </c>
      <c r="D5362">
        <v>289</v>
      </c>
      <c r="E5362" t="s">
        <v>5818</v>
      </c>
      <c r="F5362">
        <v>288</v>
      </c>
      <c r="G5362" s="1">
        <v>45214</v>
      </c>
      <c r="H5362" s="6">
        <f t="shared" si="168"/>
        <v>33.614583333334423</v>
      </c>
      <c r="I5362" s="7">
        <f t="shared" si="169"/>
        <v>33.614583333334423</v>
      </c>
    </row>
    <row r="5363" spans="1:9" x14ac:dyDescent="0.2">
      <c r="A5363" t="s">
        <v>5819</v>
      </c>
      <c r="B5363">
        <v>4.6795</v>
      </c>
      <c r="C5363">
        <v>6.5570000000000003E-2</v>
      </c>
      <c r="D5363">
        <v>289</v>
      </c>
      <c r="E5363" t="s">
        <v>5819</v>
      </c>
      <c r="F5363">
        <v>288</v>
      </c>
      <c r="G5363" s="1">
        <v>45214</v>
      </c>
      <c r="H5363" s="6">
        <f t="shared" si="168"/>
        <v>33.625000000001087</v>
      </c>
      <c r="I5363" s="7">
        <f t="shared" si="169"/>
        <v>33.625000000001087</v>
      </c>
    </row>
    <row r="5364" spans="1:9" x14ac:dyDescent="0.2">
      <c r="A5364" t="s">
        <v>5820</v>
      </c>
      <c r="B5364">
        <v>4.6414999999999997</v>
      </c>
      <c r="C5364">
        <v>6.5000000000000002E-2</v>
      </c>
      <c r="D5364">
        <v>289</v>
      </c>
      <c r="E5364" t="s">
        <v>5820</v>
      </c>
      <c r="F5364">
        <v>288</v>
      </c>
      <c r="G5364" s="1">
        <v>45214</v>
      </c>
      <c r="H5364" s="6">
        <f t="shared" si="168"/>
        <v>33.635416666667751</v>
      </c>
      <c r="I5364" s="7">
        <f t="shared" si="169"/>
        <v>33.635416666667751</v>
      </c>
    </row>
    <row r="5365" spans="1:9" x14ac:dyDescent="0.2">
      <c r="A5365" t="s">
        <v>5821</v>
      </c>
      <c r="B5365">
        <v>4.6695000000000002</v>
      </c>
      <c r="C5365">
        <v>6.5409999999999996E-2</v>
      </c>
      <c r="D5365">
        <v>289</v>
      </c>
      <c r="E5365" t="s">
        <v>5821</v>
      </c>
      <c r="F5365">
        <v>288</v>
      </c>
      <c r="G5365" s="1">
        <v>45214</v>
      </c>
      <c r="H5365" s="6">
        <f t="shared" si="168"/>
        <v>33.645833333334416</v>
      </c>
      <c r="I5365" s="7">
        <f t="shared" si="169"/>
        <v>33.645833333334416</v>
      </c>
    </row>
    <row r="5366" spans="1:9" x14ac:dyDescent="0.2">
      <c r="A5366" t="s">
        <v>5822</v>
      </c>
      <c r="B5366">
        <v>4.6849999999999996</v>
      </c>
      <c r="C5366">
        <v>6.5600000000000006E-2</v>
      </c>
      <c r="D5366">
        <v>289</v>
      </c>
      <c r="E5366" t="s">
        <v>5822</v>
      </c>
      <c r="F5366">
        <v>288</v>
      </c>
      <c r="G5366" s="1">
        <v>45214</v>
      </c>
      <c r="H5366" s="6">
        <f t="shared" si="168"/>
        <v>33.65625000000108</v>
      </c>
      <c r="I5366" s="7">
        <f t="shared" si="169"/>
        <v>33.65625000000108</v>
      </c>
    </row>
    <row r="5367" spans="1:9" x14ac:dyDescent="0.2">
      <c r="A5367" t="s">
        <v>5823</v>
      </c>
      <c r="B5367">
        <v>4.6195000000000004</v>
      </c>
      <c r="C5367">
        <v>6.4714999999999995E-2</v>
      </c>
      <c r="D5367">
        <v>289</v>
      </c>
      <c r="E5367" t="s">
        <v>5823</v>
      </c>
      <c r="F5367">
        <v>288</v>
      </c>
      <c r="G5367" s="1">
        <v>45214</v>
      </c>
      <c r="H5367" s="6">
        <f t="shared" si="168"/>
        <v>33.666666666667744</v>
      </c>
      <c r="I5367" s="7">
        <f t="shared" si="169"/>
        <v>33.666666666667744</v>
      </c>
    </row>
    <row r="5368" spans="1:9" x14ac:dyDescent="0.2">
      <c r="A5368" t="s">
        <v>5824</v>
      </c>
      <c r="B5368">
        <v>4.79</v>
      </c>
      <c r="C5368">
        <v>6.7099999999999896E-2</v>
      </c>
      <c r="D5368">
        <v>289</v>
      </c>
      <c r="E5368" t="s">
        <v>5824</v>
      </c>
      <c r="F5368">
        <v>288</v>
      </c>
      <c r="G5368" s="1">
        <v>45214</v>
      </c>
      <c r="H5368" s="6">
        <f t="shared" si="168"/>
        <v>33.677083333334409</v>
      </c>
      <c r="I5368" s="7">
        <f t="shared" si="169"/>
        <v>33.677083333334409</v>
      </c>
    </row>
    <row r="5369" spans="1:9" x14ac:dyDescent="0.2">
      <c r="A5369" t="s">
        <v>5825</v>
      </c>
      <c r="B5369">
        <v>4.6900000000000004</v>
      </c>
      <c r="C5369">
        <v>6.5695000000000003E-2</v>
      </c>
      <c r="D5369">
        <v>289</v>
      </c>
      <c r="E5369" t="s">
        <v>5825</v>
      </c>
      <c r="F5369">
        <v>288</v>
      </c>
      <c r="G5369" s="1">
        <v>45214</v>
      </c>
      <c r="H5369" s="6">
        <f t="shared" si="168"/>
        <v>33.687500000001073</v>
      </c>
      <c r="I5369" s="7">
        <f t="shared" si="169"/>
        <v>33.687500000001073</v>
      </c>
    </row>
    <row r="5370" spans="1:9" x14ac:dyDescent="0.2">
      <c r="A5370" t="s">
        <v>5826</v>
      </c>
      <c r="B5370">
        <v>4.7234999999999996</v>
      </c>
      <c r="C5370">
        <v>6.6155000000000005E-2</v>
      </c>
      <c r="D5370">
        <v>289</v>
      </c>
      <c r="E5370" t="s">
        <v>5826</v>
      </c>
      <c r="F5370">
        <v>288</v>
      </c>
      <c r="G5370" s="1">
        <v>45214</v>
      </c>
      <c r="H5370" s="6">
        <f t="shared" si="168"/>
        <v>33.697916666667737</v>
      </c>
      <c r="I5370" s="7">
        <f t="shared" si="169"/>
        <v>33.697916666667737</v>
      </c>
    </row>
    <row r="5371" spans="1:9" x14ac:dyDescent="0.2">
      <c r="A5371" t="s">
        <v>5827</v>
      </c>
      <c r="B5371">
        <v>4.8179999999999996</v>
      </c>
      <c r="C5371">
        <v>6.7510000000000001E-2</v>
      </c>
      <c r="D5371">
        <v>289</v>
      </c>
      <c r="E5371" t="s">
        <v>5827</v>
      </c>
      <c r="F5371">
        <v>288</v>
      </c>
      <c r="G5371" s="1">
        <v>45214</v>
      </c>
      <c r="H5371" s="6">
        <f t="shared" si="168"/>
        <v>33.708333333334402</v>
      </c>
      <c r="I5371" s="7">
        <f t="shared" si="169"/>
        <v>33.708333333334402</v>
      </c>
    </row>
    <row r="5372" spans="1:9" x14ac:dyDescent="0.2">
      <c r="A5372" t="s">
        <v>5828</v>
      </c>
      <c r="B5372">
        <v>4.8585000000000003</v>
      </c>
      <c r="C5372">
        <v>6.8044999999999994E-2</v>
      </c>
      <c r="D5372">
        <v>289</v>
      </c>
      <c r="E5372" t="s">
        <v>5828</v>
      </c>
      <c r="F5372">
        <v>288</v>
      </c>
      <c r="G5372" s="1">
        <v>45214</v>
      </c>
      <c r="H5372" s="6">
        <f t="shared" si="168"/>
        <v>33.718750000001066</v>
      </c>
      <c r="I5372" s="7">
        <f t="shared" si="169"/>
        <v>33.718750000001066</v>
      </c>
    </row>
    <row r="5373" spans="1:9" x14ac:dyDescent="0.2">
      <c r="A5373" t="s">
        <v>5829</v>
      </c>
      <c r="B5373">
        <v>4.9080000000000004</v>
      </c>
      <c r="C5373">
        <v>6.8735000000000004E-2</v>
      </c>
      <c r="D5373">
        <v>289</v>
      </c>
      <c r="E5373" t="s">
        <v>5829</v>
      </c>
      <c r="F5373">
        <v>288</v>
      </c>
      <c r="G5373" s="1">
        <v>45214</v>
      </c>
      <c r="H5373" s="6">
        <f t="shared" si="168"/>
        <v>33.72916666666773</v>
      </c>
      <c r="I5373" s="7">
        <f t="shared" si="169"/>
        <v>33.72916666666773</v>
      </c>
    </row>
    <row r="5374" spans="1:9" x14ac:dyDescent="0.2">
      <c r="A5374" t="s">
        <v>5830</v>
      </c>
      <c r="B5374">
        <v>4.8644999999999996</v>
      </c>
      <c r="C5374">
        <v>6.8140000000000006E-2</v>
      </c>
      <c r="D5374">
        <v>289</v>
      </c>
      <c r="E5374" t="s">
        <v>5830</v>
      </c>
      <c r="F5374">
        <v>288</v>
      </c>
      <c r="G5374" s="1">
        <v>45214</v>
      </c>
      <c r="H5374" s="6">
        <f t="shared" si="168"/>
        <v>33.739583333334394</v>
      </c>
      <c r="I5374" s="7">
        <f t="shared" si="169"/>
        <v>33.739583333334394</v>
      </c>
    </row>
    <row r="5375" spans="1:9" x14ac:dyDescent="0.2">
      <c r="A5375" t="s">
        <v>5831</v>
      </c>
      <c r="B5375">
        <v>4.8724999999999996</v>
      </c>
      <c r="C5375">
        <v>6.8235000000000004E-2</v>
      </c>
      <c r="D5375">
        <v>289</v>
      </c>
      <c r="E5375" t="s">
        <v>5831</v>
      </c>
      <c r="F5375">
        <v>288</v>
      </c>
      <c r="G5375" s="1">
        <v>45214</v>
      </c>
      <c r="H5375" s="6">
        <f t="shared" si="168"/>
        <v>33.750000000001059</v>
      </c>
      <c r="I5375" s="7">
        <f t="shared" si="169"/>
        <v>33.750000000001059</v>
      </c>
    </row>
    <row r="5376" spans="1:9" x14ac:dyDescent="0.2">
      <c r="A5376" t="s">
        <v>5832</v>
      </c>
      <c r="B5376">
        <v>4.8875000000000002</v>
      </c>
      <c r="C5376">
        <v>6.8479999999999999E-2</v>
      </c>
      <c r="D5376">
        <v>289</v>
      </c>
      <c r="E5376" t="s">
        <v>5832</v>
      </c>
      <c r="F5376">
        <v>288</v>
      </c>
      <c r="G5376" s="1">
        <v>45214</v>
      </c>
      <c r="H5376" s="6">
        <f t="shared" si="168"/>
        <v>33.760416666667723</v>
      </c>
      <c r="I5376" s="7">
        <f t="shared" si="169"/>
        <v>33.760416666667723</v>
      </c>
    </row>
    <row r="5377" spans="1:9" x14ac:dyDescent="0.2">
      <c r="A5377" t="s">
        <v>5833</v>
      </c>
      <c r="B5377">
        <v>4.8845000000000001</v>
      </c>
      <c r="C5377">
        <v>6.8415000000000004E-2</v>
      </c>
      <c r="D5377">
        <v>289</v>
      </c>
      <c r="E5377" t="s">
        <v>5833</v>
      </c>
      <c r="F5377">
        <v>288</v>
      </c>
      <c r="G5377" s="1">
        <v>45214</v>
      </c>
      <c r="H5377" s="6">
        <f t="shared" si="168"/>
        <v>33.770833333334387</v>
      </c>
      <c r="I5377" s="7">
        <f t="shared" si="169"/>
        <v>33.770833333334387</v>
      </c>
    </row>
    <row r="5378" spans="1:9" x14ac:dyDescent="0.2">
      <c r="A5378" t="s">
        <v>5834</v>
      </c>
      <c r="B5378">
        <v>4.9015000000000004</v>
      </c>
      <c r="C5378">
        <v>6.8669999999999995E-2</v>
      </c>
      <c r="D5378">
        <v>289</v>
      </c>
      <c r="E5378" t="s">
        <v>5834</v>
      </c>
      <c r="F5378">
        <v>288</v>
      </c>
      <c r="G5378" s="1">
        <v>45214</v>
      </c>
      <c r="H5378" s="6">
        <f t="shared" si="168"/>
        <v>33.781250000001052</v>
      </c>
      <c r="I5378" s="7">
        <f t="shared" si="169"/>
        <v>33.781250000001052</v>
      </c>
    </row>
    <row r="5379" spans="1:9" x14ac:dyDescent="0.2">
      <c r="A5379" t="s">
        <v>5835</v>
      </c>
      <c r="B5379">
        <v>4.9779999999999998</v>
      </c>
      <c r="C5379">
        <v>6.9720000000000004E-2</v>
      </c>
      <c r="D5379">
        <v>289</v>
      </c>
      <c r="E5379" t="s">
        <v>5835</v>
      </c>
      <c r="F5379">
        <v>288</v>
      </c>
      <c r="G5379" s="1">
        <v>45214</v>
      </c>
      <c r="H5379" s="6">
        <f t="shared" si="168"/>
        <v>33.791666666667716</v>
      </c>
      <c r="I5379" s="7">
        <f t="shared" si="169"/>
        <v>33.791666666667716</v>
      </c>
    </row>
    <row r="5380" spans="1:9" x14ac:dyDescent="0.2">
      <c r="A5380" t="s">
        <v>5836</v>
      </c>
      <c r="B5380">
        <v>5.0410000000000004</v>
      </c>
      <c r="C5380">
        <v>7.0605000000000001E-2</v>
      </c>
      <c r="D5380">
        <v>289</v>
      </c>
      <c r="E5380" t="s">
        <v>5836</v>
      </c>
      <c r="F5380">
        <v>288</v>
      </c>
      <c r="G5380" s="1">
        <v>45214</v>
      </c>
      <c r="H5380" s="6">
        <f t="shared" si="168"/>
        <v>33.80208333333438</v>
      </c>
      <c r="I5380" s="7">
        <f t="shared" si="169"/>
        <v>33.80208333333438</v>
      </c>
    </row>
    <row r="5381" spans="1:9" x14ac:dyDescent="0.2">
      <c r="A5381" t="s">
        <v>5837</v>
      </c>
      <c r="B5381">
        <v>5.0579999999999998</v>
      </c>
      <c r="C5381">
        <v>7.0830000000000004E-2</v>
      </c>
      <c r="D5381">
        <v>289</v>
      </c>
      <c r="E5381" t="s">
        <v>5837</v>
      </c>
      <c r="F5381">
        <v>288</v>
      </c>
      <c r="G5381" s="1">
        <v>45214</v>
      </c>
      <c r="H5381" s="6">
        <f t="shared" si="168"/>
        <v>33.812500000001044</v>
      </c>
      <c r="I5381" s="7">
        <f t="shared" si="169"/>
        <v>33.812500000001044</v>
      </c>
    </row>
    <row r="5382" spans="1:9" x14ac:dyDescent="0.2">
      <c r="A5382" t="s">
        <v>5838</v>
      </c>
      <c r="B5382">
        <v>5.0324999999999998</v>
      </c>
      <c r="C5382">
        <v>7.0489999999999997E-2</v>
      </c>
      <c r="D5382">
        <v>289</v>
      </c>
      <c r="E5382" t="s">
        <v>5838</v>
      </c>
      <c r="F5382">
        <v>288</v>
      </c>
      <c r="G5382" s="1">
        <v>45214</v>
      </c>
      <c r="H5382" s="6">
        <f t="shared" si="168"/>
        <v>33.822916666667709</v>
      </c>
      <c r="I5382" s="7">
        <f t="shared" si="169"/>
        <v>33.822916666667709</v>
      </c>
    </row>
    <row r="5383" spans="1:9" x14ac:dyDescent="0.2">
      <c r="A5383" t="s">
        <v>5839</v>
      </c>
      <c r="B5383">
        <v>5.0620000000000003</v>
      </c>
      <c r="C5383">
        <v>7.0910000000000001E-2</v>
      </c>
      <c r="D5383">
        <v>289</v>
      </c>
      <c r="E5383" t="s">
        <v>5839</v>
      </c>
      <c r="F5383">
        <v>288</v>
      </c>
      <c r="G5383" s="1">
        <v>45214</v>
      </c>
      <c r="H5383" s="6">
        <f t="shared" si="168"/>
        <v>33.833333333334373</v>
      </c>
      <c r="I5383" s="7">
        <f t="shared" si="169"/>
        <v>33.833333333334373</v>
      </c>
    </row>
    <row r="5384" spans="1:9" x14ac:dyDescent="0.2">
      <c r="A5384" t="s">
        <v>5840</v>
      </c>
      <c r="B5384">
        <v>5.1020000000000003</v>
      </c>
      <c r="C5384">
        <v>7.145E-2</v>
      </c>
      <c r="D5384">
        <v>289</v>
      </c>
      <c r="E5384" t="s">
        <v>5840</v>
      </c>
      <c r="F5384">
        <v>288</v>
      </c>
      <c r="G5384" s="1">
        <v>45214</v>
      </c>
      <c r="H5384" s="6">
        <f t="shared" si="168"/>
        <v>33.843750000001037</v>
      </c>
      <c r="I5384" s="7">
        <f t="shared" si="169"/>
        <v>33.843750000001037</v>
      </c>
    </row>
    <row r="5385" spans="1:9" x14ac:dyDescent="0.2">
      <c r="A5385" t="s">
        <v>5841</v>
      </c>
      <c r="B5385">
        <v>5.1630000000000003</v>
      </c>
      <c r="C5385">
        <v>7.2309999999999999E-2</v>
      </c>
      <c r="D5385">
        <v>289</v>
      </c>
      <c r="E5385" t="s">
        <v>5841</v>
      </c>
      <c r="F5385">
        <v>289</v>
      </c>
      <c r="G5385" s="1">
        <v>45215</v>
      </c>
      <c r="H5385" s="6">
        <f t="shared" si="168"/>
        <v>33.854166666667702</v>
      </c>
      <c r="I5385" s="7">
        <f t="shared" si="169"/>
        <v>33.854166666667702</v>
      </c>
    </row>
    <row r="5386" spans="1:9" x14ac:dyDescent="0.2">
      <c r="A5386" t="s">
        <v>5842</v>
      </c>
      <c r="B5386">
        <v>5.1074999999999999</v>
      </c>
      <c r="C5386">
        <v>7.1539999999999895E-2</v>
      </c>
      <c r="D5386">
        <v>289</v>
      </c>
      <c r="E5386" t="s">
        <v>5842</v>
      </c>
      <c r="F5386">
        <v>289</v>
      </c>
      <c r="G5386" s="1">
        <v>45215</v>
      </c>
      <c r="H5386" s="6">
        <f t="shared" si="168"/>
        <v>33.864583333334366</v>
      </c>
      <c r="I5386" s="7">
        <f t="shared" si="169"/>
        <v>33.864583333334366</v>
      </c>
    </row>
    <row r="5387" spans="1:9" x14ac:dyDescent="0.2">
      <c r="A5387" t="s">
        <v>5843</v>
      </c>
      <c r="B5387">
        <v>5.0039999999999996</v>
      </c>
      <c r="C5387">
        <v>7.009E-2</v>
      </c>
      <c r="D5387">
        <v>289</v>
      </c>
      <c r="E5387" t="s">
        <v>5843</v>
      </c>
      <c r="F5387">
        <v>289</v>
      </c>
      <c r="G5387" s="1">
        <v>45215</v>
      </c>
      <c r="H5387" s="6">
        <f t="shared" si="168"/>
        <v>33.87500000000103</v>
      </c>
      <c r="I5387" s="7">
        <f t="shared" si="169"/>
        <v>33.87500000000103</v>
      </c>
    </row>
    <row r="5388" spans="1:9" x14ac:dyDescent="0.2">
      <c r="A5388" t="s">
        <v>5844</v>
      </c>
      <c r="B5388">
        <v>5.05</v>
      </c>
      <c r="C5388">
        <v>7.0739999999999997E-2</v>
      </c>
      <c r="D5388">
        <v>289</v>
      </c>
      <c r="E5388" t="s">
        <v>5844</v>
      </c>
      <c r="F5388">
        <v>289</v>
      </c>
      <c r="G5388" s="1">
        <v>45215</v>
      </c>
      <c r="H5388" s="6">
        <f t="shared" si="168"/>
        <v>33.885416666667695</v>
      </c>
      <c r="I5388" s="7">
        <f t="shared" si="169"/>
        <v>33.885416666667695</v>
      </c>
    </row>
    <row r="5389" spans="1:9" x14ac:dyDescent="0.2">
      <c r="A5389" t="s">
        <v>5845</v>
      </c>
      <c r="B5389">
        <v>5.0964999999999998</v>
      </c>
      <c r="C5389">
        <v>7.1395E-2</v>
      </c>
      <c r="D5389">
        <v>289</v>
      </c>
      <c r="E5389" t="s">
        <v>5845</v>
      </c>
      <c r="F5389">
        <v>289</v>
      </c>
      <c r="G5389" s="1">
        <v>45215</v>
      </c>
      <c r="H5389" s="6">
        <f t="shared" si="168"/>
        <v>33.895833333334359</v>
      </c>
      <c r="I5389" s="7">
        <f t="shared" si="169"/>
        <v>33.895833333334359</v>
      </c>
    </row>
    <row r="5390" spans="1:9" x14ac:dyDescent="0.2">
      <c r="A5390" t="s">
        <v>5846</v>
      </c>
      <c r="B5390">
        <v>5.1755000000000004</v>
      </c>
      <c r="C5390">
        <v>7.2489999999999999E-2</v>
      </c>
      <c r="D5390">
        <v>289</v>
      </c>
      <c r="E5390" t="s">
        <v>5846</v>
      </c>
      <c r="F5390">
        <v>289</v>
      </c>
      <c r="G5390" s="1">
        <v>45215</v>
      </c>
      <c r="H5390" s="6">
        <f t="shared" si="168"/>
        <v>33.906250000001023</v>
      </c>
      <c r="I5390" s="7">
        <f t="shared" si="169"/>
        <v>33.906250000001023</v>
      </c>
    </row>
    <row r="5391" spans="1:9" x14ac:dyDescent="0.2">
      <c r="A5391" t="s">
        <v>5847</v>
      </c>
      <c r="B5391">
        <v>5.1219999999999999</v>
      </c>
      <c r="C5391">
        <v>7.1730000000000002E-2</v>
      </c>
      <c r="D5391">
        <v>289</v>
      </c>
      <c r="E5391" t="s">
        <v>5847</v>
      </c>
      <c r="F5391">
        <v>289</v>
      </c>
      <c r="G5391" s="1">
        <v>45215</v>
      </c>
      <c r="H5391" s="6">
        <f t="shared" si="168"/>
        <v>33.916666666667687</v>
      </c>
      <c r="I5391" s="7">
        <f t="shared" si="169"/>
        <v>33.916666666667687</v>
      </c>
    </row>
    <row r="5392" spans="1:9" x14ac:dyDescent="0.2">
      <c r="A5392" t="s">
        <v>5848</v>
      </c>
      <c r="B5392">
        <v>5.0765000000000002</v>
      </c>
      <c r="C5392">
        <v>7.1110000000000007E-2</v>
      </c>
      <c r="D5392">
        <v>289</v>
      </c>
      <c r="E5392" t="s">
        <v>5848</v>
      </c>
      <c r="F5392">
        <v>289</v>
      </c>
      <c r="G5392" s="1">
        <v>45215</v>
      </c>
      <c r="H5392" s="6">
        <f t="shared" si="168"/>
        <v>33.927083333334352</v>
      </c>
      <c r="I5392" s="7">
        <f t="shared" si="169"/>
        <v>33.927083333334352</v>
      </c>
    </row>
    <row r="5393" spans="1:9" x14ac:dyDescent="0.2">
      <c r="A5393" t="s">
        <v>5849</v>
      </c>
      <c r="B5393">
        <v>5.1165000000000003</v>
      </c>
      <c r="C5393">
        <v>7.1679999999999994E-2</v>
      </c>
      <c r="D5393">
        <v>289</v>
      </c>
      <c r="E5393" t="s">
        <v>5849</v>
      </c>
      <c r="F5393">
        <v>289</v>
      </c>
      <c r="G5393" s="1">
        <v>45215</v>
      </c>
      <c r="H5393" s="6">
        <f t="shared" si="168"/>
        <v>33.937500000001016</v>
      </c>
      <c r="I5393" s="7">
        <f t="shared" si="169"/>
        <v>33.937500000001016</v>
      </c>
    </row>
    <row r="5394" spans="1:9" x14ac:dyDescent="0.2">
      <c r="A5394" t="s">
        <v>5850</v>
      </c>
      <c r="B5394">
        <v>5.0345000000000004</v>
      </c>
      <c r="C5394">
        <v>7.0514999999999994E-2</v>
      </c>
      <c r="D5394">
        <v>289</v>
      </c>
      <c r="E5394" t="s">
        <v>5850</v>
      </c>
      <c r="F5394">
        <v>289</v>
      </c>
      <c r="G5394" s="1">
        <v>45215</v>
      </c>
      <c r="H5394" s="6">
        <f t="shared" si="168"/>
        <v>33.94791666666768</v>
      </c>
      <c r="I5394" s="7">
        <f t="shared" si="169"/>
        <v>33.94791666666768</v>
      </c>
    </row>
    <row r="5395" spans="1:9" x14ac:dyDescent="0.2">
      <c r="A5395" t="s">
        <v>5851</v>
      </c>
      <c r="B5395">
        <v>5.0555000000000003</v>
      </c>
      <c r="C5395">
        <v>7.0794999999999997E-2</v>
      </c>
      <c r="D5395">
        <v>289</v>
      </c>
      <c r="E5395" t="s">
        <v>5851</v>
      </c>
      <c r="F5395">
        <v>289</v>
      </c>
      <c r="G5395" s="1">
        <v>45215</v>
      </c>
      <c r="H5395" s="6">
        <f t="shared" si="168"/>
        <v>33.958333333334345</v>
      </c>
      <c r="I5395" s="7">
        <f t="shared" si="169"/>
        <v>33.958333333334345</v>
      </c>
    </row>
    <row r="5396" spans="1:9" x14ac:dyDescent="0.2">
      <c r="A5396" t="s">
        <v>5852</v>
      </c>
      <c r="B5396">
        <v>4.9960000000000004</v>
      </c>
      <c r="C5396">
        <v>6.9964999999999999E-2</v>
      </c>
      <c r="D5396">
        <v>289</v>
      </c>
      <c r="E5396" t="s">
        <v>5852</v>
      </c>
      <c r="F5396">
        <v>289</v>
      </c>
      <c r="G5396" s="1">
        <v>45215</v>
      </c>
      <c r="H5396" s="6">
        <f t="shared" si="168"/>
        <v>33.968750000001009</v>
      </c>
      <c r="I5396" s="7">
        <f t="shared" si="169"/>
        <v>33.968750000001009</v>
      </c>
    </row>
    <row r="5397" spans="1:9" x14ac:dyDescent="0.2">
      <c r="A5397" t="s">
        <v>5853</v>
      </c>
      <c r="B5397">
        <v>4.8525</v>
      </c>
      <c r="C5397">
        <v>6.7979999999999999E-2</v>
      </c>
      <c r="D5397">
        <v>289</v>
      </c>
      <c r="E5397" t="s">
        <v>5853</v>
      </c>
      <c r="F5397">
        <v>289</v>
      </c>
      <c r="G5397" s="1">
        <v>45215</v>
      </c>
      <c r="H5397" s="6">
        <f t="shared" si="168"/>
        <v>33.979166666667673</v>
      </c>
      <c r="I5397" s="7">
        <f t="shared" si="169"/>
        <v>33.979166666667673</v>
      </c>
    </row>
    <row r="5398" spans="1:9" x14ac:dyDescent="0.2">
      <c r="A5398" t="s">
        <v>5854</v>
      </c>
      <c r="B5398">
        <v>5.0265000000000004</v>
      </c>
      <c r="C5398">
        <v>7.0385000000000003E-2</v>
      </c>
      <c r="D5398">
        <v>289</v>
      </c>
      <c r="E5398" t="s">
        <v>5854</v>
      </c>
      <c r="F5398">
        <v>289</v>
      </c>
      <c r="G5398" s="1">
        <v>45215</v>
      </c>
      <c r="H5398" s="6">
        <f t="shared" si="168"/>
        <v>33.989583333334338</v>
      </c>
      <c r="I5398" s="7">
        <f t="shared" si="169"/>
        <v>33.989583333334338</v>
      </c>
    </row>
    <row r="5399" spans="1:9" x14ac:dyDescent="0.2">
      <c r="A5399" t="s">
        <v>5855</v>
      </c>
      <c r="B5399">
        <v>4.7925000000000004</v>
      </c>
      <c r="C5399">
        <v>6.7140000000000005E-2</v>
      </c>
      <c r="D5399">
        <v>289</v>
      </c>
      <c r="E5399" t="s">
        <v>5855</v>
      </c>
      <c r="F5399">
        <v>289</v>
      </c>
      <c r="G5399" s="1">
        <v>45215</v>
      </c>
      <c r="H5399" s="6">
        <f t="shared" si="168"/>
        <v>34.000000000001002</v>
      </c>
      <c r="I5399" s="7">
        <f t="shared" si="169"/>
        <v>34.000000000001002</v>
      </c>
    </row>
    <row r="5400" spans="1:9" x14ac:dyDescent="0.2">
      <c r="A5400" t="s">
        <v>5856</v>
      </c>
      <c r="B5400">
        <v>4.71</v>
      </c>
      <c r="C5400">
        <v>6.5964999999999996E-2</v>
      </c>
      <c r="D5400">
        <v>289</v>
      </c>
      <c r="E5400" t="s">
        <v>5856</v>
      </c>
      <c r="F5400">
        <v>289</v>
      </c>
      <c r="G5400" s="1">
        <v>45215</v>
      </c>
      <c r="H5400" s="6">
        <f t="shared" si="168"/>
        <v>34.010416666667666</v>
      </c>
      <c r="I5400" s="7">
        <f t="shared" si="169"/>
        <v>34.010416666667666</v>
      </c>
    </row>
    <row r="5401" spans="1:9" x14ac:dyDescent="0.2">
      <c r="A5401" t="s">
        <v>5857</v>
      </c>
      <c r="B5401">
        <v>4.8525</v>
      </c>
      <c r="C5401">
        <v>6.7989999999999995E-2</v>
      </c>
      <c r="D5401">
        <v>289</v>
      </c>
      <c r="E5401" t="s">
        <v>5857</v>
      </c>
      <c r="F5401">
        <v>289</v>
      </c>
      <c r="G5401" s="1">
        <v>45215</v>
      </c>
      <c r="H5401" s="6">
        <f t="shared" si="168"/>
        <v>34.02083333333433</v>
      </c>
      <c r="I5401" s="7">
        <f t="shared" si="169"/>
        <v>34.02083333333433</v>
      </c>
    </row>
    <row r="5402" spans="1:9" x14ac:dyDescent="0.2">
      <c r="A5402" t="s">
        <v>5858</v>
      </c>
      <c r="B5402" s="2" t="s">
        <v>5859</v>
      </c>
      <c r="C5402">
        <v>6.744E-2</v>
      </c>
      <c r="D5402">
        <v>289</v>
      </c>
      <c r="E5402" t="s">
        <v>5858</v>
      </c>
      <c r="F5402">
        <v>289</v>
      </c>
      <c r="G5402" s="1">
        <v>45215</v>
      </c>
      <c r="H5402" s="6">
        <f t="shared" si="168"/>
        <v>34.031250000000995</v>
      </c>
      <c r="I5402" s="7">
        <f t="shared" si="169"/>
        <v>34.031250000000995</v>
      </c>
    </row>
    <row r="5403" spans="1:9" x14ac:dyDescent="0.2">
      <c r="A5403" t="s">
        <v>5860</v>
      </c>
      <c r="B5403">
        <v>4.9165000000000001</v>
      </c>
      <c r="C5403">
        <v>6.8860000000000005E-2</v>
      </c>
      <c r="D5403">
        <v>289</v>
      </c>
      <c r="E5403" t="s">
        <v>5860</v>
      </c>
      <c r="F5403">
        <v>289</v>
      </c>
      <c r="G5403" s="1">
        <v>45215</v>
      </c>
      <c r="H5403" s="6">
        <f t="shared" si="168"/>
        <v>34.041666666667659</v>
      </c>
      <c r="I5403" s="7">
        <f t="shared" si="169"/>
        <v>34.041666666667659</v>
      </c>
    </row>
    <row r="5404" spans="1:9" x14ac:dyDescent="0.2">
      <c r="A5404" t="s">
        <v>5861</v>
      </c>
      <c r="B5404">
        <v>4.7895000000000003</v>
      </c>
      <c r="C5404">
        <v>6.7074999999999996E-2</v>
      </c>
      <c r="D5404">
        <v>289</v>
      </c>
      <c r="E5404" t="s">
        <v>5861</v>
      </c>
      <c r="F5404">
        <v>289</v>
      </c>
      <c r="G5404" s="1">
        <v>45215</v>
      </c>
      <c r="H5404" s="6">
        <f t="shared" ref="H5404:H5467" si="170">H5403+$K$1</f>
        <v>34.052083333334323</v>
      </c>
      <c r="I5404" s="7">
        <f t="shared" ref="I5404:I5467" si="171">I5403+$K$1</f>
        <v>34.052083333334323</v>
      </c>
    </row>
    <row r="5405" spans="1:9" x14ac:dyDescent="0.2">
      <c r="A5405" t="s">
        <v>5862</v>
      </c>
      <c r="B5405">
        <v>5.1289999999999996</v>
      </c>
      <c r="C5405">
        <v>7.1825E-2</v>
      </c>
      <c r="D5405">
        <v>289</v>
      </c>
      <c r="E5405" t="s">
        <v>5862</v>
      </c>
      <c r="F5405">
        <v>289</v>
      </c>
      <c r="G5405" s="1">
        <v>45215</v>
      </c>
      <c r="H5405" s="6">
        <f t="shared" si="170"/>
        <v>34.062500000000988</v>
      </c>
      <c r="I5405" s="7">
        <f t="shared" si="171"/>
        <v>34.062500000000988</v>
      </c>
    </row>
    <row r="5406" spans="1:9" x14ac:dyDescent="0.2">
      <c r="A5406" t="s">
        <v>5863</v>
      </c>
      <c r="B5406">
        <v>5.0590000000000002</v>
      </c>
      <c r="C5406">
        <v>7.0855000000000001E-2</v>
      </c>
      <c r="D5406">
        <v>289</v>
      </c>
      <c r="E5406" t="s">
        <v>5863</v>
      </c>
      <c r="F5406">
        <v>289</v>
      </c>
      <c r="G5406" s="1">
        <v>45215</v>
      </c>
      <c r="H5406" s="6">
        <f t="shared" si="170"/>
        <v>34.072916666667652</v>
      </c>
      <c r="I5406" s="7">
        <f t="shared" si="171"/>
        <v>34.072916666667652</v>
      </c>
    </row>
    <row r="5407" spans="1:9" x14ac:dyDescent="0.2">
      <c r="A5407" t="s">
        <v>5864</v>
      </c>
      <c r="B5407">
        <v>5.1875</v>
      </c>
      <c r="C5407">
        <v>7.2660000000000002E-2</v>
      </c>
      <c r="D5407">
        <v>289</v>
      </c>
      <c r="E5407" t="s">
        <v>5864</v>
      </c>
      <c r="F5407">
        <v>289</v>
      </c>
      <c r="G5407" s="1">
        <v>45215</v>
      </c>
      <c r="H5407" s="6">
        <f t="shared" si="170"/>
        <v>34.083333333334316</v>
      </c>
      <c r="I5407" s="7">
        <f t="shared" si="171"/>
        <v>34.083333333334316</v>
      </c>
    </row>
    <row r="5408" spans="1:9" x14ac:dyDescent="0.2">
      <c r="A5408" t="s">
        <v>5865</v>
      </c>
      <c r="B5408">
        <v>5.141</v>
      </c>
      <c r="C5408">
        <v>7.2025000000000006E-2</v>
      </c>
      <c r="D5408">
        <v>289</v>
      </c>
      <c r="E5408" t="s">
        <v>5865</v>
      </c>
      <c r="F5408">
        <v>289</v>
      </c>
      <c r="G5408" s="1">
        <v>45215</v>
      </c>
      <c r="H5408" s="6">
        <f t="shared" si="170"/>
        <v>34.093750000000981</v>
      </c>
      <c r="I5408" s="7">
        <f t="shared" si="171"/>
        <v>34.093750000000981</v>
      </c>
    </row>
    <row r="5409" spans="1:9" x14ac:dyDescent="0.2">
      <c r="A5409" t="s">
        <v>5866</v>
      </c>
      <c r="B5409">
        <v>5.0244999999999997</v>
      </c>
      <c r="C5409">
        <v>7.0360000000000006E-2</v>
      </c>
      <c r="D5409">
        <v>289</v>
      </c>
      <c r="E5409" t="s">
        <v>5866</v>
      </c>
      <c r="F5409">
        <v>289</v>
      </c>
      <c r="G5409" s="1">
        <v>45215</v>
      </c>
      <c r="H5409" s="6">
        <f t="shared" si="170"/>
        <v>34.104166666667645</v>
      </c>
      <c r="I5409" s="7">
        <f t="shared" si="171"/>
        <v>34.104166666667645</v>
      </c>
    </row>
    <row r="5410" spans="1:9" x14ac:dyDescent="0.2">
      <c r="A5410" t="s">
        <v>5867</v>
      </c>
      <c r="B5410">
        <v>5.0019999999999998</v>
      </c>
      <c r="C5410">
        <v>7.0074999999999998E-2</v>
      </c>
      <c r="D5410">
        <v>289</v>
      </c>
      <c r="E5410" t="s">
        <v>5867</v>
      </c>
      <c r="F5410">
        <v>289</v>
      </c>
      <c r="G5410" s="1">
        <v>45215</v>
      </c>
      <c r="H5410" s="6">
        <f t="shared" si="170"/>
        <v>34.114583333334309</v>
      </c>
      <c r="I5410" s="7">
        <f t="shared" si="171"/>
        <v>34.114583333334309</v>
      </c>
    </row>
    <row r="5411" spans="1:9" x14ac:dyDescent="0.2">
      <c r="A5411" t="s">
        <v>5868</v>
      </c>
      <c r="B5411">
        <v>4.8605</v>
      </c>
      <c r="C5411">
        <v>6.8084999999999896E-2</v>
      </c>
      <c r="D5411">
        <v>289</v>
      </c>
      <c r="E5411" t="s">
        <v>5868</v>
      </c>
      <c r="F5411">
        <v>289</v>
      </c>
      <c r="G5411" s="1">
        <v>45215</v>
      </c>
      <c r="H5411" s="6">
        <f t="shared" si="170"/>
        <v>34.125000000000973</v>
      </c>
      <c r="I5411" s="7">
        <f t="shared" si="171"/>
        <v>34.125000000000973</v>
      </c>
    </row>
    <row r="5412" spans="1:9" x14ac:dyDescent="0.2">
      <c r="A5412" t="s">
        <v>5869</v>
      </c>
      <c r="B5412">
        <v>4.9939999999999998</v>
      </c>
      <c r="C5412">
        <v>6.9944999999999993E-2</v>
      </c>
      <c r="D5412">
        <v>289</v>
      </c>
      <c r="E5412" t="s">
        <v>5869</v>
      </c>
      <c r="F5412">
        <v>289</v>
      </c>
      <c r="G5412" s="1">
        <v>45215</v>
      </c>
      <c r="H5412" s="6">
        <f t="shared" si="170"/>
        <v>34.135416666667638</v>
      </c>
      <c r="I5412" s="7">
        <f t="shared" si="171"/>
        <v>34.135416666667638</v>
      </c>
    </row>
    <row r="5413" spans="1:9" x14ac:dyDescent="0.2">
      <c r="A5413" t="s">
        <v>5870</v>
      </c>
      <c r="B5413">
        <v>4.8479999999999999</v>
      </c>
      <c r="C5413">
        <v>6.7894999999999997E-2</v>
      </c>
      <c r="D5413">
        <v>289</v>
      </c>
      <c r="E5413" t="s">
        <v>5870</v>
      </c>
      <c r="F5413">
        <v>289</v>
      </c>
      <c r="G5413" s="1">
        <v>45215</v>
      </c>
      <c r="H5413" s="6">
        <f t="shared" si="170"/>
        <v>34.145833333334302</v>
      </c>
      <c r="I5413" s="7">
        <f t="shared" si="171"/>
        <v>34.145833333334302</v>
      </c>
    </row>
    <row r="5414" spans="1:9" x14ac:dyDescent="0.2">
      <c r="A5414" t="s">
        <v>5871</v>
      </c>
      <c r="B5414">
        <v>4.8099999999999996</v>
      </c>
      <c r="C5414">
        <v>6.7390000000000005E-2</v>
      </c>
      <c r="D5414">
        <v>289</v>
      </c>
      <c r="E5414" t="s">
        <v>5871</v>
      </c>
      <c r="F5414">
        <v>289</v>
      </c>
      <c r="G5414" s="1">
        <v>45215</v>
      </c>
      <c r="H5414" s="6">
        <f t="shared" si="170"/>
        <v>34.156250000000966</v>
      </c>
      <c r="I5414" s="7">
        <f t="shared" si="171"/>
        <v>34.156250000000966</v>
      </c>
    </row>
    <row r="5415" spans="1:9" x14ac:dyDescent="0.2">
      <c r="A5415" t="s">
        <v>5872</v>
      </c>
      <c r="B5415">
        <v>4.7960000000000003</v>
      </c>
      <c r="C5415">
        <v>6.7150000000000001E-2</v>
      </c>
      <c r="D5415">
        <v>289</v>
      </c>
      <c r="E5415" t="s">
        <v>5872</v>
      </c>
      <c r="F5415">
        <v>289</v>
      </c>
      <c r="G5415" s="1">
        <v>45215</v>
      </c>
      <c r="H5415" s="6">
        <f t="shared" si="170"/>
        <v>34.166666666667631</v>
      </c>
      <c r="I5415" s="7">
        <f t="shared" si="171"/>
        <v>34.166666666667631</v>
      </c>
    </row>
    <row r="5416" spans="1:9" x14ac:dyDescent="0.2">
      <c r="A5416" t="s">
        <v>5873</v>
      </c>
      <c r="B5416">
        <v>4.6074999999999999</v>
      </c>
      <c r="C5416">
        <v>6.454E-2</v>
      </c>
      <c r="D5416">
        <v>289</v>
      </c>
      <c r="E5416" t="s">
        <v>5873</v>
      </c>
      <c r="F5416">
        <v>289</v>
      </c>
      <c r="G5416" s="1">
        <v>45215</v>
      </c>
      <c r="H5416" s="6">
        <f t="shared" si="170"/>
        <v>34.177083333334295</v>
      </c>
      <c r="I5416" s="7">
        <f t="shared" si="171"/>
        <v>34.177083333334295</v>
      </c>
    </row>
    <row r="5417" spans="1:9" x14ac:dyDescent="0.2">
      <c r="A5417" t="s">
        <v>5874</v>
      </c>
      <c r="B5417">
        <v>4.6689999999999996</v>
      </c>
      <c r="C5417">
        <v>6.54E-2</v>
      </c>
      <c r="D5417">
        <v>289</v>
      </c>
      <c r="E5417" t="s">
        <v>5874</v>
      </c>
      <c r="F5417">
        <v>289</v>
      </c>
      <c r="G5417" s="1">
        <v>45215</v>
      </c>
      <c r="H5417" s="6">
        <f t="shared" si="170"/>
        <v>34.187500000000959</v>
      </c>
      <c r="I5417" s="7">
        <f t="shared" si="171"/>
        <v>34.187500000000959</v>
      </c>
    </row>
    <row r="5418" spans="1:9" x14ac:dyDescent="0.2">
      <c r="A5418" t="s">
        <v>5875</v>
      </c>
      <c r="B5418">
        <v>4.67</v>
      </c>
      <c r="C5418">
        <v>6.5405000000000005E-2</v>
      </c>
      <c r="D5418">
        <v>289</v>
      </c>
      <c r="E5418" t="s">
        <v>5875</v>
      </c>
      <c r="F5418">
        <v>289</v>
      </c>
      <c r="G5418" s="1">
        <v>45215</v>
      </c>
      <c r="H5418" s="6">
        <f t="shared" si="170"/>
        <v>34.197916666667624</v>
      </c>
      <c r="I5418" s="7">
        <f t="shared" si="171"/>
        <v>34.197916666667624</v>
      </c>
    </row>
    <row r="5419" spans="1:9" x14ac:dyDescent="0.2">
      <c r="A5419" t="s">
        <v>5876</v>
      </c>
      <c r="B5419">
        <v>4.7519999999999998</v>
      </c>
      <c r="C5419">
        <v>6.6570000000000004E-2</v>
      </c>
      <c r="D5419">
        <v>289</v>
      </c>
      <c r="E5419" t="s">
        <v>5876</v>
      </c>
      <c r="F5419">
        <v>289</v>
      </c>
      <c r="G5419" s="1">
        <v>45215</v>
      </c>
      <c r="H5419" s="6">
        <f t="shared" si="170"/>
        <v>34.208333333334288</v>
      </c>
      <c r="I5419" s="7">
        <f t="shared" si="171"/>
        <v>34.208333333334288</v>
      </c>
    </row>
    <row r="5420" spans="1:9" x14ac:dyDescent="0.2">
      <c r="A5420" t="s">
        <v>5877</v>
      </c>
      <c r="B5420">
        <v>4.5919999999999996</v>
      </c>
      <c r="C5420">
        <v>6.4324999999999993E-2</v>
      </c>
      <c r="D5420">
        <v>289</v>
      </c>
      <c r="E5420" t="s">
        <v>5877</v>
      </c>
      <c r="F5420">
        <v>289</v>
      </c>
      <c r="G5420" s="1">
        <v>45215</v>
      </c>
      <c r="H5420" s="6">
        <f t="shared" si="170"/>
        <v>34.218750000000952</v>
      </c>
      <c r="I5420" s="7">
        <f t="shared" si="171"/>
        <v>34.218750000000952</v>
      </c>
    </row>
    <row r="5421" spans="1:9" x14ac:dyDescent="0.2">
      <c r="A5421" t="s">
        <v>5878</v>
      </c>
      <c r="B5421">
        <v>4.6325000000000003</v>
      </c>
      <c r="C5421">
        <v>6.4905000000000004E-2</v>
      </c>
      <c r="D5421">
        <v>289</v>
      </c>
      <c r="E5421" t="s">
        <v>5878</v>
      </c>
      <c r="F5421">
        <v>289</v>
      </c>
      <c r="G5421" s="1">
        <v>45215</v>
      </c>
      <c r="H5421" s="6">
        <f t="shared" si="170"/>
        <v>34.229166666667616</v>
      </c>
      <c r="I5421" s="7">
        <f t="shared" si="171"/>
        <v>34.229166666667616</v>
      </c>
    </row>
    <row r="5422" spans="1:9" x14ac:dyDescent="0.2">
      <c r="A5422" t="s">
        <v>5879</v>
      </c>
      <c r="B5422">
        <v>4.6710000000000003</v>
      </c>
      <c r="C5422">
        <v>6.5415000000000001E-2</v>
      </c>
      <c r="D5422">
        <v>289</v>
      </c>
      <c r="E5422" t="s">
        <v>5879</v>
      </c>
      <c r="F5422">
        <v>289</v>
      </c>
      <c r="G5422" s="1">
        <v>45215</v>
      </c>
      <c r="H5422" s="6">
        <f t="shared" si="170"/>
        <v>34.239583333334281</v>
      </c>
      <c r="I5422" s="7">
        <f t="shared" si="171"/>
        <v>34.239583333334281</v>
      </c>
    </row>
    <row r="5423" spans="1:9" x14ac:dyDescent="0.2">
      <c r="A5423" t="s">
        <v>5880</v>
      </c>
      <c r="B5423">
        <v>4.7290000000000001</v>
      </c>
      <c r="C5423">
        <v>6.6225000000000006E-2</v>
      </c>
      <c r="D5423">
        <v>289</v>
      </c>
      <c r="E5423" t="s">
        <v>5880</v>
      </c>
      <c r="F5423">
        <v>289</v>
      </c>
      <c r="G5423" s="1">
        <v>45215</v>
      </c>
      <c r="H5423" s="6">
        <f t="shared" si="170"/>
        <v>34.250000000000945</v>
      </c>
      <c r="I5423" s="7">
        <f t="shared" si="171"/>
        <v>34.250000000000945</v>
      </c>
    </row>
    <row r="5424" spans="1:9" x14ac:dyDescent="0.2">
      <c r="A5424" t="s">
        <v>5881</v>
      </c>
      <c r="B5424">
        <v>4.6425000000000001</v>
      </c>
      <c r="C5424">
        <v>6.5024999999999999E-2</v>
      </c>
      <c r="D5424">
        <v>289</v>
      </c>
      <c r="E5424" t="s">
        <v>5881</v>
      </c>
      <c r="F5424">
        <v>289</v>
      </c>
      <c r="G5424" s="1">
        <v>45215</v>
      </c>
      <c r="H5424" s="6">
        <f t="shared" si="170"/>
        <v>34.260416666667609</v>
      </c>
      <c r="I5424" s="7">
        <f t="shared" si="171"/>
        <v>34.260416666667609</v>
      </c>
    </row>
    <row r="5425" spans="1:9" x14ac:dyDescent="0.2">
      <c r="A5425" t="s">
        <v>5882</v>
      </c>
      <c r="B5425">
        <v>4.6349999999999998</v>
      </c>
      <c r="C5425">
        <v>6.4920000000000005E-2</v>
      </c>
      <c r="D5425">
        <v>289</v>
      </c>
      <c r="E5425" t="s">
        <v>5882</v>
      </c>
      <c r="F5425">
        <v>289</v>
      </c>
      <c r="G5425" s="1">
        <v>45215</v>
      </c>
      <c r="H5425" s="6">
        <f t="shared" si="170"/>
        <v>34.270833333334274</v>
      </c>
      <c r="I5425" s="7">
        <f t="shared" si="171"/>
        <v>34.270833333334274</v>
      </c>
    </row>
    <row r="5426" spans="1:9" x14ac:dyDescent="0.2">
      <c r="A5426" t="s">
        <v>5883</v>
      </c>
      <c r="B5426">
        <v>4.6260000000000003</v>
      </c>
      <c r="C5426">
        <v>6.4795000000000005E-2</v>
      </c>
      <c r="D5426">
        <v>289</v>
      </c>
      <c r="E5426" t="s">
        <v>5883</v>
      </c>
      <c r="F5426">
        <v>289</v>
      </c>
      <c r="G5426" s="1">
        <v>45215</v>
      </c>
      <c r="H5426" s="6">
        <f t="shared" si="170"/>
        <v>34.281250000000938</v>
      </c>
      <c r="I5426" s="7">
        <f t="shared" si="171"/>
        <v>34.281250000000938</v>
      </c>
    </row>
    <row r="5427" spans="1:9" x14ac:dyDescent="0.2">
      <c r="A5427" t="s">
        <v>5884</v>
      </c>
      <c r="B5427">
        <v>4.7525000000000004</v>
      </c>
      <c r="C5427">
        <v>6.6559999999999994E-2</v>
      </c>
      <c r="D5427">
        <v>289</v>
      </c>
      <c r="E5427" t="s">
        <v>5884</v>
      </c>
      <c r="F5427">
        <v>289</v>
      </c>
      <c r="G5427" s="1">
        <v>45215</v>
      </c>
      <c r="H5427" s="6">
        <f t="shared" si="170"/>
        <v>34.291666666667602</v>
      </c>
      <c r="I5427" s="7">
        <f t="shared" si="171"/>
        <v>34.291666666667602</v>
      </c>
    </row>
    <row r="5428" spans="1:9" x14ac:dyDescent="0.2">
      <c r="A5428" t="s">
        <v>5885</v>
      </c>
      <c r="B5428">
        <v>4.5175000000000001</v>
      </c>
      <c r="C5428">
        <v>6.3280000000000003E-2</v>
      </c>
      <c r="D5428">
        <v>289</v>
      </c>
      <c r="E5428" t="s">
        <v>5885</v>
      </c>
      <c r="F5428">
        <v>289</v>
      </c>
      <c r="G5428" s="1">
        <v>45215</v>
      </c>
      <c r="H5428" s="6">
        <f t="shared" si="170"/>
        <v>34.302083333334267</v>
      </c>
      <c r="I5428" s="7">
        <f t="shared" si="171"/>
        <v>34.302083333334267</v>
      </c>
    </row>
    <row r="5429" spans="1:9" x14ac:dyDescent="0.2">
      <c r="A5429" t="s">
        <v>5886</v>
      </c>
      <c r="B5429">
        <v>4.4569999999999999</v>
      </c>
      <c r="C5429">
        <v>6.2449999999999999E-2</v>
      </c>
      <c r="D5429">
        <v>289</v>
      </c>
      <c r="E5429" t="s">
        <v>5886</v>
      </c>
      <c r="F5429">
        <v>289</v>
      </c>
      <c r="G5429" s="1">
        <v>45215</v>
      </c>
      <c r="H5429" s="6">
        <f t="shared" si="170"/>
        <v>34.312500000000931</v>
      </c>
      <c r="I5429" s="7">
        <f t="shared" si="171"/>
        <v>34.312500000000931</v>
      </c>
    </row>
    <row r="5430" spans="1:9" x14ac:dyDescent="0.2">
      <c r="A5430" t="s">
        <v>5887</v>
      </c>
      <c r="B5430">
        <v>4.4524999999999997</v>
      </c>
      <c r="C5430">
        <v>6.2355000000000001E-2</v>
      </c>
      <c r="D5430">
        <v>289</v>
      </c>
      <c r="E5430" t="s">
        <v>5887</v>
      </c>
      <c r="F5430">
        <v>289</v>
      </c>
      <c r="G5430" s="1">
        <v>45215</v>
      </c>
      <c r="H5430" s="6">
        <f t="shared" si="170"/>
        <v>34.322916666667595</v>
      </c>
      <c r="I5430" s="7">
        <f t="shared" si="171"/>
        <v>34.322916666667595</v>
      </c>
    </row>
    <row r="5431" spans="1:9" x14ac:dyDescent="0.2">
      <c r="A5431" t="s">
        <v>5888</v>
      </c>
      <c r="B5431">
        <v>4.2190000000000003</v>
      </c>
      <c r="C5431">
        <v>5.9110000000000003E-2</v>
      </c>
      <c r="D5431">
        <v>289</v>
      </c>
      <c r="E5431" t="s">
        <v>5888</v>
      </c>
      <c r="F5431">
        <v>289</v>
      </c>
      <c r="G5431" s="1">
        <v>45215</v>
      </c>
      <c r="H5431" s="6">
        <f t="shared" si="170"/>
        <v>34.333333333334259</v>
      </c>
      <c r="I5431" s="7">
        <f t="shared" si="171"/>
        <v>34.333333333334259</v>
      </c>
    </row>
    <row r="5432" spans="1:9" x14ac:dyDescent="0.2">
      <c r="A5432" t="s">
        <v>5889</v>
      </c>
      <c r="B5432">
        <v>4.2045000000000003</v>
      </c>
      <c r="C5432">
        <v>5.8895000000000003E-2</v>
      </c>
      <c r="D5432">
        <v>289</v>
      </c>
      <c r="E5432" t="s">
        <v>5889</v>
      </c>
      <c r="F5432">
        <v>289</v>
      </c>
      <c r="G5432" s="1">
        <v>45215</v>
      </c>
      <c r="H5432" s="6">
        <f t="shared" si="170"/>
        <v>34.343750000000924</v>
      </c>
      <c r="I5432" s="7">
        <f t="shared" si="171"/>
        <v>34.343750000000924</v>
      </c>
    </row>
    <row r="5433" spans="1:9" x14ac:dyDescent="0.2">
      <c r="A5433" t="s">
        <v>5890</v>
      </c>
      <c r="B5433">
        <v>4.2510000000000003</v>
      </c>
      <c r="C5433">
        <v>5.9540000000000003E-2</v>
      </c>
      <c r="D5433">
        <v>289</v>
      </c>
      <c r="E5433" t="s">
        <v>5890</v>
      </c>
      <c r="F5433">
        <v>289</v>
      </c>
      <c r="G5433" s="1">
        <v>45215</v>
      </c>
      <c r="H5433" s="6">
        <f t="shared" si="170"/>
        <v>34.354166666667588</v>
      </c>
      <c r="I5433" s="7">
        <f t="shared" si="171"/>
        <v>34.354166666667588</v>
      </c>
    </row>
    <row r="5434" spans="1:9" x14ac:dyDescent="0.2">
      <c r="A5434" t="s">
        <v>5891</v>
      </c>
      <c r="B5434">
        <v>4.0454999999999997</v>
      </c>
      <c r="C5434">
        <v>5.6675000000000003E-2</v>
      </c>
      <c r="D5434">
        <v>289</v>
      </c>
      <c r="E5434" t="s">
        <v>5891</v>
      </c>
      <c r="F5434">
        <v>289</v>
      </c>
      <c r="G5434" s="1">
        <v>45215</v>
      </c>
      <c r="H5434" s="6">
        <f t="shared" si="170"/>
        <v>34.364583333334252</v>
      </c>
      <c r="I5434" s="7">
        <f t="shared" si="171"/>
        <v>34.364583333334252</v>
      </c>
    </row>
    <row r="5435" spans="1:9" x14ac:dyDescent="0.2">
      <c r="A5435" t="s">
        <v>5892</v>
      </c>
      <c r="B5435">
        <v>4.0274999999999999</v>
      </c>
      <c r="C5435">
        <v>5.6415E-2</v>
      </c>
      <c r="D5435">
        <v>289</v>
      </c>
      <c r="E5435" t="s">
        <v>5892</v>
      </c>
      <c r="F5435">
        <v>289</v>
      </c>
      <c r="G5435" s="1">
        <v>45215</v>
      </c>
      <c r="H5435" s="6">
        <f t="shared" si="170"/>
        <v>34.375000000000917</v>
      </c>
      <c r="I5435" s="7">
        <f t="shared" si="171"/>
        <v>34.375000000000917</v>
      </c>
    </row>
    <row r="5436" spans="1:9" x14ac:dyDescent="0.2">
      <c r="A5436" t="s">
        <v>5893</v>
      </c>
      <c r="B5436">
        <v>4.1040000000000001</v>
      </c>
      <c r="C5436">
        <v>5.7459999999999997E-2</v>
      </c>
      <c r="D5436">
        <v>289</v>
      </c>
      <c r="E5436" t="s">
        <v>5893</v>
      </c>
      <c r="F5436">
        <v>289</v>
      </c>
      <c r="G5436" s="1">
        <v>45215</v>
      </c>
      <c r="H5436" s="6">
        <f t="shared" si="170"/>
        <v>34.385416666667581</v>
      </c>
      <c r="I5436" s="7">
        <f t="shared" si="171"/>
        <v>34.385416666667581</v>
      </c>
    </row>
    <row r="5437" spans="1:9" x14ac:dyDescent="0.2">
      <c r="A5437" t="s">
        <v>5894</v>
      </c>
      <c r="B5437">
        <v>4.1355000000000004</v>
      </c>
      <c r="C5437">
        <v>5.7919999999999999E-2</v>
      </c>
      <c r="D5437">
        <v>289</v>
      </c>
      <c r="E5437" t="s">
        <v>5894</v>
      </c>
      <c r="F5437">
        <v>289</v>
      </c>
      <c r="G5437" s="1">
        <v>45215</v>
      </c>
      <c r="H5437" s="6">
        <f t="shared" si="170"/>
        <v>34.395833333334245</v>
      </c>
      <c r="I5437" s="7">
        <f t="shared" si="171"/>
        <v>34.395833333334245</v>
      </c>
    </row>
    <row r="5438" spans="1:9" x14ac:dyDescent="0.2">
      <c r="A5438" t="s">
        <v>5895</v>
      </c>
      <c r="B5438">
        <v>4.173</v>
      </c>
      <c r="C5438">
        <v>5.8450000000000002E-2</v>
      </c>
      <c r="D5438">
        <v>289</v>
      </c>
      <c r="E5438" t="s">
        <v>5895</v>
      </c>
      <c r="F5438">
        <v>289</v>
      </c>
      <c r="G5438" s="1">
        <v>45215</v>
      </c>
      <c r="H5438" s="6">
        <f t="shared" si="170"/>
        <v>34.406250000000909</v>
      </c>
      <c r="I5438" s="7">
        <f t="shared" si="171"/>
        <v>34.406250000000909</v>
      </c>
    </row>
    <row r="5439" spans="1:9" x14ac:dyDescent="0.2">
      <c r="A5439" t="s">
        <v>5896</v>
      </c>
      <c r="B5439">
        <v>4.0945</v>
      </c>
      <c r="C5439" s="2" t="s">
        <v>5897</v>
      </c>
      <c r="D5439">
        <v>289</v>
      </c>
      <c r="E5439" t="s">
        <v>5896</v>
      </c>
      <c r="F5439">
        <v>289</v>
      </c>
      <c r="G5439" s="1">
        <v>45215</v>
      </c>
      <c r="H5439" s="6">
        <f t="shared" si="170"/>
        <v>34.416666666667574</v>
      </c>
      <c r="I5439" s="7">
        <f t="shared" si="171"/>
        <v>34.416666666667574</v>
      </c>
    </row>
    <row r="5440" spans="1:9" x14ac:dyDescent="0.2">
      <c r="A5440" t="s">
        <v>5898</v>
      </c>
      <c r="B5440">
        <v>4.2454999999999998</v>
      </c>
      <c r="C5440">
        <v>5.9459999999999999E-2</v>
      </c>
      <c r="D5440">
        <v>289</v>
      </c>
      <c r="E5440" t="s">
        <v>5898</v>
      </c>
      <c r="F5440">
        <v>289</v>
      </c>
      <c r="G5440" s="1">
        <v>45215</v>
      </c>
      <c r="H5440" s="6">
        <f t="shared" si="170"/>
        <v>34.427083333334238</v>
      </c>
      <c r="I5440" s="7">
        <f t="shared" si="171"/>
        <v>34.427083333334238</v>
      </c>
    </row>
    <row r="5441" spans="1:9" x14ac:dyDescent="0.2">
      <c r="A5441" t="s">
        <v>5899</v>
      </c>
      <c r="B5441">
        <v>4.0659999999999998</v>
      </c>
      <c r="C5441">
        <v>5.6950000000000001E-2</v>
      </c>
      <c r="D5441">
        <v>289</v>
      </c>
      <c r="E5441" t="s">
        <v>5899</v>
      </c>
      <c r="F5441">
        <v>289</v>
      </c>
      <c r="G5441" s="1">
        <v>45215</v>
      </c>
      <c r="H5441" s="6">
        <f t="shared" si="170"/>
        <v>34.437500000000902</v>
      </c>
      <c r="I5441" s="7">
        <f t="shared" si="171"/>
        <v>34.437500000000902</v>
      </c>
    </row>
    <row r="5442" spans="1:9" x14ac:dyDescent="0.2">
      <c r="A5442" t="s">
        <v>5900</v>
      </c>
      <c r="B5442">
        <v>3.9580000000000002</v>
      </c>
      <c r="C5442">
        <v>5.5445000000000001E-2</v>
      </c>
      <c r="D5442">
        <v>289</v>
      </c>
      <c r="E5442" t="s">
        <v>5900</v>
      </c>
      <c r="F5442">
        <v>289</v>
      </c>
      <c r="G5442" s="1">
        <v>45215</v>
      </c>
      <c r="H5442" s="6">
        <f t="shared" si="170"/>
        <v>34.447916666667567</v>
      </c>
      <c r="I5442" s="7">
        <f t="shared" si="171"/>
        <v>34.447916666667567</v>
      </c>
    </row>
    <row r="5443" spans="1:9" x14ac:dyDescent="0.2">
      <c r="A5443" t="s">
        <v>5901</v>
      </c>
      <c r="B5443">
        <v>4.08</v>
      </c>
      <c r="C5443">
        <v>5.7149999999999999E-2</v>
      </c>
      <c r="D5443">
        <v>289</v>
      </c>
      <c r="E5443" t="s">
        <v>5901</v>
      </c>
      <c r="F5443">
        <v>289</v>
      </c>
      <c r="G5443" s="1">
        <v>45215</v>
      </c>
      <c r="H5443" s="6">
        <f t="shared" si="170"/>
        <v>34.458333333334231</v>
      </c>
      <c r="I5443" s="7">
        <f t="shared" si="171"/>
        <v>34.458333333334231</v>
      </c>
    </row>
    <row r="5444" spans="1:9" x14ac:dyDescent="0.2">
      <c r="A5444" t="s">
        <v>5902</v>
      </c>
      <c r="B5444">
        <v>4.0674999999999999</v>
      </c>
      <c r="C5444">
        <v>5.6959999999999997E-2</v>
      </c>
      <c r="D5444">
        <v>289</v>
      </c>
      <c r="E5444" t="s">
        <v>5902</v>
      </c>
      <c r="F5444">
        <v>289</v>
      </c>
      <c r="G5444" s="1">
        <v>45215</v>
      </c>
      <c r="H5444" s="6">
        <f t="shared" si="170"/>
        <v>34.468750000000895</v>
      </c>
      <c r="I5444" s="7">
        <f t="shared" si="171"/>
        <v>34.468750000000895</v>
      </c>
    </row>
    <row r="5445" spans="1:9" x14ac:dyDescent="0.2">
      <c r="A5445" t="s">
        <v>5903</v>
      </c>
      <c r="B5445">
        <v>4.1245000000000003</v>
      </c>
      <c r="C5445">
        <v>5.7764999999999997E-2</v>
      </c>
      <c r="D5445">
        <v>289</v>
      </c>
      <c r="E5445" t="s">
        <v>5903</v>
      </c>
      <c r="F5445">
        <v>289</v>
      </c>
      <c r="G5445" s="1">
        <v>45215</v>
      </c>
      <c r="H5445" s="6">
        <f t="shared" si="170"/>
        <v>34.47916666666756</v>
      </c>
      <c r="I5445" s="7">
        <f t="shared" si="171"/>
        <v>34.47916666666756</v>
      </c>
    </row>
    <row r="5446" spans="1:9" x14ac:dyDescent="0.2">
      <c r="A5446" t="s">
        <v>5904</v>
      </c>
      <c r="B5446">
        <v>4.0155000000000003</v>
      </c>
      <c r="C5446">
        <v>5.6235E-2</v>
      </c>
      <c r="D5446">
        <v>289</v>
      </c>
      <c r="E5446" t="s">
        <v>5904</v>
      </c>
      <c r="F5446">
        <v>289</v>
      </c>
      <c r="G5446" s="1">
        <v>45215</v>
      </c>
      <c r="H5446" s="6">
        <f t="shared" si="170"/>
        <v>34.489583333334224</v>
      </c>
      <c r="I5446" s="7">
        <f t="shared" si="171"/>
        <v>34.489583333334224</v>
      </c>
    </row>
    <row r="5447" spans="1:9" x14ac:dyDescent="0.2">
      <c r="A5447" t="s">
        <v>5905</v>
      </c>
      <c r="B5447">
        <v>4.1515000000000004</v>
      </c>
      <c r="C5447">
        <v>5.8160000000000003E-2</v>
      </c>
      <c r="D5447">
        <v>289</v>
      </c>
      <c r="E5447" t="s">
        <v>5905</v>
      </c>
      <c r="F5447">
        <v>289</v>
      </c>
      <c r="G5447" s="1">
        <v>45215</v>
      </c>
      <c r="H5447" s="6">
        <f t="shared" si="170"/>
        <v>34.500000000000888</v>
      </c>
      <c r="I5447" s="7">
        <f t="shared" si="171"/>
        <v>34.500000000000888</v>
      </c>
    </row>
    <row r="5448" spans="1:9" x14ac:dyDescent="0.2">
      <c r="A5448" t="s">
        <v>5906</v>
      </c>
      <c r="B5448">
        <v>4.1195000000000004</v>
      </c>
      <c r="C5448">
        <v>5.7695000000000003E-2</v>
      </c>
      <c r="D5448">
        <v>289</v>
      </c>
      <c r="E5448" t="s">
        <v>5906</v>
      </c>
      <c r="F5448">
        <v>289</v>
      </c>
      <c r="G5448" s="1">
        <v>45215</v>
      </c>
      <c r="H5448" s="6">
        <f t="shared" si="170"/>
        <v>34.510416666667552</v>
      </c>
      <c r="I5448" s="7">
        <f t="shared" si="171"/>
        <v>34.510416666667552</v>
      </c>
    </row>
    <row r="5449" spans="1:9" x14ac:dyDescent="0.2">
      <c r="A5449" t="s">
        <v>5907</v>
      </c>
      <c r="B5449">
        <v>4.1645000000000003</v>
      </c>
      <c r="C5449">
        <v>5.833E-2</v>
      </c>
      <c r="D5449">
        <v>289</v>
      </c>
      <c r="E5449" t="s">
        <v>5907</v>
      </c>
      <c r="F5449">
        <v>289</v>
      </c>
      <c r="G5449" s="1">
        <v>45215</v>
      </c>
      <c r="H5449" s="6">
        <f t="shared" si="170"/>
        <v>34.520833333334217</v>
      </c>
      <c r="I5449" s="7">
        <f t="shared" si="171"/>
        <v>34.520833333334217</v>
      </c>
    </row>
    <row r="5450" spans="1:9" x14ac:dyDescent="0.2">
      <c r="A5450" t="s">
        <v>5908</v>
      </c>
      <c r="B5450">
        <v>4.1395</v>
      </c>
      <c r="C5450">
        <v>5.8005000000000001E-2</v>
      </c>
      <c r="D5450">
        <v>289</v>
      </c>
      <c r="E5450" t="s">
        <v>5908</v>
      </c>
      <c r="F5450">
        <v>289</v>
      </c>
      <c r="G5450" s="1">
        <v>45215</v>
      </c>
      <c r="H5450" s="6">
        <f t="shared" si="170"/>
        <v>34.531250000000881</v>
      </c>
      <c r="I5450" s="7">
        <f t="shared" si="171"/>
        <v>34.531250000000881</v>
      </c>
    </row>
    <row r="5451" spans="1:9" x14ac:dyDescent="0.2">
      <c r="A5451" t="s">
        <v>5909</v>
      </c>
      <c r="B5451">
        <v>4.1820000000000004</v>
      </c>
      <c r="C5451">
        <v>5.8564999999999999E-2</v>
      </c>
      <c r="D5451">
        <v>289</v>
      </c>
      <c r="E5451" t="s">
        <v>5909</v>
      </c>
      <c r="F5451">
        <v>289</v>
      </c>
      <c r="G5451" s="1">
        <v>45215</v>
      </c>
      <c r="H5451" s="6">
        <f t="shared" si="170"/>
        <v>34.541666666667545</v>
      </c>
      <c r="I5451" s="7">
        <f t="shared" si="171"/>
        <v>34.541666666667545</v>
      </c>
    </row>
    <row r="5452" spans="1:9" x14ac:dyDescent="0.2">
      <c r="A5452" t="s">
        <v>5910</v>
      </c>
      <c r="B5452">
        <v>4.1195000000000004</v>
      </c>
      <c r="C5452">
        <v>5.7704999999999999E-2</v>
      </c>
      <c r="D5452">
        <v>289</v>
      </c>
      <c r="E5452" t="s">
        <v>5910</v>
      </c>
      <c r="F5452">
        <v>289</v>
      </c>
      <c r="G5452" s="1">
        <v>45215</v>
      </c>
      <c r="H5452" s="6">
        <f t="shared" si="170"/>
        <v>34.55208333333421</v>
      </c>
      <c r="I5452" s="7">
        <f t="shared" si="171"/>
        <v>34.55208333333421</v>
      </c>
    </row>
    <row r="5453" spans="1:9" x14ac:dyDescent="0.2">
      <c r="A5453" t="s">
        <v>5911</v>
      </c>
      <c r="B5453">
        <v>4.0635000000000003</v>
      </c>
      <c r="C5453">
        <v>5.6925000000000003E-2</v>
      </c>
      <c r="D5453">
        <v>289</v>
      </c>
      <c r="E5453" t="s">
        <v>5911</v>
      </c>
      <c r="F5453">
        <v>289</v>
      </c>
      <c r="G5453" s="1">
        <v>45215</v>
      </c>
      <c r="H5453" s="6">
        <f t="shared" si="170"/>
        <v>34.562500000000874</v>
      </c>
      <c r="I5453" s="7">
        <f t="shared" si="171"/>
        <v>34.562500000000874</v>
      </c>
    </row>
    <row r="5454" spans="1:9" x14ac:dyDescent="0.2">
      <c r="A5454" t="s">
        <v>5912</v>
      </c>
      <c r="B5454" s="2" t="s">
        <v>5913</v>
      </c>
      <c r="C5454">
        <v>5.8689999999999999E-2</v>
      </c>
      <c r="D5454">
        <v>289</v>
      </c>
      <c r="E5454" t="s">
        <v>5912</v>
      </c>
      <c r="F5454">
        <v>289</v>
      </c>
      <c r="G5454" s="1">
        <v>45215</v>
      </c>
      <c r="H5454" s="6">
        <f t="shared" si="170"/>
        <v>34.572916666667538</v>
      </c>
      <c r="I5454" s="7">
        <f t="shared" si="171"/>
        <v>34.572916666667538</v>
      </c>
    </row>
    <row r="5455" spans="1:9" x14ac:dyDescent="0.2">
      <c r="A5455" t="s">
        <v>5914</v>
      </c>
      <c r="B5455">
        <v>4.1749999999999998</v>
      </c>
      <c r="C5455">
        <v>5.8485000000000002E-2</v>
      </c>
      <c r="D5455">
        <v>289</v>
      </c>
      <c r="E5455" t="s">
        <v>5914</v>
      </c>
      <c r="F5455">
        <v>289</v>
      </c>
      <c r="G5455" s="1">
        <v>45215</v>
      </c>
      <c r="H5455" s="6">
        <f t="shared" si="170"/>
        <v>34.583333333334203</v>
      </c>
      <c r="I5455" s="7">
        <f t="shared" si="171"/>
        <v>34.583333333334203</v>
      </c>
    </row>
    <row r="5456" spans="1:9" x14ac:dyDescent="0.2">
      <c r="A5456" t="s">
        <v>5915</v>
      </c>
      <c r="B5456">
        <v>4.16</v>
      </c>
      <c r="C5456" s="2" t="s">
        <v>5916</v>
      </c>
      <c r="D5456">
        <v>289</v>
      </c>
      <c r="E5456" t="s">
        <v>5915</v>
      </c>
      <c r="F5456">
        <v>289</v>
      </c>
      <c r="G5456" s="1">
        <v>45215</v>
      </c>
      <c r="H5456" s="6">
        <f t="shared" si="170"/>
        <v>34.593750000000867</v>
      </c>
      <c r="I5456" s="7">
        <f t="shared" si="171"/>
        <v>34.593750000000867</v>
      </c>
    </row>
    <row r="5457" spans="1:9" x14ac:dyDescent="0.2">
      <c r="A5457" t="s">
        <v>5917</v>
      </c>
      <c r="B5457">
        <v>4.2145000000000001</v>
      </c>
      <c r="C5457">
        <v>5.9029999999999999E-2</v>
      </c>
      <c r="D5457">
        <v>290</v>
      </c>
      <c r="E5457" t="s">
        <v>5917</v>
      </c>
      <c r="F5457">
        <v>289</v>
      </c>
      <c r="G5457" s="1">
        <v>45215</v>
      </c>
      <c r="H5457" s="6">
        <f t="shared" si="170"/>
        <v>34.604166666667531</v>
      </c>
      <c r="I5457" s="7">
        <f t="shared" si="171"/>
        <v>34.604166666667531</v>
      </c>
    </row>
    <row r="5458" spans="1:9" x14ac:dyDescent="0.2">
      <c r="A5458" t="s">
        <v>5918</v>
      </c>
      <c r="B5458">
        <v>4.2035</v>
      </c>
      <c r="C5458">
        <v>5.8865000000000001E-2</v>
      </c>
      <c r="D5458">
        <v>290</v>
      </c>
      <c r="E5458" t="s">
        <v>5918</v>
      </c>
      <c r="F5458">
        <v>289</v>
      </c>
      <c r="G5458" s="1">
        <v>45215</v>
      </c>
      <c r="H5458" s="6">
        <f t="shared" si="170"/>
        <v>34.614583333334195</v>
      </c>
      <c r="I5458" s="7">
        <f t="shared" si="171"/>
        <v>34.614583333334195</v>
      </c>
    </row>
    <row r="5459" spans="1:9" x14ac:dyDescent="0.2">
      <c r="A5459" t="s">
        <v>5919</v>
      </c>
      <c r="B5459">
        <v>4.18</v>
      </c>
      <c r="C5459">
        <v>5.8560000000000001E-2</v>
      </c>
      <c r="D5459">
        <v>290</v>
      </c>
      <c r="E5459" t="s">
        <v>5919</v>
      </c>
      <c r="F5459">
        <v>289</v>
      </c>
      <c r="G5459" s="1">
        <v>45215</v>
      </c>
      <c r="H5459" s="6">
        <f t="shared" si="170"/>
        <v>34.62500000000086</v>
      </c>
      <c r="I5459" s="7">
        <f t="shared" si="171"/>
        <v>34.62500000000086</v>
      </c>
    </row>
    <row r="5460" spans="1:9" x14ac:dyDescent="0.2">
      <c r="A5460" t="s">
        <v>5920</v>
      </c>
      <c r="B5460">
        <v>4.1464999999999996</v>
      </c>
      <c r="C5460">
        <v>5.8084999999999998E-2</v>
      </c>
      <c r="D5460">
        <v>290</v>
      </c>
      <c r="E5460" t="s">
        <v>5920</v>
      </c>
      <c r="F5460">
        <v>289</v>
      </c>
      <c r="G5460" s="1">
        <v>45215</v>
      </c>
      <c r="H5460" s="6">
        <f t="shared" si="170"/>
        <v>34.635416666667524</v>
      </c>
      <c r="I5460" s="7">
        <f t="shared" si="171"/>
        <v>34.635416666667524</v>
      </c>
    </row>
    <row r="5461" spans="1:9" x14ac:dyDescent="0.2">
      <c r="A5461" t="s">
        <v>5921</v>
      </c>
      <c r="B5461">
        <v>4.0475000000000003</v>
      </c>
      <c r="C5461">
        <v>5.6695000000000002E-2</v>
      </c>
      <c r="D5461">
        <v>290</v>
      </c>
      <c r="E5461" t="s">
        <v>5921</v>
      </c>
      <c r="F5461">
        <v>289</v>
      </c>
      <c r="G5461" s="1">
        <v>45215</v>
      </c>
      <c r="H5461" s="6">
        <f t="shared" si="170"/>
        <v>34.645833333334188</v>
      </c>
      <c r="I5461" s="7">
        <f t="shared" si="171"/>
        <v>34.645833333334188</v>
      </c>
    </row>
    <row r="5462" spans="1:9" x14ac:dyDescent="0.2">
      <c r="A5462" t="s">
        <v>5922</v>
      </c>
      <c r="B5462">
        <v>4.2835000000000001</v>
      </c>
      <c r="C5462">
        <v>5.9990000000000002E-2</v>
      </c>
      <c r="D5462">
        <v>290</v>
      </c>
      <c r="E5462" t="s">
        <v>5922</v>
      </c>
      <c r="F5462">
        <v>289</v>
      </c>
      <c r="G5462" s="1">
        <v>45215</v>
      </c>
      <c r="H5462" s="6">
        <f t="shared" si="170"/>
        <v>34.656250000000853</v>
      </c>
      <c r="I5462" s="7">
        <f t="shared" si="171"/>
        <v>34.656250000000853</v>
      </c>
    </row>
    <row r="5463" spans="1:9" x14ac:dyDescent="0.2">
      <c r="A5463" t="s">
        <v>5923</v>
      </c>
      <c r="B5463">
        <v>4.1764999999999999</v>
      </c>
      <c r="C5463">
        <v>5.8514999999999998E-2</v>
      </c>
      <c r="D5463">
        <v>290</v>
      </c>
      <c r="E5463" t="s">
        <v>5923</v>
      </c>
      <c r="F5463">
        <v>289</v>
      </c>
      <c r="G5463" s="1">
        <v>45215</v>
      </c>
      <c r="H5463" s="6">
        <f t="shared" si="170"/>
        <v>34.666666666667517</v>
      </c>
      <c r="I5463" s="7">
        <f t="shared" si="171"/>
        <v>34.666666666667517</v>
      </c>
    </row>
    <row r="5464" spans="1:9" x14ac:dyDescent="0.2">
      <c r="A5464" t="s">
        <v>5924</v>
      </c>
      <c r="B5464">
        <v>4.0075000000000003</v>
      </c>
      <c r="C5464">
        <v>5.6154999999999997E-2</v>
      </c>
      <c r="D5464">
        <v>290</v>
      </c>
      <c r="E5464" t="s">
        <v>5924</v>
      </c>
      <c r="F5464">
        <v>289</v>
      </c>
      <c r="G5464" s="1">
        <v>45215</v>
      </c>
      <c r="H5464" s="6">
        <f t="shared" si="170"/>
        <v>34.677083333334181</v>
      </c>
      <c r="I5464" s="7">
        <f t="shared" si="171"/>
        <v>34.677083333334181</v>
      </c>
    </row>
    <row r="5465" spans="1:9" x14ac:dyDescent="0.2">
      <c r="A5465" t="s">
        <v>5925</v>
      </c>
      <c r="B5465">
        <v>4.1950000000000003</v>
      </c>
      <c r="C5465">
        <v>5.8749999999999997E-2</v>
      </c>
      <c r="D5465">
        <v>290</v>
      </c>
      <c r="E5465" t="s">
        <v>5925</v>
      </c>
      <c r="F5465">
        <v>289</v>
      </c>
      <c r="G5465" s="1">
        <v>45215</v>
      </c>
      <c r="H5465" s="6">
        <f t="shared" si="170"/>
        <v>34.687500000000846</v>
      </c>
      <c r="I5465" s="7">
        <f t="shared" si="171"/>
        <v>34.687500000000846</v>
      </c>
    </row>
    <row r="5466" spans="1:9" x14ac:dyDescent="0.2">
      <c r="A5466" t="s">
        <v>5926</v>
      </c>
      <c r="B5466">
        <v>4.2755000000000001</v>
      </c>
      <c r="C5466" s="2" t="s">
        <v>5927</v>
      </c>
      <c r="D5466">
        <v>290</v>
      </c>
      <c r="E5466" t="s">
        <v>5926</v>
      </c>
      <c r="F5466">
        <v>289</v>
      </c>
      <c r="G5466" s="1">
        <v>45215</v>
      </c>
      <c r="H5466" s="6">
        <f t="shared" si="170"/>
        <v>34.69791666666751</v>
      </c>
      <c r="I5466" s="7">
        <f t="shared" si="171"/>
        <v>34.69791666666751</v>
      </c>
    </row>
    <row r="5467" spans="1:9" x14ac:dyDescent="0.2">
      <c r="A5467" t="s">
        <v>5928</v>
      </c>
      <c r="B5467">
        <v>4.3090000000000002</v>
      </c>
      <c r="C5467">
        <v>6.0359999999999997E-2</v>
      </c>
      <c r="D5467">
        <v>290</v>
      </c>
      <c r="E5467" t="s">
        <v>5928</v>
      </c>
      <c r="F5467">
        <v>289</v>
      </c>
      <c r="G5467" s="1">
        <v>45215</v>
      </c>
      <c r="H5467" s="6">
        <f t="shared" si="170"/>
        <v>34.708333333334174</v>
      </c>
      <c r="I5467" s="7">
        <f t="shared" si="171"/>
        <v>34.708333333334174</v>
      </c>
    </row>
    <row r="5468" spans="1:9" x14ac:dyDescent="0.2">
      <c r="A5468" t="s">
        <v>5929</v>
      </c>
      <c r="B5468">
        <v>4.3605</v>
      </c>
      <c r="C5468">
        <v>6.1074999999999997E-2</v>
      </c>
      <c r="D5468">
        <v>290</v>
      </c>
      <c r="E5468" t="s">
        <v>5929</v>
      </c>
      <c r="F5468">
        <v>289</v>
      </c>
      <c r="G5468" s="1">
        <v>45215</v>
      </c>
      <c r="H5468" s="6">
        <f t="shared" ref="H5468:H5531" si="172">H5467+$K$1</f>
        <v>34.718750000000838</v>
      </c>
      <c r="I5468" s="7">
        <f t="shared" ref="I5468:I5531" si="173">I5467+$K$1</f>
        <v>34.718750000000838</v>
      </c>
    </row>
    <row r="5469" spans="1:9" x14ac:dyDescent="0.2">
      <c r="A5469" t="s">
        <v>5930</v>
      </c>
      <c r="B5469">
        <v>4.3734999999999999</v>
      </c>
      <c r="C5469">
        <v>6.1269999999999998E-2</v>
      </c>
      <c r="D5469">
        <v>290</v>
      </c>
      <c r="E5469" t="s">
        <v>5930</v>
      </c>
      <c r="F5469">
        <v>289</v>
      </c>
      <c r="G5469" s="1">
        <v>45215</v>
      </c>
      <c r="H5469" s="6">
        <f t="shared" si="172"/>
        <v>34.729166666667503</v>
      </c>
      <c r="I5469" s="7">
        <f t="shared" si="173"/>
        <v>34.729166666667503</v>
      </c>
    </row>
    <row r="5470" spans="1:9" x14ac:dyDescent="0.2">
      <c r="A5470" t="s">
        <v>5931</v>
      </c>
      <c r="B5470">
        <v>4.3064999999999998</v>
      </c>
      <c r="C5470">
        <v>6.0304999999999997E-2</v>
      </c>
      <c r="D5470">
        <v>290</v>
      </c>
      <c r="E5470" t="s">
        <v>5931</v>
      </c>
      <c r="F5470">
        <v>289</v>
      </c>
      <c r="G5470" s="1">
        <v>45215</v>
      </c>
      <c r="H5470" s="6">
        <f t="shared" si="172"/>
        <v>34.739583333334167</v>
      </c>
      <c r="I5470" s="7">
        <f t="shared" si="173"/>
        <v>34.739583333334167</v>
      </c>
    </row>
    <row r="5471" spans="1:9" x14ac:dyDescent="0.2">
      <c r="A5471" t="s">
        <v>5932</v>
      </c>
      <c r="B5471">
        <v>4.4965000000000002</v>
      </c>
      <c r="C5471">
        <v>6.2994999999999995E-2</v>
      </c>
      <c r="D5471">
        <v>290</v>
      </c>
      <c r="E5471" t="s">
        <v>5932</v>
      </c>
      <c r="F5471">
        <v>289</v>
      </c>
      <c r="G5471" s="1">
        <v>45215</v>
      </c>
      <c r="H5471" s="6">
        <f t="shared" si="172"/>
        <v>34.750000000000831</v>
      </c>
      <c r="I5471" s="7">
        <f t="shared" si="173"/>
        <v>34.750000000000831</v>
      </c>
    </row>
    <row r="5472" spans="1:9" x14ac:dyDescent="0.2">
      <c r="A5472" t="s">
        <v>5933</v>
      </c>
      <c r="B5472">
        <v>4.4989999999999997</v>
      </c>
      <c r="C5472">
        <v>6.3030000000000003E-2</v>
      </c>
      <c r="D5472">
        <v>290</v>
      </c>
      <c r="E5472" t="s">
        <v>5933</v>
      </c>
      <c r="F5472">
        <v>289</v>
      </c>
      <c r="G5472" s="1">
        <v>45215</v>
      </c>
      <c r="H5472" s="6">
        <f t="shared" si="172"/>
        <v>34.760416666667496</v>
      </c>
      <c r="I5472" s="7">
        <f t="shared" si="173"/>
        <v>34.760416666667496</v>
      </c>
    </row>
    <row r="5473" spans="1:9" x14ac:dyDescent="0.2">
      <c r="A5473" t="s">
        <v>5934</v>
      </c>
      <c r="B5473">
        <v>4.5125000000000002</v>
      </c>
      <c r="C5473">
        <v>6.3204999999999997E-2</v>
      </c>
      <c r="D5473">
        <v>290</v>
      </c>
      <c r="E5473" t="s">
        <v>5934</v>
      </c>
      <c r="F5473">
        <v>289</v>
      </c>
      <c r="G5473" s="1">
        <v>45215</v>
      </c>
      <c r="H5473" s="6">
        <f t="shared" si="172"/>
        <v>34.77083333333416</v>
      </c>
      <c r="I5473" s="7">
        <f t="shared" si="173"/>
        <v>34.77083333333416</v>
      </c>
    </row>
    <row r="5474" spans="1:9" x14ac:dyDescent="0.2">
      <c r="A5474" t="s">
        <v>5935</v>
      </c>
      <c r="B5474">
        <v>4.55</v>
      </c>
      <c r="C5474">
        <v>6.3735E-2</v>
      </c>
      <c r="D5474">
        <v>290</v>
      </c>
      <c r="E5474" t="s">
        <v>5935</v>
      </c>
      <c r="F5474">
        <v>289</v>
      </c>
      <c r="G5474" s="1">
        <v>45215</v>
      </c>
      <c r="H5474" s="6">
        <f t="shared" si="172"/>
        <v>34.781250000000824</v>
      </c>
      <c r="I5474" s="7">
        <f t="shared" si="173"/>
        <v>34.781250000000824</v>
      </c>
    </row>
    <row r="5475" spans="1:9" x14ac:dyDescent="0.2">
      <c r="A5475" t="s">
        <v>5936</v>
      </c>
      <c r="B5475">
        <v>4.6074999999999999</v>
      </c>
      <c r="C5475">
        <v>6.454E-2</v>
      </c>
      <c r="D5475">
        <v>290</v>
      </c>
      <c r="E5475" t="s">
        <v>5936</v>
      </c>
      <c r="F5475">
        <v>289</v>
      </c>
      <c r="G5475" s="1">
        <v>45215</v>
      </c>
      <c r="H5475" s="6">
        <f t="shared" si="172"/>
        <v>34.791666666667489</v>
      </c>
      <c r="I5475" s="7">
        <f t="shared" si="173"/>
        <v>34.791666666667489</v>
      </c>
    </row>
    <row r="5476" spans="1:9" x14ac:dyDescent="0.2">
      <c r="A5476" t="s">
        <v>5937</v>
      </c>
      <c r="B5476">
        <v>4.6174999999999997</v>
      </c>
      <c r="C5476">
        <v>6.4674999999999996E-2</v>
      </c>
      <c r="D5476">
        <v>290</v>
      </c>
      <c r="E5476" t="s">
        <v>5937</v>
      </c>
      <c r="F5476">
        <v>289</v>
      </c>
      <c r="G5476" s="1">
        <v>45215</v>
      </c>
      <c r="H5476" s="6">
        <f t="shared" si="172"/>
        <v>34.802083333334153</v>
      </c>
      <c r="I5476" s="7">
        <f t="shared" si="173"/>
        <v>34.802083333334153</v>
      </c>
    </row>
    <row r="5477" spans="1:9" x14ac:dyDescent="0.2">
      <c r="A5477" t="s">
        <v>5938</v>
      </c>
      <c r="B5477">
        <v>4.6820000000000004</v>
      </c>
      <c r="C5477">
        <v>6.5585000000000004E-2</v>
      </c>
      <c r="D5477">
        <v>290</v>
      </c>
      <c r="E5477" t="s">
        <v>5938</v>
      </c>
      <c r="F5477">
        <v>289</v>
      </c>
      <c r="G5477" s="1">
        <v>45215</v>
      </c>
      <c r="H5477" s="6">
        <f t="shared" si="172"/>
        <v>34.812500000000817</v>
      </c>
      <c r="I5477" s="7">
        <f t="shared" si="173"/>
        <v>34.812500000000817</v>
      </c>
    </row>
    <row r="5478" spans="1:9" x14ac:dyDescent="0.2">
      <c r="A5478" t="s">
        <v>5939</v>
      </c>
      <c r="B5478">
        <v>4.6115000000000004</v>
      </c>
      <c r="C5478">
        <v>6.4574999999999994E-2</v>
      </c>
      <c r="D5478">
        <v>290</v>
      </c>
      <c r="E5478" t="s">
        <v>5939</v>
      </c>
      <c r="F5478">
        <v>289</v>
      </c>
      <c r="G5478" s="1">
        <v>45215</v>
      </c>
      <c r="H5478" s="6">
        <f t="shared" si="172"/>
        <v>34.822916666667481</v>
      </c>
      <c r="I5478" s="7">
        <f t="shared" si="173"/>
        <v>34.822916666667481</v>
      </c>
    </row>
    <row r="5479" spans="1:9" x14ac:dyDescent="0.2">
      <c r="A5479" t="s">
        <v>5940</v>
      </c>
      <c r="B5479">
        <v>4.7629999999999999</v>
      </c>
      <c r="C5479">
        <v>6.6724999999999896E-2</v>
      </c>
      <c r="D5479">
        <v>290</v>
      </c>
      <c r="E5479" t="s">
        <v>5940</v>
      </c>
      <c r="F5479">
        <v>289</v>
      </c>
      <c r="G5479" s="1">
        <v>45215</v>
      </c>
      <c r="H5479" s="6">
        <f t="shared" si="172"/>
        <v>34.833333333334146</v>
      </c>
      <c r="I5479" s="7">
        <f t="shared" si="173"/>
        <v>34.833333333334146</v>
      </c>
    </row>
    <row r="5480" spans="1:9" x14ac:dyDescent="0.2">
      <c r="A5480" t="s">
        <v>5941</v>
      </c>
      <c r="B5480">
        <v>4.7445000000000004</v>
      </c>
      <c r="C5480">
        <v>6.6445000000000004E-2</v>
      </c>
      <c r="D5480">
        <v>290</v>
      </c>
      <c r="E5480" t="s">
        <v>5941</v>
      </c>
      <c r="F5480">
        <v>289</v>
      </c>
      <c r="G5480" s="1">
        <v>45215</v>
      </c>
      <c r="H5480" s="6">
        <f t="shared" si="172"/>
        <v>34.84375000000081</v>
      </c>
      <c r="I5480" s="7">
        <f t="shared" si="173"/>
        <v>34.84375000000081</v>
      </c>
    </row>
    <row r="5481" spans="1:9" x14ac:dyDescent="0.2">
      <c r="A5481" t="s">
        <v>5942</v>
      </c>
      <c r="B5481" s="2" t="s">
        <v>5943</v>
      </c>
      <c r="C5481">
        <v>6.5070000000000003E-2</v>
      </c>
      <c r="D5481">
        <v>290</v>
      </c>
      <c r="E5481" t="s">
        <v>5942</v>
      </c>
      <c r="F5481">
        <v>290</v>
      </c>
      <c r="G5481" s="1">
        <v>45216</v>
      </c>
      <c r="H5481" s="6">
        <f t="shared" si="172"/>
        <v>34.854166666667474</v>
      </c>
      <c r="I5481" s="7">
        <f t="shared" si="173"/>
        <v>34.854166666667474</v>
      </c>
    </row>
    <row r="5482" spans="1:9" x14ac:dyDescent="0.2">
      <c r="A5482" t="s">
        <v>5944</v>
      </c>
      <c r="B5482">
        <v>4.8365</v>
      </c>
      <c r="C5482">
        <v>6.7760000000000001E-2</v>
      </c>
      <c r="D5482">
        <v>290</v>
      </c>
      <c r="E5482" t="s">
        <v>5944</v>
      </c>
      <c r="F5482">
        <v>290</v>
      </c>
      <c r="G5482" s="1">
        <v>45216</v>
      </c>
      <c r="H5482" s="6">
        <f t="shared" si="172"/>
        <v>34.864583333334139</v>
      </c>
      <c r="I5482" s="7">
        <f t="shared" si="173"/>
        <v>34.864583333334139</v>
      </c>
    </row>
    <row r="5483" spans="1:9" x14ac:dyDescent="0.2">
      <c r="A5483" t="s">
        <v>5945</v>
      </c>
      <c r="B5483">
        <v>4.7744999999999997</v>
      </c>
      <c r="C5483">
        <v>6.6879999999999995E-2</v>
      </c>
      <c r="D5483">
        <v>290</v>
      </c>
      <c r="E5483" t="s">
        <v>5945</v>
      </c>
      <c r="F5483">
        <v>290</v>
      </c>
      <c r="G5483" s="1">
        <v>45216</v>
      </c>
      <c r="H5483" s="6">
        <f t="shared" si="172"/>
        <v>34.875000000000803</v>
      </c>
      <c r="I5483" s="7">
        <f t="shared" si="173"/>
        <v>34.875000000000803</v>
      </c>
    </row>
    <row r="5484" spans="1:9" x14ac:dyDescent="0.2">
      <c r="A5484" t="s">
        <v>5946</v>
      </c>
      <c r="B5484" s="2" t="s">
        <v>5947</v>
      </c>
      <c r="C5484">
        <v>6.6070000000000004E-2</v>
      </c>
      <c r="D5484">
        <v>290</v>
      </c>
      <c r="E5484" t="s">
        <v>5946</v>
      </c>
      <c r="F5484">
        <v>290</v>
      </c>
      <c r="G5484" s="1">
        <v>45216</v>
      </c>
      <c r="H5484" s="6">
        <f t="shared" si="172"/>
        <v>34.885416666667467</v>
      </c>
      <c r="I5484" s="7">
        <f t="shared" si="173"/>
        <v>34.885416666667467</v>
      </c>
    </row>
    <row r="5485" spans="1:9" x14ac:dyDescent="0.2">
      <c r="A5485" t="s">
        <v>5948</v>
      </c>
      <c r="B5485" s="2" t="s">
        <v>3914</v>
      </c>
      <c r="C5485">
        <v>6.8345000000000003E-2</v>
      </c>
      <c r="D5485">
        <v>290</v>
      </c>
      <c r="E5485" t="s">
        <v>5948</v>
      </c>
      <c r="F5485">
        <v>290</v>
      </c>
      <c r="G5485" s="1">
        <v>45216</v>
      </c>
      <c r="H5485" s="6">
        <f t="shared" si="172"/>
        <v>34.895833333334132</v>
      </c>
      <c r="I5485" s="7">
        <f t="shared" si="173"/>
        <v>34.895833333334132</v>
      </c>
    </row>
    <row r="5486" spans="1:9" x14ac:dyDescent="0.2">
      <c r="A5486" t="s">
        <v>5949</v>
      </c>
      <c r="B5486">
        <v>4.8174999999999999</v>
      </c>
      <c r="C5486">
        <v>6.7489999999999994E-2</v>
      </c>
      <c r="D5486">
        <v>290</v>
      </c>
      <c r="E5486" t="s">
        <v>5949</v>
      </c>
      <c r="F5486">
        <v>290</v>
      </c>
      <c r="G5486" s="1">
        <v>45216</v>
      </c>
      <c r="H5486" s="6">
        <f t="shared" si="172"/>
        <v>34.906250000000796</v>
      </c>
      <c r="I5486" s="7">
        <f t="shared" si="173"/>
        <v>34.906250000000796</v>
      </c>
    </row>
    <row r="5487" spans="1:9" x14ac:dyDescent="0.2">
      <c r="A5487" t="s">
        <v>5950</v>
      </c>
      <c r="B5487">
        <v>4.7024999999999997</v>
      </c>
      <c r="C5487">
        <v>6.5869999999999998E-2</v>
      </c>
      <c r="D5487">
        <v>290</v>
      </c>
      <c r="E5487" t="s">
        <v>5950</v>
      </c>
      <c r="F5487">
        <v>290</v>
      </c>
      <c r="G5487" s="1">
        <v>45216</v>
      </c>
      <c r="H5487" s="6">
        <f t="shared" si="172"/>
        <v>34.91666666666746</v>
      </c>
      <c r="I5487" s="7">
        <f t="shared" si="173"/>
        <v>34.91666666666746</v>
      </c>
    </row>
    <row r="5488" spans="1:9" x14ac:dyDescent="0.2">
      <c r="A5488" t="s">
        <v>5951</v>
      </c>
      <c r="B5488">
        <v>4.718</v>
      </c>
      <c r="C5488">
        <v>6.6074999999999995E-2</v>
      </c>
      <c r="D5488">
        <v>290</v>
      </c>
      <c r="E5488" t="s">
        <v>5951</v>
      </c>
      <c r="F5488">
        <v>290</v>
      </c>
      <c r="G5488" s="1">
        <v>45216</v>
      </c>
      <c r="H5488" s="6">
        <f t="shared" si="172"/>
        <v>34.927083333334124</v>
      </c>
      <c r="I5488" s="7">
        <f t="shared" si="173"/>
        <v>34.927083333334124</v>
      </c>
    </row>
    <row r="5489" spans="1:9" x14ac:dyDescent="0.2">
      <c r="A5489" t="s">
        <v>5952</v>
      </c>
      <c r="B5489">
        <v>4.766</v>
      </c>
      <c r="C5489">
        <v>6.6754999999999995E-2</v>
      </c>
      <c r="D5489">
        <v>290</v>
      </c>
      <c r="E5489" t="s">
        <v>5952</v>
      </c>
      <c r="F5489">
        <v>290</v>
      </c>
      <c r="G5489" s="1">
        <v>45216</v>
      </c>
      <c r="H5489" s="6">
        <f t="shared" si="172"/>
        <v>34.937500000000789</v>
      </c>
      <c r="I5489" s="7">
        <f t="shared" si="173"/>
        <v>34.937500000000789</v>
      </c>
    </row>
    <row r="5490" spans="1:9" x14ac:dyDescent="0.2">
      <c r="A5490" t="s">
        <v>5953</v>
      </c>
      <c r="B5490">
        <v>4.7104999999999997</v>
      </c>
      <c r="C5490">
        <v>6.5960000000000005E-2</v>
      </c>
      <c r="D5490">
        <v>290</v>
      </c>
      <c r="E5490" t="s">
        <v>5953</v>
      </c>
      <c r="F5490">
        <v>290</v>
      </c>
      <c r="G5490" s="1">
        <v>45216</v>
      </c>
      <c r="H5490" s="6">
        <f t="shared" si="172"/>
        <v>34.947916666667453</v>
      </c>
      <c r="I5490" s="7">
        <f t="shared" si="173"/>
        <v>34.947916666667453</v>
      </c>
    </row>
    <row r="5491" spans="1:9" x14ac:dyDescent="0.2">
      <c r="A5491" t="s">
        <v>5954</v>
      </c>
      <c r="B5491">
        <v>4.5869999999999997</v>
      </c>
      <c r="C5491">
        <v>6.4250000000000002E-2</v>
      </c>
      <c r="D5491">
        <v>290</v>
      </c>
      <c r="E5491" t="s">
        <v>5954</v>
      </c>
      <c r="F5491">
        <v>290</v>
      </c>
      <c r="G5491" s="1">
        <v>45216</v>
      </c>
      <c r="H5491" s="6">
        <f t="shared" si="172"/>
        <v>34.958333333334117</v>
      </c>
      <c r="I5491" s="7">
        <f t="shared" si="173"/>
        <v>34.958333333334117</v>
      </c>
    </row>
    <row r="5492" spans="1:9" x14ac:dyDescent="0.2">
      <c r="A5492" t="s">
        <v>5955</v>
      </c>
      <c r="B5492">
        <v>4.71</v>
      </c>
      <c r="C5492">
        <v>6.5974999999999895E-2</v>
      </c>
      <c r="D5492">
        <v>290</v>
      </c>
      <c r="E5492" t="s">
        <v>5955</v>
      </c>
      <c r="F5492">
        <v>290</v>
      </c>
      <c r="G5492" s="1">
        <v>45216</v>
      </c>
      <c r="H5492" s="6">
        <f t="shared" si="172"/>
        <v>34.968750000000782</v>
      </c>
      <c r="I5492" s="7">
        <f t="shared" si="173"/>
        <v>34.968750000000782</v>
      </c>
    </row>
    <row r="5493" spans="1:9" x14ac:dyDescent="0.2">
      <c r="A5493" t="s">
        <v>5956</v>
      </c>
      <c r="B5493">
        <v>4.6399999999999997</v>
      </c>
      <c r="C5493">
        <v>6.5004999999999993E-2</v>
      </c>
      <c r="D5493">
        <v>290</v>
      </c>
      <c r="E5493" t="s">
        <v>5956</v>
      </c>
      <c r="F5493">
        <v>290</v>
      </c>
      <c r="G5493" s="1">
        <v>45216</v>
      </c>
      <c r="H5493" s="6">
        <f t="shared" si="172"/>
        <v>34.979166666667446</v>
      </c>
      <c r="I5493" s="7">
        <f t="shared" si="173"/>
        <v>34.979166666667446</v>
      </c>
    </row>
    <row r="5494" spans="1:9" x14ac:dyDescent="0.2">
      <c r="A5494" t="s">
        <v>5957</v>
      </c>
      <c r="B5494">
        <v>4.7009999999999996</v>
      </c>
      <c r="C5494">
        <v>6.5845000000000001E-2</v>
      </c>
      <c r="D5494">
        <v>290</v>
      </c>
      <c r="E5494" t="s">
        <v>5957</v>
      </c>
      <c r="F5494">
        <v>290</v>
      </c>
      <c r="G5494" s="1">
        <v>45216</v>
      </c>
      <c r="H5494" s="6">
        <f t="shared" si="172"/>
        <v>34.98958333333411</v>
      </c>
      <c r="I5494" s="7">
        <f t="shared" si="173"/>
        <v>34.98958333333411</v>
      </c>
    </row>
    <row r="5495" spans="1:9" x14ac:dyDescent="0.2">
      <c r="A5495" t="s">
        <v>5958</v>
      </c>
      <c r="B5495">
        <v>4.548</v>
      </c>
      <c r="C5495">
        <v>6.3714999999999994E-2</v>
      </c>
      <c r="D5495">
        <v>290</v>
      </c>
      <c r="E5495" t="s">
        <v>5958</v>
      </c>
      <c r="F5495">
        <v>290</v>
      </c>
      <c r="G5495" s="1">
        <v>45216</v>
      </c>
      <c r="H5495" s="6">
        <f t="shared" si="172"/>
        <v>35.000000000000774</v>
      </c>
      <c r="I5495" s="7">
        <f t="shared" si="173"/>
        <v>35.000000000000774</v>
      </c>
    </row>
    <row r="5496" spans="1:9" x14ac:dyDescent="0.2">
      <c r="A5496" t="s">
        <v>5959</v>
      </c>
      <c r="B5496">
        <v>4.375</v>
      </c>
      <c r="C5496">
        <v>6.1280000000000001E-2</v>
      </c>
      <c r="D5496">
        <v>290</v>
      </c>
      <c r="E5496" t="s">
        <v>5959</v>
      </c>
      <c r="F5496">
        <v>290</v>
      </c>
      <c r="G5496" s="1">
        <v>45216</v>
      </c>
      <c r="H5496" s="6">
        <f t="shared" si="172"/>
        <v>35.010416666667439</v>
      </c>
      <c r="I5496" s="7">
        <f t="shared" si="173"/>
        <v>35.010416666667439</v>
      </c>
    </row>
    <row r="5497" spans="1:9" x14ac:dyDescent="0.2">
      <c r="A5497" t="s">
        <v>5960</v>
      </c>
      <c r="B5497">
        <v>4.4175000000000004</v>
      </c>
      <c r="C5497">
        <v>6.1890000000000001E-2</v>
      </c>
      <c r="D5497">
        <v>290</v>
      </c>
      <c r="E5497" t="s">
        <v>5960</v>
      </c>
      <c r="F5497">
        <v>290</v>
      </c>
      <c r="G5497" s="1">
        <v>45216</v>
      </c>
      <c r="H5497" s="6">
        <f t="shared" si="172"/>
        <v>35.020833333334103</v>
      </c>
      <c r="I5497" s="7">
        <f t="shared" si="173"/>
        <v>35.020833333334103</v>
      </c>
    </row>
    <row r="5498" spans="1:9" x14ac:dyDescent="0.2">
      <c r="A5498" t="s">
        <v>5961</v>
      </c>
      <c r="B5498">
        <v>4.4660000000000002</v>
      </c>
      <c r="C5498">
        <v>6.2570000000000001E-2</v>
      </c>
      <c r="D5498">
        <v>290</v>
      </c>
      <c r="E5498" t="s">
        <v>5961</v>
      </c>
      <c r="F5498">
        <v>290</v>
      </c>
      <c r="G5498" s="1">
        <v>45216</v>
      </c>
      <c r="H5498" s="6">
        <f t="shared" si="172"/>
        <v>35.031250000000767</v>
      </c>
      <c r="I5498" s="7">
        <f t="shared" si="173"/>
        <v>35.031250000000767</v>
      </c>
    </row>
    <row r="5499" spans="1:9" x14ac:dyDescent="0.2">
      <c r="A5499" t="s">
        <v>5962</v>
      </c>
      <c r="B5499">
        <v>4.4870000000000001</v>
      </c>
      <c r="C5499">
        <v>6.2850000000000003E-2</v>
      </c>
      <c r="D5499">
        <v>290</v>
      </c>
      <c r="E5499" t="s">
        <v>5962</v>
      </c>
      <c r="F5499">
        <v>290</v>
      </c>
      <c r="G5499" s="1">
        <v>45216</v>
      </c>
      <c r="H5499" s="6">
        <f t="shared" si="172"/>
        <v>35.041666666667432</v>
      </c>
      <c r="I5499" s="7">
        <f t="shared" si="173"/>
        <v>35.041666666667432</v>
      </c>
    </row>
    <row r="5500" spans="1:9" x14ac:dyDescent="0.2">
      <c r="A5500" t="s">
        <v>5963</v>
      </c>
      <c r="B5500">
        <v>4.5765000000000002</v>
      </c>
      <c r="C5500">
        <v>6.4119999999999996E-2</v>
      </c>
      <c r="D5500">
        <v>290</v>
      </c>
      <c r="E5500" t="s">
        <v>5963</v>
      </c>
      <c r="F5500">
        <v>290</v>
      </c>
      <c r="G5500" s="1">
        <v>45216</v>
      </c>
      <c r="H5500" s="6">
        <f t="shared" si="172"/>
        <v>35.052083333334096</v>
      </c>
      <c r="I5500" s="7">
        <f t="shared" si="173"/>
        <v>35.052083333334096</v>
      </c>
    </row>
    <row r="5501" spans="1:9" x14ac:dyDescent="0.2">
      <c r="A5501" t="s">
        <v>5964</v>
      </c>
      <c r="B5501">
        <v>4.6204999999999998</v>
      </c>
      <c r="C5501">
        <v>6.472E-2</v>
      </c>
      <c r="D5501">
        <v>290</v>
      </c>
      <c r="E5501" t="s">
        <v>5964</v>
      </c>
      <c r="F5501">
        <v>290</v>
      </c>
      <c r="G5501" s="1">
        <v>45216</v>
      </c>
      <c r="H5501" s="6">
        <f t="shared" si="172"/>
        <v>35.06250000000076</v>
      </c>
      <c r="I5501" s="7">
        <f t="shared" si="173"/>
        <v>35.06250000000076</v>
      </c>
    </row>
    <row r="5502" spans="1:9" x14ac:dyDescent="0.2">
      <c r="A5502" t="s">
        <v>5965</v>
      </c>
      <c r="B5502">
        <v>4.625</v>
      </c>
      <c r="C5502">
        <v>6.4795000000000005E-2</v>
      </c>
      <c r="D5502">
        <v>290</v>
      </c>
      <c r="E5502" t="s">
        <v>5965</v>
      </c>
      <c r="F5502">
        <v>290</v>
      </c>
      <c r="G5502" s="1">
        <v>45216</v>
      </c>
      <c r="H5502" s="6">
        <f t="shared" si="172"/>
        <v>35.072916666667425</v>
      </c>
      <c r="I5502" s="7">
        <f t="shared" si="173"/>
        <v>35.072916666667425</v>
      </c>
    </row>
    <row r="5503" spans="1:9" x14ac:dyDescent="0.2">
      <c r="A5503" t="s">
        <v>5966</v>
      </c>
      <c r="B5503">
        <v>4.6124999999999998</v>
      </c>
      <c r="C5503">
        <v>6.4610000000000001E-2</v>
      </c>
      <c r="D5503">
        <v>290</v>
      </c>
      <c r="E5503" t="s">
        <v>5966</v>
      </c>
      <c r="F5503">
        <v>290</v>
      </c>
      <c r="G5503" s="1">
        <v>45216</v>
      </c>
      <c r="H5503" s="6">
        <f t="shared" si="172"/>
        <v>35.083333333334089</v>
      </c>
      <c r="I5503" s="7">
        <f t="shared" si="173"/>
        <v>35.083333333334089</v>
      </c>
    </row>
    <row r="5504" spans="1:9" x14ac:dyDescent="0.2">
      <c r="A5504" t="s">
        <v>5967</v>
      </c>
      <c r="B5504">
        <v>4.5945</v>
      </c>
      <c r="C5504">
        <v>6.4350000000000004E-2</v>
      </c>
      <c r="D5504">
        <v>290</v>
      </c>
      <c r="E5504" t="s">
        <v>5967</v>
      </c>
      <c r="F5504">
        <v>290</v>
      </c>
      <c r="G5504" s="1">
        <v>45216</v>
      </c>
      <c r="H5504" s="6">
        <f t="shared" si="172"/>
        <v>35.093750000000753</v>
      </c>
      <c r="I5504" s="7">
        <f t="shared" si="173"/>
        <v>35.093750000000753</v>
      </c>
    </row>
    <row r="5505" spans="1:9" x14ac:dyDescent="0.2">
      <c r="A5505" t="s">
        <v>5968</v>
      </c>
      <c r="B5505">
        <v>4.5880000000000001</v>
      </c>
      <c r="C5505">
        <v>6.4265000000000003E-2</v>
      </c>
      <c r="D5505">
        <v>290</v>
      </c>
      <c r="E5505" t="s">
        <v>5968</v>
      </c>
      <c r="F5505">
        <v>290</v>
      </c>
      <c r="G5505" s="1">
        <v>45216</v>
      </c>
      <c r="H5505" s="6">
        <f t="shared" si="172"/>
        <v>35.104166666667417</v>
      </c>
      <c r="I5505" s="7">
        <f t="shared" si="173"/>
        <v>35.104166666667417</v>
      </c>
    </row>
    <row r="5506" spans="1:9" x14ac:dyDescent="0.2">
      <c r="A5506" t="s">
        <v>5969</v>
      </c>
      <c r="B5506">
        <v>4.6760000000000002</v>
      </c>
      <c r="C5506">
        <v>6.5494999999999998E-2</v>
      </c>
      <c r="D5506">
        <v>290</v>
      </c>
      <c r="E5506" t="s">
        <v>5969</v>
      </c>
      <c r="F5506">
        <v>290</v>
      </c>
      <c r="G5506" s="1">
        <v>45216</v>
      </c>
      <c r="H5506" s="6">
        <f t="shared" si="172"/>
        <v>35.114583333334082</v>
      </c>
      <c r="I5506" s="7">
        <f t="shared" si="173"/>
        <v>35.114583333334082</v>
      </c>
    </row>
    <row r="5507" spans="1:9" x14ac:dyDescent="0.2">
      <c r="A5507" t="s">
        <v>5970</v>
      </c>
      <c r="B5507" s="2" t="s">
        <v>5971</v>
      </c>
      <c r="C5507">
        <v>6.4159999999999995E-2</v>
      </c>
      <c r="D5507">
        <v>290</v>
      </c>
      <c r="E5507" t="s">
        <v>5970</v>
      </c>
      <c r="F5507">
        <v>290</v>
      </c>
      <c r="G5507" s="1">
        <v>45216</v>
      </c>
      <c r="H5507" s="6">
        <f t="shared" si="172"/>
        <v>35.125000000000746</v>
      </c>
      <c r="I5507" s="7">
        <f t="shared" si="173"/>
        <v>35.125000000000746</v>
      </c>
    </row>
    <row r="5508" spans="1:9" x14ac:dyDescent="0.2">
      <c r="A5508" t="s">
        <v>5972</v>
      </c>
      <c r="B5508">
        <v>4.51</v>
      </c>
      <c r="C5508">
        <v>6.3155000000000003E-2</v>
      </c>
      <c r="D5508">
        <v>290</v>
      </c>
      <c r="E5508" t="s">
        <v>5972</v>
      </c>
      <c r="F5508">
        <v>290</v>
      </c>
      <c r="G5508" s="1">
        <v>45216</v>
      </c>
      <c r="H5508" s="6">
        <f t="shared" si="172"/>
        <v>35.13541666666741</v>
      </c>
      <c r="I5508" s="7">
        <f t="shared" si="173"/>
        <v>35.13541666666741</v>
      </c>
    </row>
    <row r="5509" spans="1:9" x14ac:dyDescent="0.2">
      <c r="A5509" t="s">
        <v>5973</v>
      </c>
      <c r="B5509">
        <v>4.4480000000000004</v>
      </c>
      <c r="C5509">
        <v>6.2300000000000001E-2</v>
      </c>
      <c r="D5509">
        <v>290</v>
      </c>
      <c r="E5509" t="s">
        <v>5973</v>
      </c>
      <c r="F5509">
        <v>290</v>
      </c>
      <c r="G5509" s="1">
        <v>45216</v>
      </c>
      <c r="H5509" s="6">
        <f t="shared" si="172"/>
        <v>35.145833333334075</v>
      </c>
      <c r="I5509" s="7">
        <f t="shared" si="173"/>
        <v>35.145833333334075</v>
      </c>
    </row>
    <row r="5510" spans="1:9" x14ac:dyDescent="0.2">
      <c r="A5510" t="s">
        <v>5974</v>
      </c>
      <c r="B5510">
        <v>4.3085000000000004</v>
      </c>
      <c r="C5510">
        <v>6.0350000000000001E-2</v>
      </c>
      <c r="D5510">
        <v>290</v>
      </c>
      <c r="E5510" t="s">
        <v>5974</v>
      </c>
      <c r="F5510">
        <v>290</v>
      </c>
      <c r="G5510" s="1">
        <v>45216</v>
      </c>
      <c r="H5510" s="6">
        <f t="shared" si="172"/>
        <v>35.156250000000739</v>
      </c>
      <c r="I5510" s="7">
        <f t="shared" si="173"/>
        <v>35.156250000000739</v>
      </c>
    </row>
    <row r="5511" spans="1:9" x14ac:dyDescent="0.2">
      <c r="A5511" t="s">
        <v>5975</v>
      </c>
      <c r="B5511">
        <v>4.3544999999999998</v>
      </c>
      <c r="C5511">
        <v>6.0990000000000003E-2</v>
      </c>
      <c r="D5511">
        <v>290</v>
      </c>
      <c r="E5511" t="s">
        <v>5975</v>
      </c>
      <c r="F5511">
        <v>290</v>
      </c>
      <c r="G5511" s="1">
        <v>45216</v>
      </c>
      <c r="H5511" s="6">
        <f t="shared" si="172"/>
        <v>35.166666666667403</v>
      </c>
      <c r="I5511" s="7">
        <f t="shared" si="173"/>
        <v>35.166666666667403</v>
      </c>
    </row>
    <row r="5512" spans="1:9" x14ac:dyDescent="0.2">
      <c r="A5512" t="s">
        <v>5976</v>
      </c>
      <c r="B5512">
        <v>4.3494999999999999</v>
      </c>
      <c r="C5512" s="2" t="s">
        <v>2184</v>
      </c>
      <c r="D5512">
        <v>290</v>
      </c>
      <c r="E5512" t="s">
        <v>5976</v>
      </c>
      <c r="F5512">
        <v>290</v>
      </c>
      <c r="G5512" s="1">
        <v>45216</v>
      </c>
      <c r="H5512" s="6">
        <f t="shared" si="172"/>
        <v>35.177083333334068</v>
      </c>
      <c r="I5512" s="7">
        <f t="shared" si="173"/>
        <v>35.177083333334068</v>
      </c>
    </row>
    <row r="5513" spans="1:9" x14ac:dyDescent="0.2">
      <c r="A5513" t="s">
        <v>5977</v>
      </c>
      <c r="B5513">
        <v>4.2850000000000001</v>
      </c>
      <c r="C5513">
        <v>6.0025000000000002E-2</v>
      </c>
      <c r="D5513">
        <v>290</v>
      </c>
      <c r="E5513" t="s">
        <v>5977</v>
      </c>
      <c r="F5513">
        <v>290</v>
      </c>
      <c r="G5513" s="1">
        <v>45216</v>
      </c>
      <c r="H5513" s="6">
        <f t="shared" si="172"/>
        <v>35.187500000000732</v>
      </c>
      <c r="I5513" s="7">
        <f t="shared" si="173"/>
        <v>35.187500000000732</v>
      </c>
    </row>
    <row r="5514" spans="1:9" x14ac:dyDescent="0.2">
      <c r="A5514" t="s">
        <v>5978</v>
      </c>
      <c r="B5514">
        <v>4.4340000000000002</v>
      </c>
      <c r="C5514">
        <v>6.2094999999999997E-2</v>
      </c>
      <c r="D5514">
        <v>290</v>
      </c>
      <c r="E5514" t="s">
        <v>5978</v>
      </c>
      <c r="F5514">
        <v>290</v>
      </c>
      <c r="G5514" s="1">
        <v>45216</v>
      </c>
      <c r="H5514" s="6">
        <f t="shared" si="172"/>
        <v>35.197916666667396</v>
      </c>
      <c r="I5514" s="7">
        <f t="shared" si="173"/>
        <v>35.197916666667396</v>
      </c>
    </row>
    <row r="5515" spans="1:9" x14ac:dyDescent="0.2">
      <c r="A5515" t="s">
        <v>5979</v>
      </c>
      <c r="B5515">
        <v>4.5179999999999998</v>
      </c>
      <c r="C5515">
        <v>6.3270000000000007E-2</v>
      </c>
      <c r="D5515">
        <v>290</v>
      </c>
      <c r="E5515" t="s">
        <v>5979</v>
      </c>
      <c r="F5515">
        <v>290</v>
      </c>
      <c r="G5515" s="1">
        <v>45216</v>
      </c>
      <c r="H5515" s="6">
        <f t="shared" si="172"/>
        <v>35.20833333333406</v>
      </c>
      <c r="I5515" s="7">
        <f t="shared" si="173"/>
        <v>35.20833333333406</v>
      </c>
    </row>
    <row r="5516" spans="1:9" x14ac:dyDescent="0.2">
      <c r="A5516" t="s">
        <v>5980</v>
      </c>
      <c r="B5516">
        <v>4.4509999999999996</v>
      </c>
      <c r="C5516">
        <v>6.2350000000000003E-2</v>
      </c>
      <c r="D5516">
        <v>290</v>
      </c>
      <c r="E5516" t="s">
        <v>5980</v>
      </c>
      <c r="F5516">
        <v>290</v>
      </c>
      <c r="G5516" s="1">
        <v>45216</v>
      </c>
      <c r="H5516" s="6">
        <f t="shared" si="172"/>
        <v>35.218750000000725</v>
      </c>
      <c r="I5516" s="7">
        <f t="shared" si="173"/>
        <v>35.218750000000725</v>
      </c>
    </row>
    <row r="5517" spans="1:9" x14ac:dyDescent="0.2">
      <c r="A5517" t="s">
        <v>5981</v>
      </c>
      <c r="B5517">
        <v>4.4255000000000004</v>
      </c>
      <c r="C5517" s="2" t="s">
        <v>5982</v>
      </c>
      <c r="D5517">
        <v>290</v>
      </c>
      <c r="E5517" t="s">
        <v>5981</v>
      </c>
      <c r="F5517">
        <v>290</v>
      </c>
      <c r="G5517" s="1">
        <v>45216</v>
      </c>
      <c r="H5517" s="6">
        <f t="shared" si="172"/>
        <v>35.229166666667389</v>
      </c>
      <c r="I5517" s="7">
        <f t="shared" si="173"/>
        <v>35.229166666667389</v>
      </c>
    </row>
    <row r="5518" spans="1:9" x14ac:dyDescent="0.2">
      <c r="A5518" t="s">
        <v>5983</v>
      </c>
      <c r="B5518">
        <v>4.4429999999999996</v>
      </c>
      <c r="C5518" s="2" t="s">
        <v>5984</v>
      </c>
      <c r="D5518">
        <v>290</v>
      </c>
      <c r="E5518" t="s">
        <v>5983</v>
      </c>
      <c r="F5518">
        <v>290</v>
      </c>
      <c r="G5518" s="1">
        <v>45216</v>
      </c>
      <c r="H5518" s="6">
        <f t="shared" si="172"/>
        <v>35.239583333334053</v>
      </c>
      <c r="I5518" s="7">
        <f t="shared" si="173"/>
        <v>35.239583333334053</v>
      </c>
    </row>
    <row r="5519" spans="1:9" x14ac:dyDescent="0.2">
      <c r="A5519" t="s">
        <v>5985</v>
      </c>
      <c r="B5519">
        <v>4.4340000000000002</v>
      </c>
      <c r="C5519">
        <v>6.2120000000000002E-2</v>
      </c>
      <c r="D5519">
        <v>290</v>
      </c>
      <c r="E5519" t="s">
        <v>5985</v>
      </c>
      <c r="F5519">
        <v>290</v>
      </c>
      <c r="G5519" s="1">
        <v>45216</v>
      </c>
      <c r="H5519" s="6">
        <f t="shared" si="172"/>
        <v>35.250000000000718</v>
      </c>
      <c r="I5519" s="7">
        <f t="shared" si="173"/>
        <v>35.250000000000718</v>
      </c>
    </row>
    <row r="5520" spans="1:9" x14ac:dyDescent="0.2">
      <c r="A5520" t="s">
        <v>5986</v>
      </c>
      <c r="B5520">
        <v>4.4485000000000001</v>
      </c>
      <c r="C5520">
        <v>6.2315000000000002E-2</v>
      </c>
      <c r="D5520">
        <v>290</v>
      </c>
      <c r="E5520" t="s">
        <v>5986</v>
      </c>
      <c r="F5520">
        <v>290</v>
      </c>
      <c r="G5520" s="1">
        <v>45216</v>
      </c>
      <c r="H5520" s="6">
        <f t="shared" si="172"/>
        <v>35.260416666667382</v>
      </c>
      <c r="I5520" s="7">
        <f t="shared" si="173"/>
        <v>35.260416666667382</v>
      </c>
    </row>
    <row r="5521" spans="1:9" x14ac:dyDescent="0.2">
      <c r="A5521" t="s">
        <v>5987</v>
      </c>
      <c r="B5521">
        <v>4.3899999999999997</v>
      </c>
      <c r="C5521">
        <v>6.1490000000000003E-2</v>
      </c>
      <c r="D5521">
        <v>290</v>
      </c>
      <c r="E5521" t="s">
        <v>5987</v>
      </c>
      <c r="F5521">
        <v>290</v>
      </c>
      <c r="G5521" s="1">
        <v>45216</v>
      </c>
      <c r="H5521" s="6">
        <f t="shared" si="172"/>
        <v>35.270833333334046</v>
      </c>
      <c r="I5521" s="7">
        <f t="shared" si="173"/>
        <v>35.270833333334046</v>
      </c>
    </row>
    <row r="5522" spans="1:9" x14ac:dyDescent="0.2">
      <c r="A5522" t="s">
        <v>5988</v>
      </c>
      <c r="B5522">
        <v>4.4909999999999997</v>
      </c>
      <c r="C5522">
        <v>6.2894999999999895E-2</v>
      </c>
      <c r="D5522">
        <v>290</v>
      </c>
      <c r="E5522" t="s">
        <v>5988</v>
      </c>
      <c r="F5522">
        <v>290</v>
      </c>
      <c r="G5522" s="1">
        <v>45216</v>
      </c>
      <c r="H5522" s="6">
        <f t="shared" si="172"/>
        <v>35.281250000000711</v>
      </c>
      <c r="I5522" s="7">
        <f t="shared" si="173"/>
        <v>35.281250000000711</v>
      </c>
    </row>
    <row r="5523" spans="1:9" x14ac:dyDescent="0.2">
      <c r="A5523" t="s">
        <v>5989</v>
      </c>
      <c r="B5523">
        <v>4.2885</v>
      </c>
      <c r="C5523">
        <v>6.0065E-2</v>
      </c>
      <c r="D5523">
        <v>290</v>
      </c>
      <c r="E5523" t="s">
        <v>5989</v>
      </c>
      <c r="F5523">
        <v>290</v>
      </c>
      <c r="G5523" s="1">
        <v>45216</v>
      </c>
      <c r="H5523" s="6">
        <f t="shared" si="172"/>
        <v>35.291666666667375</v>
      </c>
      <c r="I5523" s="7">
        <f t="shared" si="173"/>
        <v>35.291666666667375</v>
      </c>
    </row>
    <row r="5524" spans="1:9" x14ac:dyDescent="0.2">
      <c r="A5524" t="s">
        <v>5990</v>
      </c>
      <c r="B5524">
        <v>4.2794999999999996</v>
      </c>
      <c r="C5524">
        <v>5.994E-2</v>
      </c>
      <c r="D5524">
        <v>290</v>
      </c>
      <c r="E5524" t="s">
        <v>5990</v>
      </c>
      <c r="F5524">
        <v>290</v>
      </c>
      <c r="G5524" s="1">
        <v>45216</v>
      </c>
      <c r="H5524" s="6">
        <f t="shared" si="172"/>
        <v>35.302083333334039</v>
      </c>
      <c r="I5524" s="7">
        <f t="shared" si="173"/>
        <v>35.302083333334039</v>
      </c>
    </row>
    <row r="5525" spans="1:9" x14ac:dyDescent="0.2">
      <c r="A5525" t="s">
        <v>5991</v>
      </c>
      <c r="B5525">
        <v>4.0644999999999998</v>
      </c>
      <c r="C5525">
        <v>5.6930000000000001E-2</v>
      </c>
      <c r="D5525">
        <v>290</v>
      </c>
      <c r="E5525" t="s">
        <v>5991</v>
      </c>
      <c r="F5525">
        <v>290</v>
      </c>
      <c r="G5525" s="1">
        <v>45216</v>
      </c>
      <c r="H5525" s="6">
        <f t="shared" si="172"/>
        <v>35.312500000000703</v>
      </c>
      <c r="I5525" s="7">
        <f t="shared" si="173"/>
        <v>35.312500000000703</v>
      </c>
    </row>
    <row r="5526" spans="1:9" x14ac:dyDescent="0.2">
      <c r="A5526" t="s">
        <v>5992</v>
      </c>
      <c r="B5526">
        <v>4.1959999999999997</v>
      </c>
      <c r="C5526">
        <v>5.8779999999999999E-2</v>
      </c>
      <c r="D5526">
        <v>290</v>
      </c>
      <c r="E5526" t="s">
        <v>5992</v>
      </c>
      <c r="F5526">
        <v>290</v>
      </c>
      <c r="G5526" s="1">
        <v>45216</v>
      </c>
      <c r="H5526" s="6">
        <f t="shared" si="172"/>
        <v>35.322916666667368</v>
      </c>
      <c r="I5526" s="7">
        <f t="shared" si="173"/>
        <v>35.322916666667368</v>
      </c>
    </row>
    <row r="5527" spans="1:9" x14ac:dyDescent="0.2">
      <c r="A5527" t="s">
        <v>5993</v>
      </c>
      <c r="B5527">
        <v>4.1265000000000001</v>
      </c>
      <c r="C5527">
        <v>5.7814999999999998E-2</v>
      </c>
      <c r="D5527">
        <v>290</v>
      </c>
      <c r="E5527" t="s">
        <v>5993</v>
      </c>
      <c r="F5527">
        <v>290</v>
      </c>
      <c r="G5527" s="1">
        <v>45216</v>
      </c>
      <c r="H5527" s="6">
        <f t="shared" si="172"/>
        <v>35.333333333334032</v>
      </c>
      <c r="I5527" s="7">
        <f t="shared" si="173"/>
        <v>35.333333333334032</v>
      </c>
    </row>
    <row r="5528" spans="1:9" x14ac:dyDescent="0.2">
      <c r="A5528" t="s">
        <v>5994</v>
      </c>
      <c r="B5528">
        <v>4.0495000000000001</v>
      </c>
      <c r="C5528">
        <v>5.6704999999999998E-2</v>
      </c>
      <c r="D5528">
        <v>290</v>
      </c>
      <c r="E5528" t="s">
        <v>5994</v>
      </c>
      <c r="F5528">
        <v>290</v>
      </c>
      <c r="G5528" s="1">
        <v>45216</v>
      </c>
      <c r="H5528" s="6">
        <f t="shared" si="172"/>
        <v>35.343750000000696</v>
      </c>
      <c r="I5528" s="7">
        <f t="shared" si="173"/>
        <v>35.343750000000696</v>
      </c>
    </row>
    <row r="5529" spans="1:9" x14ac:dyDescent="0.2">
      <c r="A5529" t="s">
        <v>5995</v>
      </c>
      <c r="B5529" s="2" t="s">
        <v>2977</v>
      </c>
      <c r="C5529">
        <v>5.6399999999999999E-2</v>
      </c>
      <c r="D5529">
        <v>290</v>
      </c>
      <c r="E5529" t="s">
        <v>5995</v>
      </c>
      <c r="F5529">
        <v>290</v>
      </c>
      <c r="G5529" s="1">
        <v>45216</v>
      </c>
      <c r="H5529" s="6">
        <f t="shared" si="172"/>
        <v>35.354166666667361</v>
      </c>
      <c r="I5529" s="7">
        <f t="shared" si="173"/>
        <v>35.354166666667361</v>
      </c>
    </row>
    <row r="5530" spans="1:9" x14ac:dyDescent="0.2">
      <c r="A5530" t="s">
        <v>5996</v>
      </c>
      <c r="B5530">
        <v>3.8555000000000001</v>
      </c>
      <c r="C5530">
        <v>5.3990000000000003E-2</v>
      </c>
      <c r="D5530">
        <v>290</v>
      </c>
      <c r="E5530" t="s">
        <v>5996</v>
      </c>
      <c r="F5530">
        <v>290</v>
      </c>
      <c r="G5530" s="1">
        <v>45216</v>
      </c>
      <c r="H5530" s="6">
        <f t="shared" si="172"/>
        <v>35.364583333334025</v>
      </c>
      <c r="I5530" s="7">
        <f t="shared" si="173"/>
        <v>35.364583333334025</v>
      </c>
    </row>
    <row r="5531" spans="1:9" x14ac:dyDescent="0.2">
      <c r="A5531" t="s">
        <v>5997</v>
      </c>
      <c r="B5531">
        <v>3.7690000000000001</v>
      </c>
      <c r="C5531" s="2" t="s">
        <v>5998</v>
      </c>
      <c r="D5531">
        <v>290</v>
      </c>
      <c r="E5531" t="s">
        <v>5997</v>
      </c>
      <c r="F5531">
        <v>290</v>
      </c>
      <c r="G5531" s="1">
        <v>45216</v>
      </c>
      <c r="H5531" s="6">
        <f t="shared" si="172"/>
        <v>35.375000000000689</v>
      </c>
      <c r="I5531" s="7">
        <f t="shared" si="173"/>
        <v>35.375000000000689</v>
      </c>
    </row>
    <row r="5532" spans="1:9" x14ac:dyDescent="0.2">
      <c r="A5532" t="s">
        <v>5999</v>
      </c>
      <c r="B5532">
        <v>3.8584999999999998</v>
      </c>
      <c r="C5532">
        <v>5.4045000000000003E-2</v>
      </c>
      <c r="D5532">
        <v>290</v>
      </c>
      <c r="E5532" t="s">
        <v>5999</v>
      </c>
      <c r="F5532">
        <v>290</v>
      </c>
      <c r="G5532" s="1">
        <v>45216</v>
      </c>
      <c r="H5532" s="6">
        <f t="shared" ref="H5532:H5595" si="174">H5531+$K$1</f>
        <v>35.385416666667354</v>
      </c>
      <c r="I5532" s="7">
        <f t="shared" ref="I5532:I5595" si="175">I5531+$K$1</f>
        <v>35.385416666667354</v>
      </c>
    </row>
    <row r="5533" spans="1:9" x14ac:dyDescent="0.2">
      <c r="A5533" t="s">
        <v>6000</v>
      </c>
      <c r="B5533">
        <v>3.9245000000000001</v>
      </c>
      <c r="C5533">
        <v>5.4975000000000003E-2</v>
      </c>
      <c r="D5533">
        <v>290</v>
      </c>
      <c r="E5533" t="s">
        <v>6000</v>
      </c>
      <c r="F5533">
        <v>290</v>
      </c>
      <c r="G5533" s="1">
        <v>45216</v>
      </c>
      <c r="H5533" s="6">
        <f t="shared" si="174"/>
        <v>35.395833333334018</v>
      </c>
      <c r="I5533" s="7">
        <f t="shared" si="175"/>
        <v>35.395833333334018</v>
      </c>
    </row>
    <row r="5534" spans="1:9" x14ac:dyDescent="0.2">
      <c r="A5534" t="s">
        <v>6001</v>
      </c>
      <c r="B5534">
        <v>3.8359999999999999</v>
      </c>
      <c r="C5534">
        <v>5.3734999999999998E-2</v>
      </c>
      <c r="D5534">
        <v>290</v>
      </c>
      <c r="E5534" t="s">
        <v>6001</v>
      </c>
      <c r="F5534">
        <v>290</v>
      </c>
      <c r="G5534" s="1">
        <v>45216</v>
      </c>
      <c r="H5534" s="6">
        <f t="shared" si="174"/>
        <v>35.406250000000682</v>
      </c>
      <c r="I5534" s="7">
        <f t="shared" si="175"/>
        <v>35.406250000000682</v>
      </c>
    </row>
    <row r="5535" spans="1:9" x14ac:dyDescent="0.2">
      <c r="A5535" t="s">
        <v>6002</v>
      </c>
      <c r="B5535">
        <v>4.01</v>
      </c>
      <c r="C5535">
        <v>5.6149999999999999E-2</v>
      </c>
      <c r="D5535">
        <v>290</v>
      </c>
      <c r="E5535" t="s">
        <v>6002</v>
      </c>
      <c r="F5535">
        <v>290</v>
      </c>
      <c r="G5535" s="1">
        <v>45216</v>
      </c>
      <c r="H5535" s="6">
        <f t="shared" si="174"/>
        <v>35.416666666667346</v>
      </c>
      <c r="I5535" s="7">
        <f t="shared" si="175"/>
        <v>35.416666666667346</v>
      </c>
    </row>
    <row r="5536" spans="1:9" x14ac:dyDescent="0.2">
      <c r="A5536" t="s">
        <v>6003</v>
      </c>
      <c r="B5536">
        <v>3.5840000000000001</v>
      </c>
      <c r="C5536">
        <v>5.0205E-2</v>
      </c>
      <c r="D5536">
        <v>290</v>
      </c>
      <c r="E5536" t="s">
        <v>6003</v>
      </c>
      <c r="F5536">
        <v>290</v>
      </c>
      <c r="G5536" s="1">
        <v>45216</v>
      </c>
      <c r="H5536" s="6">
        <f t="shared" si="174"/>
        <v>35.427083333334011</v>
      </c>
      <c r="I5536" s="7">
        <f t="shared" si="175"/>
        <v>35.427083333334011</v>
      </c>
    </row>
    <row r="5537" spans="1:9" x14ac:dyDescent="0.2">
      <c r="A5537" t="s">
        <v>6004</v>
      </c>
      <c r="B5537">
        <v>3.8439999999999999</v>
      </c>
      <c r="C5537">
        <v>5.3830000000000003E-2</v>
      </c>
      <c r="D5537">
        <v>290</v>
      </c>
      <c r="E5537" t="s">
        <v>6004</v>
      </c>
      <c r="F5537">
        <v>290</v>
      </c>
      <c r="G5537" s="1">
        <v>45216</v>
      </c>
      <c r="H5537" s="6">
        <f t="shared" si="174"/>
        <v>35.437500000000675</v>
      </c>
      <c r="I5537" s="7">
        <f t="shared" si="175"/>
        <v>35.437500000000675</v>
      </c>
    </row>
    <row r="5538" spans="1:9" x14ac:dyDescent="0.2">
      <c r="A5538" t="s">
        <v>6005</v>
      </c>
      <c r="B5538">
        <v>3.7105000000000001</v>
      </c>
      <c r="C5538">
        <v>5.1959999999999999E-2</v>
      </c>
      <c r="D5538">
        <v>290</v>
      </c>
      <c r="E5538" t="s">
        <v>6005</v>
      </c>
      <c r="F5538">
        <v>290</v>
      </c>
      <c r="G5538" s="1">
        <v>45216</v>
      </c>
      <c r="H5538" s="6">
        <f t="shared" si="174"/>
        <v>35.447916666667339</v>
      </c>
      <c r="I5538" s="7">
        <f t="shared" si="175"/>
        <v>35.447916666667339</v>
      </c>
    </row>
    <row r="5539" spans="1:9" x14ac:dyDescent="0.2">
      <c r="A5539" t="s">
        <v>6006</v>
      </c>
      <c r="B5539">
        <v>3.802</v>
      </c>
      <c r="C5539">
        <v>5.3254999999999997E-2</v>
      </c>
      <c r="D5539">
        <v>290</v>
      </c>
      <c r="E5539" t="s">
        <v>6006</v>
      </c>
      <c r="F5539">
        <v>290</v>
      </c>
      <c r="G5539" s="1">
        <v>45216</v>
      </c>
      <c r="H5539" s="6">
        <f t="shared" si="174"/>
        <v>35.458333333334004</v>
      </c>
      <c r="I5539" s="7">
        <f t="shared" si="175"/>
        <v>35.458333333334004</v>
      </c>
    </row>
    <row r="5540" spans="1:9" x14ac:dyDescent="0.2">
      <c r="A5540" t="s">
        <v>6007</v>
      </c>
      <c r="B5540">
        <v>3.8650000000000002</v>
      </c>
      <c r="C5540">
        <v>5.4144999999999999E-2</v>
      </c>
      <c r="D5540">
        <v>290</v>
      </c>
      <c r="E5540" t="s">
        <v>6007</v>
      </c>
      <c r="F5540">
        <v>290</v>
      </c>
      <c r="G5540" s="1">
        <v>45216</v>
      </c>
      <c r="H5540" s="6">
        <f t="shared" si="174"/>
        <v>35.468750000000668</v>
      </c>
      <c r="I5540" s="7">
        <f t="shared" si="175"/>
        <v>35.468750000000668</v>
      </c>
    </row>
    <row r="5541" spans="1:9" x14ac:dyDescent="0.2">
      <c r="A5541" t="s">
        <v>6008</v>
      </c>
      <c r="B5541">
        <v>3.7945000000000002</v>
      </c>
      <c r="C5541">
        <v>5.314E-2</v>
      </c>
      <c r="D5541">
        <v>290</v>
      </c>
      <c r="E5541" t="s">
        <v>6008</v>
      </c>
      <c r="F5541">
        <v>290</v>
      </c>
      <c r="G5541" s="1">
        <v>45216</v>
      </c>
      <c r="H5541" s="6">
        <f t="shared" si="174"/>
        <v>35.479166666667332</v>
      </c>
      <c r="I5541" s="7">
        <f t="shared" si="175"/>
        <v>35.479166666667332</v>
      </c>
    </row>
    <row r="5542" spans="1:9" x14ac:dyDescent="0.2">
      <c r="A5542" t="s">
        <v>6009</v>
      </c>
      <c r="B5542">
        <v>3.8795000000000002</v>
      </c>
      <c r="C5542">
        <v>5.432E-2</v>
      </c>
      <c r="D5542">
        <v>290</v>
      </c>
      <c r="E5542" t="s">
        <v>6009</v>
      </c>
      <c r="F5542">
        <v>290</v>
      </c>
      <c r="G5542" s="1">
        <v>45216</v>
      </c>
      <c r="H5542" s="6">
        <f t="shared" si="174"/>
        <v>35.489583333333997</v>
      </c>
      <c r="I5542" s="7">
        <f t="shared" si="175"/>
        <v>35.489583333333997</v>
      </c>
    </row>
    <row r="5543" spans="1:9" x14ac:dyDescent="0.2">
      <c r="A5543" t="s">
        <v>6010</v>
      </c>
      <c r="B5543">
        <v>3.7534999999999998</v>
      </c>
      <c r="C5543">
        <v>5.2569999999999999E-2</v>
      </c>
      <c r="D5543">
        <v>290</v>
      </c>
      <c r="E5543" t="s">
        <v>6010</v>
      </c>
      <c r="F5543">
        <v>290</v>
      </c>
      <c r="G5543" s="1">
        <v>45216</v>
      </c>
      <c r="H5543" s="6">
        <f t="shared" si="174"/>
        <v>35.500000000000661</v>
      </c>
      <c r="I5543" s="7">
        <f t="shared" si="175"/>
        <v>35.500000000000661</v>
      </c>
    </row>
    <row r="5544" spans="1:9" x14ac:dyDescent="0.2">
      <c r="A5544" t="s">
        <v>6011</v>
      </c>
      <c r="B5544">
        <v>3.8035000000000001</v>
      </c>
      <c r="C5544">
        <v>5.3265E-2</v>
      </c>
      <c r="D5544">
        <v>290</v>
      </c>
      <c r="E5544" t="s">
        <v>6011</v>
      </c>
      <c r="F5544">
        <v>290</v>
      </c>
      <c r="G5544" s="1">
        <v>45216</v>
      </c>
      <c r="H5544" s="6">
        <f t="shared" si="174"/>
        <v>35.510416666667325</v>
      </c>
      <c r="I5544" s="7">
        <f t="shared" si="175"/>
        <v>35.510416666667325</v>
      </c>
    </row>
    <row r="5545" spans="1:9" x14ac:dyDescent="0.2">
      <c r="A5545" t="s">
        <v>6012</v>
      </c>
      <c r="B5545">
        <v>3.8125</v>
      </c>
      <c r="C5545">
        <v>5.3385000000000002E-2</v>
      </c>
      <c r="D5545">
        <v>290</v>
      </c>
      <c r="E5545" t="s">
        <v>6012</v>
      </c>
      <c r="F5545">
        <v>290</v>
      </c>
      <c r="G5545" s="1">
        <v>45216</v>
      </c>
      <c r="H5545" s="6">
        <f t="shared" si="174"/>
        <v>35.520833333333989</v>
      </c>
      <c r="I5545" s="7">
        <f t="shared" si="175"/>
        <v>35.520833333333989</v>
      </c>
    </row>
    <row r="5546" spans="1:9" x14ac:dyDescent="0.2">
      <c r="A5546" t="s">
        <v>6013</v>
      </c>
      <c r="B5546">
        <v>3.8</v>
      </c>
      <c r="C5546">
        <v>5.323E-2</v>
      </c>
      <c r="D5546">
        <v>290</v>
      </c>
      <c r="E5546" t="s">
        <v>6013</v>
      </c>
      <c r="F5546">
        <v>290</v>
      </c>
      <c r="G5546" s="1">
        <v>45216</v>
      </c>
      <c r="H5546" s="6">
        <f t="shared" si="174"/>
        <v>35.531250000000654</v>
      </c>
      <c r="I5546" s="7">
        <f t="shared" si="175"/>
        <v>35.531250000000654</v>
      </c>
    </row>
    <row r="5547" spans="1:9" x14ac:dyDescent="0.2">
      <c r="A5547" t="s">
        <v>6014</v>
      </c>
      <c r="B5547">
        <v>3.8245</v>
      </c>
      <c r="C5547" s="2" t="s">
        <v>402</v>
      </c>
      <c r="D5547">
        <v>290</v>
      </c>
      <c r="E5547" t="s">
        <v>6014</v>
      </c>
      <c r="F5547">
        <v>290</v>
      </c>
      <c r="G5547" s="1">
        <v>45216</v>
      </c>
      <c r="H5547" s="6">
        <f t="shared" si="174"/>
        <v>35.541666666667318</v>
      </c>
      <c r="I5547" s="7">
        <f t="shared" si="175"/>
        <v>35.541666666667318</v>
      </c>
    </row>
    <row r="5548" spans="1:9" x14ac:dyDescent="0.2">
      <c r="A5548" t="s">
        <v>6015</v>
      </c>
      <c r="B5548">
        <v>3.891</v>
      </c>
      <c r="C5548">
        <v>5.45E-2</v>
      </c>
      <c r="D5548">
        <v>290</v>
      </c>
      <c r="E5548" t="s">
        <v>6015</v>
      </c>
      <c r="F5548">
        <v>290</v>
      </c>
      <c r="G5548" s="1">
        <v>45216</v>
      </c>
      <c r="H5548" s="6">
        <f t="shared" si="174"/>
        <v>35.552083333333982</v>
      </c>
      <c r="I5548" s="7">
        <f t="shared" si="175"/>
        <v>35.552083333333982</v>
      </c>
    </row>
    <row r="5549" spans="1:9" x14ac:dyDescent="0.2">
      <c r="A5549" t="s">
        <v>6016</v>
      </c>
      <c r="B5549">
        <v>3.8414999999999999</v>
      </c>
      <c r="C5549">
        <v>5.3809999999999997E-2</v>
      </c>
      <c r="D5549">
        <v>290</v>
      </c>
      <c r="E5549" t="s">
        <v>6016</v>
      </c>
      <c r="F5549">
        <v>290</v>
      </c>
      <c r="G5549" s="1">
        <v>45216</v>
      </c>
      <c r="H5549" s="6">
        <f t="shared" si="174"/>
        <v>35.562500000000647</v>
      </c>
      <c r="I5549" s="7">
        <f t="shared" si="175"/>
        <v>35.562500000000647</v>
      </c>
    </row>
    <row r="5550" spans="1:9" x14ac:dyDescent="0.2">
      <c r="A5550" t="s">
        <v>6017</v>
      </c>
      <c r="B5550">
        <v>3.8519999999999999</v>
      </c>
      <c r="C5550">
        <v>5.3955000000000003E-2</v>
      </c>
      <c r="D5550">
        <v>290</v>
      </c>
      <c r="E5550" t="s">
        <v>6017</v>
      </c>
      <c r="F5550">
        <v>290</v>
      </c>
      <c r="G5550" s="1">
        <v>45216</v>
      </c>
      <c r="H5550" s="6">
        <f t="shared" si="174"/>
        <v>35.572916666667311</v>
      </c>
      <c r="I5550" s="7">
        <f t="shared" si="175"/>
        <v>35.572916666667311</v>
      </c>
    </row>
    <row r="5551" spans="1:9" x14ac:dyDescent="0.2">
      <c r="A5551" t="s">
        <v>6018</v>
      </c>
      <c r="B5551">
        <v>3.798</v>
      </c>
      <c r="C5551">
        <v>5.3185000000000003E-2</v>
      </c>
      <c r="D5551">
        <v>290</v>
      </c>
      <c r="E5551" t="s">
        <v>6018</v>
      </c>
      <c r="F5551">
        <v>290</v>
      </c>
      <c r="G5551" s="1">
        <v>45216</v>
      </c>
      <c r="H5551" s="6">
        <f t="shared" si="174"/>
        <v>35.583333333333975</v>
      </c>
      <c r="I5551" s="7">
        <f t="shared" si="175"/>
        <v>35.583333333333975</v>
      </c>
    </row>
    <row r="5552" spans="1:9" x14ac:dyDescent="0.2">
      <c r="A5552" t="s">
        <v>6019</v>
      </c>
      <c r="B5552">
        <v>3.7905000000000002</v>
      </c>
      <c r="C5552">
        <v>5.3080000000000002E-2</v>
      </c>
      <c r="D5552">
        <v>290</v>
      </c>
      <c r="E5552" t="s">
        <v>6019</v>
      </c>
      <c r="F5552">
        <v>290</v>
      </c>
      <c r="G5552" s="1">
        <v>45216</v>
      </c>
      <c r="H5552" s="6">
        <f t="shared" si="174"/>
        <v>35.593750000000639</v>
      </c>
      <c r="I5552" s="7">
        <f t="shared" si="175"/>
        <v>35.593750000000639</v>
      </c>
    </row>
    <row r="5553" spans="1:9" x14ac:dyDescent="0.2">
      <c r="A5553" t="s">
        <v>6020</v>
      </c>
      <c r="B5553">
        <v>3.6875</v>
      </c>
      <c r="C5553">
        <v>5.1665000000000003E-2</v>
      </c>
      <c r="D5553">
        <v>291</v>
      </c>
      <c r="E5553" t="s">
        <v>6020</v>
      </c>
      <c r="F5553">
        <v>290</v>
      </c>
      <c r="G5553" s="1">
        <v>45216</v>
      </c>
      <c r="H5553" s="6">
        <f t="shared" si="174"/>
        <v>35.604166666667304</v>
      </c>
      <c r="I5553" s="7">
        <f t="shared" si="175"/>
        <v>35.604166666667304</v>
      </c>
    </row>
    <row r="5554" spans="1:9" x14ac:dyDescent="0.2">
      <c r="A5554" t="s">
        <v>6021</v>
      </c>
      <c r="B5554">
        <v>3.8504999999999998</v>
      </c>
      <c r="C5554">
        <v>5.3929999999999999E-2</v>
      </c>
      <c r="D5554">
        <v>291</v>
      </c>
      <c r="E5554" t="s">
        <v>6021</v>
      </c>
      <c r="F5554">
        <v>290</v>
      </c>
      <c r="G5554" s="1">
        <v>45216</v>
      </c>
      <c r="H5554" s="6">
        <f t="shared" si="174"/>
        <v>35.614583333333968</v>
      </c>
      <c r="I5554" s="7">
        <f t="shared" si="175"/>
        <v>35.614583333333968</v>
      </c>
    </row>
    <row r="5555" spans="1:9" x14ac:dyDescent="0.2">
      <c r="A5555" t="s">
        <v>6022</v>
      </c>
      <c r="B5555">
        <v>3.7054999999999998</v>
      </c>
      <c r="C5555">
        <v>5.1885000000000001E-2</v>
      </c>
      <c r="D5555">
        <v>291</v>
      </c>
      <c r="E5555" t="s">
        <v>6022</v>
      </c>
      <c r="F5555">
        <v>290</v>
      </c>
      <c r="G5555" s="1">
        <v>45216</v>
      </c>
      <c r="H5555" s="6">
        <f t="shared" si="174"/>
        <v>35.625000000000632</v>
      </c>
      <c r="I5555" s="7">
        <f t="shared" si="175"/>
        <v>35.625000000000632</v>
      </c>
    </row>
    <row r="5556" spans="1:9" x14ac:dyDescent="0.2">
      <c r="A5556" t="s">
        <v>6023</v>
      </c>
      <c r="B5556">
        <v>3.8149999999999999</v>
      </c>
      <c r="C5556" s="2" t="s">
        <v>6024</v>
      </c>
      <c r="D5556">
        <v>291</v>
      </c>
      <c r="E5556" t="s">
        <v>6023</v>
      </c>
      <c r="F5556">
        <v>290</v>
      </c>
      <c r="G5556" s="1">
        <v>45216</v>
      </c>
      <c r="H5556" s="6">
        <f t="shared" si="174"/>
        <v>35.635416666667297</v>
      </c>
      <c r="I5556" s="7">
        <f t="shared" si="175"/>
        <v>35.635416666667297</v>
      </c>
    </row>
    <row r="5557" spans="1:9" x14ac:dyDescent="0.2">
      <c r="A5557" t="s">
        <v>6025</v>
      </c>
      <c r="B5557">
        <v>3.7090000000000001</v>
      </c>
      <c r="C5557">
        <v>5.1964999999999997E-2</v>
      </c>
      <c r="D5557">
        <v>291</v>
      </c>
      <c r="E5557" t="s">
        <v>6025</v>
      </c>
      <c r="F5557">
        <v>290</v>
      </c>
      <c r="G5557" s="1">
        <v>45216</v>
      </c>
      <c r="H5557" s="6">
        <f t="shared" si="174"/>
        <v>35.645833333333961</v>
      </c>
      <c r="I5557" s="7">
        <f t="shared" si="175"/>
        <v>35.645833333333961</v>
      </c>
    </row>
    <row r="5558" spans="1:9" x14ac:dyDescent="0.2">
      <c r="A5558" t="s">
        <v>6026</v>
      </c>
      <c r="B5558">
        <v>3.7635000000000001</v>
      </c>
      <c r="C5558">
        <v>5.2690000000000001E-2</v>
      </c>
      <c r="D5558">
        <v>291</v>
      </c>
      <c r="E5558" t="s">
        <v>6026</v>
      </c>
      <c r="F5558">
        <v>290</v>
      </c>
      <c r="G5558" s="1">
        <v>45216</v>
      </c>
      <c r="H5558" s="6">
        <f t="shared" si="174"/>
        <v>35.656250000000625</v>
      </c>
      <c r="I5558" s="7">
        <f t="shared" si="175"/>
        <v>35.656250000000625</v>
      </c>
    </row>
    <row r="5559" spans="1:9" x14ac:dyDescent="0.2">
      <c r="A5559" t="s">
        <v>6027</v>
      </c>
      <c r="B5559">
        <v>3.8380000000000001</v>
      </c>
      <c r="C5559">
        <v>5.3749999999999999E-2</v>
      </c>
      <c r="D5559">
        <v>291</v>
      </c>
      <c r="E5559" t="s">
        <v>6027</v>
      </c>
      <c r="F5559">
        <v>290</v>
      </c>
      <c r="G5559" s="1">
        <v>45216</v>
      </c>
      <c r="H5559" s="6">
        <f t="shared" si="174"/>
        <v>35.66666666666729</v>
      </c>
      <c r="I5559" s="7">
        <f t="shared" si="175"/>
        <v>35.66666666666729</v>
      </c>
    </row>
    <row r="5560" spans="1:9" x14ac:dyDescent="0.2">
      <c r="A5560" t="s">
        <v>6028</v>
      </c>
      <c r="B5560" s="2" t="s">
        <v>2613</v>
      </c>
      <c r="C5560">
        <v>5.3545000000000002E-2</v>
      </c>
      <c r="D5560">
        <v>291</v>
      </c>
      <c r="E5560" t="s">
        <v>6028</v>
      </c>
      <c r="F5560">
        <v>290</v>
      </c>
      <c r="G5560" s="1">
        <v>45216</v>
      </c>
      <c r="H5560" s="6">
        <f t="shared" si="174"/>
        <v>35.677083333333954</v>
      </c>
      <c r="I5560" s="7">
        <f t="shared" si="175"/>
        <v>35.677083333333954</v>
      </c>
    </row>
    <row r="5561" spans="1:9" x14ac:dyDescent="0.2">
      <c r="A5561" t="s">
        <v>6029</v>
      </c>
      <c r="B5561">
        <v>3.8980000000000001</v>
      </c>
      <c r="C5561">
        <v>5.4614999999999997E-2</v>
      </c>
      <c r="D5561">
        <v>291</v>
      </c>
      <c r="E5561" t="s">
        <v>6029</v>
      </c>
      <c r="F5561">
        <v>290</v>
      </c>
      <c r="G5561" s="1">
        <v>45216</v>
      </c>
      <c r="H5561" s="6">
        <f t="shared" si="174"/>
        <v>35.687500000000618</v>
      </c>
      <c r="I5561" s="7">
        <f t="shared" si="175"/>
        <v>35.687500000000618</v>
      </c>
    </row>
    <row r="5562" spans="1:9" x14ac:dyDescent="0.2">
      <c r="A5562" t="s">
        <v>6030</v>
      </c>
      <c r="B5562">
        <v>3.8260000000000001</v>
      </c>
      <c r="C5562">
        <v>5.3574999999999998E-2</v>
      </c>
      <c r="D5562">
        <v>291</v>
      </c>
      <c r="E5562" t="s">
        <v>6030</v>
      </c>
      <c r="F5562">
        <v>290</v>
      </c>
      <c r="G5562" s="1">
        <v>45216</v>
      </c>
      <c r="H5562" s="6">
        <f t="shared" si="174"/>
        <v>35.697916666667282</v>
      </c>
      <c r="I5562" s="7">
        <f t="shared" si="175"/>
        <v>35.697916666667282</v>
      </c>
    </row>
    <row r="5563" spans="1:9" x14ac:dyDescent="0.2">
      <c r="A5563" t="s">
        <v>6031</v>
      </c>
      <c r="B5563">
        <v>3.6829999999999998</v>
      </c>
      <c r="C5563">
        <v>5.16E-2</v>
      </c>
      <c r="D5563">
        <v>291</v>
      </c>
      <c r="E5563" t="s">
        <v>6031</v>
      </c>
      <c r="F5563">
        <v>290</v>
      </c>
      <c r="G5563" s="1">
        <v>45216</v>
      </c>
      <c r="H5563" s="6">
        <f t="shared" si="174"/>
        <v>35.708333333333947</v>
      </c>
      <c r="I5563" s="7">
        <f t="shared" si="175"/>
        <v>35.708333333333947</v>
      </c>
    </row>
    <row r="5564" spans="1:9" x14ac:dyDescent="0.2">
      <c r="A5564" t="s">
        <v>6032</v>
      </c>
      <c r="B5564">
        <v>3.839</v>
      </c>
      <c r="C5564">
        <v>5.3780000000000001E-2</v>
      </c>
      <c r="D5564">
        <v>291</v>
      </c>
      <c r="E5564" t="s">
        <v>6032</v>
      </c>
      <c r="F5564">
        <v>290</v>
      </c>
      <c r="G5564" s="1">
        <v>45216</v>
      </c>
      <c r="H5564" s="6">
        <f t="shared" si="174"/>
        <v>35.718750000000611</v>
      </c>
      <c r="I5564" s="7">
        <f t="shared" si="175"/>
        <v>35.718750000000611</v>
      </c>
    </row>
    <row r="5565" spans="1:9" x14ac:dyDescent="0.2">
      <c r="A5565" t="s">
        <v>6033</v>
      </c>
      <c r="B5565">
        <v>3.9765000000000001</v>
      </c>
      <c r="C5565">
        <v>5.5690000000000003E-2</v>
      </c>
      <c r="D5565">
        <v>291</v>
      </c>
      <c r="E5565" t="s">
        <v>6033</v>
      </c>
      <c r="F5565">
        <v>290</v>
      </c>
      <c r="G5565" s="1">
        <v>45216</v>
      </c>
      <c r="H5565" s="6">
        <f t="shared" si="174"/>
        <v>35.729166666667275</v>
      </c>
      <c r="I5565" s="7">
        <f t="shared" si="175"/>
        <v>35.729166666667275</v>
      </c>
    </row>
    <row r="5566" spans="1:9" x14ac:dyDescent="0.2">
      <c r="A5566" t="s">
        <v>6034</v>
      </c>
      <c r="B5566">
        <v>4.0534999999999997</v>
      </c>
      <c r="C5566">
        <v>5.6785000000000002E-2</v>
      </c>
      <c r="D5566">
        <v>291</v>
      </c>
      <c r="E5566" t="s">
        <v>6034</v>
      </c>
      <c r="F5566">
        <v>290</v>
      </c>
      <c r="G5566" s="1">
        <v>45216</v>
      </c>
      <c r="H5566" s="6">
        <f t="shared" si="174"/>
        <v>35.73958333333394</v>
      </c>
      <c r="I5566" s="7">
        <f t="shared" si="175"/>
        <v>35.73958333333394</v>
      </c>
    </row>
    <row r="5567" spans="1:9" x14ac:dyDescent="0.2">
      <c r="A5567" t="s">
        <v>6035</v>
      </c>
      <c r="B5567">
        <v>3.9824999999999999</v>
      </c>
      <c r="C5567">
        <v>5.5800000000000002E-2</v>
      </c>
      <c r="D5567">
        <v>291</v>
      </c>
      <c r="E5567" t="s">
        <v>6035</v>
      </c>
      <c r="F5567">
        <v>290</v>
      </c>
      <c r="G5567" s="1">
        <v>45216</v>
      </c>
      <c r="H5567" s="6">
        <f t="shared" si="174"/>
        <v>35.750000000000604</v>
      </c>
      <c r="I5567" s="7">
        <f t="shared" si="175"/>
        <v>35.750000000000604</v>
      </c>
    </row>
    <row r="5568" spans="1:9" x14ac:dyDescent="0.2">
      <c r="A5568" t="s">
        <v>6036</v>
      </c>
      <c r="B5568">
        <v>3.9495</v>
      </c>
      <c r="C5568">
        <v>5.5309999999999998E-2</v>
      </c>
      <c r="D5568">
        <v>291</v>
      </c>
      <c r="E5568" t="s">
        <v>6036</v>
      </c>
      <c r="F5568">
        <v>290</v>
      </c>
      <c r="G5568" s="1">
        <v>45216</v>
      </c>
      <c r="H5568" s="6">
        <f t="shared" si="174"/>
        <v>35.760416666667268</v>
      </c>
      <c r="I5568" s="7">
        <f t="shared" si="175"/>
        <v>35.760416666667268</v>
      </c>
    </row>
    <row r="5569" spans="1:9" x14ac:dyDescent="0.2">
      <c r="A5569" t="s">
        <v>6037</v>
      </c>
      <c r="B5569">
        <v>4.3845000000000001</v>
      </c>
      <c r="C5569">
        <v>6.1414999999999997E-2</v>
      </c>
      <c r="D5569">
        <v>291</v>
      </c>
      <c r="E5569" t="s">
        <v>6037</v>
      </c>
      <c r="F5569">
        <v>290</v>
      </c>
      <c r="G5569" s="1">
        <v>45216</v>
      </c>
      <c r="H5569" s="6">
        <f t="shared" si="174"/>
        <v>35.770833333333933</v>
      </c>
      <c r="I5569" s="7">
        <f t="shared" si="175"/>
        <v>35.770833333333933</v>
      </c>
    </row>
    <row r="5570" spans="1:9" x14ac:dyDescent="0.2">
      <c r="A5570" t="s">
        <v>6038</v>
      </c>
      <c r="B5570">
        <v>4.4020000000000001</v>
      </c>
      <c r="C5570">
        <v>6.1670000000000003E-2</v>
      </c>
      <c r="D5570">
        <v>291</v>
      </c>
      <c r="E5570" t="s">
        <v>6038</v>
      </c>
      <c r="F5570">
        <v>290</v>
      </c>
      <c r="G5570" s="1">
        <v>45216</v>
      </c>
      <c r="H5570" s="6">
        <f t="shared" si="174"/>
        <v>35.781250000000597</v>
      </c>
      <c r="I5570" s="7">
        <f t="shared" si="175"/>
        <v>35.781250000000597</v>
      </c>
    </row>
    <row r="5571" spans="1:9" x14ac:dyDescent="0.2">
      <c r="A5571" t="s">
        <v>6039</v>
      </c>
      <c r="B5571">
        <v>4.3449999999999998</v>
      </c>
      <c r="C5571">
        <v>6.0859999999999997E-2</v>
      </c>
      <c r="D5571">
        <v>291</v>
      </c>
      <c r="E5571" t="s">
        <v>6039</v>
      </c>
      <c r="F5571">
        <v>290</v>
      </c>
      <c r="G5571" s="1">
        <v>45216</v>
      </c>
      <c r="H5571" s="6">
        <f t="shared" si="174"/>
        <v>35.791666666667261</v>
      </c>
      <c r="I5571" s="7">
        <f t="shared" si="175"/>
        <v>35.791666666667261</v>
      </c>
    </row>
    <row r="5572" spans="1:9" x14ac:dyDescent="0.2">
      <c r="A5572" t="s">
        <v>6040</v>
      </c>
      <c r="B5572">
        <v>4.1994999999999996</v>
      </c>
      <c r="C5572">
        <v>5.8819999999999997E-2</v>
      </c>
      <c r="D5572">
        <v>291</v>
      </c>
      <c r="E5572" t="s">
        <v>6040</v>
      </c>
      <c r="F5572">
        <v>290</v>
      </c>
      <c r="G5572" s="1">
        <v>45216</v>
      </c>
      <c r="H5572" s="6">
        <f t="shared" si="174"/>
        <v>35.802083333333925</v>
      </c>
      <c r="I5572" s="7">
        <f t="shared" si="175"/>
        <v>35.802083333333925</v>
      </c>
    </row>
    <row r="5573" spans="1:9" x14ac:dyDescent="0.2">
      <c r="A5573" t="s">
        <v>6041</v>
      </c>
      <c r="B5573">
        <v>4.218</v>
      </c>
      <c r="C5573">
        <v>5.9080000000000001E-2</v>
      </c>
      <c r="D5573">
        <v>291</v>
      </c>
      <c r="E5573" t="s">
        <v>6041</v>
      </c>
      <c r="F5573">
        <v>290</v>
      </c>
      <c r="G5573" s="1">
        <v>45216</v>
      </c>
      <c r="H5573" s="6">
        <f t="shared" si="174"/>
        <v>35.81250000000059</v>
      </c>
      <c r="I5573" s="7">
        <f t="shared" si="175"/>
        <v>35.81250000000059</v>
      </c>
    </row>
    <row r="5574" spans="1:9" x14ac:dyDescent="0.2">
      <c r="A5574" t="s">
        <v>6042</v>
      </c>
      <c r="B5574">
        <v>4.1094999999999997</v>
      </c>
      <c r="C5574">
        <v>5.7555000000000002E-2</v>
      </c>
      <c r="D5574">
        <v>291</v>
      </c>
      <c r="E5574" t="s">
        <v>6042</v>
      </c>
      <c r="F5574">
        <v>290</v>
      </c>
      <c r="G5574" s="1">
        <v>45216</v>
      </c>
      <c r="H5574" s="6">
        <f t="shared" si="174"/>
        <v>35.822916666667254</v>
      </c>
      <c r="I5574" s="7">
        <f t="shared" si="175"/>
        <v>35.822916666667254</v>
      </c>
    </row>
    <row r="5575" spans="1:9" x14ac:dyDescent="0.2">
      <c r="A5575" t="s">
        <v>6043</v>
      </c>
      <c r="B5575">
        <v>4.5010000000000003</v>
      </c>
      <c r="C5575">
        <v>6.3055E-2</v>
      </c>
      <c r="D5575">
        <v>291</v>
      </c>
      <c r="E5575" t="s">
        <v>6043</v>
      </c>
      <c r="F5575">
        <v>290</v>
      </c>
      <c r="G5575" s="1">
        <v>45216</v>
      </c>
      <c r="H5575" s="6">
        <f t="shared" si="174"/>
        <v>35.833333333333918</v>
      </c>
      <c r="I5575" s="7">
        <f t="shared" si="175"/>
        <v>35.833333333333918</v>
      </c>
    </row>
    <row r="5576" spans="1:9" x14ac:dyDescent="0.2">
      <c r="A5576" t="s">
        <v>6044</v>
      </c>
      <c r="B5576">
        <v>4.4210000000000003</v>
      </c>
      <c r="C5576">
        <v>6.1899999999999997E-2</v>
      </c>
      <c r="D5576">
        <v>291</v>
      </c>
      <c r="E5576" t="s">
        <v>6044</v>
      </c>
      <c r="F5576">
        <v>290</v>
      </c>
      <c r="G5576" s="1">
        <v>45216</v>
      </c>
      <c r="H5576" s="6">
        <f t="shared" si="174"/>
        <v>35.843750000000583</v>
      </c>
      <c r="I5576" s="7">
        <f t="shared" si="175"/>
        <v>35.843750000000583</v>
      </c>
    </row>
    <row r="5577" spans="1:9" x14ac:dyDescent="0.2">
      <c r="A5577" t="s">
        <v>6045</v>
      </c>
      <c r="B5577">
        <v>4.4790000000000001</v>
      </c>
      <c r="C5577">
        <v>6.2719999999999998E-2</v>
      </c>
      <c r="D5577">
        <v>291</v>
      </c>
      <c r="E5577" t="s">
        <v>6045</v>
      </c>
      <c r="F5577">
        <v>291</v>
      </c>
      <c r="G5577" s="1">
        <v>45217</v>
      </c>
      <c r="H5577" s="6">
        <f t="shared" si="174"/>
        <v>35.854166666667247</v>
      </c>
      <c r="I5577" s="7">
        <f t="shared" si="175"/>
        <v>35.854166666667247</v>
      </c>
    </row>
    <row r="5578" spans="1:9" x14ac:dyDescent="0.2">
      <c r="A5578" t="s">
        <v>6046</v>
      </c>
      <c r="B5578">
        <v>4.5095000000000001</v>
      </c>
      <c r="C5578">
        <v>6.3174999999999995E-2</v>
      </c>
      <c r="D5578">
        <v>291</v>
      </c>
      <c r="E5578" t="s">
        <v>6046</v>
      </c>
      <c r="F5578">
        <v>291</v>
      </c>
      <c r="G5578" s="1">
        <v>45217</v>
      </c>
      <c r="H5578" s="6">
        <f t="shared" si="174"/>
        <v>35.864583333333911</v>
      </c>
      <c r="I5578" s="7">
        <f t="shared" si="175"/>
        <v>35.864583333333911</v>
      </c>
    </row>
    <row r="5579" spans="1:9" x14ac:dyDescent="0.2">
      <c r="A5579" t="s">
        <v>6047</v>
      </c>
      <c r="B5579">
        <v>4.5434999999999999</v>
      </c>
      <c r="C5579">
        <v>6.3644999999999993E-2</v>
      </c>
      <c r="D5579">
        <v>291</v>
      </c>
      <c r="E5579" t="s">
        <v>6047</v>
      </c>
      <c r="F5579">
        <v>291</v>
      </c>
      <c r="G5579" s="1">
        <v>45217</v>
      </c>
      <c r="H5579" s="6">
        <f t="shared" si="174"/>
        <v>35.875000000000576</v>
      </c>
      <c r="I5579" s="7">
        <f t="shared" si="175"/>
        <v>35.875000000000576</v>
      </c>
    </row>
    <row r="5580" spans="1:9" x14ac:dyDescent="0.2">
      <c r="A5580" t="s">
        <v>6048</v>
      </c>
      <c r="B5580">
        <v>4.6070000000000002</v>
      </c>
      <c r="C5580">
        <v>6.4515000000000003E-2</v>
      </c>
      <c r="D5580">
        <v>291</v>
      </c>
      <c r="E5580" t="s">
        <v>6048</v>
      </c>
      <c r="F5580">
        <v>291</v>
      </c>
      <c r="G5580" s="1">
        <v>45217</v>
      </c>
      <c r="H5580" s="6">
        <f t="shared" si="174"/>
        <v>35.88541666666724</v>
      </c>
      <c r="I5580" s="7">
        <f t="shared" si="175"/>
        <v>35.88541666666724</v>
      </c>
    </row>
    <row r="5581" spans="1:9" x14ac:dyDescent="0.2">
      <c r="A5581" t="s">
        <v>6049</v>
      </c>
      <c r="B5581">
        <v>4.5019999999999998</v>
      </c>
      <c r="C5581">
        <v>6.3070000000000001E-2</v>
      </c>
      <c r="D5581">
        <v>291</v>
      </c>
      <c r="E5581" t="s">
        <v>6049</v>
      </c>
      <c r="F5581">
        <v>291</v>
      </c>
      <c r="G5581" s="1">
        <v>45217</v>
      </c>
      <c r="H5581" s="6">
        <f t="shared" si="174"/>
        <v>35.895833333333904</v>
      </c>
      <c r="I5581" s="7">
        <f t="shared" si="175"/>
        <v>35.895833333333904</v>
      </c>
    </row>
    <row r="5582" spans="1:9" x14ac:dyDescent="0.2">
      <c r="A5582" t="s">
        <v>6050</v>
      </c>
      <c r="B5582">
        <v>4.5514999999999999</v>
      </c>
      <c r="C5582">
        <v>6.3755000000000006E-2</v>
      </c>
      <c r="D5582">
        <v>291</v>
      </c>
      <c r="E5582" t="s">
        <v>6050</v>
      </c>
      <c r="F5582">
        <v>291</v>
      </c>
      <c r="G5582" s="1">
        <v>45217</v>
      </c>
      <c r="H5582" s="6">
        <f t="shared" si="174"/>
        <v>35.906250000000568</v>
      </c>
      <c r="I5582" s="7">
        <f t="shared" si="175"/>
        <v>35.906250000000568</v>
      </c>
    </row>
    <row r="5583" spans="1:9" x14ac:dyDescent="0.2">
      <c r="A5583" t="s">
        <v>6051</v>
      </c>
      <c r="B5583">
        <v>4.4444999999999997</v>
      </c>
      <c r="C5583">
        <v>6.2280000000000002E-2</v>
      </c>
      <c r="D5583">
        <v>291</v>
      </c>
      <c r="E5583" t="s">
        <v>6051</v>
      </c>
      <c r="F5583">
        <v>291</v>
      </c>
      <c r="G5583" s="1">
        <v>45217</v>
      </c>
      <c r="H5583" s="6">
        <f t="shared" si="174"/>
        <v>35.916666666667233</v>
      </c>
      <c r="I5583" s="7">
        <f t="shared" si="175"/>
        <v>35.916666666667233</v>
      </c>
    </row>
    <row r="5584" spans="1:9" x14ac:dyDescent="0.2">
      <c r="A5584" t="s">
        <v>6052</v>
      </c>
      <c r="B5584">
        <v>4.3505000000000003</v>
      </c>
      <c r="C5584">
        <v>6.0935000000000003E-2</v>
      </c>
      <c r="D5584">
        <v>291</v>
      </c>
      <c r="E5584" t="s">
        <v>6052</v>
      </c>
      <c r="F5584">
        <v>291</v>
      </c>
      <c r="G5584" s="1">
        <v>45217</v>
      </c>
      <c r="H5584" s="6">
        <f t="shared" si="174"/>
        <v>35.927083333333897</v>
      </c>
      <c r="I5584" s="7">
        <f t="shared" si="175"/>
        <v>35.927083333333897</v>
      </c>
    </row>
    <row r="5585" spans="1:9" x14ac:dyDescent="0.2">
      <c r="A5585" t="s">
        <v>6053</v>
      </c>
      <c r="B5585">
        <v>4.5095000000000001</v>
      </c>
      <c r="C5585">
        <v>6.3174999999999995E-2</v>
      </c>
      <c r="D5585">
        <v>291</v>
      </c>
      <c r="E5585" t="s">
        <v>6053</v>
      </c>
      <c r="F5585">
        <v>291</v>
      </c>
      <c r="G5585" s="1">
        <v>45217</v>
      </c>
      <c r="H5585" s="6">
        <f t="shared" si="174"/>
        <v>35.937500000000561</v>
      </c>
      <c r="I5585" s="7">
        <f t="shared" si="175"/>
        <v>35.937500000000561</v>
      </c>
    </row>
    <row r="5586" spans="1:9" x14ac:dyDescent="0.2">
      <c r="A5586" t="s">
        <v>6054</v>
      </c>
      <c r="B5586">
        <v>4.4855</v>
      </c>
      <c r="C5586">
        <v>6.2825000000000006E-2</v>
      </c>
      <c r="D5586">
        <v>291</v>
      </c>
      <c r="E5586" t="s">
        <v>6054</v>
      </c>
      <c r="F5586">
        <v>291</v>
      </c>
      <c r="G5586" s="1">
        <v>45217</v>
      </c>
      <c r="H5586" s="6">
        <f t="shared" si="174"/>
        <v>35.947916666667226</v>
      </c>
      <c r="I5586" s="7">
        <f t="shared" si="175"/>
        <v>35.947916666667226</v>
      </c>
    </row>
    <row r="5587" spans="1:9" x14ac:dyDescent="0.2">
      <c r="A5587" t="s">
        <v>6055</v>
      </c>
      <c r="B5587">
        <v>4.4340000000000002</v>
      </c>
      <c r="C5587">
        <v>6.2100000000000002E-2</v>
      </c>
      <c r="D5587">
        <v>291</v>
      </c>
      <c r="E5587" t="s">
        <v>6055</v>
      </c>
      <c r="F5587">
        <v>291</v>
      </c>
      <c r="G5587" s="1">
        <v>45217</v>
      </c>
      <c r="H5587" s="6">
        <f t="shared" si="174"/>
        <v>35.95833333333389</v>
      </c>
      <c r="I5587" s="7">
        <f t="shared" si="175"/>
        <v>35.95833333333389</v>
      </c>
    </row>
    <row r="5588" spans="1:9" x14ac:dyDescent="0.2">
      <c r="A5588" t="s">
        <v>6056</v>
      </c>
      <c r="B5588">
        <v>4.5330000000000004</v>
      </c>
      <c r="C5588">
        <v>6.3490000000000005E-2</v>
      </c>
      <c r="D5588">
        <v>291</v>
      </c>
      <c r="E5588" t="s">
        <v>6056</v>
      </c>
      <c r="F5588">
        <v>291</v>
      </c>
      <c r="G5588" s="1">
        <v>45217</v>
      </c>
      <c r="H5588" s="6">
        <f t="shared" si="174"/>
        <v>35.968750000000554</v>
      </c>
      <c r="I5588" s="7">
        <f t="shared" si="175"/>
        <v>35.968750000000554</v>
      </c>
    </row>
    <row r="5589" spans="1:9" x14ac:dyDescent="0.2">
      <c r="A5589" t="s">
        <v>6057</v>
      </c>
      <c r="B5589">
        <v>4.4524999999999997</v>
      </c>
      <c r="C5589">
        <v>6.2379999999999998E-2</v>
      </c>
      <c r="D5589">
        <v>291</v>
      </c>
      <c r="E5589" t="s">
        <v>6057</v>
      </c>
      <c r="F5589">
        <v>291</v>
      </c>
      <c r="G5589" s="1">
        <v>45217</v>
      </c>
      <c r="H5589" s="6">
        <f t="shared" si="174"/>
        <v>35.979166666667219</v>
      </c>
      <c r="I5589" s="7">
        <f t="shared" si="175"/>
        <v>35.979166666667219</v>
      </c>
    </row>
    <row r="5590" spans="1:9" x14ac:dyDescent="0.2">
      <c r="A5590" t="s">
        <v>6058</v>
      </c>
      <c r="B5590" s="2" t="s">
        <v>6059</v>
      </c>
      <c r="C5590">
        <v>6.2615000000000004E-2</v>
      </c>
      <c r="D5590">
        <v>291</v>
      </c>
      <c r="E5590" t="s">
        <v>6058</v>
      </c>
      <c r="F5590">
        <v>291</v>
      </c>
      <c r="G5590" s="1">
        <v>45217</v>
      </c>
      <c r="H5590" s="6">
        <f t="shared" si="174"/>
        <v>35.989583333333883</v>
      </c>
      <c r="I5590" s="7">
        <f t="shared" si="175"/>
        <v>35.989583333333883</v>
      </c>
    </row>
    <row r="5591" spans="1:9" x14ac:dyDescent="0.2">
      <c r="A5591" t="s">
        <v>6060</v>
      </c>
      <c r="B5591">
        <v>4.5185000000000004</v>
      </c>
      <c r="C5591">
        <v>6.3284999999999994E-2</v>
      </c>
      <c r="D5591">
        <v>291</v>
      </c>
      <c r="E5591" t="s">
        <v>6060</v>
      </c>
      <c r="F5591">
        <v>291</v>
      </c>
      <c r="G5591" s="1">
        <v>45217</v>
      </c>
      <c r="H5591" s="6">
        <f t="shared" si="174"/>
        <v>36.000000000000547</v>
      </c>
      <c r="I5591" s="7">
        <f t="shared" si="175"/>
        <v>36.000000000000547</v>
      </c>
    </row>
    <row r="5592" spans="1:9" x14ac:dyDescent="0.2">
      <c r="A5592" t="s">
        <v>6061</v>
      </c>
      <c r="B5592">
        <v>4.5209999999999999</v>
      </c>
      <c r="C5592">
        <v>6.3329999999999997E-2</v>
      </c>
      <c r="D5592">
        <v>291</v>
      </c>
      <c r="E5592" t="s">
        <v>6061</v>
      </c>
      <c r="F5592">
        <v>291</v>
      </c>
      <c r="G5592" s="1">
        <v>45217</v>
      </c>
      <c r="H5592" s="6">
        <f t="shared" si="174"/>
        <v>36.010416666667211</v>
      </c>
      <c r="I5592" s="7">
        <f t="shared" si="175"/>
        <v>36.010416666667211</v>
      </c>
    </row>
    <row r="5593" spans="1:9" x14ac:dyDescent="0.2">
      <c r="A5593" t="s">
        <v>6062</v>
      </c>
      <c r="B5593">
        <v>4.5</v>
      </c>
      <c r="C5593">
        <v>6.3045000000000004E-2</v>
      </c>
      <c r="D5593">
        <v>291</v>
      </c>
      <c r="E5593" t="s">
        <v>6062</v>
      </c>
      <c r="F5593">
        <v>291</v>
      </c>
      <c r="G5593" s="1">
        <v>45217</v>
      </c>
      <c r="H5593" s="6">
        <f t="shared" si="174"/>
        <v>36.020833333333876</v>
      </c>
      <c r="I5593" s="7">
        <f t="shared" si="175"/>
        <v>36.020833333333876</v>
      </c>
    </row>
    <row r="5594" spans="1:9" x14ac:dyDescent="0.2">
      <c r="A5594" t="s">
        <v>6063</v>
      </c>
      <c r="B5594">
        <v>4.4974999999999996</v>
      </c>
      <c r="C5594">
        <v>6.3E-2</v>
      </c>
      <c r="D5594">
        <v>291</v>
      </c>
      <c r="E5594" t="s">
        <v>6063</v>
      </c>
      <c r="F5594">
        <v>291</v>
      </c>
      <c r="G5594" s="1">
        <v>45217</v>
      </c>
      <c r="H5594" s="6">
        <f t="shared" si="174"/>
        <v>36.03125000000054</v>
      </c>
      <c r="I5594" s="7">
        <f t="shared" si="175"/>
        <v>36.03125000000054</v>
      </c>
    </row>
    <row r="5595" spans="1:9" x14ac:dyDescent="0.2">
      <c r="A5595" t="s">
        <v>6064</v>
      </c>
      <c r="B5595">
        <v>4.5670000000000002</v>
      </c>
      <c r="C5595">
        <v>6.3979999999999995E-2</v>
      </c>
      <c r="D5595">
        <v>291</v>
      </c>
      <c r="E5595" t="s">
        <v>6064</v>
      </c>
      <c r="F5595">
        <v>291</v>
      </c>
      <c r="G5595" s="1">
        <v>45217</v>
      </c>
      <c r="H5595" s="6">
        <f t="shared" si="174"/>
        <v>36.041666666667204</v>
      </c>
      <c r="I5595" s="7">
        <f t="shared" si="175"/>
        <v>36.041666666667204</v>
      </c>
    </row>
    <row r="5596" spans="1:9" x14ac:dyDescent="0.2">
      <c r="A5596" t="s">
        <v>6065</v>
      </c>
      <c r="B5596">
        <v>4.4610000000000003</v>
      </c>
      <c r="C5596">
        <v>6.2489999999999997E-2</v>
      </c>
      <c r="D5596">
        <v>291</v>
      </c>
      <c r="E5596" t="s">
        <v>6065</v>
      </c>
      <c r="F5596">
        <v>291</v>
      </c>
      <c r="G5596" s="1">
        <v>45217</v>
      </c>
      <c r="H5596" s="6">
        <f t="shared" ref="H5596:H5659" si="176">H5595+$K$1</f>
        <v>36.052083333333869</v>
      </c>
      <c r="I5596" s="7">
        <f t="shared" ref="I5596:I5659" si="177">I5595+$K$1</f>
        <v>36.052083333333869</v>
      </c>
    </row>
    <row r="5597" spans="1:9" x14ac:dyDescent="0.2">
      <c r="A5597" t="s">
        <v>6066</v>
      </c>
      <c r="B5597">
        <v>4.4504999999999999</v>
      </c>
      <c r="C5597">
        <v>6.2335000000000002E-2</v>
      </c>
      <c r="D5597">
        <v>291</v>
      </c>
      <c r="E5597" t="s">
        <v>6066</v>
      </c>
      <c r="F5597">
        <v>291</v>
      </c>
      <c r="G5597" s="1">
        <v>45217</v>
      </c>
      <c r="H5597" s="6">
        <f t="shared" si="176"/>
        <v>36.062500000000533</v>
      </c>
      <c r="I5597" s="7">
        <f t="shared" si="177"/>
        <v>36.062500000000533</v>
      </c>
    </row>
    <row r="5598" spans="1:9" x14ac:dyDescent="0.2">
      <c r="A5598" t="s">
        <v>6067</v>
      </c>
      <c r="B5598">
        <v>4.4669999999999996</v>
      </c>
      <c r="C5598">
        <v>6.2574999999999895E-2</v>
      </c>
      <c r="D5598">
        <v>291</v>
      </c>
      <c r="E5598" t="s">
        <v>6067</v>
      </c>
      <c r="F5598">
        <v>291</v>
      </c>
      <c r="G5598" s="1">
        <v>45217</v>
      </c>
      <c r="H5598" s="6">
        <f t="shared" si="176"/>
        <v>36.072916666667197</v>
      </c>
      <c r="I5598" s="7">
        <f t="shared" si="177"/>
        <v>36.072916666667197</v>
      </c>
    </row>
    <row r="5599" spans="1:9" x14ac:dyDescent="0.2">
      <c r="A5599" t="s">
        <v>6068</v>
      </c>
      <c r="B5599">
        <v>4.4115000000000002</v>
      </c>
      <c r="C5599">
        <v>6.1795000000000003E-2</v>
      </c>
      <c r="D5599">
        <v>291</v>
      </c>
      <c r="E5599" t="s">
        <v>6068</v>
      </c>
      <c r="F5599">
        <v>291</v>
      </c>
      <c r="G5599" s="1">
        <v>45217</v>
      </c>
      <c r="H5599" s="6">
        <f t="shared" si="176"/>
        <v>36.083333333333862</v>
      </c>
      <c r="I5599" s="7">
        <f t="shared" si="177"/>
        <v>36.083333333333862</v>
      </c>
    </row>
    <row r="5600" spans="1:9" x14ac:dyDescent="0.2">
      <c r="A5600" t="s">
        <v>6069</v>
      </c>
      <c r="B5600">
        <v>4.4249999999999998</v>
      </c>
      <c r="C5600">
        <v>6.198E-2</v>
      </c>
      <c r="D5600">
        <v>291</v>
      </c>
      <c r="E5600" t="s">
        <v>6069</v>
      </c>
      <c r="F5600">
        <v>291</v>
      </c>
      <c r="G5600" s="1">
        <v>45217</v>
      </c>
      <c r="H5600" s="6">
        <f t="shared" si="176"/>
        <v>36.093750000000526</v>
      </c>
      <c r="I5600" s="7">
        <f t="shared" si="177"/>
        <v>36.093750000000526</v>
      </c>
    </row>
    <row r="5601" spans="1:9" x14ac:dyDescent="0.2">
      <c r="A5601" t="s">
        <v>6070</v>
      </c>
      <c r="B5601">
        <v>4.4939999999999998</v>
      </c>
      <c r="C5601">
        <v>6.2945000000000001E-2</v>
      </c>
      <c r="D5601">
        <v>291</v>
      </c>
      <c r="E5601" t="s">
        <v>6070</v>
      </c>
      <c r="F5601">
        <v>291</v>
      </c>
      <c r="G5601" s="1">
        <v>45217</v>
      </c>
      <c r="H5601" s="6">
        <f t="shared" si="176"/>
        <v>36.10416666666719</v>
      </c>
      <c r="I5601" s="7">
        <f t="shared" si="177"/>
        <v>36.10416666666719</v>
      </c>
    </row>
    <row r="5602" spans="1:9" x14ac:dyDescent="0.2">
      <c r="A5602" t="s">
        <v>6071</v>
      </c>
      <c r="B5602">
        <v>4.4764999999999997</v>
      </c>
      <c r="C5602">
        <v>6.2725000000000003E-2</v>
      </c>
      <c r="D5602">
        <v>291</v>
      </c>
      <c r="E5602" t="s">
        <v>6071</v>
      </c>
      <c r="F5602">
        <v>291</v>
      </c>
      <c r="G5602" s="1">
        <v>45217</v>
      </c>
      <c r="H5602" s="6">
        <f t="shared" si="176"/>
        <v>36.114583333333854</v>
      </c>
      <c r="I5602" s="7">
        <f t="shared" si="177"/>
        <v>36.114583333333854</v>
      </c>
    </row>
    <row r="5603" spans="1:9" x14ac:dyDescent="0.2">
      <c r="A5603" t="s">
        <v>6072</v>
      </c>
      <c r="B5603">
        <v>4.4050000000000002</v>
      </c>
      <c r="C5603">
        <v>6.1705000000000003E-2</v>
      </c>
      <c r="D5603">
        <v>291</v>
      </c>
      <c r="E5603" t="s">
        <v>6072</v>
      </c>
      <c r="F5603">
        <v>291</v>
      </c>
      <c r="G5603" s="1">
        <v>45217</v>
      </c>
      <c r="H5603" s="6">
        <f t="shared" si="176"/>
        <v>36.125000000000519</v>
      </c>
      <c r="I5603" s="7">
        <f t="shared" si="177"/>
        <v>36.125000000000519</v>
      </c>
    </row>
    <row r="5604" spans="1:9" x14ac:dyDescent="0.2">
      <c r="A5604" t="s">
        <v>6073</v>
      </c>
      <c r="B5604">
        <v>4.4950000000000001</v>
      </c>
      <c r="C5604">
        <v>6.2979999999999994E-2</v>
      </c>
      <c r="D5604">
        <v>291</v>
      </c>
      <c r="E5604" t="s">
        <v>6073</v>
      </c>
      <c r="F5604">
        <v>291</v>
      </c>
      <c r="G5604" s="1">
        <v>45217</v>
      </c>
      <c r="H5604" s="6">
        <f t="shared" si="176"/>
        <v>36.135416666667183</v>
      </c>
      <c r="I5604" s="7">
        <f t="shared" si="177"/>
        <v>36.135416666667183</v>
      </c>
    </row>
    <row r="5605" spans="1:9" x14ac:dyDescent="0.2">
      <c r="A5605" t="s">
        <v>6074</v>
      </c>
      <c r="B5605">
        <v>4.5475000000000003</v>
      </c>
      <c r="C5605">
        <v>6.3700000000000007E-2</v>
      </c>
      <c r="D5605">
        <v>291</v>
      </c>
      <c r="E5605" t="s">
        <v>6074</v>
      </c>
      <c r="F5605">
        <v>291</v>
      </c>
      <c r="G5605" s="1">
        <v>45217</v>
      </c>
      <c r="H5605" s="6">
        <f t="shared" si="176"/>
        <v>36.145833333333847</v>
      </c>
      <c r="I5605" s="7">
        <f t="shared" si="177"/>
        <v>36.145833333333847</v>
      </c>
    </row>
    <row r="5606" spans="1:9" x14ac:dyDescent="0.2">
      <c r="A5606" t="s">
        <v>6075</v>
      </c>
      <c r="B5606">
        <v>4.4744999999999999</v>
      </c>
      <c r="C5606">
        <v>6.2674999999999995E-2</v>
      </c>
      <c r="D5606">
        <v>291</v>
      </c>
      <c r="E5606" t="s">
        <v>6075</v>
      </c>
      <c r="F5606">
        <v>291</v>
      </c>
      <c r="G5606" s="1">
        <v>45217</v>
      </c>
      <c r="H5606" s="6">
        <f t="shared" si="176"/>
        <v>36.156250000000512</v>
      </c>
      <c r="I5606" s="7">
        <f t="shared" si="177"/>
        <v>36.156250000000512</v>
      </c>
    </row>
    <row r="5607" spans="1:9" x14ac:dyDescent="0.2">
      <c r="A5607" t="s">
        <v>6076</v>
      </c>
      <c r="B5607">
        <v>4.4569999999999999</v>
      </c>
      <c r="C5607">
        <v>6.2414999999999998E-2</v>
      </c>
      <c r="D5607">
        <v>291</v>
      </c>
      <c r="E5607" t="s">
        <v>6076</v>
      </c>
      <c r="F5607">
        <v>291</v>
      </c>
      <c r="G5607" s="1">
        <v>45217</v>
      </c>
      <c r="H5607" s="6">
        <f t="shared" si="176"/>
        <v>36.166666666667176</v>
      </c>
      <c r="I5607" s="7">
        <f t="shared" si="177"/>
        <v>36.166666666667176</v>
      </c>
    </row>
    <row r="5608" spans="1:9" x14ac:dyDescent="0.2">
      <c r="A5608" t="s">
        <v>6077</v>
      </c>
      <c r="B5608">
        <v>4.2915000000000001</v>
      </c>
      <c r="C5608">
        <v>6.0104999999999999E-2</v>
      </c>
      <c r="D5608">
        <v>291</v>
      </c>
      <c r="E5608" t="s">
        <v>6077</v>
      </c>
      <c r="F5608">
        <v>291</v>
      </c>
      <c r="G5608" s="1">
        <v>45217</v>
      </c>
      <c r="H5608" s="6">
        <f t="shared" si="176"/>
        <v>36.17708333333384</v>
      </c>
      <c r="I5608" s="7">
        <f t="shared" si="177"/>
        <v>36.17708333333384</v>
      </c>
    </row>
    <row r="5609" spans="1:9" x14ac:dyDescent="0.2">
      <c r="A5609" t="s">
        <v>6078</v>
      </c>
      <c r="B5609">
        <v>4.2244999999999999</v>
      </c>
      <c r="C5609">
        <v>5.9165000000000002E-2</v>
      </c>
      <c r="D5609">
        <v>291</v>
      </c>
      <c r="E5609" t="s">
        <v>6078</v>
      </c>
      <c r="F5609">
        <v>291</v>
      </c>
      <c r="G5609" s="1">
        <v>45217</v>
      </c>
      <c r="H5609" s="6">
        <f t="shared" si="176"/>
        <v>36.187500000000504</v>
      </c>
      <c r="I5609" s="7">
        <f t="shared" si="177"/>
        <v>36.187500000000504</v>
      </c>
    </row>
    <row r="5610" spans="1:9" x14ac:dyDescent="0.2">
      <c r="A5610" t="s">
        <v>6079</v>
      </c>
      <c r="B5610">
        <v>4.1459999999999999</v>
      </c>
      <c r="C5610">
        <v>5.8064999999999999E-2</v>
      </c>
      <c r="D5610">
        <v>291</v>
      </c>
      <c r="E5610" t="s">
        <v>6079</v>
      </c>
      <c r="F5610">
        <v>291</v>
      </c>
      <c r="G5610" s="1">
        <v>45217</v>
      </c>
      <c r="H5610" s="6">
        <f t="shared" si="176"/>
        <v>36.197916666667169</v>
      </c>
      <c r="I5610" s="7">
        <f t="shared" si="177"/>
        <v>36.197916666667169</v>
      </c>
    </row>
    <row r="5611" spans="1:9" x14ac:dyDescent="0.2">
      <c r="A5611" t="s">
        <v>6080</v>
      </c>
      <c r="B5611">
        <v>4.3414999999999999</v>
      </c>
      <c r="C5611">
        <v>6.0804999999999998E-2</v>
      </c>
      <c r="D5611">
        <v>291</v>
      </c>
      <c r="E5611" t="s">
        <v>6080</v>
      </c>
      <c r="F5611">
        <v>291</v>
      </c>
      <c r="G5611" s="1">
        <v>45217</v>
      </c>
      <c r="H5611" s="6">
        <f t="shared" si="176"/>
        <v>36.208333333333833</v>
      </c>
      <c r="I5611" s="7">
        <f t="shared" si="177"/>
        <v>36.208333333333833</v>
      </c>
    </row>
    <row r="5612" spans="1:9" x14ac:dyDescent="0.2">
      <c r="A5612" t="s">
        <v>6081</v>
      </c>
      <c r="B5612">
        <v>4.4455</v>
      </c>
      <c r="C5612">
        <v>6.2285E-2</v>
      </c>
      <c r="D5612">
        <v>291</v>
      </c>
      <c r="E5612" t="s">
        <v>6081</v>
      </c>
      <c r="F5612">
        <v>291</v>
      </c>
      <c r="G5612" s="1">
        <v>45217</v>
      </c>
      <c r="H5612" s="6">
        <f t="shared" si="176"/>
        <v>36.218750000000497</v>
      </c>
      <c r="I5612" s="7">
        <f t="shared" si="177"/>
        <v>36.218750000000497</v>
      </c>
    </row>
    <row r="5613" spans="1:9" x14ac:dyDescent="0.2">
      <c r="A5613" t="s">
        <v>6082</v>
      </c>
      <c r="B5613">
        <v>4.3905000000000003</v>
      </c>
      <c r="C5613">
        <v>6.1504999999999997E-2</v>
      </c>
      <c r="D5613">
        <v>291</v>
      </c>
      <c r="E5613" t="s">
        <v>6082</v>
      </c>
      <c r="F5613">
        <v>291</v>
      </c>
      <c r="G5613" s="1">
        <v>45217</v>
      </c>
      <c r="H5613" s="6">
        <f t="shared" si="176"/>
        <v>36.229166666667162</v>
      </c>
      <c r="I5613" s="7">
        <f t="shared" si="177"/>
        <v>36.229166666667162</v>
      </c>
    </row>
    <row r="5614" spans="1:9" x14ac:dyDescent="0.2">
      <c r="A5614" t="s">
        <v>6083</v>
      </c>
      <c r="B5614">
        <v>4.2675000000000001</v>
      </c>
      <c r="C5614">
        <v>5.9769999999999997E-2</v>
      </c>
      <c r="D5614">
        <v>291</v>
      </c>
      <c r="E5614" t="s">
        <v>6083</v>
      </c>
      <c r="F5614">
        <v>291</v>
      </c>
      <c r="G5614" s="1">
        <v>45217</v>
      </c>
      <c r="H5614" s="6">
        <f t="shared" si="176"/>
        <v>36.239583333333826</v>
      </c>
      <c r="I5614" s="7">
        <f t="shared" si="177"/>
        <v>36.239583333333826</v>
      </c>
    </row>
    <row r="5615" spans="1:9" x14ac:dyDescent="0.2">
      <c r="A5615" t="s">
        <v>6084</v>
      </c>
      <c r="B5615">
        <v>4.1980000000000004</v>
      </c>
      <c r="C5615">
        <v>5.8799999999999998E-2</v>
      </c>
      <c r="D5615">
        <v>291</v>
      </c>
      <c r="E5615" t="s">
        <v>6084</v>
      </c>
      <c r="F5615">
        <v>291</v>
      </c>
      <c r="G5615" s="1">
        <v>45217</v>
      </c>
      <c r="H5615" s="6">
        <f t="shared" si="176"/>
        <v>36.25000000000049</v>
      </c>
      <c r="I5615" s="7">
        <f t="shared" si="177"/>
        <v>36.25000000000049</v>
      </c>
    </row>
    <row r="5616" spans="1:9" x14ac:dyDescent="0.2">
      <c r="A5616" t="s">
        <v>6085</v>
      </c>
      <c r="B5616">
        <v>4.3570000000000002</v>
      </c>
      <c r="C5616">
        <v>6.1039999999999997E-2</v>
      </c>
      <c r="D5616">
        <v>291</v>
      </c>
      <c r="E5616" t="s">
        <v>6085</v>
      </c>
      <c r="F5616">
        <v>291</v>
      </c>
      <c r="G5616" s="1">
        <v>45217</v>
      </c>
      <c r="H5616" s="6">
        <f t="shared" si="176"/>
        <v>36.260416666667155</v>
      </c>
      <c r="I5616" s="7">
        <f t="shared" si="177"/>
        <v>36.260416666667155</v>
      </c>
    </row>
    <row r="5617" spans="1:9" x14ac:dyDescent="0.2">
      <c r="A5617" t="s">
        <v>6086</v>
      </c>
      <c r="B5617">
        <v>3.98</v>
      </c>
      <c r="C5617">
        <v>5.5745000000000003E-2</v>
      </c>
      <c r="D5617">
        <v>291</v>
      </c>
      <c r="E5617" t="s">
        <v>6086</v>
      </c>
      <c r="F5617">
        <v>291</v>
      </c>
      <c r="G5617" s="1">
        <v>45217</v>
      </c>
      <c r="H5617" s="6">
        <f t="shared" si="176"/>
        <v>36.270833333333819</v>
      </c>
      <c r="I5617" s="7">
        <f t="shared" si="177"/>
        <v>36.270833333333819</v>
      </c>
    </row>
    <row r="5618" spans="1:9" x14ac:dyDescent="0.2">
      <c r="A5618" t="s">
        <v>6087</v>
      </c>
      <c r="B5618">
        <v>4.2039999999999997</v>
      </c>
      <c r="C5618">
        <v>5.8895000000000003E-2</v>
      </c>
      <c r="D5618">
        <v>291</v>
      </c>
      <c r="E5618" t="s">
        <v>6087</v>
      </c>
      <c r="F5618">
        <v>291</v>
      </c>
      <c r="G5618" s="1">
        <v>45217</v>
      </c>
      <c r="H5618" s="6">
        <f t="shared" si="176"/>
        <v>36.281250000000483</v>
      </c>
      <c r="I5618" s="7">
        <f t="shared" si="177"/>
        <v>36.281250000000483</v>
      </c>
    </row>
    <row r="5619" spans="1:9" x14ac:dyDescent="0.2">
      <c r="A5619" t="s">
        <v>6088</v>
      </c>
      <c r="B5619">
        <v>3.9129999999999998</v>
      </c>
      <c r="C5619">
        <v>5.4805E-2</v>
      </c>
      <c r="D5619">
        <v>291</v>
      </c>
      <c r="E5619" t="s">
        <v>6088</v>
      </c>
      <c r="F5619">
        <v>291</v>
      </c>
      <c r="G5619" s="1">
        <v>45217</v>
      </c>
      <c r="H5619" s="6">
        <f t="shared" si="176"/>
        <v>36.291666666667147</v>
      </c>
      <c r="I5619" s="7">
        <f t="shared" si="177"/>
        <v>36.291666666667147</v>
      </c>
    </row>
    <row r="5620" spans="1:9" x14ac:dyDescent="0.2">
      <c r="A5620" t="s">
        <v>6089</v>
      </c>
      <c r="B5620">
        <v>4.0705</v>
      </c>
      <c r="C5620">
        <v>5.7020000000000001E-2</v>
      </c>
      <c r="D5620">
        <v>291</v>
      </c>
      <c r="E5620" t="s">
        <v>6089</v>
      </c>
      <c r="F5620">
        <v>291</v>
      </c>
      <c r="G5620" s="1">
        <v>45217</v>
      </c>
      <c r="H5620" s="6">
        <f t="shared" si="176"/>
        <v>36.302083333333812</v>
      </c>
      <c r="I5620" s="7">
        <f t="shared" si="177"/>
        <v>36.302083333333812</v>
      </c>
    </row>
    <row r="5621" spans="1:9" x14ac:dyDescent="0.2">
      <c r="A5621" t="s">
        <v>6090</v>
      </c>
      <c r="B5621">
        <v>3.9965000000000002</v>
      </c>
      <c r="C5621">
        <v>5.5995000000000003E-2</v>
      </c>
      <c r="D5621">
        <v>291</v>
      </c>
      <c r="E5621" t="s">
        <v>6090</v>
      </c>
      <c r="F5621">
        <v>291</v>
      </c>
      <c r="G5621" s="1">
        <v>45217</v>
      </c>
      <c r="H5621" s="6">
        <f t="shared" si="176"/>
        <v>36.312500000000476</v>
      </c>
      <c r="I5621" s="7">
        <f t="shared" si="177"/>
        <v>36.312500000000476</v>
      </c>
    </row>
    <row r="5622" spans="1:9" x14ac:dyDescent="0.2">
      <c r="A5622" t="s">
        <v>6091</v>
      </c>
      <c r="B5622">
        <v>4.0884999999999998</v>
      </c>
      <c r="C5622">
        <v>5.7270000000000001E-2</v>
      </c>
      <c r="D5622">
        <v>291</v>
      </c>
      <c r="E5622" t="s">
        <v>6091</v>
      </c>
      <c r="F5622">
        <v>291</v>
      </c>
      <c r="G5622" s="1">
        <v>45217</v>
      </c>
      <c r="H5622" s="6">
        <f t="shared" si="176"/>
        <v>36.32291666666714</v>
      </c>
      <c r="I5622" s="7">
        <f t="shared" si="177"/>
        <v>36.32291666666714</v>
      </c>
    </row>
    <row r="5623" spans="1:9" x14ac:dyDescent="0.2">
      <c r="A5623" t="s">
        <v>6092</v>
      </c>
      <c r="B5623">
        <v>3.8855</v>
      </c>
      <c r="C5623">
        <v>5.4405000000000002E-2</v>
      </c>
      <c r="D5623">
        <v>291</v>
      </c>
      <c r="E5623" t="s">
        <v>6092</v>
      </c>
      <c r="F5623">
        <v>291</v>
      </c>
      <c r="G5623" s="1">
        <v>45217</v>
      </c>
      <c r="H5623" s="6">
        <f t="shared" si="176"/>
        <v>36.333333333333805</v>
      </c>
      <c r="I5623" s="7">
        <f t="shared" si="177"/>
        <v>36.333333333333805</v>
      </c>
    </row>
    <row r="5624" spans="1:9" x14ac:dyDescent="0.2">
      <c r="A5624" t="s">
        <v>6093</v>
      </c>
      <c r="B5624">
        <v>3.6964999999999999</v>
      </c>
      <c r="C5624">
        <v>5.1790000000000003E-2</v>
      </c>
      <c r="D5624">
        <v>291</v>
      </c>
      <c r="E5624" t="s">
        <v>6093</v>
      </c>
      <c r="F5624">
        <v>291</v>
      </c>
      <c r="G5624" s="1">
        <v>45217</v>
      </c>
      <c r="H5624" s="6">
        <f t="shared" si="176"/>
        <v>36.343750000000469</v>
      </c>
      <c r="I5624" s="7">
        <f t="shared" si="177"/>
        <v>36.343750000000469</v>
      </c>
    </row>
    <row r="5625" spans="1:9" x14ac:dyDescent="0.2">
      <c r="A5625" t="s">
        <v>6094</v>
      </c>
      <c r="B5625">
        <v>3.7204999999999999</v>
      </c>
      <c r="C5625">
        <v>5.2104999999999999E-2</v>
      </c>
      <c r="D5625">
        <v>291</v>
      </c>
      <c r="E5625" t="s">
        <v>6094</v>
      </c>
      <c r="F5625">
        <v>291</v>
      </c>
      <c r="G5625" s="1">
        <v>45217</v>
      </c>
      <c r="H5625" s="6">
        <f t="shared" si="176"/>
        <v>36.354166666667133</v>
      </c>
      <c r="I5625" s="7">
        <f t="shared" si="177"/>
        <v>36.354166666667133</v>
      </c>
    </row>
    <row r="5626" spans="1:9" x14ac:dyDescent="0.2">
      <c r="A5626" t="s">
        <v>6095</v>
      </c>
      <c r="B5626">
        <v>3.6204999999999998</v>
      </c>
      <c r="C5626">
        <v>5.0724999999999999E-2</v>
      </c>
      <c r="D5626">
        <v>291</v>
      </c>
      <c r="E5626" t="s">
        <v>6095</v>
      </c>
      <c r="F5626">
        <v>291</v>
      </c>
      <c r="G5626" s="1">
        <v>45217</v>
      </c>
      <c r="H5626" s="6">
        <f t="shared" si="176"/>
        <v>36.364583333333798</v>
      </c>
      <c r="I5626" s="7">
        <f t="shared" si="177"/>
        <v>36.364583333333798</v>
      </c>
    </row>
    <row r="5627" spans="1:9" x14ac:dyDescent="0.2">
      <c r="A5627" t="s">
        <v>6096</v>
      </c>
      <c r="B5627">
        <v>3.6059999999999999</v>
      </c>
      <c r="C5627">
        <v>5.0509999999999999E-2</v>
      </c>
      <c r="D5627">
        <v>291</v>
      </c>
      <c r="E5627" t="s">
        <v>6096</v>
      </c>
      <c r="F5627">
        <v>291</v>
      </c>
      <c r="G5627" s="1">
        <v>45217</v>
      </c>
      <c r="H5627" s="6">
        <f t="shared" si="176"/>
        <v>36.375000000000462</v>
      </c>
      <c r="I5627" s="7">
        <f t="shared" si="177"/>
        <v>36.375000000000462</v>
      </c>
    </row>
    <row r="5628" spans="1:9" x14ac:dyDescent="0.2">
      <c r="A5628" t="s">
        <v>6097</v>
      </c>
      <c r="B5628">
        <v>3.3439999999999999</v>
      </c>
      <c r="C5628">
        <v>4.6835000000000002E-2</v>
      </c>
      <c r="D5628">
        <v>291</v>
      </c>
      <c r="E5628" t="s">
        <v>6097</v>
      </c>
      <c r="F5628">
        <v>291</v>
      </c>
      <c r="G5628" s="1">
        <v>45217</v>
      </c>
      <c r="H5628" s="6">
        <f t="shared" si="176"/>
        <v>36.385416666667126</v>
      </c>
      <c r="I5628" s="7">
        <f t="shared" si="177"/>
        <v>36.385416666667126</v>
      </c>
    </row>
    <row r="5629" spans="1:9" x14ac:dyDescent="0.2">
      <c r="A5629" t="s">
        <v>6098</v>
      </c>
      <c r="B5629">
        <v>3.4904999999999999</v>
      </c>
      <c r="C5629">
        <v>4.8895000000000001E-2</v>
      </c>
      <c r="D5629">
        <v>291</v>
      </c>
      <c r="E5629" t="s">
        <v>6098</v>
      </c>
      <c r="F5629">
        <v>291</v>
      </c>
      <c r="G5629" s="1">
        <v>45217</v>
      </c>
      <c r="H5629" s="6">
        <f t="shared" si="176"/>
        <v>36.39583333333379</v>
      </c>
      <c r="I5629" s="7">
        <f t="shared" si="177"/>
        <v>36.39583333333379</v>
      </c>
    </row>
    <row r="5630" spans="1:9" x14ac:dyDescent="0.2">
      <c r="A5630" t="s">
        <v>6099</v>
      </c>
      <c r="B5630">
        <v>3.2090000000000001</v>
      </c>
      <c r="C5630">
        <v>4.4935000000000003E-2</v>
      </c>
      <c r="D5630">
        <v>291</v>
      </c>
      <c r="E5630" t="s">
        <v>6099</v>
      </c>
      <c r="F5630">
        <v>291</v>
      </c>
      <c r="G5630" s="1">
        <v>45217</v>
      </c>
      <c r="H5630" s="6">
        <f t="shared" si="176"/>
        <v>36.406250000000455</v>
      </c>
      <c r="I5630" s="7">
        <f t="shared" si="177"/>
        <v>36.406250000000455</v>
      </c>
    </row>
    <row r="5631" spans="1:9" x14ac:dyDescent="0.2">
      <c r="A5631" t="s">
        <v>6100</v>
      </c>
      <c r="B5631" s="2" t="s">
        <v>6101</v>
      </c>
      <c r="C5631">
        <v>5.5245000000000002E-2</v>
      </c>
      <c r="D5631">
        <v>291</v>
      </c>
      <c r="E5631" t="s">
        <v>6100</v>
      </c>
      <c r="F5631">
        <v>291</v>
      </c>
      <c r="G5631" s="1">
        <v>45217</v>
      </c>
      <c r="H5631" s="6">
        <f t="shared" si="176"/>
        <v>36.416666666667119</v>
      </c>
      <c r="I5631" s="7">
        <f t="shared" si="177"/>
        <v>36.416666666667119</v>
      </c>
    </row>
    <row r="5632" spans="1:9" x14ac:dyDescent="0.2">
      <c r="A5632" t="s">
        <v>6102</v>
      </c>
      <c r="B5632">
        <v>3.6735000000000002</v>
      </c>
      <c r="C5632">
        <v>5.1435000000000002E-2</v>
      </c>
      <c r="D5632">
        <v>291</v>
      </c>
      <c r="E5632" t="s">
        <v>6102</v>
      </c>
      <c r="F5632">
        <v>291</v>
      </c>
      <c r="G5632" s="1">
        <v>45217</v>
      </c>
      <c r="H5632" s="6">
        <f t="shared" si="176"/>
        <v>36.427083333333783</v>
      </c>
      <c r="I5632" s="7">
        <f t="shared" si="177"/>
        <v>36.427083333333783</v>
      </c>
    </row>
    <row r="5633" spans="1:9" x14ac:dyDescent="0.2">
      <c r="A5633" t="s">
        <v>6103</v>
      </c>
      <c r="B5633">
        <v>3.536</v>
      </c>
      <c r="C5633" s="2" t="s">
        <v>6104</v>
      </c>
      <c r="D5633">
        <v>291</v>
      </c>
      <c r="E5633" t="s">
        <v>6103</v>
      </c>
      <c r="F5633">
        <v>291</v>
      </c>
      <c r="G5633" s="1">
        <v>45217</v>
      </c>
      <c r="H5633" s="6">
        <f t="shared" si="176"/>
        <v>36.437500000000448</v>
      </c>
      <c r="I5633" s="7">
        <f t="shared" si="177"/>
        <v>36.437500000000448</v>
      </c>
    </row>
    <row r="5634" spans="1:9" x14ac:dyDescent="0.2">
      <c r="A5634" t="s">
        <v>6105</v>
      </c>
      <c r="B5634">
        <v>3.121</v>
      </c>
      <c r="C5634">
        <v>4.3694999999999998E-2</v>
      </c>
      <c r="D5634">
        <v>291</v>
      </c>
      <c r="E5634" t="s">
        <v>6105</v>
      </c>
      <c r="F5634">
        <v>291</v>
      </c>
      <c r="G5634" s="1">
        <v>45217</v>
      </c>
      <c r="H5634" s="6">
        <f t="shared" si="176"/>
        <v>36.447916666667112</v>
      </c>
      <c r="I5634" s="7">
        <f t="shared" si="177"/>
        <v>36.447916666667112</v>
      </c>
    </row>
    <row r="5635" spans="1:9" x14ac:dyDescent="0.2">
      <c r="A5635" t="s">
        <v>6106</v>
      </c>
      <c r="B5635">
        <v>3.5680000000000001</v>
      </c>
      <c r="C5635">
        <v>4.9954999999999999E-2</v>
      </c>
      <c r="D5635">
        <v>291</v>
      </c>
      <c r="E5635" t="s">
        <v>6106</v>
      </c>
      <c r="F5635">
        <v>291</v>
      </c>
      <c r="G5635" s="1">
        <v>45217</v>
      </c>
      <c r="H5635" s="6">
        <f t="shared" si="176"/>
        <v>36.458333333333776</v>
      </c>
      <c r="I5635" s="7">
        <f t="shared" si="177"/>
        <v>36.458333333333776</v>
      </c>
    </row>
    <row r="5636" spans="1:9" x14ac:dyDescent="0.2">
      <c r="A5636" t="s">
        <v>6107</v>
      </c>
      <c r="B5636" s="2" t="s">
        <v>6108</v>
      </c>
      <c r="C5636">
        <v>5.0360000000000002E-2</v>
      </c>
      <c r="D5636">
        <v>291</v>
      </c>
      <c r="E5636" t="s">
        <v>6107</v>
      </c>
      <c r="F5636">
        <v>291</v>
      </c>
      <c r="G5636" s="1">
        <v>45217</v>
      </c>
      <c r="H5636" s="6">
        <f t="shared" si="176"/>
        <v>36.468750000000441</v>
      </c>
      <c r="I5636" s="7">
        <f t="shared" si="177"/>
        <v>36.468750000000441</v>
      </c>
    </row>
    <row r="5637" spans="1:9" x14ac:dyDescent="0.2">
      <c r="A5637" t="s">
        <v>6109</v>
      </c>
      <c r="B5637">
        <v>3.581</v>
      </c>
      <c r="C5637">
        <v>5.015E-2</v>
      </c>
      <c r="D5637">
        <v>291</v>
      </c>
      <c r="E5637" t="s">
        <v>6109</v>
      </c>
      <c r="F5637">
        <v>291</v>
      </c>
      <c r="G5637" s="1">
        <v>45217</v>
      </c>
      <c r="H5637" s="6">
        <f t="shared" si="176"/>
        <v>36.479166666667105</v>
      </c>
      <c r="I5637" s="7">
        <f t="shared" si="177"/>
        <v>36.479166666667105</v>
      </c>
    </row>
    <row r="5638" spans="1:9" x14ac:dyDescent="0.2">
      <c r="A5638" t="s">
        <v>6110</v>
      </c>
      <c r="B5638">
        <v>3.4584999999999999</v>
      </c>
      <c r="C5638">
        <v>4.8439999999999997E-2</v>
      </c>
      <c r="D5638">
        <v>291</v>
      </c>
      <c r="E5638" t="s">
        <v>6110</v>
      </c>
      <c r="F5638">
        <v>291</v>
      </c>
      <c r="G5638" s="1">
        <v>45217</v>
      </c>
      <c r="H5638" s="6">
        <f t="shared" si="176"/>
        <v>36.489583333333769</v>
      </c>
      <c r="I5638" s="7">
        <f t="shared" si="177"/>
        <v>36.489583333333769</v>
      </c>
    </row>
    <row r="5639" spans="1:9" x14ac:dyDescent="0.2">
      <c r="A5639" t="s">
        <v>6111</v>
      </c>
      <c r="B5639">
        <v>3.3685</v>
      </c>
      <c r="C5639">
        <v>4.7190000000000003E-2</v>
      </c>
      <c r="D5639">
        <v>291</v>
      </c>
      <c r="E5639" t="s">
        <v>6111</v>
      </c>
      <c r="F5639">
        <v>291</v>
      </c>
      <c r="G5639" s="1">
        <v>45217</v>
      </c>
      <c r="H5639" s="6">
        <f t="shared" si="176"/>
        <v>36.500000000000433</v>
      </c>
      <c r="I5639" s="7">
        <f t="shared" si="177"/>
        <v>36.500000000000433</v>
      </c>
    </row>
    <row r="5640" spans="1:9" x14ac:dyDescent="0.2">
      <c r="A5640" t="s">
        <v>6112</v>
      </c>
      <c r="B5640">
        <v>3.448</v>
      </c>
      <c r="C5640">
        <v>4.8285000000000002E-2</v>
      </c>
      <c r="D5640">
        <v>291</v>
      </c>
      <c r="E5640" t="s">
        <v>6112</v>
      </c>
      <c r="F5640">
        <v>291</v>
      </c>
      <c r="G5640" s="1">
        <v>45217</v>
      </c>
      <c r="H5640" s="6">
        <f t="shared" si="176"/>
        <v>36.510416666667098</v>
      </c>
      <c r="I5640" s="7">
        <f t="shared" si="177"/>
        <v>36.510416666667098</v>
      </c>
    </row>
    <row r="5641" spans="1:9" x14ac:dyDescent="0.2">
      <c r="A5641" t="s">
        <v>6113</v>
      </c>
      <c r="B5641">
        <v>3.55</v>
      </c>
      <c r="C5641" s="2" t="s">
        <v>2137</v>
      </c>
      <c r="D5641">
        <v>291</v>
      </c>
      <c r="E5641" t="s">
        <v>6113</v>
      </c>
      <c r="F5641">
        <v>291</v>
      </c>
      <c r="G5641" s="1">
        <v>45217</v>
      </c>
      <c r="H5641" s="6">
        <f t="shared" si="176"/>
        <v>36.520833333333762</v>
      </c>
      <c r="I5641" s="7">
        <f t="shared" si="177"/>
        <v>36.520833333333762</v>
      </c>
    </row>
    <row r="5642" spans="1:9" x14ac:dyDescent="0.2">
      <c r="A5642" t="s">
        <v>6114</v>
      </c>
      <c r="B5642" s="2" t="s">
        <v>6115</v>
      </c>
      <c r="C5642">
        <v>4.6954999999999997E-2</v>
      </c>
      <c r="D5642">
        <v>291</v>
      </c>
      <c r="E5642" t="s">
        <v>6114</v>
      </c>
      <c r="F5642">
        <v>291</v>
      </c>
      <c r="G5642" s="1">
        <v>45217</v>
      </c>
      <c r="H5642" s="6">
        <f t="shared" si="176"/>
        <v>36.531250000000426</v>
      </c>
      <c r="I5642" s="7">
        <f t="shared" si="177"/>
        <v>36.531250000000426</v>
      </c>
    </row>
    <row r="5643" spans="1:9" x14ac:dyDescent="0.2">
      <c r="A5643" t="s">
        <v>6116</v>
      </c>
      <c r="B5643">
        <v>3.4184999999999999</v>
      </c>
      <c r="C5643">
        <v>4.7884999999999997E-2</v>
      </c>
      <c r="D5643">
        <v>291</v>
      </c>
      <c r="E5643" t="s">
        <v>6116</v>
      </c>
      <c r="F5643">
        <v>291</v>
      </c>
      <c r="G5643" s="1">
        <v>45217</v>
      </c>
      <c r="H5643" s="6">
        <f t="shared" si="176"/>
        <v>36.541666666667091</v>
      </c>
      <c r="I5643" s="7">
        <f t="shared" si="177"/>
        <v>36.541666666667091</v>
      </c>
    </row>
    <row r="5644" spans="1:9" x14ac:dyDescent="0.2">
      <c r="A5644" t="s">
        <v>6117</v>
      </c>
      <c r="B5644">
        <v>3.6114999999999999</v>
      </c>
      <c r="C5644">
        <v>5.0599999999999999E-2</v>
      </c>
      <c r="D5644">
        <v>291</v>
      </c>
      <c r="E5644" t="s">
        <v>6117</v>
      </c>
      <c r="F5644">
        <v>291</v>
      </c>
      <c r="G5644" s="1">
        <v>45217</v>
      </c>
      <c r="H5644" s="6">
        <f t="shared" si="176"/>
        <v>36.552083333333755</v>
      </c>
      <c r="I5644" s="7">
        <f t="shared" si="177"/>
        <v>36.552083333333755</v>
      </c>
    </row>
    <row r="5645" spans="1:9" x14ac:dyDescent="0.2">
      <c r="A5645" t="s">
        <v>6118</v>
      </c>
      <c r="B5645">
        <v>3.6084999999999998</v>
      </c>
      <c r="C5645">
        <v>5.0549999999999998E-2</v>
      </c>
      <c r="D5645">
        <v>291</v>
      </c>
      <c r="E5645" t="s">
        <v>6118</v>
      </c>
      <c r="F5645">
        <v>291</v>
      </c>
      <c r="G5645" s="1">
        <v>45217</v>
      </c>
      <c r="H5645" s="6">
        <f t="shared" si="176"/>
        <v>36.562500000000419</v>
      </c>
      <c r="I5645" s="7">
        <f t="shared" si="177"/>
        <v>36.562500000000419</v>
      </c>
    </row>
    <row r="5646" spans="1:9" x14ac:dyDescent="0.2">
      <c r="A5646" t="s">
        <v>6119</v>
      </c>
      <c r="B5646">
        <v>3.669</v>
      </c>
      <c r="C5646">
        <v>5.1395000000000003E-2</v>
      </c>
      <c r="D5646">
        <v>291</v>
      </c>
      <c r="E5646" t="s">
        <v>6119</v>
      </c>
      <c r="F5646">
        <v>291</v>
      </c>
      <c r="G5646" s="1">
        <v>45217</v>
      </c>
      <c r="H5646" s="6">
        <f t="shared" si="176"/>
        <v>36.572916666667084</v>
      </c>
      <c r="I5646" s="7">
        <f t="shared" si="177"/>
        <v>36.572916666667084</v>
      </c>
    </row>
    <row r="5647" spans="1:9" x14ac:dyDescent="0.2">
      <c r="A5647" t="s">
        <v>6120</v>
      </c>
      <c r="B5647">
        <v>3.7869999999999999</v>
      </c>
      <c r="C5647">
        <v>5.3039999999999997E-2</v>
      </c>
      <c r="D5647">
        <v>291</v>
      </c>
      <c r="E5647" t="s">
        <v>6120</v>
      </c>
      <c r="F5647">
        <v>291</v>
      </c>
      <c r="G5647" s="1">
        <v>45217</v>
      </c>
      <c r="H5647" s="6">
        <f t="shared" si="176"/>
        <v>36.583333333333748</v>
      </c>
      <c r="I5647" s="7">
        <f t="shared" si="177"/>
        <v>36.583333333333748</v>
      </c>
    </row>
    <row r="5648" spans="1:9" x14ac:dyDescent="0.2">
      <c r="A5648" t="s">
        <v>6121</v>
      </c>
      <c r="B5648">
        <v>3.8555000000000001</v>
      </c>
      <c r="C5648">
        <v>5.4010000000000002E-2</v>
      </c>
      <c r="D5648">
        <v>291</v>
      </c>
      <c r="E5648" t="s">
        <v>6121</v>
      </c>
      <c r="F5648">
        <v>291</v>
      </c>
      <c r="G5648" s="1">
        <v>45217</v>
      </c>
      <c r="H5648" s="6">
        <f t="shared" si="176"/>
        <v>36.593750000000412</v>
      </c>
      <c r="I5648" s="7">
        <f t="shared" si="177"/>
        <v>36.593750000000412</v>
      </c>
    </row>
    <row r="5649" spans="1:9" x14ac:dyDescent="0.2">
      <c r="A5649" t="s">
        <v>6122</v>
      </c>
      <c r="B5649">
        <v>3.8780000000000001</v>
      </c>
      <c r="C5649">
        <v>5.4330000000000003E-2</v>
      </c>
      <c r="D5649">
        <v>292</v>
      </c>
      <c r="E5649" t="s">
        <v>6122</v>
      </c>
      <c r="F5649">
        <v>291</v>
      </c>
      <c r="G5649" s="1">
        <v>45217</v>
      </c>
      <c r="H5649" s="6">
        <f t="shared" si="176"/>
        <v>36.604166666667076</v>
      </c>
      <c r="I5649" s="7">
        <f t="shared" si="177"/>
        <v>36.604166666667076</v>
      </c>
    </row>
    <row r="5650" spans="1:9" x14ac:dyDescent="0.2">
      <c r="A5650" t="s">
        <v>6123</v>
      </c>
      <c r="B5650">
        <v>3.7725</v>
      </c>
      <c r="C5650">
        <v>5.2850000000000001E-2</v>
      </c>
      <c r="D5650">
        <v>292</v>
      </c>
      <c r="E5650" t="s">
        <v>6123</v>
      </c>
      <c r="F5650">
        <v>291</v>
      </c>
      <c r="G5650" s="1">
        <v>45217</v>
      </c>
      <c r="H5650" s="6">
        <f t="shared" si="176"/>
        <v>36.614583333333741</v>
      </c>
      <c r="I5650" s="7">
        <f t="shared" si="177"/>
        <v>36.614583333333741</v>
      </c>
    </row>
    <row r="5651" spans="1:9" x14ac:dyDescent="0.2">
      <c r="A5651" t="s">
        <v>6124</v>
      </c>
      <c r="B5651">
        <v>3.6920000000000002</v>
      </c>
      <c r="C5651">
        <v>5.1714999999999997E-2</v>
      </c>
      <c r="D5651">
        <v>292</v>
      </c>
      <c r="E5651" t="s">
        <v>6124</v>
      </c>
      <c r="F5651">
        <v>291</v>
      </c>
      <c r="G5651" s="1">
        <v>45217</v>
      </c>
      <c r="H5651" s="6">
        <f t="shared" si="176"/>
        <v>36.625000000000405</v>
      </c>
      <c r="I5651" s="7">
        <f t="shared" si="177"/>
        <v>36.625000000000405</v>
      </c>
    </row>
    <row r="5652" spans="1:9" x14ac:dyDescent="0.2">
      <c r="A5652" t="s">
        <v>6125</v>
      </c>
      <c r="B5652">
        <v>3.6579999999999999</v>
      </c>
      <c r="C5652">
        <v>5.1244999999999999E-2</v>
      </c>
      <c r="D5652">
        <v>292</v>
      </c>
      <c r="E5652" t="s">
        <v>6125</v>
      </c>
      <c r="F5652">
        <v>291</v>
      </c>
      <c r="G5652" s="1">
        <v>45217</v>
      </c>
      <c r="H5652" s="6">
        <f t="shared" si="176"/>
        <v>36.635416666667069</v>
      </c>
      <c r="I5652" s="7">
        <f t="shared" si="177"/>
        <v>36.635416666667069</v>
      </c>
    </row>
    <row r="5653" spans="1:9" x14ac:dyDescent="0.2">
      <c r="A5653" t="s">
        <v>6126</v>
      </c>
      <c r="B5653" s="2" t="s">
        <v>6127</v>
      </c>
      <c r="C5653">
        <v>4.9110000000000001E-2</v>
      </c>
      <c r="D5653">
        <v>292</v>
      </c>
      <c r="E5653" t="s">
        <v>6126</v>
      </c>
      <c r="F5653">
        <v>291</v>
      </c>
      <c r="G5653" s="1">
        <v>45217</v>
      </c>
      <c r="H5653" s="6">
        <f t="shared" si="176"/>
        <v>36.645833333333734</v>
      </c>
      <c r="I5653" s="7">
        <f t="shared" si="177"/>
        <v>36.645833333333734</v>
      </c>
    </row>
    <row r="5654" spans="1:9" x14ac:dyDescent="0.2">
      <c r="A5654" t="s">
        <v>6128</v>
      </c>
      <c r="B5654">
        <v>3.673</v>
      </c>
      <c r="C5654">
        <v>5.1444999999999998E-2</v>
      </c>
      <c r="D5654">
        <v>292</v>
      </c>
      <c r="E5654" t="s">
        <v>6128</v>
      </c>
      <c r="F5654">
        <v>291</v>
      </c>
      <c r="G5654" s="1">
        <v>45217</v>
      </c>
      <c r="H5654" s="6">
        <f t="shared" si="176"/>
        <v>36.656250000000398</v>
      </c>
      <c r="I5654" s="7">
        <f t="shared" si="177"/>
        <v>36.656250000000398</v>
      </c>
    </row>
    <row r="5655" spans="1:9" x14ac:dyDescent="0.2">
      <c r="A5655" t="s">
        <v>6129</v>
      </c>
      <c r="B5655">
        <v>3.8125</v>
      </c>
      <c r="C5655">
        <v>5.3374999999999999E-2</v>
      </c>
      <c r="D5655">
        <v>292</v>
      </c>
      <c r="E5655" t="s">
        <v>6129</v>
      </c>
      <c r="F5655">
        <v>291</v>
      </c>
      <c r="G5655" s="1">
        <v>45217</v>
      </c>
      <c r="H5655" s="6">
        <f t="shared" si="176"/>
        <v>36.666666666667062</v>
      </c>
      <c r="I5655" s="7">
        <f t="shared" si="177"/>
        <v>36.666666666667062</v>
      </c>
    </row>
    <row r="5656" spans="1:9" x14ac:dyDescent="0.2">
      <c r="A5656" t="s">
        <v>6130</v>
      </c>
      <c r="B5656" s="2" t="s">
        <v>556</v>
      </c>
      <c r="C5656">
        <v>5.2455000000000002E-2</v>
      </c>
      <c r="D5656">
        <v>292</v>
      </c>
      <c r="E5656" t="s">
        <v>6130</v>
      </c>
      <c r="F5656">
        <v>291</v>
      </c>
      <c r="G5656" s="1">
        <v>45217</v>
      </c>
      <c r="H5656" s="6">
        <f t="shared" si="176"/>
        <v>36.677083333333727</v>
      </c>
      <c r="I5656" s="7">
        <f t="shared" si="177"/>
        <v>36.677083333333727</v>
      </c>
    </row>
    <row r="5657" spans="1:9" x14ac:dyDescent="0.2">
      <c r="A5657" t="s">
        <v>6131</v>
      </c>
      <c r="B5657">
        <v>3.867</v>
      </c>
      <c r="C5657">
        <v>5.4164999999999998E-2</v>
      </c>
      <c r="D5657">
        <v>292</v>
      </c>
      <c r="E5657" t="s">
        <v>6131</v>
      </c>
      <c r="F5657">
        <v>291</v>
      </c>
      <c r="G5657" s="1">
        <v>45217</v>
      </c>
      <c r="H5657" s="6">
        <f t="shared" si="176"/>
        <v>36.687500000000391</v>
      </c>
      <c r="I5657" s="7">
        <f t="shared" si="177"/>
        <v>36.687500000000391</v>
      </c>
    </row>
    <row r="5658" spans="1:9" x14ac:dyDescent="0.2">
      <c r="A5658" t="s">
        <v>6132</v>
      </c>
      <c r="B5658">
        <v>3.9504999999999999</v>
      </c>
      <c r="C5658">
        <v>5.5315000000000003E-2</v>
      </c>
      <c r="D5658">
        <v>292</v>
      </c>
      <c r="E5658" t="s">
        <v>6132</v>
      </c>
      <c r="F5658">
        <v>291</v>
      </c>
      <c r="G5658" s="1">
        <v>45217</v>
      </c>
      <c r="H5658" s="6">
        <f t="shared" si="176"/>
        <v>36.697916666667055</v>
      </c>
      <c r="I5658" s="7">
        <f t="shared" si="177"/>
        <v>36.697916666667055</v>
      </c>
    </row>
    <row r="5659" spans="1:9" x14ac:dyDescent="0.2">
      <c r="A5659" t="s">
        <v>6133</v>
      </c>
      <c r="B5659">
        <v>4.1505000000000001</v>
      </c>
      <c r="C5659">
        <v>5.8139999999999997E-2</v>
      </c>
      <c r="D5659">
        <v>292</v>
      </c>
      <c r="E5659" t="s">
        <v>6133</v>
      </c>
      <c r="F5659">
        <v>291</v>
      </c>
      <c r="G5659" s="1">
        <v>45217</v>
      </c>
      <c r="H5659" s="6">
        <f t="shared" si="176"/>
        <v>36.708333333333719</v>
      </c>
      <c r="I5659" s="7">
        <f t="shared" si="177"/>
        <v>36.708333333333719</v>
      </c>
    </row>
    <row r="5660" spans="1:9" x14ac:dyDescent="0.2">
      <c r="A5660" t="s">
        <v>6134</v>
      </c>
      <c r="B5660">
        <v>4.1779999999999999</v>
      </c>
      <c r="C5660">
        <v>5.8514999999999998E-2</v>
      </c>
      <c r="D5660">
        <v>292</v>
      </c>
      <c r="E5660" t="s">
        <v>6134</v>
      </c>
      <c r="F5660">
        <v>291</v>
      </c>
      <c r="G5660" s="1">
        <v>45217</v>
      </c>
      <c r="H5660" s="6">
        <f t="shared" ref="H5660:H5723" si="178">H5659+$K$1</f>
        <v>36.718750000000384</v>
      </c>
      <c r="I5660" s="7">
        <f t="shared" ref="I5660:I5723" si="179">I5659+$K$1</f>
        <v>36.718750000000384</v>
      </c>
    </row>
    <row r="5661" spans="1:9" x14ac:dyDescent="0.2">
      <c r="A5661" t="s">
        <v>6135</v>
      </c>
      <c r="B5661">
        <v>4.4424999999999999</v>
      </c>
      <c r="C5661">
        <v>6.2214999999999999E-2</v>
      </c>
      <c r="D5661">
        <v>292</v>
      </c>
      <c r="E5661" t="s">
        <v>6135</v>
      </c>
      <c r="F5661">
        <v>291</v>
      </c>
      <c r="G5661" s="1">
        <v>45217</v>
      </c>
      <c r="H5661" s="6">
        <f t="shared" si="178"/>
        <v>36.729166666667048</v>
      </c>
      <c r="I5661" s="7">
        <f t="shared" si="179"/>
        <v>36.729166666667048</v>
      </c>
    </row>
    <row r="5662" spans="1:9" x14ac:dyDescent="0.2">
      <c r="A5662" t="s">
        <v>6136</v>
      </c>
      <c r="B5662">
        <v>4.2015000000000002</v>
      </c>
      <c r="C5662">
        <v>5.8854999999999998E-2</v>
      </c>
      <c r="D5662">
        <v>292</v>
      </c>
      <c r="E5662" t="s">
        <v>6136</v>
      </c>
      <c r="F5662">
        <v>291</v>
      </c>
      <c r="G5662" s="1">
        <v>45217</v>
      </c>
      <c r="H5662" s="6">
        <f t="shared" si="178"/>
        <v>36.739583333333712</v>
      </c>
      <c r="I5662" s="7">
        <f t="shared" si="179"/>
        <v>36.739583333333712</v>
      </c>
    </row>
    <row r="5663" spans="1:9" x14ac:dyDescent="0.2">
      <c r="A5663" t="s">
        <v>6137</v>
      </c>
      <c r="B5663">
        <v>4.5060000000000002</v>
      </c>
      <c r="C5663">
        <v>6.3134999999999997E-2</v>
      </c>
      <c r="D5663">
        <v>292</v>
      </c>
      <c r="E5663" t="s">
        <v>6137</v>
      </c>
      <c r="F5663">
        <v>291</v>
      </c>
      <c r="G5663" s="1">
        <v>45217</v>
      </c>
      <c r="H5663" s="6">
        <f t="shared" si="178"/>
        <v>36.750000000000377</v>
      </c>
      <c r="I5663" s="7">
        <f t="shared" si="179"/>
        <v>36.750000000000377</v>
      </c>
    </row>
    <row r="5664" spans="1:9" x14ac:dyDescent="0.2">
      <c r="A5664" t="s">
        <v>6138</v>
      </c>
      <c r="B5664">
        <v>4.2995000000000001</v>
      </c>
      <c r="C5664">
        <v>6.0229999999999999E-2</v>
      </c>
      <c r="D5664">
        <v>292</v>
      </c>
      <c r="E5664" t="s">
        <v>6138</v>
      </c>
      <c r="F5664">
        <v>291</v>
      </c>
      <c r="G5664" s="1">
        <v>45217</v>
      </c>
      <c r="H5664" s="6">
        <f t="shared" si="178"/>
        <v>36.760416666667041</v>
      </c>
      <c r="I5664" s="7">
        <f t="shared" si="179"/>
        <v>36.760416666667041</v>
      </c>
    </row>
    <row r="5665" spans="1:9" x14ac:dyDescent="0.2">
      <c r="A5665" t="s">
        <v>6139</v>
      </c>
      <c r="B5665">
        <v>4.4104999999999999</v>
      </c>
      <c r="C5665">
        <v>6.1769999999999999E-2</v>
      </c>
      <c r="D5665">
        <v>292</v>
      </c>
      <c r="E5665" t="s">
        <v>6139</v>
      </c>
      <c r="F5665">
        <v>291</v>
      </c>
      <c r="G5665" s="1">
        <v>45217</v>
      </c>
      <c r="H5665" s="6">
        <f t="shared" si="178"/>
        <v>36.770833333333705</v>
      </c>
      <c r="I5665" s="7">
        <f t="shared" si="179"/>
        <v>36.770833333333705</v>
      </c>
    </row>
    <row r="5666" spans="1:9" x14ac:dyDescent="0.2">
      <c r="A5666" t="s">
        <v>6140</v>
      </c>
      <c r="B5666">
        <v>4.6585000000000001</v>
      </c>
      <c r="C5666">
        <v>6.5259999999999999E-2</v>
      </c>
      <c r="D5666">
        <v>292</v>
      </c>
      <c r="E5666" t="s">
        <v>6140</v>
      </c>
      <c r="F5666">
        <v>291</v>
      </c>
      <c r="G5666" s="1">
        <v>45217</v>
      </c>
      <c r="H5666" s="6">
        <f t="shared" si="178"/>
        <v>36.781250000000369</v>
      </c>
      <c r="I5666" s="7">
        <f t="shared" si="179"/>
        <v>36.781250000000369</v>
      </c>
    </row>
    <row r="5667" spans="1:9" x14ac:dyDescent="0.2">
      <c r="A5667" t="s">
        <v>6141</v>
      </c>
      <c r="B5667">
        <v>4.383</v>
      </c>
      <c r="C5667">
        <v>6.1394999999999998E-2</v>
      </c>
      <c r="D5667">
        <v>292</v>
      </c>
      <c r="E5667" t="s">
        <v>6141</v>
      </c>
      <c r="F5667">
        <v>291</v>
      </c>
      <c r="G5667" s="1">
        <v>45217</v>
      </c>
      <c r="H5667" s="6">
        <f t="shared" si="178"/>
        <v>36.791666666667034</v>
      </c>
      <c r="I5667" s="7">
        <f t="shared" si="179"/>
        <v>36.791666666667034</v>
      </c>
    </row>
    <row r="5668" spans="1:9" x14ac:dyDescent="0.2">
      <c r="A5668" t="s">
        <v>6142</v>
      </c>
      <c r="B5668">
        <v>4.2445000000000004</v>
      </c>
      <c r="C5668">
        <v>5.9444999999999998E-2</v>
      </c>
      <c r="D5668">
        <v>292</v>
      </c>
      <c r="E5668" t="s">
        <v>6142</v>
      </c>
      <c r="F5668">
        <v>291</v>
      </c>
      <c r="G5668" s="1">
        <v>45217</v>
      </c>
      <c r="H5668" s="6">
        <f t="shared" si="178"/>
        <v>36.802083333333698</v>
      </c>
      <c r="I5668" s="7">
        <f t="shared" si="179"/>
        <v>36.802083333333698</v>
      </c>
    </row>
    <row r="5669" spans="1:9" x14ac:dyDescent="0.2">
      <c r="A5669" t="s">
        <v>6143</v>
      </c>
      <c r="B5669">
        <v>3.8635000000000002</v>
      </c>
      <c r="C5669">
        <v>5.4105E-2</v>
      </c>
      <c r="D5669">
        <v>292</v>
      </c>
      <c r="E5669" t="s">
        <v>6143</v>
      </c>
      <c r="F5669">
        <v>291</v>
      </c>
      <c r="G5669" s="1">
        <v>45217</v>
      </c>
      <c r="H5669" s="6">
        <f t="shared" si="178"/>
        <v>36.812500000000362</v>
      </c>
      <c r="I5669" s="7">
        <f t="shared" si="179"/>
        <v>36.812500000000362</v>
      </c>
    </row>
    <row r="5670" spans="1:9" x14ac:dyDescent="0.2">
      <c r="A5670" t="s">
        <v>6144</v>
      </c>
      <c r="B5670">
        <v>4.226</v>
      </c>
      <c r="C5670">
        <v>5.9200000000000003E-2</v>
      </c>
      <c r="D5670">
        <v>292</v>
      </c>
      <c r="E5670" t="s">
        <v>6144</v>
      </c>
      <c r="F5670">
        <v>291</v>
      </c>
      <c r="G5670" s="1">
        <v>45217</v>
      </c>
      <c r="H5670" s="6">
        <f t="shared" si="178"/>
        <v>36.822916666667027</v>
      </c>
      <c r="I5670" s="7">
        <f t="shared" si="179"/>
        <v>36.822916666667027</v>
      </c>
    </row>
    <row r="5671" spans="1:9" x14ac:dyDescent="0.2">
      <c r="A5671" t="s">
        <v>6145</v>
      </c>
      <c r="B5671">
        <v>4.0164999999999997</v>
      </c>
      <c r="C5671">
        <v>5.6259999999999998E-2</v>
      </c>
      <c r="D5671">
        <v>292</v>
      </c>
      <c r="E5671" t="s">
        <v>6145</v>
      </c>
      <c r="F5671">
        <v>291</v>
      </c>
      <c r="G5671" s="1">
        <v>45217</v>
      </c>
      <c r="H5671" s="6">
        <f t="shared" si="178"/>
        <v>36.833333333333691</v>
      </c>
      <c r="I5671" s="7">
        <f t="shared" si="179"/>
        <v>36.833333333333691</v>
      </c>
    </row>
    <row r="5672" spans="1:9" x14ac:dyDescent="0.2">
      <c r="A5672" t="s">
        <v>6146</v>
      </c>
      <c r="B5672">
        <v>4.0015000000000001</v>
      </c>
      <c r="C5672">
        <v>5.6024999999999998E-2</v>
      </c>
      <c r="D5672">
        <v>292</v>
      </c>
      <c r="E5672" t="s">
        <v>6146</v>
      </c>
      <c r="F5672">
        <v>291</v>
      </c>
      <c r="G5672" s="1">
        <v>45217</v>
      </c>
      <c r="H5672" s="6">
        <f t="shared" si="178"/>
        <v>36.843750000000355</v>
      </c>
      <c r="I5672" s="7">
        <f t="shared" si="179"/>
        <v>36.843750000000355</v>
      </c>
    </row>
    <row r="5673" spans="1:9" x14ac:dyDescent="0.2">
      <c r="A5673" t="s">
        <v>6147</v>
      </c>
      <c r="B5673">
        <v>4.1375000000000002</v>
      </c>
      <c r="C5673">
        <v>5.7945000000000003E-2</v>
      </c>
      <c r="D5673">
        <v>292</v>
      </c>
      <c r="E5673" t="s">
        <v>6147</v>
      </c>
      <c r="F5673">
        <v>292</v>
      </c>
      <c r="G5673" s="1">
        <v>45218</v>
      </c>
      <c r="H5673" s="6">
        <f t="shared" si="178"/>
        <v>36.85416666666702</v>
      </c>
      <c r="I5673" s="7">
        <f t="shared" si="179"/>
        <v>36.85416666666702</v>
      </c>
    </row>
    <row r="5674" spans="1:9" x14ac:dyDescent="0.2">
      <c r="A5674" t="s">
        <v>6148</v>
      </c>
      <c r="B5674">
        <v>4.2195</v>
      </c>
      <c r="C5674">
        <v>5.9119999999999999E-2</v>
      </c>
      <c r="D5674">
        <v>292</v>
      </c>
      <c r="E5674" t="s">
        <v>6148</v>
      </c>
      <c r="F5674">
        <v>292</v>
      </c>
      <c r="G5674" s="1">
        <v>45218</v>
      </c>
      <c r="H5674" s="6">
        <f t="shared" si="178"/>
        <v>36.864583333333684</v>
      </c>
      <c r="I5674" s="7">
        <f t="shared" si="179"/>
        <v>36.864583333333684</v>
      </c>
    </row>
    <row r="5675" spans="1:9" x14ac:dyDescent="0.2">
      <c r="A5675" t="s">
        <v>6149</v>
      </c>
      <c r="B5675">
        <v>4.1559999999999997</v>
      </c>
      <c r="C5675">
        <v>5.8209999999999998E-2</v>
      </c>
      <c r="D5675">
        <v>292</v>
      </c>
      <c r="E5675" t="s">
        <v>6149</v>
      </c>
      <c r="F5675">
        <v>292</v>
      </c>
      <c r="G5675" s="1">
        <v>45218</v>
      </c>
      <c r="H5675" s="6">
        <f t="shared" si="178"/>
        <v>36.875000000000348</v>
      </c>
      <c r="I5675" s="7">
        <f t="shared" si="179"/>
        <v>36.875000000000348</v>
      </c>
    </row>
    <row r="5676" spans="1:9" x14ac:dyDescent="0.2">
      <c r="A5676" t="s">
        <v>6150</v>
      </c>
      <c r="B5676">
        <v>4.2119999999999997</v>
      </c>
      <c r="C5676">
        <v>5.901E-2</v>
      </c>
      <c r="D5676">
        <v>292</v>
      </c>
      <c r="E5676" t="s">
        <v>6150</v>
      </c>
      <c r="F5676">
        <v>292</v>
      </c>
      <c r="G5676" s="1">
        <v>45218</v>
      </c>
      <c r="H5676" s="6">
        <f t="shared" si="178"/>
        <v>36.885416666667012</v>
      </c>
      <c r="I5676" s="7">
        <f t="shared" si="179"/>
        <v>36.885416666667012</v>
      </c>
    </row>
    <row r="5677" spans="1:9" x14ac:dyDescent="0.2">
      <c r="A5677" t="s">
        <v>6151</v>
      </c>
      <c r="B5677">
        <v>4.2110000000000003</v>
      </c>
      <c r="C5677">
        <v>5.8999999999999997E-2</v>
      </c>
      <c r="D5677">
        <v>292</v>
      </c>
      <c r="E5677" t="s">
        <v>6151</v>
      </c>
      <c r="F5677">
        <v>292</v>
      </c>
      <c r="G5677" s="1">
        <v>45218</v>
      </c>
      <c r="H5677" s="6">
        <f t="shared" si="178"/>
        <v>36.895833333333677</v>
      </c>
      <c r="I5677" s="7">
        <f t="shared" si="179"/>
        <v>36.895833333333677</v>
      </c>
    </row>
    <row r="5678" spans="1:9" x14ac:dyDescent="0.2">
      <c r="A5678" t="s">
        <v>6152</v>
      </c>
      <c r="B5678">
        <v>4.1905000000000001</v>
      </c>
      <c r="C5678">
        <v>5.8694999999999997E-2</v>
      </c>
      <c r="D5678">
        <v>292</v>
      </c>
      <c r="E5678" t="s">
        <v>6152</v>
      </c>
      <c r="F5678">
        <v>292</v>
      </c>
      <c r="G5678" s="1">
        <v>45218</v>
      </c>
      <c r="H5678" s="6">
        <f t="shared" si="178"/>
        <v>36.906250000000341</v>
      </c>
      <c r="I5678" s="7">
        <f t="shared" si="179"/>
        <v>36.906250000000341</v>
      </c>
    </row>
    <row r="5679" spans="1:9" x14ac:dyDescent="0.2">
      <c r="A5679" t="s">
        <v>6153</v>
      </c>
      <c r="B5679">
        <v>4.0579999999999998</v>
      </c>
      <c r="C5679">
        <v>5.6834999999999997E-2</v>
      </c>
      <c r="D5679">
        <v>292</v>
      </c>
      <c r="E5679" t="s">
        <v>6153</v>
      </c>
      <c r="F5679">
        <v>292</v>
      </c>
      <c r="G5679" s="1">
        <v>45218</v>
      </c>
      <c r="H5679" s="6">
        <f t="shared" si="178"/>
        <v>36.916666666667005</v>
      </c>
      <c r="I5679" s="7">
        <f t="shared" si="179"/>
        <v>36.916666666667005</v>
      </c>
    </row>
    <row r="5680" spans="1:9" x14ac:dyDescent="0.2">
      <c r="A5680" t="s">
        <v>6154</v>
      </c>
      <c r="B5680">
        <v>4.1985000000000001</v>
      </c>
      <c r="C5680">
        <v>5.8814999999999999E-2</v>
      </c>
      <c r="D5680">
        <v>292</v>
      </c>
      <c r="E5680" t="s">
        <v>6154</v>
      </c>
      <c r="F5680">
        <v>292</v>
      </c>
      <c r="G5680" s="1">
        <v>45218</v>
      </c>
      <c r="H5680" s="6">
        <f t="shared" si="178"/>
        <v>36.92708333333367</v>
      </c>
      <c r="I5680" s="7">
        <f t="shared" si="179"/>
        <v>36.92708333333367</v>
      </c>
    </row>
    <row r="5681" spans="1:9" x14ac:dyDescent="0.2">
      <c r="A5681" t="s">
        <v>6155</v>
      </c>
      <c r="B5681">
        <v>4.2930000000000001</v>
      </c>
      <c r="C5681">
        <v>6.012E-2</v>
      </c>
      <c r="D5681">
        <v>292</v>
      </c>
      <c r="E5681" t="s">
        <v>6155</v>
      </c>
      <c r="F5681">
        <v>292</v>
      </c>
      <c r="G5681" s="1">
        <v>45218</v>
      </c>
      <c r="H5681" s="6">
        <f t="shared" si="178"/>
        <v>36.937500000000334</v>
      </c>
      <c r="I5681" s="7">
        <f t="shared" si="179"/>
        <v>36.937500000000334</v>
      </c>
    </row>
    <row r="5682" spans="1:9" x14ac:dyDescent="0.2">
      <c r="A5682" t="s">
        <v>6156</v>
      </c>
      <c r="B5682">
        <v>4.3205</v>
      </c>
      <c r="C5682">
        <v>6.0525000000000002E-2</v>
      </c>
      <c r="D5682">
        <v>292</v>
      </c>
      <c r="E5682" t="s">
        <v>6156</v>
      </c>
      <c r="F5682">
        <v>292</v>
      </c>
      <c r="G5682" s="1">
        <v>45218</v>
      </c>
      <c r="H5682" s="6">
        <f t="shared" si="178"/>
        <v>36.947916666666998</v>
      </c>
      <c r="I5682" s="7">
        <f t="shared" si="179"/>
        <v>36.947916666666998</v>
      </c>
    </row>
    <row r="5683" spans="1:9" x14ac:dyDescent="0.2">
      <c r="A5683" t="s">
        <v>6157</v>
      </c>
      <c r="B5683">
        <v>4.2344999999999997</v>
      </c>
      <c r="C5683">
        <v>5.9325000000000003E-2</v>
      </c>
      <c r="D5683">
        <v>292</v>
      </c>
      <c r="E5683" t="s">
        <v>6157</v>
      </c>
      <c r="F5683">
        <v>292</v>
      </c>
      <c r="G5683" s="1">
        <v>45218</v>
      </c>
      <c r="H5683" s="6">
        <f t="shared" si="178"/>
        <v>36.958333333333663</v>
      </c>
      <c r="I5683" s="7">
        <f t="shared" si="179"/>
        <v>36.958333333333663</v>
      </c>
    </row>
    <row r="5684" spans="1:9" x14ac:dyDescent="0.2">
      <c r="A5684" t="s">
        <v>6158</v>
      </c>
      <c r="B5684">
        <v>4.3514999999999997</v>
      </c>
      <c r="C5684">
        <v>6.0955000000000002E-2</v>
      </c>
      <c r="D5684">
        <v>292</v>
      </c>
      <c r="E5684" t="s">
        <v>6158</v>
      </c>
      <c r="F5684">
        <v>292</v>
      </c>
      <c r="G5684" s="1">
        <v>45218</v>
      </c>
      <c r="H5684" s="6">
        <f t="shared" si="178"/>
        <v>36.968750000000327</v>
      </c>
      <c r="I5684" s="7">
        <f t="shared" si="179"/>
        <v>36.968750000000327</v>
      </c>
    </row>
    <row r="5685" spans="1:9" x14ac:dyDescent="0.2">
      <c r="A5685" t="s">
        <v>6159</v>
      </c>
      <c r="B5685">
        <v>4.0994999999999999</v>
      </c>
      <c r="C5685">
        <v>5.7435E-2</v>
      </c>
      <c r="D5685">
        <v>292</v>
      </c>
      <c r="E5685" t="s">
        <v>6159</v>
      </c>
      <c r="F5685">
        <v>292</v>
      </c>
      <c r="G5685" s="1">
        <v>45218</v>
      </c>
      <c r="H5685" s="6">
        <f t="shared" si="178"/>
        <v>36.979166666666991</v>
      </c>
      <c r="I5685" s="7">
        <f t="shared" si="179"/>
        <v>36.979166666666991</v>
      </c>
    </row>
    <row r="5686" spans="1:9" x14ac:dyDescent="0.2">
      <c r="A5686" t="s">
        <v>6160</v>
      </c>
      <c r="B5686">
        <v>3.9055</v>
      </c>
      <c r="C5686">
        <v>5.4710000000000002E-2</v>
      </c>
      <c r="D5686">
        <v>292</v>
      </c>
      <c r="E5686" t="s">
        <v>6160</v>
      </c>
      <c r="F5686">
        <v>292</v>
      </c>
      <c r="G5686" s="1">
        <v>45218</v>
      </c>
      <c r="H5686" s="6">
        <f t="shared" si="178"/>
        <v>36.989583333333655</v>
      </c>
      <c r="I5686" s="7">
        <f t="shared" si="179"/>
        <v>36.989583333333655</v>
      </c>
    </row>
    <row r="5687" spans="1:9" x14ac:dyDescent="0.2">
      <c r="A5687" t="s">
        <v>6161</v>
      </c>
      <c r="B5687">
        <v>4.1325000000000003</v>
      </c>
      <c r="C5687">
        <v>5.7889999999999997E-2</v>
      </c>
      <c r="D5687">
        <v>292</v>
      </c>
      <c r="E5687" t="s">
        <v>6161</v>
      </c>
      <c r="F5687">
        <v>292</v>
      </c>
      <c r="G5687" s="1">
        <v>45218</v>
      </c>
      <c r="H5687" s="6">
        <f t="shared" si="178"/>
        <v>37.00000000000032</v>
      </c>
      <c r="I5687" s="7">
        <f t="shared" si="179"/>
        <v>37.00000000000032</v>
      </c>
    </row>
    <row r="5688" spans="1:9" x14ac:dyDescent="0.2">
      <c r="A5688" t="s">
        <v>6162</v>
      </c>
      <c r="B5688">
        <v>4.1885000000000003</v>
      </c>
      <c r="C5688">
        <v>5.8665000000000002E-2</v>
      </c>
      <c r="D5688">
        <v>292</v>
      </c>
      <c r="E5688" t="s">
        <v>6162</v>
      </c>
      <c r="F5688">
        <v>292</v>
      </c>
      <c r="G5688" s="1">
        <v>45218</v>
      </c>
      <c r="H5688" s="6">
        <f t="shared" si="178"/>
        <v>37.010416666666984</v>
      </c>
      <c r="I5688" s="7">
        <f t="shared" si="179"/>
        <v>37.010416666666984</v>
      </c>
    </row>
    <row r="5689" spans="1:9" x14ac:dyDescent="0.2">
      <c r="A5689" t="s">
        <v>6163</v>
      </c>
      <c r="B5689">
        <v>4.0129999999999999</v>
      </c>
      <c r="C5689">
        <v>5.6224999999999997E-2</v>
      </c>
      <c r="D5689">
        <v>292</v>
      </c>
      <c r="E5689" t="s">
        <v>6163</v>
      </c>
      <c r="F5689">
        <v>292</v>
      </c>
      <c r="G5689" s="1">
        <v>45218</v>
      </c>
      <c r="H5689" s="6">
        <f t="shared" si="178"/>
        <v>37.020833333333648</v>
      </c>
      <c r="I5689" s="7">
        <f t="shared" si="179"/>
        <v>37.020833333333648</v>
      </c>
    </row>
    <row r="5690" spans="1:9" x14ac:dyDescent="0.2">
      <c r="A5690" t="s">
        <v>6164</v>
      </c>
      <c r="B5690">
        <v>4.2949999999999999</v>
      </c>
      <c r="C5690">
        <v>6.0179999999999997E-2</v>
      </c>
      <c r="D5690">
        <v>292</v>
      </c>
      <c r="E5690" t="s">
        <v>6164</v>
      </c>
      <c r="F5690">
        <v>292</v>
      </c>
      <c r="G5690" s="1">
        <v>45218</v>
      </c>
      <c r="H5690" s="6">
        <f t="shared" si="178"/>
        <v>37.031250000000313</v>
      </c>
      <c r="I5690" s="7">
        <f t="shared" si="179"/>
        <v>37.031250000000313</v>
      </c>
    </row>
    <row r="5691" spans="1:9" x14ac:dyDescent="0.2">
      <c r="A5691" t="s">
        <v>6165</v>
      </c>
      <c r="B5691">
        <v>3.9710000000000001</v>
      </c>
      <c r="C5691">
        <v>5.5629999999999999E-2</v>
      </c>
      <c r="D5691">
        <v>292</v>
      </c>
      <c r="E5691" t="s">
        <v>6165</v>
      </c>
      <c r="F5691">
        <v>292</v>
      </c>
      <c r="G5691" s="1">
        <v>45218</v>
      </c>
      <c r="H5691" s="6">
        <f t="shared" si="178"/>
        <v>37.041666666666977</v>
      </c>
      <c r="I5691" s="7">
        <f t="shared" si="179"/>
        <v>37.041666666666977</v>
      </c>
    </row>
    <row r="5692" spans="1:9" x14ac:dyDescent="0.2">
      <c r="A5692" t="s">
        <v>6166</v>
      </c>
      <c r="B5692">
        <v>4.1654999999999998</v>
      </c>
      <c r="C5692">
        <v>5.8345000000000001E-2</v>
      </c>
      <c r="D5692">
        <v>292</v>
      </c>
      <c r="E5692" t="s">
        <v>6166</v>
      </c>
      <c r="F5692">
        <v>292</v>
      </c>
      <c r="G5692" s="1">
        <v>45218</v>
      </c>
      <c r="H5692" s="6">
        <f t="shared" si="178"/>
        <v>37.052083333333641</v>
      </c>
      <c r="I5692" s="7">
        <f t="shared" si="179"/>
        <v>37.052083333333641</v>
      </c>
    </row>
    <row r="5693" spans="1:9" x14ac:dyDescent="0.2">
      <c r="A5693" t="s">
        <v>6167</v>
      </c>
      <c r="B5693">
        <v>3.9714999999999998</v>
      </c>
      <c r="C5693">
        <v>5.5629999999999999E-2</v>
      </c>
      <c r="D5693">
        <v>292</v>
      </c>
      <c r="E5693" t="s">
        <v>6167</v>
      </c>
      <c r="F5693">
        <v>292</v>
      </c>
      <c r="G5693" s="1">
        <v>45218</v>
      </c>
      <c r="H5693" s="6">
        <f t="shared" si="178"/>
        <v>37.062500000000306</v>
      </c>
      <c r="I5693" s="7">
        <f t="shared" si="179"/>
        <v>37.062500000000306</v>
      </c>
    </row>
    <row r="5694" spans="1:9" x14ac:dyDescent="0.2">
      <c r="A5694" t="s">
        <v>6168</v>
      </c>
      <c r="B5694">
        <v>4.3144999999999998</v>
      </c>
      <c r="C5694">
        <v>6.0435000000000003E-2</v>
      </c>
      <c r="D5694">
        <v>292</v>
      </c>
      <c r="E5694" t="s">
        <v>6168</v>
      </c>
      <c r="F5694">
        <v>292</v>
      </c>
      <c r="G5694" s="1">
        <v>45218</v>
      </c>
      <c r="H5694" s="6">
        <f t="shared" si="178"/>
        <v>37.07291666666697</v>
      </c>
      <c r="I5694" s="7">
        <f t="shared" si="179"/>
        <v>37.07291666666697</v>
      </c>
    </row>
    <row r="5695" spans="1:9" x14ac:dyDescent="0.2">
      <c r="A5695" t="s">
        <v>6169</v>
      </c>
      <c r="B5695">
        <v>4.2255000000000003</v>
      </c>
      <c r="C5695">
        <v>5.919E-2</v>
      </c>
      <c r="D5695">
        <v>292</v>
      </c>
      <c r="E5695" t="s">
        <v>6169</v>
      </c>
      <c r="F5695">
        <v>292</v>
      </c>
      <c r="G5695" s="1">
        <v>45218</v>
      </c>
      <c r="H5695" s="6">
        <f t="shared" si="178"/>
        <v>37.083333333333634</v>
      </c>
      <c r="I5695" s="7">
        <f t="shared" si="179"/>
        <v>37.083333333333634</v>
      </c>
    </row>
    <row r="5696" spans="1:9" x14ac:dyDescent="0.2">
      <c r="A5696" t="s">
        <v>6170</v>
      </c>
      <c r="B5696">
        <v>4.4980000000000002</v>
      </c>
      <c r="C5696">
        <v>6.2994999999999995E-2</v>
      </c>
      <c r="D5696">
        <v>292</v>
      </c>
      <c r="E5696" t="s">
        <v>6170</v>
      </c>
      <c r="F5696">
        <v>292</v>
      </c>
      <c r="G5696" s="1">
        <v>45218</v>
      </c>
      <c r="H5696" s="6">
        <f t="shared" si="178"/>
        <v>37.093750000000298</v>
      </c>
      <c r="I5696" s="7">
        <f t="shared" si="179"/>
        <v>37.093750000000298</v>
      </c>
    </row>
    <row r="5697" spans="1:9" x14ac:dyDescent="0.2">
      <c r="A5697" t="s">
        <v>6171</v>
      </c>
      <c r="B5697">
        <v>4.3570000000000002</v>
      </c>
      <c r="C5697">
        <v>6.1030000000000001E-2</v>
      </c>
      <c r="D5697">
        <v>292</v>
      </c>
      <c r="E5697" t="s">
        <v>6171</v>
      </c>
      <c r="F5697">
        <v>292</v>
      </c>
      <c r="G5697" s="1">
        <v>45218</v>
      </c>
      <c r="H5697" s="6">
        <f t="shared" si="178"/>
        <v>37.104166666666963</v>
      </c>
      <c r="I5697" s="7">
        <f t="shared" si="179"/>
        <v>37.104166666666963</v>
      </c>
    </row>
    <row r="5698" spans="1:9" x14ac:dyDescent="0.2">
      <c r="A5698" t="s">
        <v>6172</v>
      </c>
      <c r="B5698">
        <v>4.4249999999999998</v>
      </c>
      <c r="C5698" s="2" t="s">
        <v>5982</v>
      </c>
      <c r="D5698">
        <v>292</v>
      </c>
      <c r="E5698" t="s">
        <v>6172</v>
      </c>
      <c r="F5698">
        <v>292</v>
      </c>
      <c r="G5698" s="1">
        <v>45218</v>
      </c>
      <c r="H5698" s="6">
        <f t="shared" si="178"/>
        <v>37.114583333333627</v>
      </c>
      <c r="I5698" s="7">
        <f t="shared" si="179"/>
        <v>37.114583333333627</v>
      </c>
    </row>
    <row r="5699" spans="1:9" x14ac:dyDescent="0.2">
      <c r="A5699" t="s">
        <v>6173</v>
      </c>
      <c r="B5699">
        <v>4.2605000000000004</v>
      </c>
      <c r="C5699">
        <v>5.9674999999999999E-2</v>
      </c>
      <c r="D5699">
        <v>292</v>
      </c>
      <c r="E5699" t="s">
        <v>6173</v>
      </c>
      <c r="F5699">
        <v>292</v>
      </c>
      <c r="G5699" s="1">
        <v>45218</v>
      </c>
      <c r="H5699" s="6">
        <f t="shared" si="178"/>
        <v>37.125000000000291</v>
      </c>
      <c r="I5699" s="7">
        <f t="shared" si="179"/>
        <v>37.125000000000291</v>
      </c>
    </row>
    <row r="5700" spans="1:9" x14ac:dyDescent="0.2">
      <c r="A5700" t="s">
        <v>6174</v>
      </c>
      <c r="B5700">
        <v>4.6074999999999999</v>
      </c>
      <c r="C5700">
        <v>6.4534999999999995E-2</v>
      </c>
      <c r="D5700">
        <v>292</v>
      </c>
      <c r="E5700" t="s">
        <v>6174</v>
      </c>
      <c r="F5700">
        <v>292</v>
      </c>
      <c r="G5700" s="1">
        <v>45218</v>
      </c>
      <c r="H5700" s="6">
        <f t="shared" si="178"/>
        <v>37.135416666666956</v>
      </c>
      <c r="I5700" s="7">
        <f t="shared" si="179"/>
        <v>37.135416666666956</v>
      </c>
    </row>
    <row r="5701" spans="1:9" x14ac:dyDescent="0.2">
      <c r="A5701" t="s">
        <v>6175</v>
      </c>
      <c r="B5701">
        <v>4.2590000000000003</v>
      </c>
      <c r="C5701">
        <v>5.9655E-2</v>
      </c>
      <c r="D5701">
        <v>292</v>
      </c>
      <c r="E5701" t="s">
        <v>6175</v>
      </c>
      <c r="F5701">
        <v>292</v>
      </c>
      <c r="G5701" s="1">
        <v>45218</v>
      </c>
      <c r="H5701" s="6">
        <f t="shared" si="178"/>
        <v>37.14583333333362</v>
      </c>
      <c r="I5701" s="7">
        <f t="shared" si="179"/>
        <v>37.14583333333362</v>
      </c>
    </row>
    <row r="5702" spans="1:9" x14ac:dyDescent="0.2">
      <c r="A5702" t="s">
        <v>6176</v>
      </c>
      <c r="B5702">
        <v>4.1974999999999998</v>
      </c>
      <c r="C5702">
        <v>5.8805000000000003E-2</v>
      </c>
      <c r="D5702">
        <v>292</v>
      </c>
      <c r="E5702" t="s">
        <v>6176</v>
      </c>
      <c r="F5702">
        <v>292</v>
      </c>
      <c r="G5702" s="1">
        <v>45218</v>
      </c>
      <c r="H5702" s="6">
        <f t="shared" si="178"/>
        <v>37.156250000000284</v>
      </c>
      <c r="I5702" s="7">
        <f t="shared" si="179"/>
        <v>37.156250000000284</v>
      </c>
    </row>
    <row r="5703" spans="1:9" x14ac:dyDescent="0.2">
      <c r="A5703" t="s">
        <v>6177</v>
      </c>
      <c r="B5703">
        <v>4.3585000000000003</v>
      </c>
      <c r="C5703">
        <v>6.1045000000000002E-2</v>
      </c>
      <c r="D5703">
        <v>292</v>
      </c>
      <c r="E5703" t="s">
        <v>6177</v>
      </c>
      <c r="F5703">
        <v>292</v>
      </c>
      <c r="G5703" s="1">
        <v>45218</v>
      </c>
      <c r="H5703" s="6">
        <f t="shared" si="178"/>
        <v>37.166666666666949</v>
      </c>
      <c r="I5703" s="7">
        <f t="shared" si="179"/>
        <v>37.166666666666949</v>
      </c>
    </row>
    <row r="5704" spans="1:9" x14ac:dyDescent="0.2">
      <c r="A5704" t="s">
        <v>6178</v>
      </c>
      <c r="B5704" s="2" t="s">
        <v>6179</v>
      </c>
      <c r="C5704">
        <v>6.3295000000000004E-2</v>
      </c>
      <c r="D5704">
        <v>292</v>
      </c>
      <c r="E5704" t="s">
        <v>6178</v>
      </c>
      <c r="F5704">
        <v>292</v>
      </c>
      <c r="G5704" s="1">
        <v>45218</v>
      </c>
      <c r="H5704" s="6">
        <f t="shared" si="178"/>
        <v>37.177083333333613</v>
      </c>
      <c r="I5704" s="7">
        <f t="shared" si="179"/>
        <v>37.177083333333613</v>
      </c>
    </row>
    <row r="5705" spans="1:9" x14ac:dyDescent="0.2">
      <c r="A5705" t="s">
        <v>6180</v>
      </c>
      <c r="B5705">
        <v>4.2880000000000003</v>
      </c>
      <c r="C5705" s="2" t="s">
        <v>6181</v>
      </c>
      <c r="D5705">
        <v>292</v>
      </c>
      <c r="E5705" t="s">
        <v>6180</v>
      </c>
      <c r="F5705">
        <v>292</v>
      </c>
      <c r="G5705" s="1">
        <v>45218</v>
      </c>
      <c r="H5705" s="6">
        <f t="shared" si="178"/>
        <v>37.187500000000277</v>
      </c>
      <c r="I5705" s="7">
        <f t="shared" si="179"/>
        <v>37.187500000000277</v>
      </c>
    </row>
    <row r="5706" spans="1:9" x14ac:dyDescent="0.2">
      <c r="A5706" t="s">
        <v>6182</v>
      </c>
      <c r="B5706">
        <v>4.5060000000000002</v>
      </c>
      <c r="C5706">
        <v>6.3119999999999996E-2</v>
      </c>
      <c r="D5706">
        <v>292</v>
      </c>
      <c r="E5706" t="s">
        <v>6182</v>
      </c>
      <c r="F5706">
        <v>292</v>
      </c>
      <c r="G5706" s="1">
        <v>45218</v>
      </c>
      <c r="H5706" s="6">
        <f t="shared" si="178"/>
        <v>37.197916666666941</v>
      </c>
      <c r="I5706" s="7">
        <f t="shared" si="179"/>
        <v>37.197916666666941</v>
      </c>
    </row>
    <row r="5707" spans="1:9" x14ac:dyDescent="0.2">
      <c r="A5707" t="s">
        <v>6183</v>
      </c>
      <c r="B5707">
        <v>4.4904999999999999</v>
      </c>
      <c r="C5707">
        <v>6.2899999999999998E-2</v>
      </c>
      <c r="D5707">
        <v>292</v>
      </c>
      <c r="E5707" t="s">
        <v>6183</v>
      </c>
      <c r="F5707">
        <v>292</v>
      </c>
      <c r="G5707" s="1">
        <v>45218</v>
      </c>
      <c r="H5707" s="6">
        <f t="shared" si="178"/>
        <v>37.208333333333606</v>
      </c>
      <c r="I5707" s="7">
        <f t="shared" si="179"/>
        <v>37.208333333333606</v>
      </c>
    </row>
    <row r="5708" spans="1:9" x14ac:dyDescent="0.2">
      <c r="A5708" t="s">
        <v>6184</v>
      </c>
      <c r="B5708">
        <v>4.3120000000000003</v>
      </c>
      <c r="C5708">
        <v>6.0389999999999999E-2</v>
      </c>
      <c r="D5708">
        <v>292</v>
      </c>
      <c r="E5708" t="s">
        <v>6184</v>
      </c>
      <c r="F5708">
        <v>292</v>
      </c>
      <c r="G5708" s="1">
        <v>45218</v>
      </c>
      <c r="H5708" s="6">
        <f t="shared" si="178"/>
        <v>37.21875000000027</v>
      </c>
      <c r="I5708" s="7">
        <f t="shared" si="179"/>
        <v>37.21875000000027</v>
      </c>
    </row>
    <row r="5709" spans="1:9" x14ac:dyDescent="0.2">
      <c r="A5709" t="s">
        <v>6185</v>
      </c>
      <c r="B5709">
        <v>4.0990000000000002</v>
      </c>
      <c r="C5709">
        <v>5.7410000000000003E-2</v>
      </c>
      <c r="D5709">
        <v>292</v>
      </c>
      <c r="E5709" t="s">
        <v>6185</v>
      </c>
      <c r="F5709">
        <v>292</v>
      </c>
      <c r="G5709" s="1">
        <v>45218</v>
      </c>
      <c r="H5709" s="6">
        <f t="shared" si="178"/>
        <v>37.229166666666934</v>
      </c>
      <c r="I5709" s="7">
        <f t="shared" si="179"/>
        <v>37.229166666666934</v>
      </c>
    </row>
    <row r="5710" spans="1:9" x14ac:dyDescent="0.2">
      <c r="A5710" t="s">
        <v>6186</v>
      </c>
      <c r="B5710">
        <v>3.9590000000000001</v>
      </c>
      <c r="C5710">
        <v>5.5465E-2</v>
      </c>
      <c r="D5710">
        <v>292</v>
      </c>
      <c r="E5710" t="s">
        <v>6186</v>
      </c>
      <c r="F5710">
        <v>292</v>
      </c>
      <c r="G5710" s="1">
        <v>45218</v>
      </c>
      <c r="H5710" s="6">
        <f t="shared" si="178"/>
        <v>37.239583333333599</v>
      </c>
      <c r="I5710" s="7">
        <f t="shared" si="179"/>
        <v>37.239583333333599</v>
      </c>
    </row>
    <row r="5711" spans="1:9" x14ac:dyDescent="0.2">
      <c r="A5711" t="s">
        <v>6187</v>
      </c>
      <c r="B5711">
        <v>4.1790000000000003</v>
      </c>
      <c r="C5711">
        <v>5.8514999999999998E-2</v>
      </c>
      <c r="D5711">
        <v>292</v>
      </c>
      <c r="E5711" t="s">
        <v>6187</v>
      </c>
      <c r="F5711">
        <v>292</v>
      </c>
      <c r="G5711" s="1">
        <v>45218</v>
      </c>
      <c r="H5711" s="6">
        <f t="shared" si="178"/>
        <v>37.250000000000263</v>
      </c>
      <c r="I5711" s="7">
        <f t="shared" si="179"/>
        <v>37.250000000000263</v>
      </c>
    </row>
    <row r="5712" spans="1:9" x14ac:dyDescent="0.2">
      <c r="A5712" t="s">
        <v>6188</v>
      </c>
      <c r="B5712">
        <v>4.1609999999999996</v>
      </c>
      <c r="C5712">
        <v>5.8305000000000003E-2</v>
      </c>
      <c r="D5712">
        <v>292</v>
      </c>
      <c r="E5712" t="s">
        <v>6188</v>
      </c>
      <c r="F5712">
        <v>292</v>
      </c>
      <c r="G5712" s="1">
        <v>45218</v>
      </c>
      <c r="H5712" s="6">
        <f t="shared" si="178"/>
        <v>37.260416666666927</v>
      </c>
      <c r="I5712" s="7">
        <f t="shared" si="179"/>
        <v>37.260416666666927</v>
      </c>
    </row>
    <row r="5713" spans="1:9" x14ac:dyDescent="0.2">
      <c r="A5713" t="s">
        <v>6189</v>
      </c>
      <c r="B5713">
        <v>3.9784999999999999</v>
      </c>
      <c r="C5713">
        <v>5.5719999999999999E-2</v>
      </c>
      <c r="D5713">
        <v>292</v>
      </c>
      <c r="E5713" t="s">
        <v>6189</v>
      </c>
      <c r="F5713">
        <v>292</v>
      </c>
      <c r="G5713" s="1">
        <v>45218</v>
      </c>
      <c r="H5713" s="6">
        <f t="shared" si="178"/>
        <v>37.270833333333591</v>
      </c>
      <c r="I5713" s="7">
        <f t="shared" si="179"/>
        <v>37.270833333333591</v>
      </c>
    </row>
    <row r="5714" spans="1:9" x14ac:dyDescent="0.2">
      <c r="A5714" t="s">
        <v>6190</v>
      </c>
      <c r="B5714">
        <v>3.9085000000000001</v>
      </c>
      <c r="C5714">
        <v>5.4745000000000002E-2</v>
      </c>
      <c r="D5714">
        <v>292</v>
      </c>
      <c r="E5714" t="s">
        <v>6190</v>
      </c>
      <c r="F5714">
        <v>292</v>
      </c>
      <c r="G5714" s="1">
        <v>45218</v>
      </c>
      <c r="H5714" s="6">
        <f t="shared" si="178"/>
        <v>37.281250000000256</v>
      </c>
      <c r="I5714" s="7">
        <f t="shared" si="179"/>
        <v>37.281250000000256</v>
      </c>
    </row>
    <row r="5715" spans="1:9" x14ac:dyDescent="0.2">
      <c r="A5715" t="s">
        <v>6191</v>
      </c>
      <c r="B5715">
        <v>3.9940000000000002</v>
      </c>
      <c r="C5715">
        <v>5.5960000000000003E-2</v>
      </c>
      <c r="D5715">
        <v>292</v>
      </c>
      <c r="E5715" t="s">
        <v>6191</v>
      </c>
      <c r="F5715">
        <v>292</v>
      </c>
      <c r="G5715" s="1">
        <v>45218</v>
      </c>
      <c r="H5715" s="6">
        <f t="shared" si="178"/>
        <v>37.29166666666692</v>
      </c>
      <c r="I5715" s="7">
        <f t="shared" si="179"/>
        <v>37.29166666666692</v>
      </c>
    </row>
    <row r="5716" spans="1:9" x14ac:dyDescent="0.2">
      <c r="A5716" t="s">
        <v>6192</v>
      </c>
      <c r="B5716">
        <v>3.6524999999999999</v>
      </c>
      <c r="C5716">
        <v>5.1150000000000001E-2</v>
      </c>
      <c r="D5716">
        <v>292</v>
      </c>
      <c r="E5716" t="s">
        <v>6192</v>
      </c>
      <c r="F5716">
        <v>292</v>
      </c>
      <c r="G5716" s="1">
        <v>45218</v>
      </c>
      <c r="H5716" s="6">
        <f t="shared" si="178"/>
        <v>37.302083333333584</v>
      </c>
      <c r="I5716" s="7">
        <f t="shared" si="179"/>
        <v>37.302083333333584</v>
      </c>
    </row>
    <row r="5717" spans="1:9" x14ac:dyDescent="0.2">
      <c r="A5717" t="s">
        <v>6193</v>
      </c>
      <c r="B5717">
        <v>3.6404999999999998</v>
      </c>
      <c r="C5717">
        <v>5.0990000000000001E-2</v>
      </c>
      <c r="D5717">
        <v>292</v>
      </c>
      <c r="E5717" t="s">
        <v>6193</v>
      </c>
      <c r="F5717">
        <v>292</v>
      </c>
      <c r="G5717" s="1">
        <v>45218</v>
      </c>
      <c r="H5717" s="6">
        <f t="shared" si="178"/>
        <v>37.312500000000249</v>
      </c>
      <c r="I5717" s="7">
        <f t="shared" si="179"/>
        <v>37.312500000000249</v>
      </c>
    </row>
    <row r="5718" spans="1:9" x14ac:dyDescent="0.2">
      <c r="A5718" t="s">
        <v>6194</v>
      </c>
      <c r="B5718">
        <v>3.9039999999999999</v>
      </c>
      <c r="C5718">
        <v>5.4684999999999997E-2</v>
      </c>
      <c r="D5718">
        <v>292</v>
      </c>
      <c r="E5718" t="s">
        <v>6194</v>
      </c>
      <c r="F5718">
        <v>292</v>
      </c>
      <c r="G5718" s="1">
        <v>45218</v>
      </c>
      <c r="H5718" s="6">
        <f t="shared" si="178"/>
        <v>37.322916666666913</v>
      </c>
      <c r="I5718" s="7">
        <f t="shared" si="179"/>
        <v>37.322916666666913</v>
      </c>
    </row>
    <row r="5719" spans="1:9" x14ac:dyDescent="0.2">
      <c r="A5719" t="s">
        <v>6195</v>
      </c>
      <c r="B5719">
        <v>4.6204999999999998</v>
      </c>
      <c r="C5719">
        <v>6.4725000000000005E-2</v>
      </c>
      <c r="D5719">
        <v>292</v>
      </c>
      <c r="E5719" t="s">
        <v>6195</v>
      </c>
      <c r="F5719">
        <v>292</v>
      </c>
      <c r="G5719" s="1">
        <v>45218</v>
      </c>
      <c r="H5719" s="6">
        <f t="shared" si="178"/>
        <v>37.333333333333577</v>
      </c>
      <c r="I5719" s="7">
        <f t="shared" si="179"/>
        <v>37.333333333333577</v>
      </c>
    </row>
    <row r="5720" spans="1:9" x14ac:dyDescent="0.2">
      <c r="A5720" t="s">
        <v>6196</v>
      </c>
      <c r="B5720">
        <v>3.621</v>
      </c>
      <c r="C5720">
        <v>5.0709999999999998E-2</v>
      </c>
      <c r="D5720">
        <v>292</v>
      </c>
      <c r="E5720" t="s">
        <v>6196</v>
      </c>
      <c r="F5720">
        <v>292</v>
      </c>
      <c r="G5720" s="1">
        <v>45218</v>
      </c>
      <c r="H5720" s="6">
        <f t="shared" si="178"/>
        <v>37.343750000000242</v>
      </c>
      <c r="I5720" s="7">
        <f t="shared" si="179"/>
        <v>37.343750000000242</v>
      </c>
    </row>
    <row r="5721" spans="1:9" x14ac:dyDescent="0.2">
      <c r="A5721" t="s">
        <v>6197</v>
      </c>
      <c r="B5721">
        <v>3.6404999999999998</v>
      </c>
      <c r="C5721">
        <v>5.0979999999999998E-2</v>
      </c>
      <c r="D5721">
        <v>292</v>
      </c>
      <c r="E5721" t="s">
        <v>6197</v>
      </c>
      <c r="F5721">
        <v>292</v>
      </c>
      <c r="G5721" s="1">
        <v>45218</v>
      </c>
      <c r="H5721" s="6">
        <f t="shared" si="178"/>
        <v>37.354166666666906</v>
      </c>
      <c r="I5721" s="7">
        <f t="shared" si="179"/>
        <v>37.354166666666906</v>
      </c>
    </row>
    <row r="5722" spans="1:9" x14ac:dyDescent="0.2">
      <c r="A5722" t="s">
        <v>6198</v>
      </c>
      <c r="B5722">
        <v>3.032</v>
      </c>
      <c r="C5722">
        <v>4.249E-2</v>
      </c>
      <c r="D5722">
        <v>292</v>
      </c>
      <c r="E5722" t="s">
        <v>6198</v>
      </c>
      <c r="F5722">
        <v>292</v>
      </c>
      <c r="G5722" s="1">
        <v>45218</v>
      </c>
      <c r="H5722" s="6">
        <f t="shared" si="178"/>
        <v>37.36458333333357</v>
      </c>
      <c r="I5722" s="7">
        <f t="shared" si="179"/>
        <v>37.36458333333357</v>
      </c>
    </row>
    <row r="5723" spans="1:9" x14ac:dyDescent="0.2">
      <c r="A5723" t="s">
        <v>6199</v>
      </c>
      <c r="B5723">
        <v>1.827</v>
      </c>
      <c r="C5723">
        <v>2.5579999999999999E-2</v>
      </c>
      <c r="D5723">
        <v>292</v>
      </c>
      <c r="E5723" t="s">
        <v>6199</v>
      </c>
      <c r="F5723">
        <v>292</v>
      </c>
      <c r="G5723" s="1">
        <v>45218</v>
      </c>
      <c r="H5723" s="6">
        <f t="shared" si="178"/>
        <v>37.375000000000234</v>
      </c>
      <c r="I5723" s="7">
        <f t="shared" si="179"/>
        <v>37.375000000000234</v>
      </c>
    </row>
    <row r="5724" spans="1:9" x14ac:dyDescent="0.2">
      <c r="A5724" t="s">
        <v>6200</v>
      </c>
      <c r="B5724">
        <v>2.0699999999999998</v>
      </c>
      <c r="C5724">
        <v>2.8995E-2</v>
      </c>
      <c r="D5724">
        <v>292</v>
      </c>
      <c r="E5724" t="s">
        <v>6200</v>
      </c>
      <c r="F5724">
        <v>292</v>
      </c>
      <c r="G5724" s="1">
        <v>45218</v>
      </c>
      <c r="H5724" s="6">
        <f t="shared" ref="H5724:H5787" si="180">H5723+$K$1</f>
        <v>37.385416666666899</v>
      </c>
      <c r="I5724" s="7">
        <f t="shared" ref="I5724:I5787" si="181">I5723+$K$1</f>
        <v>37.385416666666899</v>
      </c>
    </row>
    <row r="5725" spans="1:9" x14ac:dyDescent="0.2">
      <c r="A5725" t="s">
        <v>6201</v>
      </c>
      <c r="B5725">
        <v>3.5459999999999998</v>
      </c>
      <c r="C5725">
        <v>4.9674999999999997E-2</v>
      </c>
      <c r="D5725">
        <v>292</v>
      </c>
      <c r="E5725" t="s">
        <v>6201</v>
      </c>
      <c r="F5725">
        <v>292</v>
      </c>
      <c r="G5725" s="1">
        <v>45218</v>
      </c>
      <c r="H5725" s="6">
        <f t="shared" si="180"/>
        <v>37.395833333333563</v>
      </c>
      <c r="I5725" s="7">
        <f t="shared" si="181"/>
        <v>37.395833333333563</v>
      </c>
    </row>
    <row r="5726" spans="1:9" x14ac:dyDescent="0.2">
      <c r="A5726" t="s">
        <v>6202</v>
      </c>
      <c r="B5726">
        <v>3.8115000000000001</v>
      </c>
      <c r="C5726">
        <v>5.339E-2</v>
      </c>
      <c r="D5726">
        <v>292</v>
      </c>
      <c r="E5726" t="s">
        <v>6202</v>
      </c>
      <c r="F5726">
        <v>292</v>
      </c>
      <c r="G5726" s="1">
        <v>45218</v>
      </c>
      <c r="H5726" s="6">
        <f t="shared" si="180"/>
        <v>37.406250000000227</v>
      </c>
      <c r="I5726" s="7">
        <f t="shared" si="181"/>
        <v>37.406250000000227</v>
      </c>
    </row>
    <row r="5727" spans="1:9" x14ac:dyDescent="0.2">
      <c r="A5727" t="s">
        <v>6203</v>
      </c>
      <c r="B5727">
        <v>3.9169999999999998</v>
      </c>
      <c r="C5727">
        <v>5.4850000000000003E-2</v>
      </c>
      <c r="D5727">
        <v>292</v>
      </c>
      <c r="E5727" t="s">
        <v>6203</v>
      </c>
      <c r="F5727">
        <v>292</v>
      </c>
      <c r="G5727" s="1">
        <v>45218</v>
      </c>
      <c r="H5727" s="6">
        <f t="shared" si="180"/>
        <v>37.416666666666892</v>
      </c>
      <c r="I5727" s="7">
        <f t="shared" si="181"/>
        <v>37.416666666666892</v>
      </c>
    </row>
    <row r="5728" spans="1:9" x14ac:dyDescent="0.2">
      <c r="A5728" t="s">
        <v>6204</v>
      </c>
      <c r="B5728" s="2" t="s">
        <v>6205</v>
      </c>
      <c r="C5728" s="2" t="s">
        <v>6206</v>
      </c>
      <c r="D5728">
        <v>292</v>
      </c>
      <c r="E5728" t="s">
        <v>6204</v>
      </c>
      <c r="F5728">
        <v>292</v>
      </c>
      <c r="G5728" s="1">
        <v>45218</v>
      </c>
      <c r="H5728" s="6">
        <f t="shared" si="180"/>
        <v>37.427083333333556</v>
      </c>
      <c r="I5728" s="7">
        <f t="shared" si="181"/>
        <v>37.427083333333556</v>
      </c>
    </row>
    <row r="5729" spans="1:9" x14ac:dyDescent="0.2">
      <c r="A5729" t="s">
        <v>6207</v>
      </c>
      <c r="B5729">
        <v>3.7450000000000001</v>
      </c>
      <c r="C5729">
        <v>5.2444999999999999E-2</v>
      </c>
      <c r="D5729">
        <v>292</v>
      </c>
      <c r="E5729" t="s">
        <v>6207</v>
      </c>
      <c r="F5729">
        <v>292</v>
      </c>
      <c r="G5729" s="1">
        <v>45218</v>
      </c>
      <c r="H5729" s="6">
        <f t="shared" si="180"/>
        <v>37.43750000000022</v>
      </c>
      <c r="I5729" s="7">
        <f t="shared" si="181"/>
        <v>37.43750000000022</v>
      </c>
    </row>
    <row r="5730" spans="1:9" x14ac:dyDescent="0.2">
      <c r="A5730" t="s">
        <v>6208</v>
      </c>
      <c r="B5730">
        <v>4.1189999999999998</v>
      </c>
      <c r="C5730">
        <v>5.7700000000000001E-2</v>
      </c>
      <c r="D5730">
        <v>292</v>
      </c>
      <c r="E5730" t="s">
        <v>6208</v>
      </c>
      <c r="F5730">
        <v>292</v>
      </c>
      <c r="G5730" s="1">
        <v>45218</v>
      </c>
      <c r="H5730" s="6">
        <f t="shared" si="180"/>
        <v>37.447916666666885</v>
      </c>
      <c r="I5730" s="7">
        <f t="shared" si="181"/>
        <v>37.447916666666885</v>
      </c>
    </row>
    <row r="5731" spans="1:9" x14ac:dyDescent="0.2">
      <c r="A5731" t="s">
        <v>6209</v>
      </c>
      <c r="B5731">
        <v>4.1379999999999999</v>
      </c>
      <c r="C5731">
        <v>5.7974999999999999E-2</v>
      </c>
      <c r="D5731">
        <v>292</v>
      </c>
      <c r="E5731" t="s">
        <v>6209</v>
      </c>
      <c r="F5731">
        <v>292</v>
      </c>
      <c r="G5731" s="1">
        <v>45218</v>
      </c>
      <c r="H5731" s="6">
        <f t="shared" si="180"/>
        <v>37.458333333333549</v>
      </c>
      <c r="I5731" s="7">
        <f t="shared" si="181"/>
        <v>37.458333333333549</v>
      </c>
    </row>
    <row r="5732" spans="1:9" x14ac:dyDescent="0.2">
      <c r="A5732" t="s">
        <v>6210</v>
      </c>
      <c r="B5732">
        <v>3.9449999999999998</v>
      </c>
      <c r="C5732">
        <v>5.527E-2</v>
      </c>
      <c r="D5732">
        <v>292</v>
      </c>
      <c r="E5732" t="s">
        <v>6210</v>
      </c>
      <c r="F5732">
        <v>292</v>
      </c>
      <c r="G5732" s="1">
        <v>45218</v>
      </c>
      <c r="H5732" s="6">
        <f t="shared" si="180"/>
        <v>37.468750000000213</v>
      </c>
      <c r="I5732" s="7">
        <f t="shared" si="181"/>
        <v>37.468750000000213</v>
      </c>
    </row>
    <row r="5733" spans="1:9" x14ac:dyDescent="0.2">
      <c r="A5733" t="s">
        <v>6211</v>
      </c>
      <c r="B5733">
        <v>3.9714999999999998</v>
      </c>
      <c r="C5733">
        <v>5.5625000000000001E-2</v>
      </c>
      <c r="D5733">
        <v>292</v>
      </c>
      <c r="E5733" t="s">
        <v>6211</v>
      </c>
      <c r="F5733">
        <v>292</v>
      </c>
      <c r="G5733" s="1">
        <v>45218</v>
      </c>
      <c r="H5733" s="6">
        <f t="shared" si="180"/>
        <v>37.479166666666877</v>
      </c>
      <c r="I5733" s="7">
        <f t="shared" si="181"/>
        <v>37.479166666666877</v>
      </c>
    </row>
    <row r="5734" spans="1:9" x14ac:dyDescent="0.2">
      <c r="A5734" t="s">
        <v>6212</v>
      </c>
      <c r="B5734">
        <v>3.8925000000000001</v>
      </c>
      <c r="C5734">
        <v>5.4515000000000001E-2</v>
      </c>
      <c r="D5734">
        <v>292</v>
      </c>
      <c r="E5734" t="s">
        <v>6212</v>
      </c>
      <c r="F5734">
        <v>292</v>
      </c>
      <c r="G5734" s="1">
        <v>45218</v>
      </c>
      <c r="H5734" s="6">
        <f t="shared" si="180"/>
        <v>37.489583333333542</v>
      </c>
      <c r="I5734" s="7">
        <f t="shared" si="181"/>
        <v>37.489583333333542</v>
      </c>
    </row>
    <row r="5735" spans="1:9" x14ac:dyDescent="0.2">
      <c r="A5735" t="s">
        <v>6213</v>
      </c>
      <c r="B5735">
        <v>4.1615000000000002</v>
      </c>
      <c r="C5735">
        <v>5.8279999999999998E-2</v>
      </c>
      <c r="D5735">
        <v>292</v>
      </c>
      <c r="E5735" t="s">
        <v>6213</v>
      </c>
      <c r="F5735">
        <v>292</v>
      </c>
      <c r="G5735" s="1">
        <v>45218</v>
      </c>
      <c r="H5735" s="6">
        <f t="shared" si="180"/>
        <v>37.500000000000206</v>
      </c>
      <c r="I5735" s="7">
        <f t="shared" si="181"/>
        <v>37.500000000000206</v>
      </c>
    </row>
    <row r="5736" spans="1:9" x14ac:dyDescent="0.2">
      <c r="A5736" t="s">
        <v>6214</v>
      </c>
      <c r="B5736">
        <v>4.2640000000000002</v>
      </c>
      <c r="C5736">
        <v>5.9755000000000003E-2</v>
      </c>
      <c r="D5736">
        <v>292</v>
      </c>
      <c r="E5736" t="s">
        <v>6214</v>
      </c>
      <c r="F5736">
        <v>292</v>
      </c>
      <c r="G5736" s="1">
        <v>45218</v>
      </c>
      <c r="H5736" s="6">
        <f t="shared" si="180"/>
        <v>37.51041666666687</v>
      </c>
      <c r="I5736" s="7">
        <f t="shared" si="181"/>
        <v>37.51041666666687</v>
      </c>
    </row>
    <row r="5737" spans="1:9" x14ac:dyDescent="0.2">
      <c r="A5737" t="s">
        <v>6215</v>
      </c>
      <c r="B5737">
        <v>4.1139999999999999</v>
      </c>
      <c r="C5737">
        <v>5.7639999999999997E-2</v>
      </c>
      <c r="D5737">
        <v>292</v>
      </c>
      <c r="E5737" t="s">
        <v>6215</v>
      </c>
      <c r="F5737">
        <v>292</v>
      </c>
      <c r="G5737" s="1">
        <v>45218</v>
      </c>
      <c r="H5737" s="6">
        <f t="shared" si="180"/>
        <v>37.520833333333535</v>
      </c>
      <c r="I5737" s="7">
        <f t="shared" si="181"/>
        <v>37.520833333333535</v>
      </c>
    </row>
    <row r="5738" spans="1:9" x14ac:dyDescent="0.2">
      <c r="A5738" t="s">
        <v>6216</v>
      </c>
      <c r="B5738">
        <v>3.8744999999999998</v>
      </c>
      <c r="C5738">
        <v>5.4265000000000001E-2</v>
      </c>
      <c r="D5738">
        <v>292</v>
      </c>
      <c r="E5738" t="s">
        <v>6216</v>
      </c>
      <c r="F5738">
        <v>292</v>
      </c>
      <c r="G5738" s="1">
        <v>45218</v>
      </c>
      <c r="H5738" s="6">
        <f t="shared" si="180"/>
        <v>37.531250000000199</v>
      </c>
      <c r="I5738" s="7">
        <f t="shared" si="181"/>
        <v>37.531250000000199</v>
      </c>
    </row>
    <row r="5739" spans="1:9" x14ac:dyDescent="0.2">
      <c r="A5739" t="s">
        <v>6217</v>
      </c>
      <c r="B5739" s="2" t="s">
        <v>6218</v>
      </c>
      <c r="C5739">
        <v>5.8395000000000002E-2</v>
      </c>
      <c r="D5739">
        <v>292</v>
      </c>
      <c r="E5739" t="s">
        <v>6217</v>
      </c>
      <c r="F5739">
        <v>292</v>
      </c>
      <c r="G5739" s="1">
        <v>45218</v>
      </c>
      <c r="H5739" s="6">
        <f t="shared" si="180"/>
        <v>37.541666666666863</v>
      </c>
      <c r="I5739" s="7">
        <f t="shared" si="181"/>
        <v>37.541666666666863</v>
      </c>
    </row>
    <row r="5740" spans="1:9" x14ac:dyDescent="0.2">
      <c r="A5740" t="s">
        <v>6219</v>
      </c>
      <c r="B5740">
        <v>3.9780000000000002</v>
      </c>
      <c r="C5740">
        <v>5.5735E-2</v>
      </c>
      <c r="D5740">
        <v>292</v>
      </c>
      <c r="E5740" t="s">
        <v>6219</v>
      </c>
      <c r="F5740">
        <v>292</v>
      </c>
      <c r="G5740" s="1">
        <v>45218</v>
      </c>
      <c r="H5740" s="6">
        <f t="shared" si="180"/>
        <v>37.552083333333528</v>
      </c>
      <c r="I5740" s="7">
        <f t="shared" si="181"/>
        <v>37.552083333333528</v>
      </c>
    </row>
    <row r="5741" spans="1:9" x14ac:dyDescent="0.2">
      <c r="A5741" t="s">
        <v>6220</v>
      </c>
      <c r="B5741">
        <v>3.9590000000000001</v>
      </c>
      <c r="C5741">
        <v>5.5445000000000001E-2</v>
      </c>
      <c r="D5741">
        <v>292</v>
      </c>
      <c r="E5741" t="s">
        <v>6220</v>
      </c>
      <c r="F5741">
        <v>292</v>
      </c>
      <c r="G5741" s="1">
        <v>45218</v>
      </c>
      <c r="H5741" s="6">
        <f t="shared" si="180"/>
        <v>37.562500000000192</v>
      </c>
      <c r="I5741" s="7">
        <f t="shared" si="181"/>
        <v>37.562500000000192</v>
      </c>
    </row>
    <row r="5742" spans="1:9" x14ac:dyDescent="0.2">
      <c r="A5742" t="s">
        <v>6221</v>
      </c>
      <c r="B5742">
        <v>3.9340000000000002</v>
      </c>
      <c r="C5742">
        <v>5.5105000000000001E-2</v>
      </c>
      <c r="D5742">
        <v>292</v>
      </c>
      <c r="E5742" t="s">
        <v>6221</v>
      </c>
      <c r="F5742">
        <v>292</v>
      </c>
      <c r="G5742" s="1">
        <v>45218</v>
      </c>
      <c r="H5742" s="6">
        <f t="shared" si="180"/>
        <v>37.572916666666856</v>
      </c>
      <c r="I5742" s="7">
        <f t="shared" si="181"/>
        <v>37.572916666666856</v>
      </c>
    </row>
    <row r="5743" spans="1:9" x14ac:dyDescent="0.2">
      <c r="A5743" t="s">
        <v>6222</v>
      </c>
      <c r="B5743">
        <v>4.1539999999999999</v>
      </c>
      <c r="C5743" s="2" t="s">
        <v>6223</v>
      </c>
      <c r="D5743">
        <v>292</v>
      </c>
      <c r="E5743" t="s">
        <v>6222</v>
      </c>
      <c r="F5743">
        <v>292</v>
      </c>
      <c r="G5743" s="1">
        <v>45218</v>
      </c>
      <c r="H5743" s="6">
        <f t="shared" si="180"/>
        <v>37.58333333333352</v>
      </c>
      <c r="I5743" s="7">
        <f t="shared" si="181"/>
        <v>37.58333333333352</v>
      </c>
    </row>
    <row r="5744" spans="1:9" x14ac:dyDescent="0.2">
      <c r="A5744" t="s">
        <v>6224</v>
      </c>
      <c r="B5744" s="2" t="s">
        <v>6225</v>
      </c>
      <c r="C5744">
        <v>5.3530000000000001E-2</v>
      </c>
      <c r="D5744">
        <v>292</v>
      </c>
      <c r="E5744" t="s">
        <v>6224</v>
      </c>
      <c r="F5744">
        <v>292</v>
      </c>
      <c r="G5744" s="1">
        <v>45218</v>
      </c>
      <c r="H5744" s="6">
        <f t="shared" si="180"/>
        <v>37.593750000000185</v>
      </c>
      <c r="I5744" s="7">
        <f t="shared" si="181"/>
        <v>37.593750000000185</v>
      </c>
    </row>
    <row r="5745" spans="1:9" x14ac:dyDescent="0.2">
      <c r="A5745" t="s">
        <v>6226</v>
      </c>
      <c r="B5745">
        <v>3.9674999999999998</v>
      </c>
      <c r="C5745">
        <v>5.5579999999999997E-2</v>
      </c>
      <c r="D5745">
        <v>293</v>
      </c>
      <c r="E5745" t="s">
        <v>6226</v>
      </c>
      <c r="F5745">
        <v>292</v>
      </c>
      <c r="G5745" s="1">
        <v>45218</v>
      </c>
      <c r="H5745" s="6">
        <f t="shared" si="180"/>
        <v>37.604166666666849</v>
      </c>
      <c r="I5745" s="7">
        <f t="shared" si="181"/>
        <v>37.604166666666849</v>
      </c>
    </row>
    <row r="5746" spans="1:9" x14ac:dyDescent="0.2">
      <c r="A5746" t="s">
        <v>6227</v>
      </c>
      <c r="B5746">
        <v>4.0804999999999998</v>
      </c>
      <c r="C5746">
        <v>5.7154999999999997E-2</v>
      </c>
      <c r="D5746">
        <v>293</v>
      </c>
      <c r="E5746" t="s">
        <v>6227</v>
      </c>
      <c r="F5746">
        <v>292</v>
      </c>
      <c r="G5746" s="1">
        <v>45218</v>
      </c>
      <c r="H5746" s="6">
        <f t="shared" si="180"/>
        <v>37.614583333333513</v>
      </c>
      <c r="I5746" s="7">
        <f t="shared" si="181"/>
        <v>37.614583333333513</v>
      </c>
    </row>
    <row r="5747" spans="1:9" x14ac:dyDescent="0.2">
      <c r="A5747" t="s">
        <v>6228</v>
      </c>
      <c r="B5747">
        <v>4.1390000000000002</v>
      </c>
      <c r="C5747" s="2" t="s">
        <v>6229</v>
      </c>
      <c r="D5747">
        <v>293</v>
      </c>
      <c r="E5747" t="s">
        <v>6228</v>
      </c>
      <c r="F5747">
        <v>292</v>
      </c>
      <c r="G5747" s="1">
        <v>45218</v>
      </c>
      <c r="H5747" s="6">
        <f t="shared" si="180"/>
        <v>37.625000000000178</v>
      </c>
      <c r="I5747" s="7">
        <f t="shared" si="181"/>
        <v>37.625000000000178</v>
      </c>
    </row>
    <row r="5748" spans="1:9" x14ac:dyDescent="0.2">
      <c r="A5748" t="s">
        <v>6230</v>
      </c>
      <c r="B5748">
        <v>4.1944999999999997</v>
      </c>
      <c r="C5748" s="2" t="s">
        <v>6231</v>
      </c>
      <c r="D5748">
        <v>293</v>
      </c>
      <c r="E5748" t="s">
        <v>6230</v>
      </c>
      <c r="F5748">
        <v>292</v>
      </c>
      <c r="G5748" s="1">
        <v>45218</v>
      </c>
      <c r="H5748" s="6">
        <f t="shared" si="180"/>
        <v>37.635416666666842</v>
      </c>
      <c r="I5748" s="7">
        <f t="shared" si="181"/>
        <v>37.635416666666842</v>
      </c>
    </row>
    <row r="5749" spans="1:9" x14ac:dyDescent="0.2">
      <c r="A5749" t="s">
        <v>6232</v>
      </c>
      <c r="B5749">
        <v>4.2815000000000003</v>
      </c>
      <c r="C5749">
        <v>5.9970000000000002E-2</v>
      </c>
      <c r="D5749">
        <v>293</v>
      </c>
      <c r="E5749" t="s">
        <v>6232</v>
      </c>
      <c r="F5749">
        <v>292</v>
      </c>
      <c r="G5749" s="1">
        <v>45218</v>
      </c>
      <c r="H5749" s="6">
        <f t="shared" si="180"/>
        <v>37.645833333333506</v>
      </c>
      <c r="I5749" s="7">
        <f t="shared" si="181"/>
        <v>37.645833333333506</v>
      </c>
    </row>
    <row r="5750" spans="1:9" x14ac:dyDescent="0.2">
      <c r="A5750" t="s">
        <v>6233</v>
      </c>
      <c r="B5750">
        <v>4.1005000000000003</v>
      </c>
      <c r="C5750">
        <v>5.7430000000000002E-2</v>
      </c>
      <c r="D5750">
        <v>293</v>
      </c>
      <c r="E5750" t="s">
        <v>6233</v>
      </c>
      <c r="F5750">
        <v>292</v>
      </c>
      <c r="G5750" s="1">
        <v>45218</v>
      </c>
      <c r="H5750" s="6">
        <f t="shared" si="180"/>
        <v>37.656250000000171</v>
      </c>
      <c r="I5750" s="7">
        <f t="shared" si="181"/>
        <v>37.656250000000171</v>
      </c>
    </row>
    <row r="5751" spans="1:9" x14ac:dyDescent="0.2">
      <c r="A5751" t="s">
        <v>6234</v>
      </c>
      <c r="B5751">
        <v>3.9944999999999999</v>
      </c>
      <c r="C5751">
        <v>5.5965000000000001E-2</v>
      </c>
      <c r="D5751">
        <v>293</v>
      </c>
      <c r="E5751" t="s">
        <v>6234</v>
      </c>
      <c r="F5751">
        <v>292</v>
      </c>
      <c r="G5751" s="1">
        <v>45218</v>
      </c>
      <c r="H5751" s="6">
        <f t="shared" si="180"/>
        <v>37.666666666666835</v>
      </c>
      <c r="I5751" s="7">
        <f t="shared" si="181"/>
        <v>37.666666666666835</v>
      </c>
    </row>
    <row r="5752" spans="1:9" x14ac:dyDescent="0.2">
      <c r="A5752" t="s">
        <v>6235</v>
      </c>
      <c r="B5752">
        <v>4.141</v>
      </c>
      <c r="C5752">
        <v>5.7994999999999998E-2</v>
      </c>
      <c r="D5752">
        <v>293</v>
      </c>
      <c r="E5752" t="s">
        <v>6235</v>
      </c>
      <c r="F5752">
        <v>292</v>
      </c>
      <c r="G5752" s="1">
        <v>45218</v>
      </c>
      <c r="H5752" s="6">
        <f t="shared" si="180"/>
        <v>37.677083333333499</v>
      </c>
      <c r="I5752" s="7">
        <f t="shared" si="181"/>
        <v>37.677083333333499</v>
      </c>
    </row>
    <row r="5753" spans="1:9" x14ac:dyDescent="0.2">
      <c r="A5753" t="s">
        <v>6236</v>
      </c>
      <c r="B5753">
        <v>4.2169999999999996</v>
      </c>
      <c r="C5753">
        <v>5.9049999999999998E-2</v>
      </c>
      <c r="D5753">
        <v>293</v>
      </c>
      <c r="E5753" t="s">
        <v>6236</v>
      </c>
      <c r="F5753">
        <v>292</v>
      </c>
      <c r="G5753" s="1">
        <v>45218</v>
      </c>
      <c r="H5753" s="6">
        <f t="shared" si="180"/>
        <v>37.687500000000163</v>
      </c>
      <c r="I5753" s="7">
        <f t="shared" si="181"/>
        <v>37.687500000000163</v>
      </c>
    </row>
    <row r="5754" spans="1:9" x14ac:dyDescent="0.2">
      <c r="A5754" t="s">
        <v>6237</v>
      </c>
      <c r="B5754">
        <v>4.3395000000000001</v>
      </c>
      <c r="C5754">
        <v>6.0760000000000002E-2</v>
      </c>
      <c r="D5754">
        <v>293</v>
      </c>
      <c r="E5754" t="s">
        <v>6237</v>
      </c>
      <c r="F5754">
        <v>292</v>
      </c>
      <c r="G5754" s="1">
        <v>45218</v>
      </c>
      <c r="H5754" s="6">
        <f t="shared" si="180"/>
        <v>37.697916666666828</v>
      </c>
      <c r="I5754" s="7">
        <f t="shared" si="181"/>
        <v>37.697916666666828</v>
      </c>
    </row>
    <row r="5755" spans="1:9" x14ac:dyDescent="0.2">
      <c r="A5755" t="s">
        <v>6238</v>
      </c>
      <c r="B5755">
        <v>4.3319999999999999</v>
      </c>
      <c r="C5755">
        <v>6.0664999999999997E-2</v>
      </c>
      <c r="D5755">
        <v>293</v>
      </c>
      <c r="E5755" t="s">
        <v>6238</v>
      </c>
      <c r="F5755">
        <v>292</v>
      </c>
      <c r="G5755" s="1">
        <v>45218</v>
      </c>
      <c r="H5755" s="6">
        <f t="shared" si="180"/>
        <v>37.708333333333492</v>
      </c>
      <c r="I5755" s="7">
        <f t="shared" si="181"/>
        <v>37.708333333333492</v>
      </c>
    </row>
    <row r="5756" spans="1:9" x14ac:dyDescent="0.2">
      <c r="A5756" t="s">
        <v>6239</v>
      </c>
      <c r="B5756">
        <v>4.3075000000000001</v>
      </c>
      <c r="C5756" s="2" t="s">
        <v>6240</v>
      </c>
      <c r="D5756">
        <v>293</v>
      </c>
      <c r="E5756" t="s">
        <v>6239</v>
      </c>
      <c r="F5756">
        <v>292</v>
      </c>
      <c r="G5756" s="1">
        <v>45218</v>
      </c>
      <c r="H5756" s="6">
        <f t="shared" si="180"/>
        <v>37.718750000000156</v>
      </c>
      <c r="I5756" s="7">
        <f t="shared" si="181"/>
        <v>37.718750000000156</v>
      </c>
    </row>
    <row r="5757" spans="1:9" x14ac:dyDescent="0.2">
      <c r="A5757" t="s">
        <v>6241</v>
      </c>
      <c r="B5757">
        <v>4.351</v>
      </c>
      <c r="C5757">
        <v>6.0944999999999999E-2</v>
      </c>
      <c r="D5757">
        <v>293</v>
      </c>
      <c r="E5757" t="s">
        <v>6241</v>
      </c>
      <c r="F5757">
        <v>292</v>
      </c>
      <c r="G5757" s="1">
        <v>45218</v>
      </c>
      <c r="H5757" s="6">
        <f t="shared" si="180"/>
        <v>37.729166666666821</v>
      </c>
      <c r="I5757" s="7">
        <f t="shared" si="181"/>
        <v>37.729166666666821</v>
      </c>
    </row>
    <row r="5758" spans="1:9" x14ac:dyDescent="0.2">
      <c r="A5758" t="s">
        <v>6242</v>
      </c>
      <c r="B5758">
        <v>4.4405000000000001</v>
      </c>
      <c r="C5758">
        <v>6.2199999999999998E-2</v>
      </c>
      <c r="D5758">
        <v>293</v>
      </c>
      <c r="E5758" t="s">
        <v>6242</v>
      </c>
      <c r="F5758">
        <v>292</v>
      </c>
      <c r="G5758" s="1">
        <v>45218</v>
      </c>
      <c r="H5758" s="6">
        <f t="shared" si="180"/>
        <v>37.739583333333485</v>
      </c>
      <c r="I5758" s="7">
        <f t="shared" si="181"/>
        <v>37.739583333333485</v>
      </c>
    </row>
    <row r="5759" spans="1:9" x14ac:dyDescent="0.2">
      <c r="A5759" t="s">
        <v>6243</v>
      </c>
      <c r="B5759">
        <v>4.66</v>
      </c>
      <c r="C5759">
        <v>6.5259999999999999E-2</v>
      </c>
      <c r="D5759">
        <v>293</v>
      </c>
      <c r="E5759" t="s">
        <v>6243</v>
      </c>
      <c r="F5759">
        <v>292</v>
      </c>
      <c r="G5759" s="1">
        <v>45218</v>
      </c>
      <c r="H5759" s="6">
        <f t="shared" si="180"/>
        <v>37.750000000000149</v>
      </c>
      <c r="I5759" s="7">
        <f t="shared" si="181"/>
        <v>37.750000000000149</v>
      </c>
    </row>
    <row r="5760" spans="1:9" x14ac:dyDescent="0.2">
      <c r="A5760" t="s">
        <v>6244</v>
      </c>
      <c r="B5760">
        <v>4.726</v>
      </c>
      <c r="C5760">
        <v>6.6189999999999999E-2</v>
      </c>
      <c r="D5760">
        <v>293</v>
      </c>
      <c r="E5760" t="s">
        <v>6244</v>
      </c>
      <c r="F5760">
        <v>292</v>
      </c>
      <c r="G5760" s="1">
        <v>45218</v>
      </c>
      <c r="H5760" s="6">
        <f t="shared" si="180"/>
        <v>37.760416666666814</v>
      </c>
      <c r="I5760" s="7">
        <f t="shared" si="181"/>
        <v>37.760416666666814</v>
      </c>
    </row>
    <row r="5761" spans="1:9" x14ac:dyDescent="0.2">
      <c r="A5761" t="s">
        <v>6245</v>
      </c>
      <c r="B5761">
        <v>4.5324999999999998</v>
      </c>
      <c r="C5761">
        <v>6.3509999999999997E-2</v>
      </c>
      <c r="D5761">
        <v>293</v>
      </c>
      <c r="E5761" t="s">
        <v>6245</v>
      </c>
      <c r="F5761">
        <v>292</v>
      </c>
      <c r="G5761" s="1">
        <v>45218</v>
      </c>
      <c r="H5761" s="6">
        <f t="shared" si="180"/>
        <v>37.770833333333478</v>
      </c>
      <c r="I5761" s="7">
        <f t="shared" si="181"/>
        <v>37.770833333333478</v>
      </c>
    </row>
    <row r="5762" spans="1:9" x14ac:dyDescent="0.2">
      <c r="A5762" t="s">
        <v>6246</v>
      </c>
      <c r="B5762">
        <v>4.8285</v>
      </c>
      <c r="C5762">
        <v>6.7659999999999998E-2</v>
      </c>
      <c r="D5762">
        <v>293</v>
      </c>
      <c r="E5762" t="s">
        <v>6246</v>
      </c>
      <c r="F5762">
        <v>292</v>
      </c>
      <c r="G5762" s="1">
        <v>45218</v>
      </c>
      <c r="H5762" s="6">
        <f t="shared" si="180"/>
        <v>37.781250000000142</v>
      </c>
      <c r="I5762" s="7">
        <f t="shared" si="181"/>
        <v>37.781250000000142</v>
      </c>
    </row>
    <row r="5763" spans="1:9" x14ac:dyDescent="0.2">
      <c r="A5763" t="s">
        <v>6247</v>
      </c>
      <c r="B5763">
        <v>4.7859999999999996</v>
      </c>
      <c r="C5763">
        <v>6.7040000000000002E-2</v>
      </c>
      <c r="D5763">
        <v>293</v>
      </c>
      <c r="E5763" t="s">
        <v>6247</v>
      </c>
      <c r="F5763">
        <v>292</v>
      </c>
      <c r="G5763" s="1">
        <v>45218</v>
      </c>
      <c r="H5763" s="6">
        <f t="shared" si="180"/>
        <v>37.791666666666806</v>
      </c>
      <c r="I5763" s="7">
        <f t="shared" si="181"/>
        <v>37.791666666666806</v>
      </c>
    </row>
    <row r="5764" spans="1:9" x14ac:dyDescent="0.2">
      <c r="A5764" t="s">
        <v>6248</v>
      </c>
      <c r="B5764">
        <v>4.7009999999999996</v>
      </c>
      <c r="C5764">
        <v>6.5860000000000002E-2</v>
      </c>
      <c r="D5764">
        <v>293</v>
      </c>
      <c r="E5764" t="s">
        <v>6248</v>
      </c>
      <c r="F5764">
        <v>292</v>
      </c>
      <c r="G5764" s="1">
        <v>45218</v>
      </c>
      <c r="H5764" s="6">
        <f t="shared" si="180"/>
        <v>37.802083333333471</v>
      </c>
      <c r="I5764" s="7">
        <f t="shared" si="181"/>
        <v>37.802083333333471</v>
      </c>
    </row>
    <row r="5765" spans="1:9" x14ac:dyDescent="0.2">
      <c r="A5765" t="s">
        <v>6249</v>
      </c>
      <c r="B5765">
        <v>4.806</v>
      </c>
      <c r="C5765">
        <v>6.7305000000000004E-2</v>
      </c>
      <c r="D5765">
        <v>293</v>
      </c>
      <c r="E5765" t="s">
        <v>6249</v>
      </c>
      <c r="F5765">
        <v>292</v>
      </c>
      <c r="G5765" s="1">
        <v>45218</v>
      </c>
      <c r="H5765" s="6">
        <f t="shared" si="180"/>
        <v>37.812500000000135</v>
      </c>
      <c r="I5765" s="7">
        <f t="shared" si="181"/>
        <v>37.812500000000135</v>
      </c>
    </row>
    <row r="5766" spans="1:9" x14ac:dyDescent="0.2">
      <c r="A5766" t="s">
        <v>6250</v>
      </c>
      <c r="B5766">
        <v>4.6464999999999996</v>
      </c>
      <c r="C5766">
        <v>6.5095E-2</v>
      </c>
      <c r="D5766">
        <v>293</v>
      </c>
      <c r="E5766" t="s">
        <v>6250</v>
      </c>
      <c r="F5766">
        <v>292</v>
      </c>
      <c r="G5766" s="1">
        <v>45218</v>
      </c>
      <c r="H5766" s="6">
        <f t="shared" si="180"/>
        <v>37.822916666666799</v>
      </c>
      <c r="I5766" s="7">
        <f t="shared" si="181"/>
        <v>37.822916666666799</v>
      </c>
    </row>
    <row r="5767" spans="1:9" x14ac:dyDescent="0.2">
      <c r="A5767" t="s">
        <v>6251</v>
      </c>
      <c r="B5767">
        <v>4.7160000000000002</v>
      </c>
      <c r="C5767">
        <v>6.6049999999999998E-2</v>
      </c>
      <c r="D5767">
        <v>293</v>
      </c>
      <c r="E5767" t="s">
        <v>6251</v>
      </c>
      <c r="F5767">
        <v>292</v>
      </c>
      <c r="G5767" s="1">
        <v>45218</v>
      </c>
      <c r="H5767" s="6">
        <f t="shared" si="180"/>
        <v>37.833333333333464</v>
      </c>
      <c r="I5767" s="7">
        <f t="shared" si="181"/>
        <v>37.833333333333464</v>
      </c>
    </row>
    <row r="5768" spans="1:9" x14ac:dyDescent="0.2">
      <c r="A5768" t="s">
        <v>6252</v>
      </c>
      <c r="B5768">
        <v>4.8475000000000001</v>
      </c>
      <c r="C5768">
        <v>6.7890000000000006E-2</v>
      </c>
      <c r="D5768">
        <v>293</v>
      </c>
      <c r="E5768" t="s">
        <v>6252</v>
      </c>
      <c r="F5768">
        <v>292</v>
      </c>
      <c r="G5768" s="1">
        <v>45218</v>
      </c>
      <c r="H5768" s="6">
        <f t="shared" si="180"/>
        <v>37.843750000000128</v>
      </c>
      <c r="I5768" s="7">
        <f t="shared" si="181"/>
        <v>37.843750000000128</v>
      </c>
    </row>
    <row r="5769" spans="1:9" x14ac:dyDescent="0.2">
      <c r="A5769" t="s">
        <v>6253</v>
      </c>
      <c r="B5769">
        <v>4.6185</v>
      </c>
      <c r="C5769">
        <v>6.4685000000000006E-2</v>
      </c>
      <c r="D5769">
        <v>293</v>
      </c>
      <c r="E5769" t="s">
        <v>6253</v>
      </c>
      <c r="F5769">
        <v>293</v>
      </c>
      <c r="G5769" s="1">
        <v>45219</v>
      </c>
      <c r="H5769" s="6">
        <f t="shared" si="180"/>
        <v>37.854166666666792</v>
      </c>
      <c r="I5769" s="7">
        <f t="shared" si="181"/>
        <v>37.854166666666792</v>
      </c>
    </row>
    <row r="5770" spans="1:9" x14ac:dyDescent="0.2">
      <c r="A5770" t="s">
        <v>6254</v>
      </c>
      <c r="B5770">
        <v>4.6574999999999998</v>
      </c>
      <c r="C5770">
        <v>6.5244999999999997E-2</v>
      </c>
      <c r="D5770">
        <v>293</v>
      </c>
      <c r="E5770" t="s">
        <v>6254</v>
      </c>
      <c r="F5770">
        <v>293</v>
      </c>
      <c r="G5770" s="1">
        <v>45219</v>
      </c>
      <c r="H5770" s="6">
        <f t="shared" si="180"/>
        <v>37.864583333333456</v>
      </c>
      <c r="I5770" s="7">
        <f t="shared" si="181"/>
        <v>37.864583333333456</v>
      </c>
    </row>
    <row r="5771" spans="1:9" x14ac:dyDescent="0.2">
      <c r="A5771" t="s">
        <v>6255</v>
      </c>
      <c r="B5771">
        <v>4.6909999999999998</v>
      </c>
      <c r="C5771">
        <v>6.5695000000000003E-2</v>
      </c>
      <c r="D5771">
        <v>293</v>
      </c>
      <c r="E5771" t="s">
        <v>6255</v>
      </c>
      <c r="F5771">
        <v>293</v>
      </c>
      <c r="G5771" s="1">
        <v>45219</v>
      </c>
      <c r="H5771" s="6">
        <f t="shared" si="180"/>
        <v>37.875000000000121</v>
      </c>
      <c r="I5771" s="7">
        <f t="shared" si="181"/>
        <v>37.875000000000121</v>
      </c>
    </row>
    <row r="5772" spans="1:9" x14ac:dyDescent="0.2">
      <c r="A5772" t="s">
        <v>6256</v>
      </c>
      <c r="B5772">
        <v>4.883</v>
      </c>
      <c r="C5772">
        <v>6.8390000000000006E-2</v>
      </c>
      <c r="D5772">
        <v>293</v>
      </c>
      <c r="E5772" t="s">
        <v>6256</v>
      </c>
      <c r="F5772">
        <v>293</v>
      </c>
      <c r="G5772" s="1">
        <v>45219</v>
      </c>
      <c r="H5772" s="6">
        <f t="shared" si="180"/>
        <v>37.885416666666785</v>
      </c>
      <c r="I5772" s="7">
        <f t="shared" si="181"/>
        <v>37.885416666666785</v>
      </c>
    </row>
    <row r="5773" spans="1:9" x14ac:dyDescent="0.2">
      <c r="A5773" t="s">
        <v>6257</v>
      </c>
      <c r="B5773">
        <v>4.7854999999999999</v>
      </c>
      <c r="C5773">
        <v>6.7025000000000001E-2</v>
      </c>
      <c r="D5773">
        <v>293</v>
      </c>
      <c r="E5773" t="s">
        <v>6257</v>
      </c>
      <c r="F5773">
        <v>293</v>
      </c>
      <c r="G5773" s="1">
        <v>45219</v>
      </c>
      <c r="H5773" s="6">
        <f t="shared" si="180"/>
        <v>37.895833333333449</v>
      </c>
      <c r="I5773" s="7">
        <f t="shared" si="181"/>
        <v>37.895833333333449</v>
      </c>
    </row>
    <row r="5774" spans="1:9" x14ac:dyDescent="0.2">
      <c r="A5774" t="s">
        <v>6258</v>
      </c>
      <c r="B5774">
        <v>4.8535000000000004</v>
      </c>
      <c r="C5774">
        <v>6.7979999999999999E-2</v>
      </c>
      <c r="D5774">
        <v>293</v>
      </c>
      <c r="E5774" t="s">
        <v>6258</v>
      </c>
      <c r="F5774">
        <v>293</v>
      </c>
      <c r="G5774" s="1">
        <v>45219</v>
      </c>
      <c r="H5774" s="6">
        <f t="shared" si="180"/>
        <v>37.906250000000114</v>
      </c>
      <c r="I5774" s="7">
        <f t="shared" si="181"/>
        <v>37.906250000000114</v>
      </c>
    </row>
    <row r="5775" spans="1:9" x14ac:dyDescent="0.2">
      <c r="A5775" t="s">
        <v>6259</v>
      </c>
      <c r="B5775">
        <v>4.8620000000000001</v>
      </c>
      <c r="C5775">
        <v>6.8104999999999999E-2</v>
      </c>
      <c r="D5775">
        <v>293</v>
      </c>
      <c r="E5775" t="s">
        <v>6259</v>
      </c>
      <c r="F5775">
        <v>293</v>
      </c>
      <c r="G5775" s="1">
        <v>45219</v>
      </c>
      <c r="H5775" s="6">
        <f t="shared" si="180"/>
        <v>37.916666666666778</v>
      </c>
      <c r="I5775" s="7">
        <f t="shared" si="181"/>
        <v>37.916666666666778</v>
      </c>
    </row>
    <row r="5776" spans="1:9" x14ac:dyDescent="0.2">
      <c r="A5776" t="s">
        <v>6260</v>
      </c>
      <c r="B5776">
        <v>4.9085000000000001</v>
      </c>
      <c r="C5776">
        <v>6.8765000000000007E-2</v>
      </c>
      <c r="D5776">
        <v>293</v>
      </c>
      <c r="E5776" t="s">
        <v>6260</v>
      </c>
      <c r="F5776">
        <v>293</v>
      </c>
      <c r="G5776" s="1">
        <v>45219</v>
      </c>
      <c r="H5776" s="6">
        <f t="shared" si="180"/>
        <v>37.927083333333442</v>
      </c>
      <c r="I5776" s="7">
        <f t="shared" si="181"/>
        <v>37.927083333333442</v>
      </c>
    </row>
    <row r="5777" spans="1:9" x14ac:dyDescent="0.2">
      <c r="A5777" t="s">
        <v>6261</v>
      </c>
      <c r="B5777">
        <v>4.9465000000000003</v>
      </c>
      <c r="C5777">
        <v>6.9254999999999997E-2</v>
      </c>
      <c r="D5777">
        <v>293</v>
      </c>
      <c r="E5777" t="s">
        <v>6261</v>
      </c>
      <c r="F5777">
        <v>293</v>
      </c>
      <c r="G5777" s="1">
        <v>45219</v>
      </c>
      <c r="H5777" s="6">
        <f t="shared" si="180"/>
        <v>37.937500000000107</v>
      </c>
      <c r="I5777" s="7">
        <f t="shared" si="181"/>
        <v>37.937500000000107</v>
      </c>
    </row>
    <row r="5778" spans="1:9" x14ac:dyDescent="0.2">
      <c r="A5778" t="s">
        <v>6262</v>
      </c>
      <c r="B5778" s="2" t="s">
        <v>6263</v>
      </c>
      <c r="C5778">
        <v>6.8995000000000001E-2</v>
      </c>
      <c r="D5778">
        <v>293</v>
      </c>
      <c r="E5778" t="s">
        <v>6262</v>
      </c>
      <c r="F5778">
        <v>293</v>
      </c>
      <c r="G5778" s="1">
        <v>45219</v>
      </c>
      <c r="H5778" s="6">
        <f t="shared" si="180"/>
        <v>37.947916666666771</v>
      </c>
      <c r="I5778" s="7">
        <f t="shared" si="181"/>
        <v>37.947916666666771</v>
      </c>
    </row>
    <row r="5779" spans="1:9" x14ac:dyDescent="0.2">
      <c r="A5779" t="s">
        <v>6264</v>
      </c>
      <c r="B5779">
        <v>4.8570000000000002</v>
      </c>
      <c r="C5779">
        <v>6.8015000000000006E-2</v>
      </c>
      <c r="D5779">
        <v>293</v>
      </c>
      <c r="E5779" t="s">
        <v>6264</v>
      </c>
      <c r="F5779">
        <v>293</v>
      </c>
      <c r="G5779" s="1">
        <v>45219</v>
      </c>
      <c r="H5779" s="6">
        <f t="shared" si="180"/>
        <v>37.958333333333435</v>
      </c>
      <c r="I5779" s="7">
        <f t="shared" si="181"/>
        <v>37.958333333333435</v>
      </c>
    </row>
    <row r="5780" spans="1:9" x14ac:dyDescent="0.2">
      <c r="A5780" t="s">
        <v>6265</v>
      </c>
      <c r="B5780">
        <v>5.1319999999999997</v>
      </c>
      <c r="C5780">
        <v>7.1885000000000004E-2</v>
      </c>
      <c r="D5780">
        <v>293</v>
      </c>
      <c r="E5780" t="s">
        <v>6265</v>
      </c>
      <c r="F5780">
        <v>293</v>
      </c>
      <c r="G5780" s="1">
        <v>45219</v>
      </c>
      <c r="H5780" s="6">
        <f t="shared" si="180"/>
        <v>37.968750000000099</v>
      </c>
      <c r="I5780" s="7">
        <f t="shared" si="181"/>
        <v>37.968750000000099</v>
      </c>
    </row>
    <row r="5781" spans="1:9" x14ac:dyDescent="0.2">
      <c r="A5781" t="s">
        <v>6266</v>
      </c>
      <c r="B5781">
        <v>5.0365000000000002</v>
      </c>
      <c r="C5781">
        <v>7.0539999999999894E-2</v>
      </c>
      <c r="D5781">
        <v>293</v>
      </c>
      <c r="E5781" t="s">
        <v>6266</v>
      </c>
      <c r="F5781">
        <v>293</v>
      </c>
      <c r="G5781" s="1">
        <v>45219</v>
      </c>
      <c r="H5781" s="6">
        <f t="shared" si="180"/>
        <v>37.979166666666764</v>
      </c>
      <c r="I5781" s="7">
        <f t="shared" si="181"/>
        <v>37.979166666666764</v>
      </c>
    </row>
    <row r="5782" spans="1:9" x14ac:dyDescent="0.2">
      <c r="A5782" t="s">
        <v>6267</v>
      </c>
      <c r="B5782">
        <v>5.04</v>
      </c>
      <c r="C5782">
        <v>7.0610000000000006E-2</v>
      </c>
      <c r="D5782">
        <v>293</v>
      </c>
      <c r="E5782" t="s">
        <v>6267</v>
      </c>
      <c r="F5782">
        <v>293</v>
      </c>
      <c r="G5782" s="1">
        <v>45219</v>
      </c>
      <c r="H5782" s="6">
        <f t="shared" si="180"/>
        <v>37.989583333333428</v>
      </c>
      <c r="I5782" s="7">
        <f t="shared" si="181"/>
        <v>37.989583333333428</v>
      </c>
    </row>
    <row r="5783" spans="1:9" x14ac:dyDescent="0.2">
      <c r="A5783" t="s">
        <v>6268</v>
      </c>
      <c r="B5783">
        <v>4.9385000000000003</v>
      </c>
      <c r="C5783">
        <v>6.9165000000000004E-2</v>
      </c>
      <c r="D5783">
        <v>293</v>
      </c>
      <c r="E5783" t="s">
        <v>6268</v>
      </c>
      <c r="F5783">
        <v>293</v>
      </c>
      <c r="G5783" s="1">
        <v>45219</v>
      </c>
      <c r="H5783" s="6">
        <f t="shared" si="180"/>
        <v>38.000000000000092</v>
      </c>
      <c r="I5783" s="7">
        <f t="shared" si="181"/>
        <v>38.000000000000092</v>
      </c>
    </row>
    <row r="5784" spans="1:9" x14ac:dyDescent="0.2">
      <c r="A5784" t="s">
        <v>6269</v>
      </c>
      <c r="B5784">
        <v>4.8354999999999997</v>
      </c>
      <c r="C5784">
        <v>6.7720000000000002E-2</v>
      </c>
      <c r="D5784">
        <v>293</v>
      </c>
      <c r="E5784" t="s">
        <v>6269</v>
      </c>
      <c r="F5784">
        <v>293</v>
      </c>
      <c r="G5784" s="1">
        <v>45219</v>
      </c>
      <c r="H5784" s="6">
        <f t="shared" si="180"/>
        <v>38.010416666666757</v>
      </c>
      <c r="I5784" s="7">
        <f t="shared" si="181"/>
        <v>38.010416666666757</v>
      </c>
    </row>
    <row r="5785" spans="1:9" x14ac:dyDescent="0.2">
      <c r="A5785" t="s">
        <v>6270</v>
      </c>
      <c r="B5785" s="2" t="s">
        <v>6271</v>
      </c>
      <c r="C5785">
        <v>6.8745000000000001E-2</v>
      </c>
      <c r="D5785">
        <v>293</v>
      </c>
      <c r="E5785" t="s">
        <v>6270</v>
      </c>
      <c r="F5785">
        <v>293</v>
      </c>
      <c r="G5785" s="1">
        <v>45219</v>
      </c>
      <c r="H5785" s="6">
        <f t="shared" si="180"/>
        <v>38.020833333333421</v>
      </c>
      <c r="I5785" s="7">
        <f t="shared" si="181"/>
        <v>38.020833333333421</v>
      </c>
    </row>
    <row r="5786" spans="1:9" x14ac:dyDescent="0.2">
      <c r="A5786" t="s">
        <v>6272</v>
      </c>
      <c r="B5786">
        <v>5.0365000000000002</v>
      </c>
      <c r="C5786">
        <v>7.0544999999999997E-2</v>
      </c>
      <c r="D5786">
        <v>293</v>
      </c>
      <c r="E5786" t="s">
        <v>6272</v>
      </c>
      <c r="F5786">
        <v>293</v>
      </c>
      <c r="G5786" s="1">
        <v>45219</v>
      </c>
      <c r="H5786" s="6">
        <f t="shared" si="180"/>
        <v>38.031250000000085</v>
      </c>
      <c r="I5786" s="7">
        <f t="shared" si="181"/>
        <v>38.031250000000085</v>
      </c>
    </row>
    <row r="5787" spans="1:9" x14ac:dyDescent="0.2">
      <c r="A5787" t="s">
        <v>6273</v>
      </c>
      <c r="B5787">
        <v>5.0495000000000001</v>
      </c>
      <c r="C5787">
        <v>7.0745000000000002E-2</v>
      </c>
      <c r="D5787">
        <v>293</v>
      </c>
      <c r="E5787" t="s">
        <v>6273</v>
      </c>
      <c r="F5787">
        <v>293</v>
      </c>
      <c r="G5787" s="1">
        <v>45219</v>
      </c>
      <c r="H5787" s="6">
        <f t="shared" si="180"/>
        <v>38.04166666666675</v>
      </c>
      <c r="I5787" s="7">
        <f t="shared" si="181"/>
        <v>38.04166666666675</v>
      </c>
    </row>
    <row r="5788" spans="1:9" x14ac:dyDescent="0.2">
      <c r="A5788" t="s">
        <v>6274</v>
      </c>
      <c r="B5788">
        <v>5.0359999999999996</v>
      </c>
      <c r="C5788">
        <v>7.0540000000000005E-2</v>
      </c>
      <c r="D5788">
        <v>293</v>
      </c>
      <c r="E5788" t="s">
        <v>6274</v>
      </c>
      <c r="F5788">
        <v>293</v>
      </c>
      <c r="G5788" s="1">
        <v>45219</v>
      </c>
      <c r="H5788" s="6">
        <f t="shared" ref="H5788:H5851" si="182">H5787+$K$1</f>
        <v>38.052083333333414</v>
      </c>
      <c r="I5788" s="7">
        <f t="shared" ref="I5788:I5851" si="183">I5787+$K$1</f>
        <v>38.052083333333414</v>
      </c>
    </row>
    <row r="5789" spans="1:9" x14ac:dyDescent="0.2">
      <c r="A5789" t="s">
        <v>6275</v>
      </c>
      <c r="B5789">
        <v>5.024</v>
      </c>
      <c r="C5789">
        <v>7.0379999999999998E-2</v>
      </c>
      <c r="D5789">
        <v>293</v>
      </c>
      <c r="E5789" t="s">
        <v>6275</v>
      </c>
      <c r="F5789">
        <v>293</v>
      </c>
      <c r="G5789" s="1">
        <v>45219</v>
      </c>
      <c r="H5789" s="6">
        <f t="shared" si="182"/>
        <v>38.062500000000078</v>
      </c>
      <c r="I5789" s="7">
        <f t="shared" si="183"/>
        <v>38.062500000000078</v>
      </c>
    </row>
    <row r="5790" spans="1:9" x14ac:dyDescent="0.2">
      <c r="A5790" t="s">
        <v>6276</v>
      </c>
      <c r="B5790">
        <v>4.9055</v>
      </c>
      <c r="C5790">
        <v>6.8714999999999998E-2</v>
      </c>
      <c r="D5790">
        <v>293</v>
      </c>
      <c r="E5790" t="s">
        <v>6276</v>
      </c>
      <c r="F5790">
        <v>293</v>
      </c>
      <c r="G5790" s="1">
        <v>45219</v>
      </c>
      <c r="H5790" s="6">
        <f t="shared" si="182"/>
        <v>38.072916666666742</v>
      </c>
      <c r="I5790" s="7">
        <f t="shared" si="183"/>
        <v>38.072916666666742</v>
      </c>
    </row>
    <row r="5791" spans="1:9" x14ac:dyDescent="0.2">
      <c r="A5791" t="s">
        <v>6277</v>
      </c>
      <c r="B5791">
        <v>4.9394999999999998</v>
      </c>
      <c r="C5791">
        <v>6.9190000000000002E-2</v>
      </c>
      <c r="D5791">
        <v>293</v>
      </c>
      <c r="E5791" t="s">
        <v>6277</v>
      </c>
      <c r="F5791">
        <v>293</v>
      </c>
      <c r="G5791" s="1">
        <v>45219</v>
      </c>
      <c r="H5791" s="6">
        <f t="shared" si="182"/>
        <v>38.083333333333407</v>
      </c>
      <c r="I5791" s="7">
        <f t="shared" si="183"/>
        <v>38.083333333333407</v>
      </c>
    </row>
    <row r="5792" spans="1:9" x14ac:dyDescent="0.2">
      <c r="A5792" t="s">
        <v>6278</v>
      </c>
      <c r="B5792">
        <v>4.9775</v>
      </c>
      <c r="C5792">
        <v>6.9714999999999999E-2</v>
      </c>
      <c r="D5792">
        <v>293</v>
      </c>
      <c r="E5792" t="s">
        <v>6278</v>
      </c>
      <c r="F5792">
        <v>293</v>
      </c>
      <c r="G5792" s="1">
        <v>45219</v>
      </c>
      <c r="H5792" s="6">
        <f t="shared" si="182"/>
        <v>38.093750000000071</v>
      </c>
      <c r="I5792" s="7">
        <f t="shared" si="183"/>
        <v>38.093750000000071</v>
      </c>
    </row>
    <row r="5793" spans="1:9" x14ac:dyDescent="0.2">
      <c r="A5793" t="s">
        <v>6279</v>
      </c>
      <c r="B5793">
        <v>4.8959999999999999</v>
      </c>
      <c r="C5793">
        <v>6.8559999999999996E-2</v>
      </c>
      <c r="D5793">
        <v>293</v>
      </c>
      <c r="E5793" t="s">
        <v>6279</v>
      </c>
      <c r="F5793">
        <v>293</v>
      </c>
      <c r="G5793" s="1">
        <v>45219</v>
      </c>
      <c r="H5793" s="6">
        <f t="shared" si="182"/>
        <v>38.104166666666735</v>
      </c>
      <c r="I5793" s="7">
        <f t="shared" si="183"/>
        <v>38.104166666666735</v>
      </c>
    </row>
    <row r="5794" spans="1:9" x14ac:dyDescent="0.2">
      <c r="A5794" t="s">
        <v>6280</v>
      </c>
      <c r="B5794">
        <v>4.9775</v>
      </c>
      <c r="C5794">
        <v>6.9714999999999999E-2</v>
      </c>
      <c r="D5794">
        <v>293</v>
      </c>
      <c r="E5794" t="s">
        <v>6280</v>
      </c>
      <c r="F5794">
        <v>293</v>
      </c>
      <c r="G5794" s="1">
        <v>45219</v>
      </c>
      <c r="H5794" s="6">
        <f t="shared" si="182"/>
        <v>38.1145833333334</v>
      </c>
      <c r="I5794" s="7">
        <f t="shared" si="183"/>
        <v>38.1145833333334</v>
      </c>
    </row>
    <row r="5795" spans="1:9" x14ac:dyDescent="0.2">
      <c r="A5795" t="s">
        <v>6281</v>
      </c>
      <c r="B5795">
        <v>4.8739999999999997</v>
      </c>
      <c r="C5795">
        <v>6.8275000000000002E-2</v>
      </c>
      <c r="D5795">
        <v>293</v>
      </c>
      <c r="E5795" t="s">
        <v>6281</v>
      </c>
      <c r="F5795">
        <v>293</v>
      </c>
      <c r="G5795" s="1">
        <v>45219</v>
      </c>
      <c r="H5795" s="6">
        <f t="shared" si="182"/>
        <v>38.125000000000064</v>
      </c>
      <c r="I5795" s="7">
        <f t="shared" si="183"/>
        <v>38.125000000000064</v>
      </c>
    </row>
    <row r="5796" spans="1:9" x14ac:dyDescent="0.2">
      <c r="A5796" t="s">
        <v>6282</v>
      </c>
      <c r="B5796">
        <v>4.798</v>
      </c>
      <c r="C5796">
        <v>6.7214999999999997E-2</v>
      </c>
      <c r="D5796">
        <v>293</v>
      </c>
      <c r="E5796" t="s">
        <v>6282</v>
      </c>
      <c r="F5796">
        <v>293</v>
      </c>
      <c r="G5796" s="1">
        <v>45219</v>
      </c>
      <c r="H5796" s="6">
        <f t="shared" si="182"/>
        <v>38.135416666666728</v>
      </c>
      <c r="I5796" s="7">
        <f t="shared" si="183"/>
        <v>38.135416666666728</v>
      </c>
    </row>
    <row r="5797" spans="1:9" x14ac:dyDescent="0.2">
      <c r="A5797" t="s">
        <v>6283</v>
      </c>
      <c r="B5797">
        <v>4.8849999999999998</v>
      </c>
      <c r="C5797">
        <v>6.8425E-2</v>
      </c>
      <c r="D5797">
        <v>293</v>
      </c>
      <c r="E5797" t="s">
        <v>6283</v>
      </c>
      <c r="F5797">
        <v>293</v>
      </c>
      <c r="G5797" s="1">
        <v>45219</v>
      </c>
      <c r="H5797" s="6">
        <f t="shared" si="182"/>
        <v>38.145833333333393</v>
      </c>
      <c r="I5797" s="7">
        <f t="shared" si="183"/>
        <v>38.145833333333393</v>
      </c>
    </row>
    <row r="5798" spans="1:9" x14ac:dyDescent="0.2">
      <c r="A5798" t="s">
        <v>6284</v>
      </c>
      <c r="B5798">
        <v>4.6520000000000001</v>
      </c>
      <c r="C5798">
        <v>6.5159999999999996E-2</v>
      </c>
      <c r="D5798">
        <v>293</v>
      </c>
      <c r="E5798" t="s">
        <v>6284</v>
      </c>
      <c r="F5798">
        <v>293</v>
      </c>
      <c r="G5798" s="1">
        <v>45219</v>
      </c>
      <c r="H5798" s="6">
        <f t="shared" si="182"/>
        <v>38.156250000000057</v>
      </c>
      <c r="I5798" s="7">
        <f t="shared" si="183"/>
        <v>38.156250000000057</v>
      </c>
    </row>
    <row r="5799" spans="1:9" x14ac:dyDescent="0.2">
      <c r="A5799" t="s">
        <v>6285</v>
      </c>
      <c r="B5799" s="2" t="s">
        <v>4121</v>
      </c>
      <c r="C5799">
        <v>6.5905000000000005E-2</v>
      </c>
      <c r="D5799">
        <v>293</v>
      </c>
      <c r="E5799" t="s">
        <v>6285</v>
      </c>
      <c r="F5799">
        <v>293</v>
      </c>
      <c r="G5799" s="1">
        <v>45219</v>
      </c>
      <c r="H5799" s="6">
        <f t="shared" si="182"/>
        <v>38.166666666666721</v>
      </c>
      <c r="I5799" s="7">
        <f t="shared" si="183"/>
        <v>38.166666666666721</v>
      </c>
    </row>
    <row r="5800" spans="1:9" x14ac:dyDescent="0.2">
      <c r="A5800" t="s">
        <v>6286</v>
      </c>
      <c r="B5800" s="2" t="s">
        <v>6287</v>
      </c>
      <c r="C5800">
        <v>6.5479999999999997E-2</v>
      </c>
      <c r="D5800">
        <v>293</v>
      </c>
      <c r="E5800" t="s">
        <v>6286</v>
      </c>
      <c r="F5800">
        <v>293</v>
      </c>
      <c r="G5800" s="1">
        <v>45219</v>
      </c>
      <c r="H5800" s="6">
        <f t="shared" si="182"/>
        <v>38.177083333333385</v>
      </c>
      <c r="I5800" s="7">
        <f t="shared" si="183"/>
        <v>38.177083333333385</v>
      </c>
    </row>
    <row r="5801" spans="1:9" x14ac:dyDescent="0.2">
      <c r="A5801" t="s">
        <v>6288</v>
      </c>
      <c r="B5801" s="2" t="s">
        <v>6289</v>
      </c>
      <c r="C5801">
        <v>6.8135000000000001E-2</v>
      </c>
      <c r="D5801">
        <v>293</v>
      </c>
      <c r="E5801" t="s">
        <v>6288</v>
      </c>
      <c r="F5801">
        <v>293</v>
      </c>
      <c r="G5801" s="1">
        <v>45219</v>
      </c>
      <c r="H5801" s="6">
        <f t="shared" si="182"/>
        <v>38.18750000000005</v>
      </c>
      <c r="I5801" s="7">
        <f t="shared" si="183"/>
        <v>38.18750000000005</v>
      </c>
    </row>
    <row r="5802" spans="1:9" x14ac:dyDescent="0.2">
      <c r="A5802" t="s">
        <v>6290</v>
      </c>
      <c r="B5802">
        <v>4.7865000000000002</v>
      </c>
      <c r="C5802">
        <v>6.7029999999999895E-2</v>
      </c>
      <c r="D5802">
        <v>293</v>
      </c>
      <c r="E5802" t="s">
        <v>6290</v>
      </c>
      <c r="F5802">
        <v>293</v>
      </c>
      <c r="G5802" s="1">
        <v>45219</v>
      </c>
      <c r="H5802" s="6">
        <f t="shared" si="182"/>
        <v>38.197916666666714</v>
      </c>
      <c r="I5802" s="7">
        <f t="shared" si="183"/>
        <v>38.197916666666714</v>
      </c>
    </row>
    <row r="5803" spans="1:9" x14ac:dyDescent="0.2">
      <c r="A5803" t="s">
        <v>6291</v>
      </c>
      <c r="B5803">
        <v>4.7465000000000002</v>
      </c>
      <c r="C5803">
        <v>6.6470000000000001E-2</v>
      </c>
      <c r="D5803">
        <v>293</v>
      </c>
      <c r="E5803" t="s">
        <v>6291</v>
      </c>
      <c r="F5803">
        <v>293</v>
      </c>
      <c r="G5803" s="1">
        <v>45219</v>
      </c>
      <c r="H5803" s="6">
        <f t="shared" si="182"/>
        <v>38.208333333333378</v>
      </c>
      <c r="I5803" s="7">
        <f t="shared" si="183"/>
        <v>38.208333333333378</v>
      </c>
    </row>
    <row r="5804" spans="1:9" x14ac:dyDescent="0.2">
      <c r="A5804" t="s">
        <v>6292</v>
      </c>
      <c r="B5804">
        <v>4.6144999999999996</v>
      </c>
      <c r="C5804">
        <v>6.4630000000000007E-2</v>
      </c>
      <c r="D5804">
        <v>293</v>
      </c>
      <c r="E5804" t="s">
        <v>6292</v>
      </c>
      <c r="F5804">
        <v>293</v>
      </c>
      <c r="G5804" s="1">
        <v>45219</v>
      </c>
      <c r="H5804" s="6">
        <f t="shared" si="182"/>
        <v>38.218750000000043</v>
      </c>
      <c r="I5804" s="7">
        <f t="shared" si="183"/>
        <v>38.218750000000043</v>
      </c>
    </row>
    <row r="5805" spans="1:9" x14ac:dyDescent="0.2">
      <c r="A5805" t="s">
        <v>6293</v>
      </c>
      <c r="B5805">
        <v>4.7774999999999999</v>
      </c>
      <c r="C5805">
        <v>6.6919999999999993E-2</v>
      </c>
      <c r="D5805">
        <v>293</v>
      </c>
      <c r="E5805" t="s">
        <v>6293</v>
      </c>
      <c r="F5805">
        <v>293</v>
      </c>
      <c r="G5805" s="1">
        <v>45219</v>
      </c>
      <c r="H5805" s="6">
        <f t="shared" si="182"/>
        <v>38.229166666666707</v>
      </c>
      <c r="I5805" s="7">
        <f t="shared" si="183"/>
        <v>38.229166666666707</v>
      </c>
    </row>
    <row r="5806" spans="1:9" x14ac:dyDescent="0.2">
      <c r="A5806" t="s">
        <v>6294</v>
      </c>
      <c r="B5806">
        <v>3.3405</v>
      </c>
      <c r="C5806">
        <v>4.6795000000000003E-2</v>
      </c>
      <c r="D5806">
        <v>293</v>
      </c>
      <c r="E5806" t="s">
        <v>6294</v>
      </c>
      <c r="F5806">
        <v>293</v>
      </c>
      <c r="G5806" s="1">
        <v>45219</v>
      </c>
      <c r="H5806" s="6">
        <f t="shared" si="182"/>
        <v>38.239583333333371</v>
      </c>
      <c r="I5806" s="7">
        <f t="shared" si="183"/>
        <v>38.239583333333371</v>
      </c>
    </row>
    <row r="5807" spans="1:9" x14ac:dyDescent="0.2">
      <c r="A5807" t="s">
        <v>6295</v>
      </c>
      <c r="B5807">
        <v>4.8845000000000001</v>
      </c>
      <c r="C5807">
        <v>6.8404999999999994E-2</v>
      </c>
      <c r="D5807">
        <v>293</v>
      </c>
      <c r="E5807" t="s">
        <v>6295</v>
      </c>
      <c r="F5807">
        <v>293</v>
      </c>
      <c r="G5807" s="1">
        <v>45219</v>
      </c>
      <c r="H5807" s="6">
        <f t="shared" si="182"/>
        <v>38.250000000000036</v>
      </c>
      <c r="I5807" s="7">
        <f t="shared" si="183"/>
        <v>38.250000000000036</v>
      </c>
    </row>
    <row r="5808" spans="1:9" x14ac:dyDescent="0.2">
      <c r="A5808" t="s">
        <v>6296</v>
      </c>
      <c r="B5808">
        <v>4.9050000000000002</v>
      </c>
      <c r="C5808">
        <v>6.8690000000000001E-2</v>
      </c>
      <c r="D5808">
        <v>293</v>
      </c>
      <c r="E5808" t="s">
        <v>6296</v>
      </c>
      <c r="F5808">
        <v>293</v>
      </c>
      <c r="G5808" s="1">
        <v>45219</v>
      </c>
      <c r="H5808" s="6">
        <f t="shared" si="182"/>
        <v>38.2604166666667</v>
      </c>
      <c r="I5808" s="7">
        <f t="shared" si="183"/>
        <v>38.2604166666667</v>
      </c>
    </row>
    <row r="5809" spans="1:9" x14ac:dyDescent="0.2">
      <c r="A5809" t="s">
        <v>6297</v>
      </c>
      <c r="B5809">
        <v>4.9794999999999998</v>
      </c>
      <c r="C5809">
        <v>6.9754999999999998E-2</v>
      </c>
      <c r="D5809">
        <v>293</v>
      </c>
      <c r="E5809" t="s">
        <v>6297</v>
      </c>
      <c r="F5809">
        <v>293</v>
      </c>
      <c r="G5809" s="1">
        <v>45219</v>
      </c>
      <c r="H5809" s="6">
        <f t="shared" si="182"/>
        <v>38.270833333333364</v>
      </c>
      <c r="I5809" s="7">
        <f t="shared" si="183"/>
        <v>38.270833333333364</v>
      </c>
    </row>
    <row r="5810" spans="1:9" x14ac:dyDescent="0.2">
      <c r="A5810" t="s">
        <v>6298</v>
      </c>
      <c r="B5810">
        <v>5.0824999999999996</v>
      </c>
      <c r="C5810">
        <v>7.1175000000000002E-2</v>
      </c>
      <c r="D5810">
        <v>293</v>
      </c>
      <c r="E5810" t="s">
        <v>6298</v>
      </c>
      <c r="F5810">
        <v>293</v>
      </c>
      <c r="G5810" s="1">
        <v>45219</v>
      </c>
      <c r="H5810" s="6">
        <f t="shared" si="182"/>
        <v>38.281250000000028</v>
      </c>
      <c r="I5810" s="7">
        <f t="shared" si="183"/>
        <v>38.281250000000028</v>
      </c>
    </row>
    <row r="5811" spans="1:9" x14ac:dyDescent="0.2">
      <c r="A5811" t="s">
        <v>6299</v>
      </c>
      <c r="B5811">
        <v>5.0019999999999998</v>
      </c>
      <c r="C5811">
        <v>7.0040000000000005E-2</v>
      </c>
      <c r="D5811">
        <v>293</v>
      </c>
      <c r="E5811" t="s">
        <v>6299</v>
      </c>
      <c r="F5811">
        <v>293</v>
      </c>
      <c r="G5811" s="1">
        <v>45219</v>
      </c>
      <c r="H5811" s="6">
        <f t="shared" si="182"/>
        <v>38.291666666666693</v>
      </c>
      <c r="I5811" s="7">
        <f t="shared" si="183"/>
        <v>38.291666666666693</v>
      </c>
    </row>
    <row r="5812" spans="1:9" x14ac:dyDescent="0.2">
      <c r="A5812" t="s">
        <v>6300</v>
      </c>
      <c r="B5812">
        <v>4.9119999999999999</v>
      </c>
      <c r="C5812">
        <v>6.8809999999999996E-2</v>
      </c>
      <c r="D5812">
        <v>293</v>
      </c>
      <c r="E5812" t="s">
        <v>6300</v>
      </c>
      <c r="F5812">
        <v>293</v>
      </c>
      <c r="G5812" s="1">
        <v>45219</v>
      </c>
      <c r="H5812" s="6">
        <f t="shared" si="182"/>
        <v>38.302083333333357</v>
      </c>
      <c r="I5812" s="7">
        <f t="shared" si="183"/>
        <v>38.302083333333357</v>
      </c>
    </row>
    <row r="5813" spans="1:9" x14ac:dyDescent="0.2">
      <c r="A5813" t="s">
        <v>6301</v>
      </c>
      <c r="B5813">
        <v>4.8620000000000001</v>
      </c>
      <c r="C5813">
        <v>6.8125000000000005E-2</v>
      </c>
      <c r="D5813">
        <v>293</v>
      </c>
      <c r="E5813" t="s">
        <v>6301</v>
      </c>
      <c r="F5813">
        <v>293</v>
      </c>
      <c r="G5813" s="1">
        <v>45219</v>
      </c>
      <c r="H5813" s="6">
        <f t="shared" si="182"/>
        <v>38.312500000000021</v>
      </c>
      <c r="I5813" s="7">
        <f t="shared" si="183"/>
        <v>38.312500000000021</v>
      </c>
    </row>
    <row r="5814" spans="1:9" x14ac:dyDescent="0.2">
      <c r="A5814" t="s">
        <v>6302</v>
      </c>
      <c r="B5814">
        <v>4.8254999999999999</v>
      </c>
      <c r="C5814">
        <v>6.7585000000000006E-2</v>
      </c>
      <c r="D5814">
        <v>293</v>
      </c>
      <c r="E5814" t="s">
        <v>6302</v>
      </c>
      <c r="F5814">
        <v>293</v>
      </c>
      <c r="G5814" s="1">
        <v>45219</v>
      </c>
      <c r="H5814" s="6">
        <f t="shared" si="182"/>
        <v>38.322916666666686</v>
      </c>
      <c r="I5814" s="7">
        <f t="shared" si="183"/>
        <v>38.322916666666686</v>
      </c>
    </row>
    <row r="5815" spans="1:9" x14ac:dyDescent="0.2">
      <c r="A5815" t="s">
        <v>6303</v>
      </c>
      <c r="B5815">
        <v>4.5465</v>
      </c>
      <c r="C5815">
        <v>6.3700000000000007E-2</v>
      </c>
      <c r="D5815">
        <v>293</v>
      </c>
      <c r="E5815" t="s">
        <v>6303</v>
      </c>
      <c r="F5815">
        <v>293</v>
      </c>
      <c r="G5815" s="1">
        <v>45219</v>
      </c>
      <c r="H5815" s="6">
        <f t="shared" si="182"/>
        <v>38.33333333333335</v>
      </c>
      <c r="I5815" s="7">
        <f t="shared" si="183"/>
        <v>38.33333333333335</v>
      </c>
    </row>
    <row r="5816" spans="1:9" x14ac:dyDescent="0.2">
      <c r="A5816" t="s">
        <v>6304</v>
      </c>
      <c r="B5816">
        <v>4.4359999999999999</v>
      </c>
      <c r="C5816">
        <v>6.2129999999999998E-2</v>
      </c>
      <c r="D5816">
        <v>293</v>
      </c>
      <c r="E5816" t="s">
        <v>6304</v>
      </c>
      <c r="F5816">
        <v>293</v>
      </c>
      <c r="G5816" s="1">
        <v>45219</v>
      </c>
      <c r="H5816" s="6">
        <f t="shared" si="182"/>
        <v>38.343750000000014</v>
      </c>
      <c r="I5816" s="7">
        <f t="shared" si="183"/>
        <v>38.343750000000014</v>
      </c>
    </row>
    <row r="5817" spans="1:9" x14ac:dyDescent="0.2">
      <c r="A5817" t="s">
        <v>6305</v>
      </c>
      <c r="B5817">
        <v>4.476</v>
      </c>
      <c r="C5817">
        <v>6.2710000000000002E-2</v>
      </c>
      <c r="D5817">
        <v>293</v>
      </c>
      <c r="E5817" t="s">
        <v>6305</v>
      </c>
      <c r="F5817">
        <v>293</v>
      </c>
      <c r="G5817" s="1">
        <v>45219</v>
      </c>
      <c r="H5817" s="6">
        <f t="shared" si="182"/>
        <v>38.354166666666679</v>
      </c>
      <c r="I5817" s="7">
        <f t="shared" si="183"/>
        <v>38.354166666666679</v>
      </c>
    </row>
    <row r="5818" spans="1:9" x14ac:dyDescent="0.2">
      <c r="A5818" t="s">
        <v>6306</v>
      </c>
      <c r="B5818">
        <v>4.5179999999999998</v>
      </c>
      <c r="C5818">
        <v>6.3280000000000003E-2</v>
      </c>
      <c r="D5818">
        <v>293</v>
      </c>
      <c r="E5818" t="s">
        <v>6306</v>
      </c>
      <c r="F5818">
        <v>293</v>
      </c>
      <c r="G5818" s="1">
        <v>45219</v>
      </c>
      <c r="H5818" s="6">
        <f t="shared" si="182"/>
        <v>38.364583333333343</v>
      </c>
      <c r="I5818" s="7">
        <f t="shared" si="183"/>
        <v>38.364583333333343</v>
      </c>
    </row>
    <row r="5819" spans="1:9" x14ac:dyDescent="0.2">
      <c r="A5819" t="s">
        <v>6307</v>
      </c>
      <c r="B5819">
        <v>4.25</v>
      </c>
      <c r="C5819">
        <v>5.9525000000000002E-2</v>
      </c>
      <c r="D5819">
        <v>293</v>
      </c>
      <c r="E5819" t="s">
        <v>6307</v>
      </c>
      <c r="F5819">
        <v>293</v>
      </c>
      <c r="G5819" s="1">
        <v>45219</v>
      </c>
      <c r="H5819" s="6">
        <f t="shared" si="182"/>
        <v>38.375000000000007</v>
      </c>
      <c r="I5819" s="7">
        <f t="shared" si="183"/>
        <v>38.375000000000007</v>
      </c>
    </row>
    <row r="5820" spans="1:9" x14ac:dyDescent="0.2">
      <c r="A5820" t="s">
        <v>6308</v>
      </c>
      <c r="B5820">
        <v>4.1745000000000001</v>
      </c>
      <c r="C5820">
        <v>5.8455E-2</v>
      </c>
      <c r="D5820">
        <v>293</v>
      </c>
      <c r="E5820" t="s">
        <v>6308</v>
      </c>
      <c r="F5820">
        <v>293</v>
      </c>
      <c r="G5820" s="1">
        <v>45219</v>
      </c>
      <c r="H5820" s="6">
        <f t="shared" si="182"/>
        <v>38.385416666666671</v>
      </c>
      <c r="I5820" s="7">
        <f t="shared" si="183"/>
        <v>38.385416666666671</v>
      </c>
    </row>
    <row r="5821" spans="1:9" x14ac:dyDescent="0.2">
      <c r="A5821" t="s">
        <v>6309</v>
      </c>
      <c r="B5821">
        <v>3.9630000000000001</v>
      </c>
      <c r="C5821">
        <v>5.552E-2</v>
      </c>
      <c r="D5821">
        <v>293</v>
      </c>
      <c r="E5821" t="s">
        <v>6309</v>
      </c>
      <c r="F5821">
        <v>293</v>
      </c>
      <c r="G5821" s="1">
        <v>45219</v>
      </c>
      <c r="H5821" s="6">
        <f t="shared" si="182"/>
        <v>38.395833333333336</v>
      </c>
      <c r="I5821" s="7">
        <f t="shared" si="183"/>
        <v>38.395833333333336</v>
      </c>
    </row>
    <row r="5822" spans="1:9" x14ac:dyDescent="0.2">
      <c r="A5822" t="s">
        <v>6310</v>
      </c>
      <c r="B5822">
        <v>4.2560000000000002</v>
      </c>
      <c r="C5822" s="2" t="s">
        <v>491</v>
      </c>
      <c r="D5822">
        <v>293</v>
      </c>
      <c r="E5822" t="s">
        <v>6310</v>
      </c>
      <c r="F5822">
        <v>293</v>
      </c>
      <c r="G5822" s="1">
        <v>45219</v>
      </c>
      <c r="H5822" s="6">
        <f t="shared" si="182"/>
        <v>38.40625</v>
      </c>
      <c r="I5822" s="7">
        <f t="shared" si="183"/>
        <v>38.40625</v>
      </c>
    </row>
    <row r="5823" spans="1:9" x14ac:dyDescent="0.2">
      <c r="A5823" t="s">
        <v>6311</v>
      </c>
      <c r="B5823">
        <v>4.2294999999999998</v>
      </c>
      <c r="C5823">
        <v>5.9249999999999997E-2</v>
      </c>
      <c r="D5823">
        <v>293</v>
      </c>
      <c r="E5823" t="s">
        <v>6311</v>
      </c>
      <c r="F5823">
        <v>293</v>
      </c>
      <c r="G5823" s="1">
        <v>45219</v>
      </c>
      <c r="H5823" s="6">
        <f t="shared" si="182"/>
        <v>38.416666666666664</v>
      </c>
      <c r="I5823" s="7">
        <f t="shared" si="183"/>
        <v>38.416666666666664</v>
      </c>
    </row>
    <row r="5824" spans="1:9" x14ac:dyDescent="0.2">
      <c r="A5824" t="s">
        <v>6312</v>
      </c>
      <c r="B5824">
        <v>4.2115</v>
      </c>
      <c r="C5824">
        <v>5.8990000000000001E-2</v>
      </c>
      <c r="D5824">
        <v>293</v>
      </c>
      <c r="E5824" t="s">
        <v>6312</v>
      </c>
      <c r="F5824">
        <v>293</v>
      </c>
      <c r="G5824" s="1">
        <v>45219</v>
      </c>
      <c r="H5824" s="6">
        <f t="shared" si="182"/>
        <v>38.427083333333329</v>
      </c>
      <c r="I5824" s="7">
        <f t="shared" si="183"/>
        <v>38.427083333333329</v>
      </c>
    </row>
    <row r="5825" spans="1:9" x14ac:dyDescent="0.2">
      <c r="A5825" t="s">
        <v>6313</v>
      </c>
      <c r="B5825">
        <v>4.2015000000000002</v>
      </c>
      <c r="C5825">
        <v>5.885E-2</v>
      </c>
      <c r="D5825">
        <v>293</v>
      </c>
      <c r="E5825" t="s">
        <v>6313</v>
      </c>
      <c r="F5825">
        <v>293</v>
      </c>
      <c r="G5825" s="1">
        <v>45219</v>
      </c>
      <c r="H5825" s="6">
        <f t="shared" si="182"/>
        <v>38.437499999999993</v>
      </c>
      <c r="I5825" s="7">
        <f t="shared" si="183"/>
        <v>38.437499999999993</v>
      </c>
    </row>
    <row r="5826" spans="1:9" x14ac:dyDescent="0.2">
      <c r="A5826" t="s">
        <v>6314</v>
      </c>
      <c r="B5826">
        <v>3.9750000000000001</v>
      </c>
      <c r="C5826">
        <v>5.5695000000000001E-2</v>
      </c>
      <c r="D5826">
        <v>293</v>
      </c>
      <c r="E5826" t="s">
        <v>6314</v>
      </c>
      <c r="F5826">
        <v>293</v>
      </c>
      <c r="G5826" s="1">
        <v>45219</v>
      </c>
      <c r="H5826" s="6">
        <f t="shared" si="182"/>
        <v>38.447916666666657</v>
      </c>
      <c r="I5826" s="7">
        <f t="shared" si="183"/>
        <v>38.447916666666657</v>
      </c>
    </row>
    <row r="5827" spans="1:9" x14ac:dyDescent="0.2">
      <c r="A5827" t="s">
        <v>6315</v>
      </c>
      <c r="B5827">
        <v>4.1224999999999996</v>
      </c>
      <c r="C5827">
        <v>5.7735000000000002E-2</v>
      </c>
      <c r="D5827">
        <v>293</v>
      </c>
      <c r="E5827" t="s">
        <v>6315</v>
      </c>
      <c r="F5827">
        <v>293</v>
      </c>
      <c r="G5827" s="1">
        <v>45219</v>
      </c>
      <c r="H5827" s="6">
        <f t="shared" si="182"/>
        <v>38.458333333333321</v>
      </c>
      <c r="I5827" s="7">
        <f t="shared" si="183"/>
        <v>38.458333333333321</v>
      </c>
    </row>
    <row r="5828" spans="1:9" x14ac:dyDescent="0.2">
      <c r="A5828" t="s">
        <v>6316</v>
      </c>
      <c r="B5828" s="2" t="s">
        <v>565</v>
      </c>
      <c r="C5828">
        <v>5.6660000000000002E-2</v>
      </c>
      <c r="D5828">
        <v>293</v>
      </c>
      <c r="E5828" t="s">
        <v>6316</v>
      </c>
      <c r="F5828">
        <v>293</v>
      </c>
      <c r="G5828" s="1">
        <v>45219</v>
      </c>
      <c r="H5828" s="6">
        <f t="shared" si="182"/>
        <v>38.468749999999986</v>
      </c>
      <c r="I5828" s="7">
        <f t="shared" si="183"/>
        <v>38.468749999999986</v>
      </c>
    </row>
    <row r="5829" spans="1:9" x14ac:dyDescent="0.2">
      <c r="A5829" t="s">
        <v>6317</v>
      </c>
      <c r="B5829">
        <v>3.8740000000000001</v>
      </c>
      <c r="C5829">
        <v>5.4280000000000002E-2</v>
      </c>
      <c r="D5829">
        <v>293</v>
      </c>
      <c r="E5829" t="s">
        <v>6317</v>
      </c>
      <c r="F5829">
        <v>293</v>
      </c>
      <c r="G5829" s="1">
        <v>45219</v>
      </c>
      <c r="H5829" s="6">
        <f t="shared" si="182"/>
        <v>38.47916666666665</v>
      </c>
      <c r="I5829" s="7">
        <f t="shared" si="183"/>
        <v>38.47916666666665</v>
      </c>
    </row>
    <row r="5830" spans="1:9" x14ac:dyDescent="0.2">
      <c r="A5830" t="s">
        <v>6318</v>
      </c>
      <c r="B5830">
        <v>4.0235000000000003</v>
      </c>
      <c r="C5830">
        <v>5.6344999999999999E-2</v>
      </c>
      <c r="D5830">
        <v>293</v>
      </c>
      <c r="E5830" t="s">
        <v>6318</v>
      </c>
      <c r="F5830">
        <v>293</v>
      </c>
      <c r="G5830" s="1">
        <v>45219</v>
      </c>
      <c r="H5830" s="6">
        <f t="shared" si="182"/>
        <v>38.489583333333314</v>
      </c>
      <c r="I5830" s="7">
        <f t="shared" si="183"/>
        <v>38.489583333333314</v>
      </c>
    </row>
    <row r="5831" spans="1:9" x14ac:dyDescent="0.2">
      <c r="A5831" t="s">
        <v>6319</v>
      </c>
      <c r="B5831">
        <v>4.0724999999999998</v>
      </c>
      <c r="C5831">
        <v>5.7044999999999998E-2</v>
      </c>
      <c r="D5831">
        <v>293</v>
      </c>
      <c r="E5831" t="s">
        <v>6319</v>
      </c>
      <c r="F5831">
        <v>293</v>
      </c>
      <c r="G5831" s="1">
        <v>45219</v>
      </c>
      <c r="H5831" s="6">
        <f t="shared" si="182"/>
        <v>38.499999999999979</v>
      </c>
      <c r="I5831" s="7">
        <f t="shared" si="183"/>
        <v>38.499999999999979</v>
      </c>
    </row>
    <row r="5832" spans="1:9" x14ac:dyDescent="0.2">
      <c r="A5832" t="s">
        <v>6320</v>
      </c>
      <c r="B5832">
        <v>4.2984999999999998</v>
      </c>
      <c r="C5832">
        <v>6.0214999999999998E-2</v>
      </c>
      <c r="D5832">
        <v>293</v>
      </c>
      <c r="E5832" t="s">
        <v>6320</v>
      </c>
      <c r="F5832">
        <v>293</v>
      </c>
      <c r="G5832" s="1">
        <v>45219</v>
      </c>
      <c r="H5832" s="6">
        <f t="shared" si="182"/>
        <v>38.510416666666643</v>
      </c>
      <c r="I5832" s="7">
        <f t="shared" si="183"/>
        <v>38.510416666666643</v>
      </c>
    </row>
    <row r="5833" spans="1:9" x14ac:dyDescent="0.2">
      <c r="A5833" t="s">
        <v>6321</v>
      </c>
      <c r="B5833">
        <v>4.2465000000000002</v>
      </c>
      <c r="C5833">
        <v>5.9490000000000001E-2</v>
      </c>
      <c r="D5833">
        <v>293</v>
      </c>
      <c r="E5833" t="s">
        <v>6321</v>
      </c>
      <c r="F5833">
        <v>293</v>
      </c>
      <c r="G5833" s="1">
        <v>45219</v>
      </c>
      <c r="H5833" s="6">
        <f t="shared" si="182"/>
        <v>38.520833333333307</v>
      </c>
      <c r="I5833" s="7">
        <f t="shared" si="183"/>
        <v>38.520833333333307</v>
      </c>
    </row>
    <row r="5834" spans="1:9" x14ac:dyDescent="0.2">
      <c r="A5834" t="s">
        <v>6322</v>
      </c>
      <c r="B5834">
        <v>4.4960000000000004</v>
      </c>
      <c r="C5834">
        <v>6.2969999999999998E-2</v>
      </c>
      <c r="D5834">
        <v>293</v>
      </c>
      <c r="E5834" t="s">
        <v>6322</v>
      </c>
      <c r="F5834">
        <v>293</v>
      </c>
      <c r="G5834" s="1">
        <v>45219</v>
      </c>
      <c r="H5834" s="6">
        <f t="shared" si="182"/>
        <v>38.531249999999972</v>
      </c>
      <c r="I5834" s="7">
        <f t="shared" si="183"/>
        <v>38.531249999999972</v>
      </c>
    </row>
    <row r="5835" spans="1:9" x14ac:dyDescent="0.2">
      <c r="A5835" t="s">
        <v>6323</v>
      </c>
      <c r="B5835">
        <v>4.4710000000000001</v>
      </c>
      <c r="C5835">
        <v>6.2640000000000001E-2</v>
      </c>
      <c r="D5835">
        <v>293</v>
      </c>
      <c r="E5835" t="s">
        <v>6323</v>
      </c>
      <c r="F5835">
        <v>293</v>
      </c>
      <c r="G5835" s="1">
        <v>45219</v>
      </c>
      <c r="H5835" s="6">
        <f t="shared" si="182"/>
        <v>38.541666666666636</v>
      </c>
      <c r="I5835" s="7">
        <f t="shared" si="183"/>
        <v>38.541666666666636</v>
      </c>
    </row>
    <row r="5836" spans="1:9" x14ac:dyDescent="0.2">
      <c r="A5836" t="s">
        <v>6324</v>
      </c>
      <c r="B5836">
        <v>4.5454999999999997</v>
      </c>
      <c r="C5836">
        <v>6.3649999999999998E-2</v>
      </c>
      <c r="D5836">
        <v>293</v>
      </c>
      <c r="E5836" t="s">
        <v>6324</v>
      </c>
      <c r="F5836">
        <v>293</v>
      </c>
      <c r="G5836" s="1">
        <v>45219</v>
      </c>
      <c r="H5836" s="6">
        <f t="shared" si="182"/>
        <v>38.5520833333333</v>
      </c>
      <c r="I5836" s="7">
        <f t="shared" si="183"/>
        <v>38.5520833333333</v>
      </c>
    </row>
    <row r="5837" spans="1:9" x14ac:dyDescent="0.2">
      <c r="A5837" t="s">
        <v>6325</v>
      </c>
      <c r="B5837">
        <v>4.5625</v>
      </c>
      <c r="C5837">
        <v>6.3905000000000003E-2</v>
      </c>
      <c r="D5837">
        <v>293</v>
      </c>
      <c r="E5837" t="s">
        <v>6325</v>
      </c>
      <c r="F5837">
        <v>293</v>
      </c>
      <c r="G5837" s="1">
        <v>45219</v>
      </c>
      <c r="H5837" s="6">
        <f t="shared" si="182"/>
        <v>38.562499999999964</v>
      </c>
      <c r="I5837" s="7">
        <f t="shared" si="183"/>
        <v>38.562499999999964</v>
      </c>
    </row>
    <row r="5838" spans="1:9" x14ac:dyDescent="0.2">
      <c r="A5838" t="s">
        <v>6326</v>
      </c>
      <c r="B5838">
        <v>4.5999999999999996</v>
      </c>
      <c r="C5838">
        <v>6.4445000000000002E-2</v>
      </c>
      <c r="D5838">
        <v>293</v>
      </c>
      <c r="E5838" t="s">
        <v>6326</v>
      </c>
      <c r="F5838">
        <v>293</v>
      </c>
      <c r="G5838" s="1">
        <v>45219</v>
      </c>
      <c r="H5838" s="6">
        <f t="shared" si="182"/>
        <v>38.572916666666629</v>
      </c>
      <c r="I5838" s="7">
        <f t="shared" si="183"/>
        <v>38.572916666666629</v>
      </c>
    </row>
    <row r="5839" spans="1:9" x14ac:dyDescent="0.2">
      <c r="A5839" t="s">
        <v>6327</v>
      </c>
      <c r="B5839">
        <v>4.6020000000000003</v>
      </c>
      <c r="C5839">
        <v>6.4464999999999995E-2</v>
      </c>
      <c r="D5839">
        <v>293</v>
      </c>
      <c r="E5839" t="s">
        <v>6327</v>
      </c>
      <c r="F5839">
        <v>293</v>
      </c>
      <c r="G5839" s="1">
        <v>45219</v>
      </c>
      <c r="H5839" s="6">
        <f t="shared" si="182"/>
        <v>38.583333333333293</v>
      </c>
      <c r="I5839" s="7">
        <f t="shared" si="183"/>
        <v>38.583333333333293</v>
      </c>
    </row>
    <row r="5840" spans="1:9" x14ac:dyDescent="0.2">
      <c r="A5840" t="s">
        <v>6328</v>
      </c>
      <c r="B5840">
        <v>4.3780000000000001</v>
      </c>
      <c r="C5840">
        <v>6.1315000000000001E-2</v>
      </c>
      <c r="D5840">
        <v>293</v>
      </c>
      <c r="E5840" t="s">
        <v>6328</v>
      </c>
      <c r="F5840">
        <v>293</v>
      </c>
      <c r="G5840" s="1">
        <v>45219</v>
      </c>
      <c r="H5840" s="6">
        <f t="shared" si="182"/>
        <v>38.593749999999957</v>
      </c>
      <c r="I5840" s="7">
        <f t="shared" si="183"/>
        <v>38.593749999999957</v>
      </c>
    </row>
    <row r="5841" spans="1:9" x14ac:dyDescent="0.2">
      <c r="A5841" t="s">
        <v>6329</v>
      </c>
      <c r="B5841">
        <v>4.3055000000000003</v>
      </c>
      <c r="C5841">
        <v>6.0299999999999999E-2</v>
      </c>
      <c r="D5841">
        <v>294</v>
      </c>
      <c r="E5841" t="s">
        <v>6329</v>
      </c>
      <c r="F5841">
        <v>293</v>
      </c>
      <c r="G5841" s="1">
        <v>45219</v>
      </c>
      <c r="H5841" s="6">
        <f t="shared" si="182"/>
        <v>38.604166666666622</v>
      </c>
      <c r="I5841" s="7">
        <f t="shared" si="183"/>
        <v>38.604166666666622</v>
      </c>
    </row>
    <row r="5842" spans="1:9" x14ac:dyDescent="0.2">
      <c r="A5842" t="s">
        <v>6330</v>
      </c>
      <c r="B5842">
        <v>4.0854999999999997</v>
      </c>
      <c r="C5842">
        <v>5.7224999999999998E-2</v>
      </c>
      <c r="D5842">
        <v>294</v>
      </c>
      <c r="E5842" t="s">
        <v>6330</v>
      </c>
      <c r="F5842">
        <v>293</v>
      </c>
      <c r="G5842" s="1">
        <v>45219</v>
      </c>
      <c r="H5842" s="6">
        <f t="shared" si="182"/>
        <v>38.614583333333286</v>
      </c>
      <c r="I5842" s="7">
        <f t="shared" si="183"/>
        <v>38.614583333333286</v>
      </c>
    </row>
    <row r="5843" spans="1:9" x14ac:dyDescent="0.2">
      <c r="A5843" t="s">
        <v>6331</v>
      </c>
      <c r="B5843">
        <v>4.1429999999999998</v>
      </c>
      <c r="C5843">
        <v>5.8049999999999997E-2</v>
      </c>
      <c r="D5843">
        <v>294</v>
      </c>
      <c r="E5843" t="s">
        <v>6331</v>
      </c>
      <c r="F5843">
        <v>293</v>
      </c>
      <c r="G5843" s="1">
        <v>45219</v>
      </c>
      <c r="H5843" s="6">
        <f t="shared" si="182"/>
        <v>38.62499999999995</v>
      </c>
      <c r="I5843" s="7">
        <f t="shared" si="183"/>
        <v>38.62499999999995</v>
      </c>
    </row>
    <row r="5844" spans="1:9" x14ac:dyDescent="0.2">
      <c r="A5844" t="s">
        <v>6332</v>
      </c>
      <c r="B5844">
        <v>4.0549999999999997</v>
      </c>
      <c r="C5844">
        <v>5.6820000000000002E-2</v>
      </c>
      <c r="D5844">
        <v>294</v>
      </c>
      <c r="E5844" t="s">
        <v>6332</v>
      </c>
      <c r="F5844">
        <v>293</v>
      </c>
      <c r="G5844" s="1">
        <v>45219</v>
      </c>
      <c r="H5844" s="6">
        <f t="shared" si="182"/>
        <v>38.635416666666615</v>
      </c>
      <c r="I5844" s="7">
        <f t="shared" si="183"/>
        <v>38.635416666666615</v>
      </c>
    </row>
    <row r="5845" spans="1:9" x14ac:dyDescent="0.2">
      <c r="A5845" t="s">
        <v>6333</v>
      </c>
      <c r="B5845">
        <v>3.7925</v>
      </c>
      <c r="C5845">
        <v>5.3124999999999999E-2</v>
      </c>
      <c r="D5845">
        <v>294</v>
      </c>
      <c r="E5845" t="s">
        <v>6333</v>
      </c>
      <c r="F5845">
        <v>293</v>
      </c>
      <c r="G5845" s="1">
        <v>45219</v>
      </c>
      <c r="H5845" s="6">
        <f t="shared" si="182"/>
        <v>38.645833333333279</v>
      </c>
      <c r="I5845" s="7">
        <f t="shared" si="183"/>
        <v>38.645833333333279</v>
      </c>
    </row>
    <row r="5846" spans="1:9" x14ac:dyDescent="0.2">
      <c r="A5846" t="s">
        <v>6334</v>
      </c>
      <c r="B5846">
        <v>4.3529999999999998</v>
      </c>
      <c r="C5846">
        <v>6.0964999999999998E-2</v>
      </c>
      <c r="D5846">
        <v>294</v>
      </c>
      <c r="E5846" t="s">
        <v>6334</v>
      </c>
      <c r="F5846">
        <v>293</v>
      </c>
      <c r="G5846" s="1">
        <v>45219</v>
      </c>
      <c r="H5846" s="6">
        <f t="shared" si="182"/>
        <v>38.656249999999943</v>
      </c>
      <c r="I5846" s="7">
        <f t="shared" si="183"/>
        <v>38.656249999999943</v>
      </c>
    </row>
    <row r="5847" spans="1:9" x14ac:dyDescent="0.2">
      <c r="A5847" t="s">
        <v>6335</v>
      </c>
      <c r="B5847">
        <v>4.4219999999999997</v>
      </c>
      <c r="C5847">
        <v>6.1929999999999999E-2</v>
      </c>
      <c r="D5847">
        <v>294</v>
      </c>
      <c r="E5847" t="s">
        <v>6335</v>
      </c>
      <c r="F5847">
        <v>293</v>
      </c>
      <c r="G5847" s="1">
        <v>45219</v>
      </c>
      <c r="H5847" s="6">
        <f t="shared" si="182"/>
        <v>38.666666666666607</v>
      </c>
      <c r="I5847" s="7">
        <f t="shared" si="183"/>
        <v>38.666666666666607</v>
      </c>
    </row>
    <row r="5848" spans="1:9" x14ac:dyDescent="0.2">
      <c r="A5848" t="s">
        <v>6336</v>
      </c>
      <c r="B5848">
        <v>4.3869999999999996</v>
      </c>
      <c r="C5848">
        <v>6.1460000000000001E-2</v>
      </c>
      <c r="D5848">
        <v>294</v>
      </c>
      <c r="E5848" t="s">
        <v>6336</v>
      </c>
      <c r="F5848">
        <v>293</v>
      </c>
      <c r="G5848" s="1">
        <v>45219</v>
      </c>
      <c r="H5848" s="6">
        <f t="shared" si="182"/>
        <v>38.677083333333272</v>
      </c>
      <c r="I5848" s="7">
        <f t="shared" si="183"/>
        <v>38.677083333333272</v>
      </c>
    </row>
    <row r="5849" spans="1:9" x14ac:dyDescent="0.2">
      <c r="A5849" t="s">
        <v>6337</v>
      </c>
      <c r="B5849">
        <v>4.1040000000000001</v>
      </c>
      <c r="C5849">
        <v>5.7494999999999997E-2</v>
      </c>
      <c r="D5849">
        <v>294</v>
      </c>
      <c r="E5849" t="s">
        <v>6337</v>
      </c>
      <c r="F5849">
        <v>293</v>
      </c>
      <c r="G5849" s="1">
        <v>45219</v>
      </c>
      <c r="H5849" s="6">
        <f t="shared" si="182"/>
        <v>38.687499999999936</v>
      </c>
      <c r="I5849" s="7">
        <f t="shared" si="183"/>
        <v>38.687499999999936</v>
      </c>
    </row>
    <row r="5850" spans="1:9" x14ac:dyDescent="0.2">
      <c r="A5850" t="s">
        <v>6338</v>
      </c>
      <c r="B5850">
        <v>4.4800000000000004</v>
      </c>
      <c r="C5850">
        <v>6.275E-2</v>
      </c>
      <c r="D5850">
        <v>294</v>
      </c>
      <c r="E5850" t="s">
        <v>6338</v>
      </c>
      <c r="F5850">
        <v>293</v>
      </c>
      <c r="G5850" s="1">
        <v>45219</v>
      </c>
      <c r="H5850" s="6">
        <f t="shared" si="182"/>
        <v>38.6979166666666</v>
      </c>
      <c r="I5850" s="7">
        <f t="shared" si="183"/>
        <v>38.6979166666666</v>
      </c>
    </row>
    <row r="5851" spans="1:9" x14ac:dyDescent="0.2">
      <c r="A5851" t="s">
        <v>6339</v>
      </c>
      <c r="B5851">
        <v>4.2869999999999999</v>
      </c>
      <c r="C5851">
        <v>6.0040000000000003E-2</v>
      </c>
      <c r="D5851">
        <v>294</v>
      </c>
      <c r="E5851" t="s">
        <v>6339</v>
      </c>
      <c r="F5851">
        <v>293</v>
      </c>
      <c r="G5851" s="1">
        <v>45219</v>
      </c>
      <c r="H5851" s="6">
        <f t="shared" si="182"/>
        <v>38.708333333333265</v>
      </c>
      <c r="I5851" s="7">
        <f t="shared" si="183"/>
        <v>38.708333333333265</v>
      </c>
    </row>
    <row r="5852" spans="1:9" x14ac:dyDescent="0.2">
      <c r="A5852" t="s">
        <v>6340</v>
      </c>
      <c r="B5852">
        <v>4.7969999999999997</v>
      </c>
      <c r="C5852">
        <v>6.7199999999999996E-2</v>
      </c>
      <c r="D5852">
        <v>294</v>
      </c>
      <c r="E5852" t="s">
        <v>6340</v>
      </c>
      <c r="F5852">
        <v>293</v>
      </c>
      <c r="G5852" s="1">
        <v>45219</v>
      </c>
      <c r="H5852" s="6">
        <f t="shared" ref="H5852:H5919" si="184">H5851+$K$1</f>
        <v>38.718749999999929</v>
      </c>
      <c r="I5852" s="7">
        <f t="shared" ref="I5852:I5919" si="185">I5851+$K$1</f>
        <v>38.718749999999929</v>
      </c>
    </row>
    <row r="5853" spans="1:9" x14ac:dyDescent="0.2">
      <c r="A5853" t="s">
        <v>6341</v>
      </c>
      <c r="B5853">
        <v>4.6989999999999998</v>
      </c>
      <c r="C5853">
        <v>6.5809999999999994E-2</v>
      </c>
      <c r="D5853">
        <v>294</v>
      </c>
      <c r="E5853" t="s">
        <v>6341</v>
      </c>
      <c r="F5853">
        <v>293</v>
      </c>
      <c r="G5853" s="1">
        <v>45219</v>
      </c>
      <c r="H5853" s="6">
        <f t="shared" si="184"/>
        <v>38.729166666666593</v>
      </c>
      <c r="I5853" s="7">
        <f t="shared" si="185"/>
        <v>38.729166666666593</v>
      </c>
    </row>
    <row r="5854" spans="1:9" x14ac:dyDescent="0.2">
      <c r="A5854" t="s">
        <v>6342</v>
      </c>
      <c r="B5854">
        <v>4.4135</v>
      </c>
      <c r="C5854" s="2" t="s">
        <v>6343</v>
      </c>
      <c r="D5854">
        <v>294</v>
      </c>
      <c r="E5854" t="s">
        <v>6342</v>
      </c>
      <c r="F5854">
        <v>293</v>
      </c>
      <c r="G5854" s="1">
        <v>45219</v>
      </c>
      <c r="H5854" s="6">
        <f t="shared" si="184"/>
        <v>38.739583333333258</v>
      </c>
      <c r="I5854" s="7">
        <f t="shared" si="185"/>
        <v>38.739583333333258</v>
      </c>
    </row>
    <row r="5855" spans="1:9" x14ac:dyDescent="0.2">
      <c r="A5855" t="s">
        <v>6344</v>
      </c>
      <c r="B5855">
        <v>4.6325000000000003</v>
      </c>
      <c r="C5855">
        <v>6.4884999999999998E-2</v>
      </c>
      <c r="D5855">
        <v>294</v>
      </c>
      <c r="E5855" t="s">
        <v>6344</v>
      </c>
      <c r="F5855">
        <v>293</v>
      </c>
      <c r="G5855" s="1">
        <v>45219</v>
      </c>
      <c r="H5855" s="6">
        <f t="shared" si="184"/>
        <v>38.749999999999922</v>
      </c>
      <c r="I5855" s="7">
        <f t="shared" si="185"/>
        <v>38.749999999999922</v>
      </c>
    </row>
    <row r="5856" spans="1:9" x14ac:dyDescent="0.2">
      <c r="A5856" t="s">
        <v>6345</v>
      </c>
      <c r="B5856">
        <v>4.649</v>
      </c>
      <c r="C5856">
        <v>6.5134999999999998E-2</v>
      </c>
      <c r="D5856">
        <v>294</v>
      </c>
      <c r="E5856" t="s">
        <v>6345</v>
      </c>
      <c r="F5856">
        <v>293</v>
      </c>
      <c r="G5856" s="1">
        <v>45219</v>
      </c>
      <c r="H5856" s="6">
        <f t="shared" si="184"/>
        <v>38.760416666666586</v>
      </c>
      <c r="I5856" s="7">
        <f t="shared" si="185"/>
        <v>38.760416666666586</v>
      </c>
    </row>
    <row r="5857" spans="1:9" x14ac:dyDescent="0.2">
      <c r="A5857" t="s">
        <v>6346</v>
      </c>
      <c r="B5857">
        <v>4.5975000000000001</v>
      </c>
      <c r="C5857">
        <v>6.4399999999999999E-2</v>
      </c>
      <c r="D5857">
        <v>294</v>
      </c>
      <c r="E5857" t="s">
        <v>6346</v>
      </c>
      <c r="F5857">
        <v>293</v>
      </c>
      <c r="G5857" s="1">
        <v>45219</v>
      </c>
      <c r="H5857" s="6">
        <f t="shared" si="184"/>
        <v>38.77083333333325</v>
      </c>
      <c r="I5857" s="7">
        <f t="shared" si="185"/>
        <v>38.77083333333325</v>
      </c>
    </row>
    <row r="5858" spans="1:9" x14ac:dyDescent="0.2">
      <c r="A5858" t="s">
        <v>6347</v>
      </c>
      <c r="B5858">
        <v>4.625</v>
      </c>
      <c r="C5858">
        <v>6.4774999999999999E-2</v>
      </c>
      <c r="D5858">
        <v>294</v>
      </c>
      <c r="E5858" t="s">
        <v>6347</v>
      </c>
      <c r="F5858">
        <v>293</v>
      </c>
      <c r="G5858" s="1">
        <v>45219</v>
      </c>
      <c r="H5858" s="6">
        <f t="shared" si="184"/>
        <v>38.781249999999915</v>
      </c>
      <c r="I5858" s="7">
        <f t="shared" si="185"/>
        <v>38.781249999999915</v>
      </c>
    </row>
    <row r="5859" spans="1:9" x14ac:dyDescent="0.2">
      <c r="A5859" t="s">
        <v>6348</v>
      </c>
      <c r="B5859">
        <v>4.5709999999999997</v>
      </c>
      <c r="C5859">
        <v>6.4015000000000002E-2</v>
      </c>
      <c r="D5859">
        <v>294</v>
      </c>
      <c r="E5859" t="s">
        <v>6348</v>
      </c>
      <c r="F5859">
        <v>293</v>
      </c>
      <c r="G5859" s="1">
        <v>45219</v>
      </c>
      <c r="H5859" s="6">
        <f t="shared" si="184"/>
        <v>38.791666666666579</v>
      </c>
      <c r="I5859" s="7">
        <f t="shared" si="185"/>
        <v>38.791666666666579</v>
      </c>
    </row>
    <row r="5860" spans="1:9" x14ac:dyDescent="0.2">
      <c r="A5860" t="s">
        <v>6349</v>
      </c>
      <c r="B5860">
        <v>4.7234999999999996</v>
      </c>
      <c r="C5860">
        <v>6.6159999999999997E-2</v>
      </c>
      <c r="D5860">
        <v>294</v>
      </c>
      <c r="E5860" t="s">
        <v>6349</v>
      </c>
      <c r="F5860">
        <v>293</v>
      </c>
      <c r="G5860" s="1">
        <v>45219</v>
      </c>
      <c r="H5860" s="6">
        <f t="shared" si="184"/>
        <v>38.802083333333243</v>
      </c>
      <c r="I5860" s="7">
        <f t="shared" si="185"/>
        <v>38.802083333333243</v>
      </c>
    </row>
    <row r="5861" spans="1:9" x14ac:dyDescent="0.2">
      <c r="A5861" t="s">
        <v>6350</v>
      </c>
      <c r="B5861">
        <v>4.8265000000000002</v>
      </c>
      <c r="C5861">
        <v>6.7599999999999993E-2</v>
      </c>
      <c r="D5861">
        <v>294</v>
      </c>
      <c r="E5861" t="s">
        <v>6350</v>
      </c>
      <c r="F5861">
        <v>293</v>
      </c>
      <c r="G5861" s="1">
        <v>45219</v>
      </c>
      <c r="H5861" s="6">
        <f t="shared" si="184"/>
        <v>38.812499999999908</v>
      </c>
      <c r="I5861" s="7">
        <f t="shared" si="185"/>
        <v>38.812499999999908</v>
      </c>
    </row>
    <row r="5862" spans="1:9" x14ac:dyDescent="0.2">
      <c r="A5862" t="s">
        <v>6351</v>
      </c>
      <c r="B5862">
        <v>4.6440000000000001</v>
      </c>
      <c r="C5862">
        <v>6.5044999999999895E-2</v>
      </c>
      <c r="D5862">
        <v>294</v>
      </c>
      <c r="E5862" t="s">
        <v>6351</v>
      </c>
      <c r="F5862">
        <v>293</v>
      </c>
      <c r="G5862" s="1">
        <v>45219</v>
      </c>
      <c r="H5862" s="6">
        <f t="shared" si="184"/>
        <v>38.822916666666572</v>
      </c>
      <c r="I5862" s="7">
        <f t="shared" si="185"/>
        <v>38.822916666666572</v>
      </c>
    </row>
    <row r="5863" spans="1:9" x14ac:dyDescent="0.2">
      <c r="A5863" t="s">
        <v>6352</v>
      </c>
      <c r="B5863">
        <v>4.8280000000000003</v>
      </c>
      <c r="C5863">
        <v>6.7635000000000001E-2</v>
      </c>
      <c r="D5863">
        <v>294</v>
      </c>
      <c r="E5863" t="s">
        <v>6352</v>
      </c>
      <c r="F5863">
        <v>293</v>
      </c>
      <c r="G5863" s="1">
        <v>45219</v>
      </c>
      <c r="H5863" s="6">
        <f t="shared" si="184"/>
        <v>38.833333333333236</v>
      </c>
      <c r="I5863" s="7">
        <f t="shared" si="185"/>
        <v>38.833333333333236</v>
      </c>
    </row>
    <row r="5864" spans="1:9" x14ac:dyDescent="0.2">
      <c r="A5864" t="s">
        <v>6353</v>
      </c>
      <c r="B5864" s="2" t="s">
        <v>6354</v>
      </c>
      <c r="C5864">
        <v>6.9324999999999998E-2</v>
      </c>
      <c r="D5864">
        <v>294</v>
      </c>
      <c r="E5864" t="s">
        <v>6353</v>
      </c>
      <c r="F5864">
        <v>293</v>
      </c>
      <c r="G5864" s="1">
        <v>45219</v>
      </c>
      <c r="H5864" s="6">
        <f t="shared" si="184"/>
        <v>38.843749999999901</v>
      </c>
      <c r="I5864" s="7">
        <f t="shared" si="185"/>
        <v>38.843749999999901</v>
      </c>
    </row>
    <row r="5865" spans="1:9" x14ac:dyDescent="0.2">
      <c r="A5865" t="s">
        <v>6355</v>
      </c>
      <c r="B5865">
        <v>4.758</v>
      </c>
      <c r="C5865">
        <v>6.6629999999999995E-2</v>
      </c>
      <c r="D5865">
        <v>294</v>
      </c>
      <c r="E5865" t="s">
        <v>6355</v>
      </c>
      <c r="F5865">
        <v>294</v>
      </c>
      <c r="G5865" s="1">
        <v>45220</v>
      </c>
      <c r="H5865" s="6">
        <f t="shared" si="184"/>
        <v>38.854166666666565</v>
      </c>
      <c r="I5865" s="7">
        <f t="shared" si="185"/>
        <v>38.854166666666565</v>
      </c>
    </row>
    <row r="5866" spans="1:9" x14ac:dyDescent="0.2">
      <c r="A5866" t="s">
        <v>6356</v>
      </c>
      <c r="B5866">
        <v>4.4664999999999999</v>
      </c>
      <c r="C5866">
        <v>6.2545000000000003E-2</v>
      </c>
      <c r="D5866">
        <v>294</v>
      </c>
      <c r="E5866" t="s">
        <v>6356</v>
      </c>
      <c r="F5866">
        <v>294</v>
      </c>
      <c r="G5866" s="1">
        <v>45220</v>
      </c>
      <c r="H5866" s="6">
        <f t="shared" si="184"/>
        <v>38.864583333333229</v>
      </c>
      <c r="I5866" s="7">
        <f t="shared" si="185"/>
        <v>38.864583333333229</v>
      </c>
    </row>
    <row r="5867" spans="1:9" x14ac:dyDescent="0.2">
      <c r="A5867" t="s">
        <v>6357</v>
      </c>
      <c r="B5867">
        <v>4.8905000000000003</v>
      </c>
      <c r="C5867">
        <v>6.8519999999999998E-2</v>
      </c>
      <c r="D5867">
        <v>294</v>
      </c>
      <c r="E5867" t="s">
        <v>6357</v>
      </c>
      <c r="F5867">
        <v>294</v>
      </c>
      <c r="G5867" s="1">
        <v>45220</v>
      </c>
      <c r="H5867" s="6">
        <f t="shared" si="184"/>
        <v>38.874999999999893</v>
      </c>
      <c r="I5867" s="7">
        <f t="shared" si="185"/>
        <v>38.874999999999893</v>
      </c>
    </row>
    <row r="5868" spans="1:9" x14ac:dyDescent="0.2">
      <c r="A5868" t="s">
        <v>6358</v>
      </c>
      <c r="B5868">
        <v>4.7210000000000001</v>
      </c>
      <c r="C5868">
        <v>6.6140000000000004E-2</v>
      </c>
      <c r="D5868">
        <v>294</v>
      </c>
      <c r="E5868" t="s">
        <v>6358</v>
      </c>
      <c r="F5868">
        <v>294</v>
      </c>
      <c r="G5868" s="1">
        <v>45220</v>
      </c>
      <c r="H5868" s="6">
        <f t="shared" si="184"/>
        <v>38.885416666666558</v>
      </c>
      <c r="I5868" s="7">
        <f t="shared" si="185"/>
        <v>38.885416666666558</v>
      </c>
    </row>
    <row r="5869" spans="1:9" x14ac:dyDescent="0.2">
      <c r="A5869" t="s">
        <v>6359</v>
      </c>
      <c r="B5869">
        <v>4.8215000000000003</v>
      </c>
      <c r="C5869">
        <v>6.7544999999999994E-2</v>
      </c>
      <c r="D5869">
        <v>294</v>
      </c>
      <c r="E5869" t="s">
        <v>6359</v>
      </c>
      <c r="F5869">
        <v>294</v>
      </c>
      <c r="G5869" s="1">
        <v>45220</v>
      </c>
      <c r="H5869" s="6">
        <f t="shared" si="184"/>
        <v>38.895833333333222</v>
      </c>
      <c r="I5869" s="7">
        <f t="shared" si="185"/>
        <v>38.895833333333222</v>
      </c>
    </row>
    <row r="5870" spans="1:9" x14ac:dyDescent="0.2">
      <c r="A5870" t="s">
        <v>6360</v>
      </c>
      <c r="B5870">
        <v>4.8179999999999996</v>
      </c>
      <c r="C5870">
        <v>6.7515000000000006E-2</v>
      </c>
      <c r="D5870">
        <v>294</v>
      </c>
      <c r="E5870" t="s">
        <v>6360</v>
      </c>
      <c r="F5870">
        <v>294</v>
      </c>
      <c r="G5870" s="1">
        <v>45220</v>
      </c>
      <c r="H5870" s="6">
        <f t="shared" si="184"/>
        <v>38.906249999999886</v>
      </c>
      <c r="I5870" s="7">
        <f t="shared" si="185"/>
        <v>38.906249999999886</v>
      </c>
    </row>
    <row r="5871" spans="1:9" x14ac:dyDescent="0.2">
      <c r="A5871" t="s">
        <v>6361</v>
      </c>
      <c r="B5871">
        <v>4.8724999999999996</v>
      </c>
      <c r="C5871">
        <v>6.8235000000000004E-2</v>
      </c>
      <c r="D5871">
        <v>294</v>
      </c>
      <c r="E5871" t="s">
        <v>6361</v>
      </c>
      <c r="F5871">
        <v>294</v>
      </c>
      <c r="G5871" s="1">
        <v>45220</v>
      </c>
      <c r="H5871" s="6">
        <f t="shared" si="184"/>
        <v>38.916666666666551</v>
      </c>
      <c r="I5871" s="7">
        <f t="shared" si="185"/>
        <v>38.916666666666551</v>
      </c>
    </row>
    <row r="5872" spans="1:9" x14ac:dyDescent="0.2">
      <c r="A5872" t="s">
        <v>6362</v>
      </c>
      <c r="B5872">
        <v>4.7515000000000001</v>
      </c>
      <c r="C5872">
        <v>6.6555000000000003E-2</v>
      </c>
      <c r="D5872">
        <v>294</v>
      </c>
      <c r="E5872" t="s">
        <v>6362</v>
      </c>
      <c r="F5872">
        <v>294</v>
      </c>
      <c r="G5872" s="1">
        <v>45220</v>
      </c>
      <c r="H5872" s="6">
        <f t="shared" si="184"/>
        <v>38.927083333333215</v>
      </c>
      <c r="I5872" s="7">
        <f t="shared" si="185"/>
        <v>38.927083333333215</v>
      </c>
    </row>
    <row r="5873" spans="1:9" x14ac:dyDescent="0.2">
      <c r="A5873" t="s">
        <v>6363</v>
      </c>
      <c r="B5873">
        <v>4.282</v>
      </c>
      <c r="C5873">
        <v>5.9990000000000002E-2</v>
      </c>
      <c r="D5873">
        <v>294</v>
      </c>
      <c r="E5873" t="s">
        <v>6363</v>
      </c>
      <c r="F5873">
        <v>294</v>
      </c>
      <c r="G5873" s="1">
        <v>45220</v>
      </c>
      <c r="H5873" s="6">
        <f t="shared" si="184"/>
        <v>38.937499999999879</v>
      </c>
      <c r="I5873" s="7">
        <f t="shared" si="185"/>
        <v>38.937499999999879</v>
      </c>
    </row>
    <row r="5874" spans="1:9" x14ac:dyDescent="0.2">
      <c r="A5874" t="s">
        <v>6364</v>
      </c>
      <c r="B5874">
        <v>4.4050000000000002</v>
      </c>
      <c r="C5874">
        <v>6.1690000000000002E-2</v>
      </c>
      <c r="D5874">
        <v>294</v>
      </c>
      <c r="E5874" t="s">
        <v>6364</v>
      </c>
      <c r="F5874">
        <v>294</v>
      </c>
      <c r="G5874" s="1">
        <v>45220</v>
      </c>
      <c r="H5874" s="6">
        <f t="shared" si="184"/>
        <v>38.947916666666544</v>
      </c>
      <c r="I5874" s="7">
        <f t="shared" si="185"/>
        <v>38.947916666666544</v>
      </c>
    </row>
    <row r="5875" spans="1:9" x14ac:dyDescent="0.2">
      <c r="A5875" t="s">
        <v>6365</v>
      </c>
      <c r="B5875">
        <v>4.3884999999999996</v>
      </c>
      <c r="C5875" s="2" t="s">
        <v>6366</v>
      </c>
      <c r="D5875">
        <v>294</v>
      </c>
      <c r="E5875" t="s">
        <v>6365</v>
      </c>
      <c r="F5875">
        <v>294</v>
      </c>
      <c r="G5875" s="1">
        <v>45220</v>
      </c>
      <c r="H5875" s="6">
        <f t="shared" si="184"/>
        <v>38.958333333333208</v>
      </c>
      <c r="I5875" s="7">
        <f t="shared" si="185"/>
        <v>38.958333333333208</v>
      </c>
    </row>
    <row r="5876" spans="1:9" x14ac:dyDescent="0.2">
      <c r="A5876" t="s">
        <v>6367</v>
      </c>
      <c r="B5876">
        <v>4.3715000000000002</v>
      </c>
      <c r="C5876">
        <v>6.123E-2</v>
      </c>
      <c r="D5876">
        <v>294</v>
      </c>
      <c r="E5876" t="s">
        <v>6367</v>
      </c>
      <c r="F5876">
        <v>294</v>
      </c>
      <c r="G5876" s="1">
        <v>45220</v>
      </c>
      <c r="H5876" s="6">
        <f t="shared" si="184"/>
        <v>38.968749999999872</v>
      </c>
      <c r="I5876" s="7">
        <f t="shared" si="185"/>
        <v>38.968749999999872</v>
      </c>
    </row>
    <row r="5877" spans="1:9" x14ac:dyDescent="0.2">
      <c r="A5877" t="s">
        <v>6368</v>
      </c>
      <c r="B5877">
        <v>4.6139999999999999</v>
      </c>
      <c r="C5877">
        <v>6.4625000000000002E-2</v>
      </c>
      <c r="D5877">
        <v>294</v>
      </c>
      <c r="E5877" t="s">
        <v>6368</v>
      </c>
      <c r="F5877">
        <v>294</v>
      </c>
      <c r="G5877" s="1">
        <v>45220</v>
      </c>
      <c r="H5877" s="6">
        <f t="shared" si="184"/>
        <v>38.979166666666536</v>
      </c>
      <c r="I5877" s="7">
        <f t="shared" si="185"/>
        <v>38.979166666666536</v>
      </c>
    </row>
    <row r="5878" spans="1:9" x14ac:dyDescent="0.2">
      <c r="A5878" t="s">
        <v>6369</v>
      </c>
      <c r="B5878">
        <v>4.4610000000000003</v>
      </c>
      <c r="C5878">
        <v>6.2484999999999999E-2</v>
      </c>
      <c r="D5878">
        <v>294</v>
      </c>
      <c r="E5878" t="s">
        <v>6369</v>
      </c>
      <c r="F5878">
        <v>294</v>
      </c>
      <c r="G5878" s="1">
        <v>45220</v>
      </c>
      <c r="H5878" s="6">
        <f t="shared" si="184"/>
        <v>38.989583333333201</v>
      </c>
      <c r="I5878" s="7">
        <f t="shared" si="185"/>
        <v>38.989583333333201</v>
      </c>
    </row>
    <row r="5879" spans="1:9" x14ac:dyDescent="0.2">
      <c r="A5879" t="s">
        <v>6370</v>
      </c>
      <c r="B5879">
        <v>4.6020000000000003</v>
      </c>
      <c r="C5879">
        <v>6.4445000000000002E-2</v>
      </c>
      <c r="D5879">
        <v>294</v>
      </c>
      <c r="E5879" t="s">
        <v>6370</v>
      </c>
      <c r="F5879">
        <v>294</v>
      </c>
      <c r="G5879" s="1">
        <v>45220</v>
      </c>
      <c r="H5879" s="6">
        <f t="shared" si="184"/>
        <v>38.999999999999865</v>
      </c>
      <c r="I5879" s="7">
        <f t="shared" si="185"/>
        <v>38.999999999999865</v>
      </c>
    </row>
    <row r="5880" spans="1:9" x14ac:dyDescent="0.2">
      <c r="A5880" t="s">
        <v>6371</v>
      </c>
      <c r="B5880">
        <v>5.1565000000000003</v>
      </c>
      <c r="C5880">
        <v>7.2215000000000001E-2</v>
      </c>
      <c r="D5880">
        <v>294</v>
      </c>
      <c r="E5880" t="s">
        <v>6371</v>
      </c>
      <c r="F5880">
        <v>294</v>
      </c>
      <c r="G5880" s="1">
        <v>45220</v>
      </c>
      <c r="H5880" s="6">
        <f t="shared" si="184"/>
        <v>39.010416666666529</v>
      </c>
      <c r="I5880" s="7">
        <f t="shared" si="185"/>
        <v>39.010416666666529</v>
      </c>
    </row>
    <row r="5881" spans="1:9" x14ac:dyDescent="0.2">
      <c r="A5881" t="s">
        <v>6372</v>
      </c>
      <c r="B5881" s="2" t="s">
        <v>6373</v>
      </c>
      <c r="C5881">
        <v>6.9620000000000001E-2</v>
      </c>
      <c r="D5881">
        <v>294</v>
      </c>
      <c r="E5881" t="s">
        <v>6372</v>
      </c>
      <c r="F5881">
        <v>294</v>
      </c>
      <c r="G5881" s="1">
        <v>45220</v>
      </c>
      <c r="H5881" s="6">
        <f t="shared" si="184"/>
        <v>39.020833333333194</v>
      </c>
      <c r="I5881" s="7">
        <f t="shared" si="185"/>
        <v>39.020833333333194</v>
      </c>
    </row>
    <row r="5882" spans="1:9" x14ac:dyDescent="0.2">
      <c r="A5882" t="s">
        <v>6374</v>
      </c>
      <c r="B5882">
        <v>5.0075000000000003</v>
      </c>
      <c r="C5882">
        <v>7.0135000000000003E-2</v>
      </c>
      <c r="D5882">
        <v>294</v>
      </c>
      <c r="E5882" t="s">
        <v>6374</v>
      </c>
      <c r="F5882">
        <v>294</v>
      </c>
      <c r="G5882" s="1">
        <v>45220</v>
      </c>
      <c r="H5882" s="6">
        <f t="shared" si="184"/>
        <v>39.031249999999858</v>
      </c>
      <c r="I5882" s="7">
        <f t="shared" si="185"/>
        <v>39.031249999999858</v>
      </c>
    </row>
    <row r="5883" spans="1:9" x14ac:dyDescent="0.2">
      <c r="A5883" t="s">
        <v>6375</v>
      </c>
      <c r="B5883">
        <v>4.9329999999999998</v>
      </c>
      <c r="C5883">
        <v>6.9084999999999994E-2</v>
      </c>
      <c r="D5883">
        <v>294</v>
      </c>
      <c r="E5883" t="s">
        <v>6375</v>
      </c>
      <c r="F5883">
        <v>294</v>
      </c>
      <c r="G5883" s="1">
        <v>45220</v>
      </c>
      <c r="H5883" s="6">
        <f t="shared" si="184"/>
        <v>39.041666666666522</v>
      </c>
      <c r="I5883" s="7">
        <f t="shared" si="185"/>
        <v>39.041666666666522</v>
      </c>
    </row>
    <row r="5884" spans="1:9" x14ac:dyDescent="0.2">
      <c r="A5884" t="s">
        <v>6376</v>
      </c>
      <c r="B5884">
        <v>4.6195000000000004</v>
      </c>
      <c r="C5884">
        <v>6.4714999999999995E-2</v>
      </c>
      <c r="D5884">
        <v>294</v>
      </c>
      <c r="E5884" t="s">
        <v>6376</v>
      </c>
      <c r="F5884">
        <v>294</v>
      </c>
      <c r="G5884" s="1">
        <v>45220</v>
      </c>
      <c r="H5884" s="6">
        <f t="shared" si="184"/>
        <v>39.052083333333186</v>
      </c>
      <c r="I5884" s="7">
        <f t="shared" si="185"/>
        <v>39.052083333333186</v>
      </c>
    </row>
    <row r="5885" spans="1:9" x14ac:dyDescent="0.2">
      <c r="A5885" t="s">
        <v>6377</v>
      </c>
      <c r="B5885">
        <v>4.4630000000000001</v>
      </c>
      <c r="C5885">
        <v>6.2509999999999996E-2</v>
      </c>
      <c r="D5885">
        <v>294</v>
      </c>
      <c r="E5885" t="s">
        <v>6377</v>
      </c>
      <c r="F5885">
        <v>294</v>
      </c>
      <c r="G5885" s="1">
        <v>45220</v>
      </c>
      <c r="H5885" s="6">
        <f t="shared" si="184"/>
        <v>39.062499999999851</v>
      </c>
      <c r="I5885" s="7">
        <f t="shared" si="185"/>
        <v>39.062499999999851</v>
      </c>
    </row>
    <row r="5886" spans="1:9" x14ac:dyDescent="0.2">
      <c r="A5886" t="s">
        <v>6378</v>
      </c>
      <c r="B5886">
        <v>4.2645</v>
      </c>
      <c r="C5886">
        <v>5.9744999999999999E-2</v>
      </c>
      <c r="D5886">
        <v>294</v>
      </c>
      <c r="E5886" t="s">
        <v>6378</v>
      </c>
      <c r="F5886">
        <v>294</v>
      </c>
      <c r="G5886" s="1">
        <v>45220</v>
      </c>
      <c r="H5886" s="6">
        <f t="shared" si="184"/>
        <v>39.072916666666515</v>
      </c>
      <c r="I5886" s="7">
        <f t="shared" si="185"/>
        <v>39.072916666666515</v>
      </c>
    </row>
    <row r="5887" spans="1:9" x14ac:dyDescent="0.2">
      <c r="A5887" t="s">
        <v>6379</v>
      </c>
      <c r="B5887">
        <v>4.5505000000000004</v>
      </c>
      <c r="C5887">
        <v>6.3710000000000003E-2</v>
      </c>
      <c r="D5887">
        <v>294</v>
      </c>
      <c r="E5887" t="s">
        <v>6379</v>
      </c>
      <c r="F5887">
        <v>294</v>
      </c>
      <c r="G5887" s="1">
        <v>45220</v>
      </c>
      <c r="H5887" s="6">
        <f t="shared" si="184"/>
        <v>39.083333333333179</v>
      </c>
      <c r="I5887" s="7">
        <f t="shared" si="185"/>
        <v>39.083333333333179</v>
      </c>
    </row>
    <row r="5888" spans="1:9" x14ac:dyDescent="0.2">
      <c r="A5888" t="s">
        <v>6380</v>
      </c>
      <c r="B5888">
        <v>4.5845000000000002</v>
      </c>
      <c r="C5888">
        <v>6.4204999999999998E-2</v>
      </c>
      <c r="D5888">
        <v>294</v>
      </c>
      <c r="E5888" t="s">
        <v>6380</v>
      </c>
      <c r="F5888">
        <v>294</v>
      </c>
      <c r="G5888" s="1">
        <v>45220</v>
      </c>
      <c r="H5888" s="6">
        <f t="shared" si="184"/>
        <v>39.093749999999844</v>
      </c>
      <c r="I5888" s="7">
        <f t="shared" si="185"/>
        <v>39.093749999999844</v>
      </c>
    </row>
    <row r="5889" spans="1:9" x14ac:dyDescent="0.2">
      <c r="A5889" t="s">
        <v>6381</v>
      </c>
      <c r="B5889">
        <v>4.9714999999999998</v>
      </c>
      <c r="C5889">
        <v>6.9614999999999996E-2</v>
      </c>
      <c r="D5889">
        <v>294</v>
      </c>
      <c r="E5889" t="s">
        <v>6381</v>
      </c>
      <c r="F5889">
        <v>294</v>
      </c>
      <c r="G5889" s="1">
        <v>45220</v>
      </c>
      <c r="H5889" s="6">
        <f t="shared" si="184"/>
        <v>39.104166666666508</v>
      </c>
      <c r="I5889" s="7">
        <f t="shared" si="185"/>
        <v>39.104166666666508</v>
      </c>
    </row>
    <row r="5890" spans="1:9" x14ac:dyDescent="0.2">
      <c r="A5890" t="s">
        <v>6382</v>
      </c>
      <c r="B5890">
        <v>5.2370000000000001</v>
      </c>
      <c r="C5890">
        <v>7.3355000000000004E-2</v>
      </c>
      <c r="D5890">
        <v>294</v>
      </c>
      <c r="E5890" t="s">
        <v>6382</v>
      </c>
      <c r="F5890">
        <v>294</v>
      </c>
      <c r="G5890" s="1">
        <v>45220</v>
      </c>
      <c r="H5890" s="6">
        <f t="shared" si="184"/>
        <v>39.114583333333172</v>
      </c>
      <c r="I5890" s="7">
        <f t="shared" si="185"/>
        <v>39.114583333333172</v>
      </c>
    </row>
    <row r="5891" spans="1:9" x14ac:dyDescent="0.2">
      <c r="A5891" t="s">
        <v>6383</v>
      </c>
      <c r="B5891">
        <v>5.0754999999999999</v>
      </c>
      <c r="C5891">
        <v>7.1084999999999995E-2</v>
      </c>
      <c r="D5891">
        <v>294</v>
      </c>
      <c r="E5891" t="s">
        <v>6383</v>
      </c>
      <c r="F5891">
        <v>294</v>
      </c>
      <c r="G5891" s="1">
        <v>45220</v>
      </c>
      <c r="H5891" s="6">
        <f t="shared" si="184"/>
        <v>39.124999999999837</v>
      </c>
      <c r="I5891" s="7">
        <f t="shared" si="185"/>
        <v>39.124999999999837</v>
      </c>
    </row>
    <row r="5892" spans="1:9" x14ac:dyDescent="0.2">
      <c r="A5892" t="s">
        <v>6384</v>
      </c>
      <c r="B5892">
        <v>4.7874999999999996</v>
      </c>
      <c r="C5892">
        <v>6.7049999999999998E-2</v>
      </c>
      <c r="D5892">
        <v>294</v>
      </c>
      <c r="E5892" t="s">
        <v>6384</v>
      </c>
      <c r="F5892">
        <v>294</v>
      </c>
      <c r="G5892" s="1">
        <v>45220</v>
      </c>
      <c r="H5892" s="6">
        <f t="shared" si="184"/>
        <v>39.135416666666501</v>
      </c>
      <c r="I5892" s="7">
        <f t="shared" si="185"/>
        <v>39.135416666666501</v>
      </c>
    </row>
    <row r="5893" spans="1:9" x14ac:dyDescent="0.2">
      <c r="A5893" t="s">
        <v>6385</v>
      </c>
      <c r="B5893">
        <v>4.7835000000000001</v>
      </c>
      <c r="C5893">
        <v>6.6989999999999994E-2</v>
      </c>
      <c r="D5893">
        <v>294</v>
      </c>
      <c r="E5893" t="s">
        <v>6385</v>
      </c>
      <c r="F5893">
        <v>294</v>
      </c>
      <c r="G5893" s="1">
        <v>45220</v>
      </c>
      <c r="H5893" s="6">
        <f t="shared" si="184"/>
        <v>39.145833333333165</v>
      </c>
      <c r="I5893" s="7">
        <f t="shared" si="185"/>
        <v>39.145833333333165</v>
      </c>
    </row>
    <row r="5894" spans="1:9" x14ac:dyDescent="0.2">
      <c r="A5894" t="s">
        <v>6386</v>
      </c>
      <c r="B5894">
        <v>3.4620000000000002</v>
      </c>
      <c r="C5894">
        <v>4.8489999999999998E-2</v>
      </c>
      <c r="D5894">
        <v>294</v>
      </c>
      <c r="E5894" t="s">
        <v>6386</v>
      </c>
      <c r="F5894">
        <v>294</v>
      </c>
      <c r="G5894" s="1">
        <v>45220</v>
      </c>
      <c r="H5894" s="6">
        <f t="shared" si="184"/>
        <v>39.156249999999829</v>
      </c>
      <c r="I5894" s="7">
        <f t="shared" si="185"/>
        <v>39.156249999999829</v>
      </c>
    </row>
    <row r="5895" spans="1:9" x14ac:dyDescent="0.2">
      <c r="A5895" t="s">
        <v>6387</v>
      </c>
      <c r="B5895">
        <v>4.0395000000000003</v>
      </c>
      <c r="C5895">
        <v>5.6594999999999999E-2</v>
      </c>
      <c r="D5895">
        <v>294</v>
      </c>
      <c r="E5895" t="s">
        <v>6387</v>
      </c>
      <c r="F5895">
        <v>294</v>
      </c>
      <c r="G5895" s="1">
        <v>45220</v>
      </c>
      <c r="H5895" s="6">
        <f t="shared" si="184"/>
        <v>39.166666666666494</v>
      </c>
      <c r="I5895" s="7">
        <f t="shared" si="185"/>
        <v>39.166666666666494</v>
      </c>
    </row>
    <row r="5896" spans="1:9" x14ac:dyDescent="0.2">
      <c r="A5896" t="s">
        <v>6388</v>
      </c>
      <c r="B5896">
        <v>4.2229999999999999</v>
      </c>
      <c r="C5896">
        <v>5.9124999999999997E-2</v>
      </c>
      <c r="D5896">
        <v>294</v>
      </c>
      <c r="E5896" t="s">
        <v>6388</v>
      </c>
      <c r="F5896">
        <v>294</v>
      </c>
      <c r="G5896" s="1">
        <v>45220</v>
      </c>
      <c r="H5896" s="6">
        <f t="shared" si="184"/>
        <v>39.177083333333158</v>
      </c>
      <c r="I5896" s="7">
        <f t="shared" si="185"/>
        <v>39.177083333333158</v>
      </c>
    </row>
    <row r="5897" spans="1:9" x14ac:dyDescent="0.2">
      <c r="A5897" t="s">
        <v>6389</v>
      </c>
      <c r="B5897">
        <v>4.2309999999999999</v>
      </c>
      <c r="C5897">
        <v>5.9275000000000001E-2</v>
      </c>
      <c r="D5897">
        <v>294</v>
      </c>
      <c r="E5897" t="s">
        <v>6389</v>
      </c>
      <c r="F5897">
        <v>294</v>
      </c>
      <c r="G5897" s="1">
        <v>45220</v>
      </c>
      <c r="H5897" s="6">
        <f t="shared" si="184"/>
        <v>39.187499999999822</v>
      </c>
      <c r="I5897" s="7">
        <f t="shared" si="185"/>
        <v>39.187499999999822</v>
      </c>
    </row>
    <row r="5898" spans="1:9" x14ac:dyDescent="0.2">
      <c r="A5898" t="s">
        <v>6390</v>
      </c>
      <c r="B5898">
        <v>4.6115000000000004</v>
      </c>
      <c r="C5898">
        <v>6.4600000000000005E-2</v>
      </c>
      <c r="D5898">
        <v>294</v>
      </c>
      <c r="E5898" t="s">
        <v>6390</v>
      </c>
      <c r="F5898">
        <v>294</v>
      </c>
      <c r="G5898" s="1">
        <v>45220</v>
      </c>
      <c r="H5898" s="6">
        <f t="shared" si="184"/>
        <v>39.197916666666487</v>
      </c>
      <c r="I5898" s="7">
        <f t="shared" si="185"/>
        <v>39.197916666666487</v>
      </c>
    </row>
    <row r="5899" spans="1:9" x14ac:dyDescent="0.2">
      <c r="A5899" t="s">
        <v>6391</v>
      </c>
      <c r="B5899">
        <v>4.5964999999999998</v>
      </c>
      <c r="C5899">
        <v>6.4384999999999998E-2</v>
      </c>
      <c r="D5899">
        <v>294</v>
      </c>
      <c r="E5899" t="s">
        <v>6391</v>
      </c>
      <c r="F5899">
        <v>294</v>
      </c>
      <c r="G5899" s="1">
        <v>45220</v>
      </c>
      <c r="H5899" s="6">
        <f t="shared" si="184"/>
        <v>39.208333333333151</v>
      </c>
      <c r="I5899" s="7">
        <f t="shared" si="185"/>
        <v>39.208333333333151</v>
      </c>
    </row>
    <row r="5900" spans="1:9" x14ac:dyDescent="0.2">
      <c r="A5900" t="s">
        <v>6392</v>
      </c>
      <c r="B5900">
        <v>4.8605</v>
      </c>
      <c r="C5900">
        <v>6.8065000000000001E-2</v>
      </c>
      <c r="D5900">
        <v>294</v>
      </c>
      <c r="E5900" t="s">
        <v>6392</v>
      </c>
      <c r="F5900">
        <v>294</v>
      </c>
      <c r="G5900" s="1">
        <v>45220</v>
      </c>
      <c r="H5900" s="6">
        <f t="shared" si="184"/>
        <v>39.218749999999815</v>
      </c>
      <c r="I5900" s="7">
        <f t="shared" si="185"/>
        <v>39.218749999999815</v>
      </c>
    </row>
    <row r="5901" spans="1:9" x14ac:dyDescent="0.2">
      <c r="A5901" t="s">
        <v>6393</v>
      </c>
      <c r="B5901">
        <v>4.8230000000000004</v>
      </c>
      <c r="C5901">
        <v>6.7565E-2</v>
      </c>
      <c r="D5901">
        <v>294</v>
      </c>
      <c r="E5901" t="s">
        <v>6393</v>
      </c>
      <c r="F5901">
        <v>294</v>
      </c>
      <c r="G5901" s="1">
        <v>45220</v>
      </c>
      <c r="H5901" s="6">
        <f t="shared" si="184"/>
        <v>39.22916666666648</v>
      </c>
      <c r="I5901" s="7">
        <f t="shared" si="185"/>
        <v>39.22916666666648</v>
      </c>
    </row>
    <row r="5902" spans="1:9" x14ac:dyDescent="0.2">
      <c r="A5902" t="s">
        <v>6394</v>
      </c>
      <c r="B5902">
        <v>4.9184999999999999</v>
      </c>
      <c r="C5902">
        <v>6.8885000000000002E-2</v>
      </c>
      <c r="D5902">
        <v>294</v>
      </c>
      <c r="E5902" t="s">
        <v>6394</v>
      </c>
      <c r="F5902">
        <v>294</v>
      </c>
      <c r="G5902" s="1">
        <v>45220</v>
      </c>
      <c r="H5902" s="6">
        <f t="shared" si="184"/>
        <v>39.239583333333144</v>
      </c>
      <c r="I5902" s="7">
        <f t="shared" si="185"/>
        <v>39.239583333333144</v>
      </c>
    </row>
    <row r="5903" spans="1:9" x14ac:dyDescent="0.2">
      <c r="A5903" t="s">
        <v>6395</v>
      </c>
      <c r="B5903">
        <v>4.6289999999999996</v>
      </c>
      <c r="C5903">
        <v>6.4845E-2</v>
      </c>
      <c r="D5903">
        <v>294</v>
      </c>
      <c r="E5903" t="s">
        <v>6395</v>
      </c>
      <c r="F5903">
        <v>294</v>
      </c>
      <c r="G5903" s="1">
        <v>45220</v>
      </c>
      <c r="H5903" s="6">
        <f t="shared" si="184"/>
        <v>39.249999999999808</v>
      </c>
      <c r="I5903" s="7">
        <f t="shared" si="185"/>
        <v>39.249999999999808</v>
      </c>
    </row>
    <row r="5904" spans="1:9" x14ac:dyDescent="0.2">
      <c r="A5904" t="s">
        <v>6396</v>
      </c>
      <c r="B5904" s="2" t="s">
        <v>6397</v>
      </c>
      <c r="C5904">
        <v>6.6735000000000003E-2</v>
      </c>
      <c r="D5904">
        <v>294</v>
      </c>
      <c r="E5904" t="s">
        <v>6396</v>
      </c>
      <c r="F5904">
        <v>294</v>
      </c>
      <c r="G5904" s="1">
        <v>45220</v>
      </c>
      <c r="H5904" s="6">
        <f t="shared" si="184"/>
        <v>39.260416666666472</v>
      </c>
      <c r="I5904" s="7">
        <f t="shared" si="185"/>
        <v>39.260416666666472</v>
      </c>
    </row>
    <row r="5905" spans="1:9" x14ac:dyDescent="0.2">
      <c r="A5905" t="s">
        <v>6398</v>
      </c>
      <c r="B5905">
        <v>4.6669999999999998</v>
      </c>
      <c r="C5905">
        <v>6.5369999999999998E-2</v>
      </c>
      <c r="D5905">
        <v>294</v>
      </c>
      <c r="E5905" t="s">
        <v>6398</v>
      </c>
      <c r="F5905">
        <v>294</v>
      </c>
      <c r="G5905" s="1">
        <v>45220</v>
      </c>
      <c r="H5905" s="6">
        <f t="shared" si="184"/>
        <v>39.270833333333137</v>
      </c>
      <c r="I5905" s="7">
        <f t="shared" si="185"/>
        <v>39.270833333333137</v>
      </c>
    </row>
    <row r="5906" spans="1:9" x14ac:dyDescent="0.2">
      <c r="A5906" t="s">
        <v>6399</v>
      </c>
      <c r="B5906">
        <v>4.6879999999999997</v>
      </c>
      <c r="C5906">
        <v>6.5659999999999996E-2</v>
      </c>
      <c r="D5906">
        <v>294</v>
      </c>
      <c r="E5906" t="s">
        <v>6399</v>
      </c>
      <c r="F5906">
        <v>294</v>
      </c>
      <c r="G5906" s="1">
        <v>45220</v>
      </c>
      <c r="H5906" s="6">
        <f t="shared" si="184"/>
        <v>39.281249999999801</v>
      </c>
      <c r="I5906" s="7">
        <f t="shared" si="185"/>
        <v>39.281249999999801</v>
      </c>
    </row>
    <row r="5907" spans="1:9" x14ac:dyDescent="0.2">
      <c r="A5907" t="s">
        <v>6400</v>
      </c>
      <c r="B5907">
        <v>4.6059999999999999</v>
      </c>
      <c r="C5907">
        <v>6.4515000000000003E-2</v>
      </c>
      <c r="D5907">
        <v>294</v>
      </c>
      <c r="E5907" t="s">
        <v>6400</v>
      </c>
      <c r="F5907">
        <v>294</v>
      </c>
      <c r="G5907" s="1">
        <v>45220</v>
      </c>
      <c r="H5907" s="6">
        <f t="shared" si="184"/>
        <v>39.291666666666465</v>
      </c>
      <c r="I5907" s="7">
        <f t="shared" si="185"/>
        <v>39.291666666666465</v>
      </c>
    </row>
    <row r="5908" spans="1:9" x14ac:dyDescent="0.2">
      <c r="A5908" t="s">
        <v>6401</v>
      </c>
      <c r="B5908">
        <v>4.5125000000000002</v>
      </c>
      <c r="C5908">
        <v>6.3189999999999996E-2</v>
      </c>
      <c r="D5908">
        <v>294</v>
      </c>
      <c r="E5908" t="s">
        <v>6401</v>
      </c>
      <c r="F5908">
        <v>294</v>
      </c>
      <c r="G5908" s="1">
        <v>45220</v>
      </c>
      <c r="H5908" s="6">
        <f t="shared" si="184"/>
        <v>39.30208333333313</v>
      </c>
      <c r="I5908" s="7">
        <f t="shared" si="185"/>
        <v>39.30208333333313</v>
      </c>
    </row>
    <row r="5909" spans="1:9" x14ac:dyDescent="0.2">
      <c r="A5909" t="s">
        <v>6402</v>
      </c>
      <c r="B5909">
        <v>4.4530000000000003</v>
      </c>
      <c r="C5909">
        <v>6.2379999999999998E-2</v>
      </c>
      <c r="D5909">
        <v>294</v>
      </c>
      <c r="E5909" t="s">
        <v>6402</v>
      </c>
      <c r="F5909">
        <v>294</v>
      </c>
      <c r="G5909" s="1">
        <v>45220</v>
      </c>
      <c r="H5909" s="6">
        <f t="shared" si="184"/>
        <v>39.312499999999794</v>
      </c>
      <c r="I5909" s="7">
        <f t="shared" si="185"/>
        <v>39.312499999999794</v>
      </c>
    </row>
    <row r="5910" spans="1:9" x14ac:dyDescent="0.2">
      <c r="A5910" t="s">
        <v>6403</v>
      </c>
      <c r="B5910">
        <v>4.3365</v>
      </c>
      <c r="C5910">
        <v>6.0740000000000002E-2</v>
      </c>
      <c r="D5910">
        <v>294</v>
      </c>
      <c r="E5910" t="s">
        <v>6403</v>
      </c>
      <c r="F5910">
        <v>294</v>
      </c>
      <c r="G5910" s="1">
        <v>45220</v>
      </c>
      <c r="H5910" s="6">
        <f t="shared" si="184"/>
        <v>39.322916666666458</v>
      </c>
      <c r="I5910" s="7">
        <f t="shared" si="185"/>
        <v>39.322916666666458</v>
      </c>
    </row>
    <row r="5911" spans="1:9" x14ac:dyDescent="0.2">
      <c r="A5911" t="s">
        <v>6404</v>
      </c>
      <c r="B5911">
        <v>4.0545</v>
      </c>
      <c r="C5911">
        <v>5.6794999999999998E-2</v>
      </c>
      <c r="D5911">
        <v>294</v>
      </c>
      <c r="E5911" t="s">
        <v>6404</v>
      </c>
      <c r="F5911">
        <v>294</v>
      </c>
      <c r="G5911" s="1">
        <v>45220</v>
      </c>
      <c r="H5911" s="6">
        <f t="shared" si="184"/>
        <v>39.333333333333123</v>
      </c>
      <c r="I5911" s="7">
        <f t="shared" si="185"/>
        <v>39.333333333333123</v>
      </c>
    </row>
    <row r="5912" spans="1:9" x14ac:dyDescent="0.2">
      <c r="A5912" t="s">
        <v>6405</v>
      </c>
      <c r="B5912" s="2" t="s">
        <v>6101</v>
      </c>
      <c r="C5912">
        <v>5.5234999999999999E-2</v>
      </c>
      <c r="D5912">
        <v>294</v>
      </c>
      <c r="E5912" t="s">
        <v>6405</v>
      </c>
      <c r="F5912">
        <v>294</v>
      </c>
      <c r="G5912" s="1">
        <v>45220</v>
      </c>
      <c r="H5912" s="6">
        <f t="shared" si="184"/>
        <v>39.343749999999787</v>
      </c>
      <c r="I5912" s="7">
        <f t="shared" si="185"/>
        <v>39.343749999999787</v>
      </c>
    </row>
    <row r="5913" spans="1:9" x14ac:dyDescent="0.2">
      <c r="A5913" t="s">
        <v>6406</v>
      </c>
      <c r="B5913">
        <v>4.2939999999999996</v>
      </c>
      <c r="C5913">
        <v>6.012E-2</v>
      </c>
      <c r="D5913">
        <v>294</v>
      </c>
      <c r="E5913" t="s">
        <v>6406</v>
      </c>
      <c r="F5913">
        <v>294</v>
      </c>
      <c r="G5913" s="1">
        <v>45220</v>
      </c>
      <c r="H5913" s="6">
        <f t="shared" si="184"/>
        <v>39.354166666666451</v>
      </c>
      <c r="I5913" s="7">
        <f t="shared" si="185"/>
        <v>39.354166666666451</v>
      </c>
    </row>
    <row r="5914" spans="1:9" x14ac:dyDescent="0.2">
      <c r="A5914" t="s">
        <v>6407</v>
      </c>
      <c r="B5914" s="2" t="s">
        <v>6408</v>
      </c>
      <c r="C5914">
        <v>5.4144999999999999E-2</v>
      </c>
      <c r="D5914">
        <v>294</v>
      </c>
      <c r="E5914" t="s">
        <v>6407</v>
      </c>
      <c r="F5914">
        <v>294</v>
      </c>
      <c r="G5914" s="1">
        <v>45220</v>
      </c>
      <c r="H5914" s="6">
        <f t="shared" si="184"/>
        <v>39.364583333333115</v>
      </c>
      <c r="I5914" s="7">
        <f t="shared" si="185"/>
        <v>39.364583333333115</v>
      </c>
    </row>
    <row r="5915" spans="1:9" x14ac:dyDescent="0.2">
      <c r="A5915" t="s">
        <v>6409</v>
      </c>
      <c r="B5915">
        <v>3.4104999999999999</v>
      </c>
      <c r="C5915">
        <v>4.7759999999999997E-2</v>
      </c>
      <c r="D5915">
        <v>294</v>
      </c>
      <c r="E5915" t="s">
        <v>6409</v>
      </c>
      <c r="F5915">
        <v>294</v>
      </c>
      <c r="G5915" s="1">
        <v>45220</v>
      </c>
      <c r="H5915" s="6">
        <f t="shared" si="184"/>
        <v>39.37499999999978</v>
      </c>
      <c r="I5915" s="7">
        <f t="shared" si="185"/>
        <v>39.37499999999978</v>
      </c>
    </row>
    <row r="5916" spans="1:9" x14ac:dyDescent="0.2">
      <c r="A5916" t="s">
        <v>6410</v>
      </c>
      <c r="B5916">
        <v>3.0665</v>
      </c>
      <c r="C5916">
        <v>4.2935000000000001E-2</v>
      </c>
      <c r="D5916">
        <v>294</v>
      </c>
      <c r="E5916" t="s">
        <v>6410</v>
      </c>
      <c r="F5916">
        <v>294</v>
      </c>
      <c r="G5916" s="1">
        <v>45220</v>
      </c>
      <c r="H5916" s="6">
        <f t="shared" si="184"/>
        <v>39.385416666666444</v>
      </c>
      <c r="I5916" s="7">
        <f t="shared" si="185"/>
        <v>39.385416666666444</v>
      </c>
    </row>
    <row r="5917" spans="1:9" x14ac:dyDescent="0.2">
      <c r="A5917" t="s">
        <v>6411</v>
      </c>
      <c r="B5917">
        <v>2.351</v>
      </c>
      <c r="C5917">
        <v>3.2925000000000003E-2</v>
      </c>
      <c r="D5917">
        <v>294</v>
      </c>
      <c r="E5917" t="s">
        <v>6411</v>
      </c>
      <c r="F5917">
        <v>294</v>
      </c>
      <c r="G5917" s="1">
        <v>45220</v>
      </c>
      <c r="H5917" s="6">
        <f t="shared" si="184"/>
        <v>39.395833333333108</v>
      </c>
      <c r="I5917" s="7">
        <f t="shared" si="185"/>
        <v>39.395833333333108</v>
      </c>
    </row>
    <row r="5918" spans="1:9" x14ac:dyDescent="0.2">
      <c r="A5918" t="s">
        <v>6412</v>
      </c>
      <c r="B5918" s="2" t="s">
        <v>6413</v>
      </c>
      <c r="C5918">
        <v>2.8176470588235198E-3</v>
      </c>
      <c r="D5918">
        <v>294</v>
      </c>
      <c r="E5918" t="s">
        <v>6412</v>
      </c>
      <c r="F5918">
        <v>294</v>
      </c>
      <c r="G5918" s="1">
        <v>45220</v>
      </c>
      <c r="H5918" s="6">
        <f t="shared" si="184"/>
        <v>39.406249999999773</v>
      </c>
      <c r="I5918" s="7">
        <f t="shared" si="185"/>
        <v>39.406249999999773</v>
      </c>
    </row>
    <row r="5919" spans="1:9" x14ac:dyDescent="0.2">
      <c r="A5919" t="s">
        <v>6414</v>
      </c>
      <c r="B5919">
        <v>0.01</v>
      </c>
      <c r="C5919" s="2" t="s">
        <v>2641</v>
      </c>
      <c r="D5919">
        <v>294</v>
      </c>
      <c r="E5919" t="s">
        <v>6414</v>
      </c>
      <c r="F5919">
        <v>294</v>
      </c>
      <c r="G5919" s="1">
        <v>45220</v>
      </c>
      <c r="H5919" s="6">
        <f t="shared" si="184"/>
        <v>39.416666666666437</v>
      </c>
      <c r="I5919" s="7">
        <f t="shared" si="185"/>
        <v>39.416666666666437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98"/>
  <sheetViews>
    <sheetView topLeftCell="E8" zoomScale="107" zoomScaleNormal="100" workbookViewId="0">
      <selection activeCell="U25" sqref="U25"/>
    </sheetView>
  </sheetViews>
  <sheetFormatPr baseColWidth="10" defaultRowHeight="16" x14ac:dyDescent="0.2"/>
  <cols>
    <col min="1" max="3" width="0" hidden="1" customWidth="1"/>
    <col min="4" max="4" width="18.33203125" hidden="1" customWidth="1"/>
    <col min="8" max="8" width="10.83203125" style="10"/>
    <col min="9" max="9" width="10.83203125" style="9"/>
    <col min="11" max="11" width="12.1640625" bestFit="1" customWidth="1"/>
  </cols>
  <sheetData>
    <row r="1" spans="1:17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7" t="s">
        <v>6415</v>
      </c>
      <c r="H1" s="10" t="s">
        <v>1</v>
      </c>
      <c r="I1" s="9" t="s">
        <v>6419</v>
      </c>
      <c r="J1" s="6"/>
      <c r="K1">
        <f>1/96</f>
        <v>1.0416666666666666E-2</v>
      </c>
      <c r="M1" t="s">
        <v>6423</v>
      </c>
      <c r="O1" s="6">
        <f>(M106+M209+M296)/3</f>
        <v>0.46653286498708041</v>
      </c>
      <c r="P1" t="s">
        <v>6451</v>
      </c>
      <c r="Q1" s="33">
        <v>0.28125</v>
      </c>
    </row>
    <row r="2" spans="1:17" x14ac:dyDescent="0.2">
      <c r="A2" t="s">
        <v>574</v>
      </c>
      <c r="B2">
        <v>5.9970000000000002E-2</v>
      </c>
      <c r="C2">
        <v>235</v>
      </c>
      <c r="D2" t="s">
        <v>574</v>
      </c>
      <c r="E2">
        <v>235</v>
      </c>
      <c r="F2" s="1">
        <v>45161</v>
      </c>
      <c r="G2" s="7">
        <v>6.0000000000000373</v>
      </c>
      <c r="H2" s="10">
        <v>4.2815000000000003</v>
      </c>
      <c r="I2" s="9">
        <f>-H2</f>
        <v>-4.2815000000000003</v>
      </c>
      <c r="P2" t="s">
        <v>6452</v>
      </c>
      <c r="Q2" s="33">
        <v>0.85416666666666663</v>
      </c>
    </row>
    <row r="3" spans="1:17" x14ac:dyDescent="0.2">
      <c r="A3" t="s">
        <v>575</v>
      </c>
      <c r="B3">
        <v>6.021E-2</v>
      </c>
      <c r="C3">
        <v>235</v>
      </c>
      <c r="D3" t="s">
        <v>575</v>
      </c>
      <c r="E3">
        <v>235</v>
      </c>
      <c r="F3" s="1">
        <v>45161</v>
      </c>
      <c r="G3" s="7">
        <v>6.0104166666667043</v>
      </c>
      <c r="H3" s="10">
        <v>4.2990000000000004</v>
      </c>
      <c r="I3" s="9">
        <f t="shared" ref="I3:I66" si="0">-H3</f>
        <v>-4.2990000000000004</v>
      </c>
    </row>
    <row r="4" spans="1:17" x14ac:dyDescent="0.2">
      <c r="A4" t="s">
        <v>576</v>
      </c>
      <c r="B4">
        <v>6.0414999999999899E-2</v>
      </c>
      <c r="C4">
        <v>235</v>
      </c>
      <c r="D4" t="s">
        <v>576</v>
      </c>
      <c r="E4">
        <v>235</v>
      </c>
      <c r="F4" s="1">
        <v>45161</v>
      </c>
      <c r="G4" s="7">
        <v>6.0208333333333712</v>
      </c>
      <c r="H4" s="10">
        <v>4.3135000000000003</v>
      </c>
      <c r="I4" s="9">
        <f t="shared" si="0"/>
        <v>-4.3135000000000003</v>
      </c>
    </row>
    <row r="5" spans="1:17" x14ac:dyDescent="0.2">
      <c r="A5" t="s">
        <v>578</v>
      </c>
      <c r="B5">
        <v>6.0545000000000002E-2</v>
      </c>
      <c r="C5">
        <v>235</v>
      </c>
      <c r="D5" t="s">
        <v>578</v>
      </c>
      <c r="E5">
        <v>235</v>
      </c>
      <c r="F5" s="1">
        <v>45161</v>
      </c>
      <c r="G5" s="7">
        <v>6.0312500000000382</v>
      </c>
      <c r="H5" s="10">
        <v>4.3220000000000001</v>
      </c>
      <c r="I5" s="9">
        <f t="shared" si="0"/>
        <v>-4.3220000000000001</v>
      </c>
    </row>
    <row r="6" spans="1:17" x14ac:dyDescent="0.2">
      <c r="A6" t="s">
        <v>579</v>
      </c>
      <c r="B6">
        <v>6.0755000000000003E-2</v>
      </c>
      <c r="C6">
        <v>235</v>
      </c>
      <c r="D6" t="s">
        <v>579</v>
      </c>
      <c r="E6">
        <v>235</v>
      </c>
      <c r="F6" s="1">
        <v>45161</v>
      </c>
      <c r="G6" s="7">
        <v>6.0416666666667052</v>
      </c>
      <c r="H6" s="10">
        <v>4.3375000000000004</v>
      </c>
      <c r="I6" s="9">
        <f t="shared" si="0"/>
        <v>-4.3375000000000004</v>
      </c>
    </row>
    <row r="7" spans="1:17" x14ac:dyDescent="0.2">
      <c r="A7" t="s">
        <v>580</v>
      </c>
      <c r="B7">
        <v>6.0694999999999999E-2</v>
      </c>
      <c r="C7">
        <v>235</v>
      </c>
      <c r="D7" t="s">
        <v>580</v>
      </c>
      <c r="E7">
        <v>235</v>
      </c>
      <c r="F7" s="1">
        <v>45161</v>
      </c>
      <c r="G7" s="7">
        <v>6.0520833333333721</v>
      </c>
      <c r="H7" s="10">
        <v>4.3345000000000002</v>
      </c>
      <c r="I7" s="9">
        <f t="shared" si="0"/>
        <v>-4.3345000000000002</v>
      </c>
    </row>
    <row r="8" spans="1:17" x14ac:dyDescent="0.2">
      <c r="A8" t="s">
        <v>581</v>
      </c>
      <c r="B8" s="12">
        <v>6.1080000000000002E-2</v>
      </c>
      <c r="C8" s="12">
        <v>235</v>
      </c>
      <c r="D8" s="12" t="s">
        <v>581</v>
      </c>
      <c r="E8" s="12">
        <v>235</v>
      </c>
      <c r="F8" s="13">
        <v>45161</v>
      </c>
      <c r="G8" s="14">
        <v>6.0625000000000391</v>
      </c>
      <c r="H8" s="11">
        <v>4.3600000000000003</v>
      </c>
      <c r="I8" s="21">
        <f t="shared" si="0"/>
        <v>-4.3600000000000003</v>
      </c>
      <c r="J8" s="21">
        <f>I8+4.36</f>
        <v>0</v>
      </c>
    </row>
    <row r="9" spans="1:17" x14ac:dyDescent="0.2">
      <c r="A9" t="s">
        <v>582</v>
      </c>
      <c r="B9">
        <v>6.0569999999999999E-2</v>
      </c>
      <c r="C9">
        <v>235</v>
      </c>
      <c r="D9" t="s">
        <v>582</v>
      </c>
      <c r="E9">
        <v>235</v>
      </c>
      <c r="F9" s="1">
        <v>45161</v>
      </c>
      <c r="G9" s="7">
        <v>6.072916666666706</v>
      </c>
      <c r="H9" s="10">
        <v>4.3235000000000001</v>
      </c>
      <c r="I9" s="9">
        <f t="shared" si="0"/>
        <v>-4.3235000000000001</v>
      </c>
      <c r="J9" s="9">
        <f t="shared" ref="J9:J72" si="1">I9+4.36</f>
        <v>3.6500000000000199E-2</v>
      </c>
      <c r="K9">
        <f xml:space="preserve"> (J8+J9)/2</f>
        <v>1.8250000000000099E-2</v>
      </c>
    </row>
    <row r="10" spans="1:17" x14ac:dyDescent="0.2">
      <c r="A10" t="s">
        <v>583</v>
      </c>
      <c r="B10">
        <v>6.0830000000000002E-2</v>
      </c>
      <c r="C10">
        <v>235</v>
      </c>
      <c r="D10" t="s">
        <v>583</v>
      </c>
      <c r="E10">
        <v>235</v>
      </c>
      <c r="F10" s="1">
        <v>45161</v>
      </c>
      <c r="G10" s="7">
        <v>6.083333333333373</v>
      </c>
      <c r="H10" s="10">
        <v>4.343</v>
      </c>
      <c r="I10" s="9">
        <f t="shared" si="0"/>
        <v>-4.343</v>
      </c>
      <c r="J10" s="9">
        <f t="shared" si="1"/>
        <v>1.7000000000000348E-2</v>
      </c>
      <c r="K10">
        <f t="shared" ref="K10:K73" si="2" xml:space="preserve"> (J9+J10)/2</f>
        <v>2.6750000000000274E-2</v>
      </c>
    </row>
    <row r="11" spans="1:17" x14ac:dyDescent="0.2">
      <c r="A11" t="s">
        <v>584</v>
      </c>
      <c r="B11">
        <v>6.0729999999999999E-2</v>
      </c>
      <c r="C11">
        <v>235</v>
      </c>
      <c r="D11" t="s">
        <v>584</v>
      </c>
      <c r="E11">
        <v>235</v>
      </c>
      <c r="F11" s="1">
        <v>45161</v>
      </c>
      <c r="G11" s="7">
        <v>6.09375000000004</v>
      </c>
      <c r="H11" s="10">
        <v>4.3345000000000002</v>
      </c>
      <c r="I11" s="9">
        <f t="shared" si="0"/>
        <v>-4.3345000000000002</v>
      </c>
      <c r="J11" s="9">
        <f t="shared" si="1"/>
        <v>2.5500000000000078E-2</v>
      </c>
      <c r="K11">
        <f t="shared" si="2"/>
        <v>2.1250000000000213E-2</v>
      </c>
    </row>
    <row r="12" spans="1:17" x14ac:dyDescent="0.2">
      <c r="A12" t="s">
        <v>585</v>
      </c>
      <c r="B12">
        <v>6.0510000000000001E-2</v>
      </c>
      <c r="C12">
        <v>235</v>
      </c>
      <c r="D12" t="s">
        <v>585</v>
      </c>
      <c r="E12">
        <v>235</v>
      </c>
      <c r="F12" s="1">
        <v>45161</v>
      </c>
      <c r="G12" s="7">
        <v>6.1041666666667069</v>
      </c>
      <c r="H12" s="10">
        <v>4.3205</v>
      </c>
      <c r="I12" s="9">
        <f t="shared" si="0"/>
        <v>-4.3205</v>
      </c>
      <c r="J12" s="9">
        <f t="shared" si="1"/>
        <v>3.9500000000000313E-2</v>
      </c>
      <c r="K12">
        <f t="shared" si="2"/>
        <v>3.2500000000000195E-2</v>
      </c>
    </row>
    <row r="13" spans="1:17" x14ac:dyDescent="0.2">
      <c r="A13" t="s">
        <v>586</v>
      </c>
      <c r="B13">
        <v>6.0655000000000001E-2</v>
      </c>
      <c r="C13">
        <v>235</v>
      </c>
      <c r="D13" t="s">
        <v>586</v>
      </c>
      <c r="E13">
        <v>235</v>
      </c>
      <c r="F13" s="1">
        <v>45161</v>
      </c>
      <c r="G13" s="7">
        <v>6.1145833333333739</v>
      </c>
      <c r="H13" s="10">
        <v>4.3289999999999997</v>
      </c>
      <c r="I13" s="9">
        <f t="shared" si="0"/>
        <v>-4.3289999999999997</v>
      </c>
      <c r="J13" s="9">
        <f t="shared" si="1"/>
        <v>3.1000000000000583E-2</v>
      </c>
      <c r="K13">
        <f t="shared" si="2"/>
        <v>3.5250000000000448E-2</v>
      </c>
    </row>
    <row r="14" spans="1:17" x14ac:dyDescent="0.2">
      <c r="A14" t="s">
        <v>587</v>
      </c>
      <c r="B14">
        <v>6.0675E-2</v>
      </c>
      <c r="C14">
        <v>235</v>
      </c>
      <c r="D14" t="s">
        <v>587</v>
      </c>
      <c r="E14">
        <v>235</v>
      </c>
      <c r="F14" s="1">
        <v>45161</v>
      </c>
      <c r="G14" s="7">
        <v>6.1250000000000409</v>
      </c>
      <c r="H14" s="10">
        <v>4.3330000000000002</v>
      </c>
      <c r="I14" s="9">
        <f t="shared" si="0"/>
        <v>-4.3330000000000002</v>
      </c>
      <c r="J14" s="9">
        <f t="shared" si="1"/>
        <v>2.7000000000000135E-2</v>
      </c>
      <c r="K14">
        <f t="shared" si="2"/>
        <v>2.9000000000000359E-2</v>
      </c>
    </row>
    <row r="15" spans="1:17" x14ac:dyDescent="0.2">
      <c r="A15" t="s">
        <v>588</v>
      </c>
      <c r="B15">
        <v>6.0835E-2</v>
      </c>
      <c r="C15">
        <v>235</v>
      </c>
      <c r="D15" t="s">
        <v>588</v>
      </c>
      <c r="E15">
        <v>235</v>
      </c>
      <c r="F15" s="1">
        <v>45161</v>
      </c>
      <c r="G15" s="7">
        <v>6.1354166666667078</v>
      </c>
      <c r="H15" s="10">
        <v>4.3434999999999997</v>
      </c>
      <c r="I15" s="9">
        <f t="shared" si="0"/>
        <v>-4.3434999999999997</v>
      </c>
      <c r="J15" s="9">
        <f t="shared" si="1"/>
        <v>1.6500000000000625E-2</v>
      </c>
      <c r="K15">
        <f t="shared" si="2"/>
        <v>2.175000000000038E-2</v>
      </c>
    </row>
    <row r="16" spans="1:17" x14ac:dyDescent="0.2">
      <c r="A16" t="s">
        <v>589</v>
      </c>
      <c r="B16">
        <v>6.0580000000000002E-2</v>
      </c>
      <c r="C16">
        <v>235</v>
      </c>
      <c r="D16" t="s">
        <v>589</v>
      </c>
      <c r="E16">
        <v>235</v>
      </c>
      <c r="F16" s="1">
        <v>45161</v>
      </c>
      <c r="G16" s="7">
        <v>6.1458333333333748</v>
      </c>
      <c r="H16" s="10">
        <v>4.3244999999999996</v>
      </c>
      <c r="I16" s="9">
        <f t="shared" si="0"/>
        <v>-4.3244999999999996</v>
      </c>
      <c r="J16" s="9">
        <f t="shared" si="1"/>
        <v>3.5500000000000753E-2</v>
      </c>
      <c r="K16">
        <f t="shared" si="2"/>
        <v>2.6000000000000689E-2</v>
      </c>
    </row>
    <row r="17" spans="1:21" x14ac:dyDescent="0.2">
      <c r="A17" t="s">
        <v>591</v>
      </c>
      <c r="B17">
        <v>6.0380000000000003E-2</v>
      </c>
      <c r="C17">
        <v>235</v>
      </c>
      <c r="D17" t="s">
        <v>591</v>
      </c>
      <c r="E17">
        <v>235</v>
      </c>
      <c r="F17" s="1">
        <v>45161</v>
      </c>
      <c r="G17" s="7">
        <v>6.1562500000000417</v>
      </c>
      <c r="H17" s="10">
        <v>4.3109999999999999</v>
      </c>
      <c r="I17" s="9">
        <f t="shared" si="0"/>
        <v>-4.3109999999999999</v>
      </c>
      <c r="J17" s="9">
        <f t="shared" si="1"/>
        <v>4.9000000000000377E-2</v>
      </c>
      <c r="K17">
        <f t="shared" si="2"/>
        <v>4.2250000000000565E-2</v>
      </c>
    </row>
    <row r="18" spans="1:21" x14ac:dyDescent="0.2">
      <c r="A18" t="s">
        <v>592</v>
      </c>
      <c r="B18">
        <v>6.0100000000000001E-2</v>
      </c>
      <c r="C18">
        <v>235</v>
      </c>
      <c r="D18" t="s">
        <v>592</v>
      </c>
      <c r="E18">
        <v>235</v>
      </c>
      <c r="F18" s="1">
        <v>45161</v>
      </c>
      <c r="G18" s="7">
        <v>6.1666666666667087</v>
      </c>
      <c r="H18" s="10">
        <v>4.2904999999999998</v>
      </c>
      <c r="I18" s="9">
        <f t="shared" si="0"/>
        <v>-4.2904999999999998</v>
      </c>
      <c r="J18" s="9">
        <f t="shared" si="1"/>
        <v>6.9500000000000561E-2</v>
      </c>
      <c r="K18">
        <f t="shared" si="2"/>
        <v>5.9250000000000469E-2</v>
      </c>
    </row>
    <row r="19" spans="1:21" x14ac:dyDescent="0.2">
      <c r="A19" t="s">
        <v>593</v>
      </c>
      <c r="B19">
        <v>6.0350000000000001E-2</v>
      </c>
      <c r="C19">
        <v>235</v>
      </c>
      <c r="D19" t="s">
        <v>593</v>
      </c>
      <c r="E19">
        <v>235</v>
      </c>
      <c r="F19" s="1">
        <v>45161</v>
      </c>
      <c r="G19" s="7">
        <v>6.1770833333333757</v>
      </c>
      <c r="H19" s="10">
        <v>4.3085000000000004</v>
      </c>
      <c r="I19" s="9">
        <f t="shared" si="0"/>
        <v>-4.3085000000000004</v>
      </c>
      <c r="J19" s="9">
        <f t="shared" si="1"/>
        <v>5.1499999999999879E-2</v>
      </c>
      <c r="K19">
        <f t="shared" si="2"/>
        <v>6.050000000000022E-2</v>
      </c>
    </row>
    <row r="20" spans="1:21" x14ac:dyDescent="0.2">
      <c r="A20" t="s">
        <v>594</v>
      </c>
      <c r="B20">
        <v>6.0380000000000003E-2</v>
      </c>
      <c r="C20">
        <v>235</v>
      </c>
      <c r="D20" t="s">
        <v>594</v>
      </c>
      <c r="E20">
        <v>235</v>
      </c>
      <c r="F20" s="1">
        <v>45161</v>
      </c>
      <c r="G20" s="7">
        <v>6.1875000000000426</v>
      </c>
      <c r="H20" s="10">
        <v>4.3105000000000002</v>
      </c>
      <c r="I20" s="9">
        <f t="shared" si="0"/>
        <v>-4.3105000000000002</v>
      </c>
      <c r="J20" s="9">
        <f t="shared" si="1"/>
        <v>4.9500000000000099E-2</v>
      </c>
      <c r="K20">
        <f t="shared" si="2"/>
        <v>5.0499999999999989E-2</v>
      </c>
    </row>
    <row r="21" spans="1:21" x14ac:dyDescent="0.2">
      <c r="A21" t="s">
        <v>595</v>
      </c>
      <c r="B21">
        <v>6.0284999999999998E-2</v>
      </c>
      <c r="C21">
        <v>235</v>
      </c>
      <c r="D21" t="s">
        <v>595</v>
      </c>
      <c r="E21">
        <v>235</v>
      </c>
      <c r="F21" s="1">
        <v>45161</v>
      </c>
      <c r="G21" s="7">
        <v>6.1979166666667096</v>
      </c>
      <c r="H21" s="10">
        <v>4.3040000000000003</v>
      </c>
      <c r="I21" s="9">
        <f t="shared" si="0"/>
        <v>-4.3040000000000003</v>
      </c>
      <c r="J21" s="9">
        <f t="shared" si="1"/>
        <v>5.600000000000005E-2</v>
      </c>
      <c r="K21">
        <f t="shared" si="2"/>
        <v>5.2750000000000075E-2</v>
      </c>
    </row>
    <row r="22" spans="1:21" x14ac:dyDescent="0.2">
      <c r="A22" t="s">
        <v>596</v>
      </c>
      <c r="B22">
        <v>6.0045000000000001E-2</v>
      </c>
      <c r="C22">
        <v>235</v>
      </c>
      <c r="D22" t="s">
        <v>596</v>
      </c>
      <c r="E22">
        <v>235</v>
      </c>
      <c r="F22" s="1">
        <v>45161</v>
      </c>
      <c r="G22" s="7">
        <v>6.2083333333333766</v>
      </c>
      <c r="H22" s="10">
        <v>4.2859999999999996</v>
      </c>
      <c r="I22" s="9">
        <f t="shared" si="0"/>
        <v>-4.2859999999999996</v>
      </c>
      <c r="J22" s="9">
        <f t="shared" si="1"/>
        <v>7.4000000000000732E-2</v>
      </c>
      <c r="K22">
        <f t="shared" si="2"/>
        <v>6.5000000000000391E-2</v>
      </c>
    </row>
    <row r="23" spans="1:21" x14ac:dyDescent="0.2">
      <c r="A23" t="s">
        <v>597</v>
      </c>
      <c r="B23">
        <v>5.9979999999999999E-2</v>
      </c>
      <c r="C23">
        <v>235</v>
      </c>
      <c r="D23" t="s">
        <v>597</v>
      </c>
      <c r="E23">
        <v>235</v>
      </c>
      <c r="F23" s="1">
        <v>45161</v>
      </c>
      <c r="G23" s="7">
        <v>6.2187500000000435</v>
      </c>
      <c r="H23" s="10">
        <v>4.2815000000000003</v>
      </c>
      <c r="I23" s="9">
        <f t="shared" si="0"/>
        <v>-4.2815000000000003</v>
      </c>
      <c r="J23" s="9">
        <f t="shared" si="1"/>
        <v>7.8500000000000014E-2</v>
      </c>
      <c r="K23">
        <f t="shared" si="2"/>
        <v>7.6250000000000373E-2</v>
      </c>
    </row>
    <row r="24" spans="1:21" x14ac:dyDescent="0.2">
      <c r="A24" t="s">
        <v>598</v>
      </c>
      <c r="B24">
        <v>6.0319999999999999E-2</v>
      </c>
      <c r="C24">
        <v>235</v>
      </c>
      <c r="D24" t="s">
        <v>598</v>
      </c>
      <c r="E24">
        <v>235</v>
      </c>
      <c r="F24" s="1">
        <v>45161</v>
      </c>
      <c r="G24" s="7">
        <v>6.2291666666667105</v>
      </c>
      <c r="H24" s="10">
        <v>4.306</v>
      </c>
      <c r="I24" s="9">
        <f t="shared" si="0"/>
        <v>-4.306</v>
      </c>
      <c r="J24" s="9">
        <f t="shared" si="1"/>
        <v>5.400000000000027E-2</v>
      </c>
      <c r="K24">
        <f t="shared" si="2"/>
        <v>6.6250000000000142E-2</v>
      </c>
    </row>
    <row r="25" spans="1:21" x14ac:dyDescent="0.2">
      <c r="A25" t="s">
        <v>599</v>
      </c>
      <c r="B25">
        <v>6.0229999999999999E-2</v>
      </c>
      <c r="C25">
        <v>235</v>
      </c>
      <c r="D25" t="s">
        <v>599</v>
      </c>
      <c r="E25">
        <v>235</v>
      </c>
      <c r="F25" s="1">
        <v>45161</v>
      </c>
      <c r="G25" s="7">
        <v>6.2395833333333774</v>
      </c>
      <c r="H25" s="10">
        <v>4.3</v>
      </c>
      <c r="I25" s="9">
        <f t="shared" si="0"/>
        <v>-4.3</v>
      </c>
      <c r="J25" s="9">
        <f t="shared" si="1"/>
        <v>6.0000000000000497E-2</v>
      </c>
      <c r="K25">
        <f t="shared" si="2"/>
        <v>5.7000000000000384E-2</v>
      </c>
    </row>
    <row r="26" spans="1:21" x14ac:dyDescent="0.2">
      <c r="A26" t="s">
        <v>600</v>
      </c>
      <c r="B26">
        <v>6.0234999999999997E-2</v>
      </c>
      <c r="C26">
        <v>235</v>
      </c>
      <c r="D26" t="s">
        <v>600</v>
      </c>
      <c r="E26">
        <v>235</v>
      </c>
      <c r="F26" s="1">
        <v>45161</v>
      </c>
      <c r="G26" s="7">
        <v>6.2500000000000444</v>
      </c>
      <c r="H26" s="10">
        <v>4.2995000000000001</v>
      </c>
      <c r="I26" s="9">
        <f t="shared" si="0"/>
        <v>-4.2995000000000001</v>
      </c>
      <c r="J26" s="9">
        <f t="shared" si="1"/>
        <v>6.050000000000022E-2</v>
      </c>
      <c r="K26">
        <f t="shared" si="2"/>
        <v>6.0250000000000359E-2</v>
      </c>
    </row>
    <row r="27" spans="1:21" x14ac:dyDescent="0.2">
      <c r="A27" t="s">
        <v>601</v>
      </c>
      <c r="B27">
        <v>6.0034999999999998E-2</v>
      </c>
      <c r="C27">
        <v>235</v>
      </c>
      <c r="D27" t="s">
        <v>601</v>
      </c>
      <c r="E27">
        <v>235</v>
      </c>
      <c r="F27" s="1">
        <v>45161</v>
      </c>
      <c r="G27" s="7">
        <v>6.2604166666667114</v>
      </c>
      <c r="H27" s="10">
        <v>4.2859999999999996</v>
      </c>
      <c r="I27" s="9">
        <f t="shared" si="0"/>
        <v>-4.2859999999999996</v>
      </c>
      <c r="J27" s="9">
        <f t="shared" si="1"/>
        <v>7.4000000000000732E-2</v>
      </c>
      <c r="K27">
        <f t="shared" si="2"/>
        <v>6.7250000000000476E-2</v>
      </c>
    </row>
    <row r="28" spans="1:21" x14ac:dyDescent="0.2">
      <c r="A28" t="s">
        <v>602</v>
      </c>
      <c r="B28">
        <v>6.021E-2</v>
      </c>
      <c r="C28">
        <v>235</v>
      </c>
      <c r="D28" t="s">
        <v>602</v>
      </c>
      <c r="E28">
        <v>235</v>
      </c>
      <c r="F28" s="1">
        <v>45161</v>
      </c>
      <c r="G28" s="7">
        <v>6.2708333333333783</v>
      </c>
      <c r="H28" s="10">
        <v>4.2995000000000001</v>
      </c>
      <c r="I28" s="9">
        <f t="shared" si="0"/>
        <v>-4.2995000000000001</v>
      </c>
      <c r="J28" s="9">
        <f t="shared" si="1"/>
        <v>6.050000000000022E-2</v>
      </c>
      <c r="K28">
        <f t="shared" si="2"/>
        <v>6.7250000000000476E-2</v>
      </c>
    </row>
    <row r="29" spans="1:21" x14ac:dyDescent="0.2">
      <c r="A29" t="s">
        <v>603</v>
      </c>
      <c r="B29">
        <v>5.9955000000000001E-2</v>
      </c>
      <c r="C29">
        <v>235</v>
      </c>
      <c r="D29" t="s">
        <v>603</v>
      </c>
      <c r="E29">
        <v>235</v>
      </c>
      <c r="F29" s="1">
        <v>45161</v>
      </c>
      <c r="G29" s="7">
        <v>6.2812500000000453</v>
      </c>
      <c r="H29" s="10">
        <v>4.2794999999999996</v>
      </c>
      <c r="I29" s="9">
        <f t="shared" si="0"/>
        <v>-4.2794999999999996</v>
      </c>
      <c r="J29" s="9">
        <f t="shared" si="1"/>
        <v>8.0500000000000682E-2</v>
      </c>
      <c r="K29">
        <f t="shared" si="2"/>
        <v>7.0500000000000451E-2</v>
      </c>
    </row>
    <row r="30" spans="1:21" x14ac:dyDescent="0.2">
      <c r="A30" t="s">
        <v>604</v>
      </c>
      <c r="B30">
        <v>5.9659999999999998E-2</v>
      </c>
      <c r="C30">
        <v>235</v>
      </c>
      <c r="D30" t="s">
        <v>604</v>
      </c>
      <c r="E30">
        <v>235</v>
      </c>
      <c r="F30" s="1">
        <v>45161</v>
      </c>
      <c r="G30" s="7">
        <v>6.2916666666667123</v>
      </c>
      <c r="H30" s="10">
        <v>4.26</v>
      </c>
      <c r="I30" s="9">
        <f t="shared" si="0"/>
        <v>-4.26</v>
      </c>
      <c r="J30" s="9">
        <f t="shared" si="1"/>
        <v>0.10000000000000053</v>
      </c>
      <c r="K30">
        <f t="shared" si="2"/>
        <v>9.0250000000000608E-2</v>
      </c>
      <c r="U30">
        <f>0.8*3/5</f>
        <v>0.48000000000000009</v>
      </c>
    </row>
    <row r="31" spans="1:21" x14ac:dyDescent="0.2">
      <c r="A31" t="s">
        <v>605</v>
      </c>
      <c r="B31">
        <v>5.9944999999999998E-2</v>
      </c>
      <c r="C31">
        <v>235</v>
      </c>
      <c r="D31" t="s">
        <v>605</v>
      </c>
      <c r="E31">
        <v>235</v>
      </c>
      <c r="F31" s="1">
        <v>45161</v>
      </c>
      <c r="G31" s="7">
        <v>6.3020833333333792</v>
      </c>
      <c r="H31" s="10">
        <v>4.2794999999999996</v>
      </c>
      <c r="I31" s="9">
        <f t="shared" si="0"/>
        <v>-4.2794999999999996</v>
      </c>
      <c r="J31" s="9">
        <f t="shared" si="1"/>
        <v>8.0500000000000682E-2</v>
      </c>
      <c r="K31">
        <f t="shared" si="2"/>
        <v>9.0250000000000608E-2</v>
      </c>
    </row>
    <row r="32" spans="1:21" x14ac:dyDescent="0.2">
      <c r="A32" t="s">
        <v>606</v>
      </c>
      <c r="B32">
        <v>5.9409999999999998E-2</v>
      </c>
      <c r="C32">
        <v>235</v>
      </c>
      <c r="D32" t="s">
        <v>606</v>
      </c>
      <c r="E32">
        <v>235</v>
      </c>
      <c r="F32" s="1">
        <v>45161</v>
      </c>
      <c r="G32" s="7">
        <v>6.3125000000000462</v>
      </c>
      <c r="H32" s="10">
        <v>4.242</v>
      </c>
      <c r="I32" s="9">
        <f t="shared" si="0"/>
        <v>-4.242</v>
      </c>
      <c r="J32" s="9">
        <f t="shared" si="1"/>
        <v>0.11800000000000033</v>
      </c>
      <c r="K32">
        <f t="shared" si="2"/>
        <v>9.9250000000000504E-2</v>
      </c>
    </row>
    <row r="33" spans="1:15" x14ac:dyDescent="0.2">
      <c r="A33" t="s">
        <v>607</v>
      </c>
      <c r="B33">
        <v>5.9275000000000001E-2</v>
      </c>
      <c r="C33">
        <v>235</v>
      </c>
      <c r="D33" t="s">
        <v>607</v>
      </c>
      <c r="E33">
        <v>235</v>
      </c>
      <c r="F33" s="1">
        <v>45161</v>
      </c>
      <c r="G33" s="7">
        <v>6.3229166666667131</v>
      </c>
      <c r="H33" s="10">
        <v>4.2314999999999996</v>
      </c>
      <c r="I33" s="9">
        <f t="shared" si="0"/>
        <v>-4.2314999999999996</v>
      </c>
      <c r="J33" s="9">
        <f t="shared" si="1"/>
        <v>0.12850000000000072</v>
      </c>
      <c r="K33">
        <f t="shared" si="2"/>
        <v>0.12325000000000053</v>
      </c>
    </row>
    <row r="34" spans="1:15" x14ac:dyDescent="0.2">
      <c r="A34" t="s">
        <v>608</v>
      </c>
      <c r="B34">
        <v>5.8970000000000002E-2</v>
      </c>
      <c r="C34">
        <v>235</v>
      </c>
      <c r="D34" t="s">
        <v>608</v>
      </c>
      <c r="E34">
        <v>235</v>
      </c>
      <c r="F34" s="1">
        <v>45161</v>
      </c>
      <c r="G34" s="7">
        <v>6.3333333333333801</v>
      </c>
      <c r="H34" s="10">
        <v>4.2104999999999997</v>
      </c>
      <c r="I34" s="9">
        <f t="shared" si="0"/>
        <v>-4.2104999999999997</v>
      </c>
      <c r="J34" s="9">
        <f t="shared" si="1"/>
        <v>0.14950000000000063</v>
      </c>
      <c r="K34">
        <f t="shared" si="2"/>
        <v>0.13900000000000068</v>
      </c>
    </row>
    <row r="35" spans="1:15" x14ac:dyDescent="0.2">
      <c r="A35" t="s">
        <v>609</v>
      </c>
      <c r="B35">
        <v>5.8639999999999998E-2</v>
      </c>
      <c r="C35">
        <v>235</v>
      </c>
      <c r="D35" t="s">
        <v>609</v>
      </c>
      <c r="E35">
        <v>235</v>
      </c>
      <c r="F35" s="1">
        <v>45161</v>
      </c>
      <c r="G35" s="7">
        <v>6.3437500000000471</v>
      </c>
      <c r="H35" s="10">
        <v>4.1859999999999999</v>
      </c>
      <c r="I35" s="9">
        <f t="shared" si="0"/>
        <v>-4.1859999999999999</v>
      </c>
      <c r="J35" s="9">
        <f t="shared" si="1"/>
        <v>0.17400000000000038</v>
      </c>
      <c r="K35">
        <f t="shared" si="2"/>
        <v>0.1617500000000005</v>
      </c>
    </row>
    <row r="36" spans="1:15" x14ac:dyDescent="0.2">
      <c r="A36" t="s">
        <v>610</v>
      </c>
      <c r="B36">
        <v>5.8244999999999998E-2</v>
      </c>
      <c r="C36">
        <v>235</v>
      </c>
      <c r="D36" t="s">
        <v>610</v>
      </c>
      <c r="E36">
        <v>235</v>
      </c>
      <c r="F36" s="1">
        <v>45161</v>
      </c>
      <c r="G36" s="7">
        <v>6.354166666666714</v>
      </c>
      <c r="H36" s="10">
        <v>4.1580000000000004</v>
      </c>
      <c r="I36" s="9">
        <f t="shared" si="0"/>
        <v>-4.1580000000000004</v>
      </c>
      <c r="J36" s="9">
        <f t="shared" si="1"/>
        <v>0.20199999999999996</v>
      </c>
      <c r="K36">
        <f t="shared" si="2"/>
        <v>0.18800000000000017</v>
      </c>
    </row>
    <row r="37" spans="1:15" x14ac:dyDescent="0.2">
      <c r="A37" t="s">
        <v>611</v>
      </c>
      <c r="B37">
        <v>5.8014999999999997E-2</v>
      </c>
      <c r="C37">
        <v>235</v>
      </c>
      <c r="D37" t="s">
        <v>611</v>
      </c>
      <c r="E37">
        <v>235</v>
      </c>
      <c r="F37" s="1">
        <v>45161</v>
      </c>
      <c r="G37" s="7">
        <v>6.364583333333381</v>
      </c>
      <c r="H37" s="10">
        <v>4.1425000000000001</v>
      </c>
      <c r="I37" s="9">
        <f t="shared" si="0"/>
        <v>-4.1425000000000001</v>
      </c>
      <c r="J37" s="9">
        <f t="shared" si="1"/>
        <v>0.21750000000000025</v>
      </c>
      <c r="K37">
        <f t="shared" si="2"/>
        <v>0.2097500000000001</v>
      </c>
    </row>
    <row r="38" spans="1:15" x14ac:dyDescent="0.2">
      <c r="A38" t="s">
        <v>612</v>
      </c>
      <c r="B38">
        <v>5.7619999999999998E-2</v>
      </c>
      <c r="C38">
        <v>235</v>
      </c>
      <c r="D38" t="s">
        <v>612</v>
      </c>
      <c r="E38">
        <v>235</v>
      </c>
      <c r="F38" s="1">
        <v>45161</v>
      </c>
      <c r="G38" s="7">
        <v>6.375000000000048</v>
      </c>
      <c r="H38" s="10">
        <v>4.1144999999999996</v>
      </c>
      <c r="I38" s="9">
        <f t="shared" si="0"/>
        <v>-4.1144999999999996</v>
      </c>
      <c r="J38" s="9">
        <f t="shared" si="1"/>
        <v>0.24550000000000072</v>
      </c>
      <c r="K38">
        <f t="shared" si="2"/>
        <v>0.23150000000000048</v>
      </c>
    </row>
    <row r="39" spans="1:15" x14ac:dyDescent="0.2">
      <c r="A39" t="s">
        <v>614</v>
      </c>
      <c r="B39" t="s">
        <v>615</v>
      </c>
      <c r="C39">
        <v>235</v>
      </c>
      <c r="D39" t="s">
        <v>614</v>
      </c>
      <c r="E39">
        <v>235</v>
      </c>
      <c r="F39" s="1">
        <v>45161</v>
      </c>
      <c r="G39" s="7">
        <v>6.3854166666667149</v>
      </c>
      <c r="H39" s="10">
        <v>4.0620000000000003</v>
      </c>
      <c r="I39" s="9">
        <f t="shared" si="0"/>
        <v>-4.0620000000000003</v>
      </c>
      <c r="J39" s="9">
        <f t="shared" si="1"/>
        <v>0.29800000000000004</v>
      </c>
      <c r="K39">
        <f t="shared" si="2"/>
        <v>0.27175000000000038</v>
      </c>
    </row>
    <row r="40" spans="1:15" x14ac:dyDescent="0.2">
      <c r="A40" t="s">
        <v>616</v>
      </c>
      <c r="B40">
        <v>5.5919999999999997E-2</v>
      </c>
      <c r="C40">
        <v>235</v>
      </c>
      <c r="D40" t="s">
        <v>616</v>
      </c>
      <c r="E40">
        <v>235</v>
      </c>
      <c r="F40" s="1">
        <v>45161</v>
      </c>
      <c r="G40" s="7">
        <v>6.3958333333333819</v>
      </c>
      <c r="H40" s="10">
        <v>3.992</v>
      </c>
      <c r="I40" s="9">
        <f t="shared" si="0"/>
        <v>-3.992</v>
      </c>
      <c r="J40" s="9">
        <f t="shared" si="1"/>
        <v>0.36800000000000033</v>
      </c>
      <c r="K40">
        <f t="shared" si="2"/>
        <v>0.33300000000000018</v>
      </c>
    </row>
    <row r="41" spans="1:15" x14ac:dyDescent="0.2">
      <c r="A41" t="s">
        <v>617</v>
      </c>
      <c r="B41">
        <v>5.5395E-2</v>
      </c>
      <c r="C41">
        <v>235</v>
      </c>
      <c r="D41" t="s">
        <v>617</v>
      </c>
      <c r="E41">
        <v>235</v>
      </c>
      <c r="F41" s="1">
        <v>45161</v>
      </c>
      <c r="G41" s="7">
        <v>6.4062500000000488</v>
      </c>
      <c r="H41" s="10">
        <v>3.9540000000000002</v>
      </c>
      <c r="I41" s="9">
        <f t="shared" si="0"/>
        <v>-3.9540000000000002</v>
      </c>
      <c r="J41" s="9">
        <f t="shared" si="1"/>
        <v>0.40600000000000014</v>
      </c>
      <c r="K41">
        <f t="shared" si="2"/>
        <v>0.38700000000000023</v>
      </c>
      <c r="O41">
        <f>0.7*0.6</f>
        <v>0.42</v>
      </c>
    </row>
    <row r="42" spans="1:15" x14ac:dyDescent="0.2">
      <c r="A42" t="s">
        <v>618</v>
      </c>
      <c r="B42" t="s">
        <v>620</v>
      </c>
      <c r="C42">
        <v>235</v>
      </c>
      <c r="D42" t="s">
        <v>618</v>
      </c>
      <c r="E42">
        <v>235</v>
      </c>
      <c r="F42" s="1">
        <v>45161</v>
      </c>
      <c r="G42" s="7">
        <v>6.4166666666667158</v>
      </c>
      <c r="H42" s="10">
        <v>3.8679999999999999</v>
      </c>
      <c r="I42" s="9">
        <f t="shared" si="0"/>
        <v>-3.8679999999999999</v>
      </c>
      <c r="J42" s="9">
        <f t="shared" si="1"/>
        <v>0.49200000000000044</v>
      </c>
      <c r="K42">
        <f t="shared" si="2"/>
        <v>0.44900000000000029</v>
      </c>
    </row>
    <row r="43" spans="1:15" x14ac:dyDescent="0.2">
      <c r="A43" t="s">
        <v>621</v>
      </c>
      <c r="B43">
        <v>5.3749999999999999E-2</v>
      </c>
      <c r="C43">
        <v>235</v>
      </c>
      <c r="D43" t="s">
        <v>621</v>
      </c>
      <c r="E43">
        <v>235</v>
      </c>
      <c r="F43" s="1">
        <v>45161</v>
      </c>
      <c r="G43" s="7">
        <v>6.4270833333333828</v>
      </c>
      <c r="H43" s="10">
        <v>3.8374999999999999</v>
      </c>
      <c r="I43" s="9">
        <f t="shared" si="0"/>
        <v>-3.8374999999999999</v>
      </c>
      <c r="J43" s="9">
        <f t="shared" si="1"/>
        <v>0.52250000000000041</v>
      </c>
      <c r="K43">
        <f t="shared" si="2"/>
        <v>0.50725000000000042</v>
      </c>
    </row>
    <row r="44" spans="1:15" x14ac:dyDescent="0.2">
      <c r="A44" t="s">
        <v>622</v>
      </c>
      <c r="B44">
        <v>5.3295000000000002E-2</v>
      </c>
      <c r="C44">
        <v>235</v>
      </c>
      <c r="D44" t="s">
        <v>622</v>
      </c>
      <c r="E44">
        <v>235</v>
      </c>
      <c r="F44" s="1">
        <v>45161</v>
      </c>
      <c r="G44" s="7">
        <v>6.4375000000000497</v>
      </c>
      <c r="H44" s="10">
        <v>3.8054999999999999</v>
      </c>
      <c r="I44" s="9">
        <f t="shared" si="0"/>
        <v>-3.8054999999999999</v>
      </c>
      <c r="J44" s="9">
        <f t="shared" si="1"/>
        <v>0.55450000000000044</v>
      </c>
      <c r="K44">
        <f t="shared" si="2"/>
        <v>0.53850000000000042</v>
      </c>
    </row>
    <row r="45" spans="1:15" x14ac:dyDescent="0.2">
      <c r="A45" t="s">
        <v>623</v>
      </c>
      <c r="B45">
        <v>5.2749999999999998E-2</v>
      </c>
      <c r="C45">
        <v>235</v>
      </c>
      <c r="D45" t="s">
        <v>623</v>
      </c>
      <c r="E45">
        <v>235</v>
      </c>
      <c r="F45" s="1">
        <v>45161</v>
      </c>
      <c r="G45" s="7">
        <v>6.4479166666667167</v>
      </c>
      <c r="H45" s="10">
        <v>3.76649999999999</v>
      </c>
      <c r="I45" s="9">
        <f t="shared" si="0"/>
        <v>-3.76649999999999</v>
      </c>
      <c r="J45" s="9">
        <f t="shared" si="1"/>
        <v>0.59350000000001035</v>
      </c>
      <c r="K45">
        <f t="shared" si="2"/>
        <v>0.57400000000000539</v>
      </c>
    </row>
    <row r="46" spans="1:15" x14ac:dyDescent="0.2">
      <c r="A46" t="s">
        <v>625</v>
      </c>
      <c r="B46">
        <v>5.1380000000000002E-2</v>
      </c>
      <c r="C46">
        <v>235</v>
      </c>
      <c r="D46" t="s">
        <v>625</v>
      </c>
      <c r="E46">
        <v>235</v>
      </c>
      <c r="F46" s="1">
        <v>45161</v>
      </c>
      <c r="G46" s="7">
        <v>6.4583333333333837</v>
      </c>
      <c r="H46" s="10">
        <v>3.669</v>
      </c>
      <c r="I46" s="9">
        <f t="shared" si="0"/>
        <v>-3.669</v>
      </c>
      <c r="J46" s="9">
        <f t="shared" si="1"/>
        <v>0.69100000000000028</v>
      </c>
      <c r="K46">
        <f t="shared" si="2"/>
        <v>0.64225000000000532</v>
      </c>
    </row>
    <row r="47" spans="1:15" x14ac:dyDescent="0.2">
      <c r="A47" t="s">
        <v>626</v>
      </c>
      <c r="B47">
        <v>5.1124999999999997E-2</v>
      </c>
      <c r="C47">
        <v>235</v>
      </c>
      <c r="D47" t="s">
        <v>626</v>
      </c>
      <c r="E47">
        <v>235</v>
      </c>
      <c r="F47" s="1">
        <v>45161</v>
      </c>
      <c r="G47" s="7">
        <v>6.4687500000000506</v>
      </c>
      <c r="H47" s="10">
        <v>3.6505000000000001</v>
      </c>
      <c r="I47" s="9">
        <f t="shared" si="0"/>
        <v>-3.6505000000000001</v>
      </c>
      <c r="J47" s="9">
        <f t="shared" si="1"/>
        <v>0.70950000000000024</v>
      </c>
      <c r="K47">
        <f t="shared" si="2"/>
        <v>0.70025000000000026</v>
      </c>
    </row>
    <row r="48" spans="1:15" x14ac:dyDescent="0.2">
      <c r="A48" t="s">
        <v>627</v>
      </c>
      <c r="B48">
        <v>5.0380000000000001E-2</v>
      </c>
      <c r="C48">
        <v>235</v>
      </c>
      <c r="D48" t="s">
        <v>627</v>
      </c>
      <c r="E48">
        <v>235</v>
      </c>
      <c r="F48" s="1">
        <v>45161</v>
      </c>
      <c r="G48" s="7">
        <v>6.4791666666667176</v>
      </c>
      <c r="H48" s="10">
        <v>3.597</v>
      </c>
      <c r="I48" s="9">
        <f t="shared" si="0"/>
        <v>-3.597</v>
      </c>
      <c r="J48" s="9">
        <f t="shared" si="1"/>
        <v>0.76300000000000034</v>
      </c>
      <c r="K48">
        <f t="shared" si="2"/>
        <v>0.73625000000000029</v>
      </c>
    </row>
    <row r="49" spans="1:11" x14ac:dyDescent="0.2">
      <c r="A49" t="s">
        <v>628</v>
      </c>
      <c r="B49">
        <v>5.0470000000000001E-2</v>
      </c>
      <c r="C49">
        <v>235</v>
      </c>
      <c r="D49" t="s">
        <v>628</v>
      </c>
      <c r="E49">
        <v>235</v>
      </c>
      <c r="F49" s="1">
        <v>45161</v>
      </c>
      <c r="G49" s="7">
        <v>6.4895833333333846</v>
      </c>
      <c r="H49" s="10">
        <v>3.6030000000000002</v>
      </c>
      <c r="I49" s="9">
        <f t="shared" si="0"/>
        <v>-3.6030000000000002</v>
      </c>
      <c r="J49" s="9">
        <f t="shared" si="1"/>
        <v>0.75700000000000012</v>
      </c>
      <c r="K49">
        <f t="shared" si="2"/>
        <v>0.76000000000000023</v>
      </c>
    </row>
    <row r="50" spans="1:11" x14ac:dyDescent="0.2">
      <c r="A50" t="s">
        <v>629</v>
      </c>
      <c r="B50">
        <v>5.008E-2</v>
      </c>
      <c r="C50">
        <v>235</v>
      </c>
      <c r="D50" t="s">
        <v>629</v>
      </c>
      <c r="E50">
        <v>235</v>
      </c>
      <c r="F50" s="1">
        <v>45161</v>
      </c>
      <c r="G50" s="7">
        <v>6.5000000000000515</v>
      </c>
      <c r="H50" s="10">
        <v>3.5745</v>
      </c>
      <c r="I50" s="9">
        <f t="shared" si="0"/>
        <v>-3.5745</v>
      </c>
      <c r="J50" s="9">
        <f t="shared" si="1"/>
        <v>0.78550000000000031</v>
      </c>
      <c r="K50">
        <f t="shared" si="2"/>
        <v>0.77125000000000021</v>
      </c>
    </row>
    <row r="51" spans="1:11" x14ac:dyDescent="0.2">
      <c r="A51" t="s">
        <v>630</v>
      </c>
      <c r="B51">
        <v>4.9994999999999998E-2</v>
      </c>
      <c r="C51">
        <v>235</v>
      </c>
      <c r="D51" t="s">
        <v>630</v>
      </c>
      <c r="E51">
        <v>235</v>
      </c>
      <c r="F51" s="1">
        <v>45161</v>
      </c>
      <c r="G51" s="7">
        <v>6.5104166666667185</v>
      </c>
      <c r="H51" s="10">
        <v>3.5680000000000001</v>
      </c>
      <c r="I51" s="9">
        <f t="shared" si="0"/>
        <v>-3.5680000000000001</v>
      </c>
      <c r="J51" s="9">
        <f t="shared" si="1"/>
        <v>0.79200000000000026</v>
      </c>
      <c r="K51">
        <f t="shared" si="2"/>
        <v>0.78875000000000028</v>
      </c>
    </row>
    <row r="52" spans="1:11" x14ac:dyDescent="0.2">
      <c r="A52" t="s">
        <v>631</v>
      </c>
      <c r="B52">
        <v>4.9244999999999997E-2</v>
      </c>
      <c r="C52">
        <v>235</v>
      </c>
      <c r="D52" t="s">
        <v>631</v>
      </c>
      <c r="E52">
        <v>235</v>
      </c>
      <c r="F52" s="1">
        <v>45161</v>
      </c>
      <c r="G52" s="7">
        <v>6.5208333333333854</v>
      </c>
      <c r="H52" s="10">
        <v>3.5169999999999999</v>
      </c>
      <c r="I52" s="9">
        <f t="shared" si="0"/>
        <v>-3.5169999999999999</v>
      </c>
      <c r="J52" s="9">
        <f t="shared" si="1"/>
        <v>0.84300000000000042</v>
      </c>
      <c r="K52">
        <f t="shared" si="2"/>
        <v>0.81750000000000034</v>
      </c>
    </row>
    <row r="53" spans="1:11" x14ac:dyDescent="0.2">
      <c r="A53" t="s">
        <v>632</v>
      </c>
      <c r="B53">
        <v>4.9259999999999998E-2</v>
      </c>
      <c r="C53">
        <v>235</v>
      </c>
      <c r="D53" t="s">
        <v>632</v>
      </c>
      <c r="E53">
        <v>235</v>
      </c>
      <c r="F53" s="1">
        <v>45161</v>
      </c>
      <c r="G53" s="7">
        <v>6.5312500000000524</v>
      </c>
      <c r="H53" s="10">
        <v>3.5185</v>
      </c>
      <c r="I53" s="9">
        <f t="shared" si="0"/>
        <v>-3.5185</v>
      </c>
      <c r="J53" s="9">
        <f t="shared" si="1"/>
        <v>0.84150000000000036</v>
      </c>
      <c r="K53">
        <f t="shared" si="2"/>
        <v>0.84225000000000039</v>
      </c>
    </row>
    <row r="54" spans="1:11" x14ac:dyDescent="0.2">
      <c r="A54" t="s">
        <v>633</v>
      </c>
      <c r="B54">
        <v>4.8919999999999998E-2</v>
      </c>
      <c r="C54">
        <v>235</v>
      </c>
      <c r="D54" t="s">
        <v>633</v>
      </c>
      <c r="E54">
        <v>235</v>
      </c>
      <c r="F54" s="1">
        <v>45161</v>
      </c>
      <c r="G54" s="7">
        <v>6.5416666666667194</v>
      </c>
      <c r="H54" s="10">
        <v>3.49399999999999</v>
      </c>
      <c r="I54" s="9">
        <f t="shared" si="0"/>
        <v>-3.49399999999999</v>
      </c>
      <c r="J54" s="9">
        <f t="shared" si="1"/>
        <v>0.86600000000001032</v>
      </c>
      <c r="K54">
        <f t="shared" si="2"/>
        <v>0.85375000000000534</v>
      </c>
    </row>
    <row r="55" spans="1:11" x14ac:dyDescent="0.2">
      <c r="A55" t="s">
        <v>635</v>
      </c>
      <c r="B55">
        <v>4.8755E-2</v>
      </c>
      <c r="C55">
        <v>235</v>
      </c>
      <c r="D55" t="s">
        <v>635</v>
      </c>
      <c r="E55">
        <v>235</v>
      </c>
      <c r="F55" s="1">
        <v>45161</v>
      </c>
      <c r="G55" s="7">
        <v>6.5520833333333863</v>
      </c>
      <c r="H55" s="10">
        <v>3.4805000000000001</v>
      </c>
      <c r="I55" s="9">
        <f t="shared" si="0"/>
        <v>-3.4805000000000001</v>
      </c>
      <c r="J55" s="9">
        <f t="shared" si="1"/>
        <v>0.87950000000000017</v>
      </c>
      <c r="K55">
        <f t="shared" si="2"/>
        <v>0.87275000000000524</v>
      </c>
    </row>
    <row r="56" spans="1:11" x14ac:dyDescent="0.2">
      <c r="A56" t="s">
        <v>636</v>
      </c>
      <c r="B56">
        <v>4.8735000000000001E-2</v>
      </c>
      <c r="C56">
        <v>235</v>
      </c>
      <c r="D56" t="s">
        <v>636</v>
      </c>
      <c r="E56">
        <v>235</v>
      </c>
      <c r="F56" s="1">
        <v>45161</v>
      </c>
      <c r="G56" s="7">
        <v>6.5625000000000533</v>
      </c>
      <c r="H56" s="10">
        <v>3.4784999999999999</v>
      </c>
      <c r="I56" s="9">
        <f t="shared" si="0"/>
        <v>-3.4784999999999999</v>
      </c>
      <c r="J56" s="9">
        <f t="shared" si="1"/>
        <v>0.88150000000000039</v>
      </c>
      <c r="K56">
        <f t="shared" si="2"/>
        <v>0.88050000000000028</v>
      </c>
    </row>
    <row r="57" spans="1:11" x14ac:dyDescent="0.2">
      <c r="A57" t="s">
        <v>637</v>
      </c>
      <c r="B57">
        <v>4.861E-2</v>
      </c>
      <c r="C57">
        <v>235</v>
      </c>
      <c r="D57" t="s">
        <v>637</v>
      </c>
      <c r="E57">
        <v>235</v>
      </c>
      <c r="F57" s="1">
        <v>45161</v>
      </c>
      <c r="G57" s="7">
        <v>6.5729166666667203</v>
      </c>
      <c r="H57" s="10">
        <v>3.47</v>
      </c>
      <c r="I57" s="9">
        <f t="shared" si="0"/>
        <v>-3.47</v>
      </c>
      <c r="J57" s="9">
        <f t="shared" si="1"/>
        <v>0.89000000000000012</v>
      </c>
      <c r="K57">
        <f t="shared" si="2"/>
        <v>0.88575000000000026</v>
      </c>
    </row>
    <row r="58" spans="1:11" x14ac:dyDescent="0.2">
      <c r="A58" t="s">
        <v>638</v>
      </c>
      <c r="B58">
        <v>4.7960000000000003E-2</v>
      </c>
      <c r="C58">
        <v>235</v>
      </c>
      <c r="D58" t="s">
        <v>638</v>
      </c>
      <c r="E58">
        <v>235</v>
      </c>
      <c r="F58" s="1">
        <v>45161</v>
      </c>
      <c r="G58" s="7">
        <v>6.5833333333333872</v>
      </c>
      <c r="H58" s="10">
        <v>3.4220000000000002</v>
      </c>
      <c r="I58" s="9">
        <f t="shared" si="0"/>
        <v>-3.4220000000000002</v>
      </c>
      <c r="J58" s="9">
        <f t="shared" si="1"/>
        <v>0.93800000000000017</v>
      </c>
      <c r="K58">
        <f t="shared" si="2"/>
        <v>0.91400000000000015</v>
      </c>
    </row>
    <row r="59" spans="1:11" x14ac:dyDescent="0.2">
      <c r="A59" t="s">
        <v>639</v>
      </c>
      <c r="B59">
        <v>4.8050000000000002E-2</v>
      </c>
      <c r="C59">
        <v>235</v>
      </c>
      <c r="D59" t="s">
        <v>639</v>
      </c>
      <c r="E59">
        <v>235</v>
      </c>
      <c r="F59" s="1">
        <v>45161</v>
      </c>
      <c r="G59" s="7">
        <v>6.5937500000000542</v>
      </c>
      <c r="H59" s="10">
        <v>3.4289999999999998</v>
      </c>
      <c r="I59" s="9">
        <f t="shared" si="0"/>
        <v>-3.4289999999999998</v>
      </c>
      <c r="J59" s="9">
        <f t="shared" si="1"/>
        <v>0.93100000000000049</v>
      </c>
      <c r="K59">
        <f t="shared" si="2"/>
        <v>0.93450000000000033</v>
      </c>
    </row>
    <row r="60" spans="1:11" x14ac:dyDescent="0.2">
      <c r="A60" t="s">
        <v>640</v>
      </c>
      <c r="B60">
        <v>4.7849999999999997E-2</v>
      </c>
      <c r="C60">
        <v>235</v>
      </c>
      <c r="D60" t="s">
        <v>640</v>
      </c>
      <c r="E60">
        <v>235</v>
      </c>
      <c r="F60" s="1">
        <v>45161</v>
      </c>
      <c r="G60" s="7">
        <v>6.6041666666667211</v>
      </c>
      <c r="H60" s="10">
        <v>3.4159999999999999</v>
      </c>
      <c r="I60" s="9">
        <f t="shared" si="0"/>
        <v>-3.4159999999999999</v>
      </c>
      <c r="J60" s="9">
        <f t="shared" si="1"/>
        <v>0.94400000000000039</v>
      </c>
      <c r="K60">
        <f t="shared" si="2"/>
        <v>0.93750000000000044</v>
      </c>
    </row>
    <row r="61" spans="1:11" x14ac:dyDescent="0.2">
      <c r="A61" t="s">
        <v>641</v>
      </c>
      <c r="B61">
        <v>4.82E-2</v>
      </c>
      <c r="C61">
        <v>235</v>
      </c>
      <c r="D61" t="s">
        <v>641</v>
      </c>
      <c r="E61">
        <v>235</v>
      </c>
      <c r="F61" s="1">
        <v>45161</v>
      </c>
      <c r="G61" s="7">
        <v>6.6145833333333881</v>
      </c>
      <c r="H61" s="10">
        <v>3.4409999999999998</v>
      </c>
      <c r="I61" s="9">
        <f t="shared" si="0"/>
        <v>-3.4409999999999998</v>
      </c>
      <c r="J61" s="9">
        <f t="shared" si="1"/>
        <v>0.91900000000000048</v>
      </c>
      <c r="K61">
        <f t="shared" si="2"/>
        <v>0.93150000000000044</v>
      </c>
    </row>
    <row r="62" spans="1:11" x14ac:dyDescent="0.2">
      <c r="A62" t="s">
        <v>642</v>
      </c>
      <c r="B62">
        <v>4.8164999999999999E-2</v>
      </c>
      <c r="C62">
        <v>235</v>
      </c>
      <c r="D62" t="s">
        <v>642</v>
      </c>
      <c r="E62">
        <v>235</v>
      </c>
      <c r="F62" s="1">
        <v>45161</v>
      </c>
      <c r="G62" s="7">
        <v>6.6250000000000551</v>
      </c>
      <c r="H62" s="10">
        <v>3.4390000000000001</v>
      </c>
      <c r="I62" s="9">
        <f t="shared" si="0"/>
        <v>-3.4390000000000001</v>
      </c>
      <c r="J62" s="9">
        <f t="shared" si="1"/>
        <v>0.92100000000000026</v>
      </c>
      <c r="K62">
        <f t="shared" si="2"/>
        <v>0.92000000000000037</v>
      </c>
    </row>
    <row r="63" spans="1:11" x14ac:dyDescent="0.2">
      <c r="A63" t="s">
        <v>643</v>
      </c>
      <c r="B63">
        <v>4.7954999999999998E-2</v>
      </c>
      <c r="C63">
        <v>235</v>
      </c>
      <c r="D63" t="s">
        <v>643</v>
      </c>
      <c r="E63">
        <v>235</v>
      </c>
      <c r="F63" s="1">
        <v>45161</v>
      </c>
      <c r="G63" s="7">
        <v>6.635416666666722</v>
      </c>
      <c r="H63" s="10">
        <v>3.4245000000000001</v>
      </c>
      <c r="I63" s="9">
        <f t="shared" si="0"/>
        <v>-3.4245000000000001</v>
      </c>
      <c r="J63" s="9">
        <f t="shared" si="1"/>
        <v>0.93550000000000022</v>
      </c>
      <c r="K63">
        <f t="shared" si="2"/>
        <v>0.92825000000000024</v>
      </c>
    </row>
    <row r="64" spans="1:11" x14ac:dyDescent="0.2">
      <c r="A64" t="s">
        <v>644</v>
      </c>
      <c r="B64">
        <v>4.829E-2</v>
      </c>
      <c r="C64">
        <v>235</v>
      </c>
      <c r="D64" t="s">
        <v>644</v>
      </c>
      <c r="E64">
        <v>235</v>
      </c>
      <c r="F64" s="1">
        <v>45161</v>
      </c>
      <c r="G64" s="7">
        <v>6.645833333333389</v>
      </c>
      <c r="H64" s="10">
        <v>3.448</v>
      </c>
      <c r="I64" s="9">
        <f t="shared" si="0"/>
        <v>-3.448</v>
      </c>
      <c r="J64" s="9">
        <f t="shared" si="1"/>
        <v>0.91200000000000037</v>
      </c>
      <c r="K64">
        <f t="shared" si="2"/>
        <v>0.92375000000000029</v>
      </c>
    </row>
    <row r="65" spans="1:11" x14ac:dyDescent="0.2">
      <c r="A65" t="s">
        <v>645</v>
      </c>
      <c r="B65">
        <v>4.7884999999999997E-2</v>
      </c>
      <c r="C65">
        <v>235</v>
      </c>
      <c r="D65" t="s">
        <v>645</v>
      </c>
      <c r="E65">
        <v>235</v>
      </c>
      <c r="F65" s="1">
        <v>45161</v>
      </c>
      <c r="G65" s="7">
        <v>6.656250000000056</v>
      </c>
      <c r="H65" s="10">
        <v>3.419</v>
      </c>
      <c r="I65" s="9">
        <f t="shared" si="0"/>
        <v>-3.419</v>
      </c>
      <c r="J65" s="9">
        <f t="shared" si="1"/>
        <v>0.94100000000000028</v>
      </c>
      <c r="K65">
        <f t="shared" si="2"/>
        <v>0.92650000000000032</v>
      </c>
    </row>
    <row r="66" spans="1:11" x14ac:dyDescent="0.2">
      <c r="A66" t="s">
        <v>646</v>
      </c>
      <c r="B66">
        <v>4.7805E-2</v>
      </c>
      <c r="C66">
        <v>235</v>
      </c>
      <c r="D66" t="s">
        <v>646</v>
      </c>
      <c r="E66">
        <v>235</v>
      </c>
      <c r="F66" s="1">
        <v>45161</v>
      </c>
      <c r="G66" s="7">
        <v>6.6666666666667229</v>
      </c>
      <c r="H66" s="10">
        <v>3.4140000000000001</v>
      </c>
      <c r="I66" s="9">
        <f t="shared" si="0"/>
        <v>-3.4140000000000001</v>
      </c>
      <c r="J66" s="9">
        <f t="shared" si="1"/>
        <v>0.94600000000000017</v>
      </c>
      <c r="K66">
        <f t="shared" si="2"/>
        <v>0.94350000000000023</v>
      </c>
    </row>
    <row r="67" spans="1:11" x14ac:dyDescent="0.2">
      <c r="A67" t="s">
        <v>647</v>
      </c>
      <c r="B67">
        <v>4.7864999999999998E-2</v>
      </c>
      <c r="C67">
        <v>235</v>
      </c>
      <c r="D67" t="s">
        <v>647</v>
      </c>
      <c r="E67">
        <v>235</v>
      </c>
      <c r="F67" s="1">
        <v>45161</v>
      </c>
      <c r="G67" s="7">
        <v>6.6770833333333899</v>
      </c>
      <c r="H67" s="10">
        <v>3.4175</v>
      </c>
      <c r="I67" s="9">
        <f t="shared" ref="I67:I130" si="3">-H67</f>
        <v>-3.4175</v>
      </c>
      <c r="J67" s="9">
        <f t="shared" si="1"/>
        <v>0.94250000000000034</v>
      </c>
      <c r="K67">
        <f t="shared" si="2"/>
        <v>0.94425000000000026</v>
      </c>
    </row>
    <row r="68" spans="1:11" x14ac:dyDescent="0.2">
      <c r="A68" t="s">
        <v>648</v>
      </c>
      <c r="B68">
        <v>4.7544999999999997E-2</v>
      </c>
      <c r="C68">
        <v>235</v>
      </c>
      <c r="D68" t="s">
        <v>648</v>
      </c>
      <c r="E68">
        <v>235</v>
      </c>
      <c r="F68" s="1">
        <v>45161</v>
      </c>
      <c r="G68" s="7">
        <v>6.6875000000000568</v>
      </c>
      <c r="H68" s="10">
        <v>3.395</v>
      </c>
      <c r="I68" s="9">
        <f t="shared" si="3"/>
        <v>-3.395</v>
      </c>
      <c r="J68" s="9">
        <f t="shared" si="1"/>
        <v>0.9650000000000003</v>
      </c>
      <c r="K68">
        <f t="shared" si="2"/>
        <v>0.95375000000000032</v>
      </c>
    </row>
    <row r="69" spans="1:11" x14ac:dyDescent="0.2">
      <c r="A69" t="s">
        <v>649</v>
      </c>
      <c r="B69" s="17">
        <v>4.7434999999999998E-2</v>
      </c>
      <c r="C69" s="17">
        <v>235</v>
      </c>
      <c r="D69" s="17" t="s">
        <v>649</v>
      </c>
      <c r="E69" s="17">
        <v>235</v>
      </c>
      <c r="F69" s="18">
        <v>45161</v>
      </c>
      <c r="G69" s="19">
        <v>6.6979166666667238</v>
      </c>
      <c r="H69" s="16">
        <v>3.3849999999999998</v>
      </c>
      <c r="I69" s="9">
        <f t="shared" si="3"/>
        <v>-3.3849999999999998</v>
      </c>
      <c r="J69" s="9">
        <f t="shared" si="1"/>
        <v>0.97500000000000053</v>
      </c>
      <c r="K69">
        <f t="shared" si="2"/>
        <v>0.97000000000000042</v>
      </c>
    </row>
    <row r="70" spans="1:11" x14ac:dyDescent="0.2">
      <c r="A70" t="s">
        <v>650</v>
      </c>
      <c r="B70">
        <v>4.7669999999999997E-2</v>
      </c>
      <c r="C70">
        <v>235</v>
      </c>
      <c r="D70" t="s">
        <v>650</v>
      </c>
      <c r="E70">
        <v>235</v>
      </c>
      <c r="F70" s="1">
        <v>45161</v>
      </c>
      <c r="G70" s="7">
        <v>6.7083333333333908</v>
      </c>
      <c r="H70" s="10">
        <v>3.4035000000000002</v>
      </c>
      <c r="I70" s="9">
        <f t="shared" si="3"/>
        <v>-3.4035000000000002</v>
      </c>
      <c r="J70" s="9">
        <f t="shared" si="1"/>
        <v>0.95650000000000013</v>
      </c>
      <c r="K70">
        <f t="shared" si="2"/>
        <v>0.96575000000000033</v>
      </c>
    </row>
    <row r="71" spans="1:11" x14ac:dyDescent="0.2">
      <c r="A71" t="s">
        <v>651</v>
      </c>
      <c r="B71">
        <v>4.8309999999999999E-2</v>
      </c>
      <c r="C71">
        <v>235</v>
      </c>
      <c r="D71" t="s">
        <v>651</v>
      </c>
      <c r="E71">
        <v>235</v>
      </c>
      <c r="F71" s="1">
        <v>45161</v>
      </c>
      <c r="G71" s="7">
        <v>6.7187500000000577</v>
      </c>
      <c r="H71" s="10">
        <v>3.448</v>
      </c>
      <c r="I71" s="9">
        <f t="shared" si="3"/>
        <v>-3.448</v>
      </c>
      <c r="J71" s="9">
        <f t="shared" si="1"/>
        <v>0.91200000000000037</v>
      </c>
      <c r="K71">
        <f t="shared" si="2"/>
        <v>0.93425000000000025</v>
      </c>
    </row>
    <row r="72" spans="1:11" x14ac:dyDescent="0.2">
      <c r="A72" t="s">
        <v>652</v>
      </c>
      <c r="B72">
        <v>4.7449999999999999E-2</v>
      </c>
      <c r="C72">
        <v>235</v>
      </c>
      <c r="D72" t="s">
        <v>652</v>
      </c>
      <c r="E72">
        <v>235</v>
      </c>
      <c r="F72" s="1">
        <v>45161</v>
      </c>
      <c r="G72" s="7">
        <v>6.7291666666667247</v>
      </c>
      <c r="H72" s="10">
        <v>3.3875000000000002</v>
      </c>
      <c r="I72" s="9">
        <f t="shared" si="3"/>
        <v>-3.3875000000000002</v>
      </c>
      <c r="J72" s="9">
        <f t="shared" si="1"/>
        <v>0.97250000000000014</v>
      </c>
      <c r="K72">
        <f t="shared" si="2"/>
        <v>0.94225000000000025</v>
      </c>
    </row>
    <row r="73" spans="1:11" x14ac:dyDescent="0.2">
      <c r="A73" t="s">
        <v>653</v>
      </c>
      <c r="B73">
        <v>4.7454999999999997E-2</v>
      </c>
      <c r="C73">
        <v>235</v>
      </c>
      <c r="D73" t="s">
        <v>653</v>
      </c>
      <c r="E73">
        <v>235</v>
      </c>
      <c r="F73" s="1">
        <v>45161</v>
      </c>
      <c r="G73" s="7">
        <v>6.7395833333333917</v>
      </c>
      <c r="H73" s="10">
        <v>3.3879999999999999</v>
      </c>
      <c r="I73" s="9">
        <f t="shared" si="3"/>
        <v>-3.3879999999999999</v>
      </c>
      <c r="J73" s="9">
        <f t="shared" ref="J73:J105" si="4">I73+4.36</f>
        <v>0.97200000000000042</v>
      </c>
      <c r="K73">
        <f t="shared" si="2"/>
        <v>0.97225000000000028</v>
      </c>
    </row>
    <row r="74" spans="1:11" x14ac:dyDescent="0.2">
      <c r="A74" t="s">
        <v>654</v>
      </c>
      <c r="B74">
        <v>4.7820000000000001E-2</v>
      </c>
      <c r="C74">
        <v>236</v>
      </c>
      <c r="D74" t="s">
        <v>654</v>
      </c>
      <c r="E74">
        <v>235</v>
      </c>
      <c r="F74" s="1">
        <v>45161</v>
      </c>
      <c r="G74" s="7">
        <v>6.7500000000000586</v>
      </c>
      <c r="H74" s="10">
        <v>3.4140000000000001</v>
      </c>
      <c r="I74" s="9">
        <f t="shared" si="3"/>
        <v>-3.4140000000000001</v>
      </c>
      <c r="J74" s="9">
        <f t="shared" si="4"/>
        <v>0.94600000000000017</v>
      </c>
      <c r="K74">
        <f t="shared" ref="K74:K105" si="5" xml:space="preserve"> (J73+J74)/2</f>
        <v>0.9590000000000003</v>
      </c>
    </row>
    <row r="75" spans="1:11" x14ac:dyDescent="0.2">
      <c r="A75" t="s">
        <v>655</v>
      </c>
      <c r="B75">
        <v>4.8134999999999997E-2</v>
      </c>
      <c r="C75">
        <v>236</v>
      </c>
      <c r="D75" t="s">
        <v>655</v>
      </c>
      <c r="E75">
        <v>235</v>
      </c>
      <c r="F75" s="1">
        <v>45161</v>
      </c>
      <c r="G75" s="7">
        <v>6.7604166666667256</v>
      </c>
      <c r="H75" s="10">
        <v>3.4350000000000001</v>
      </c>
      <c r="I75" s="9">
        <f t="shared" si="3"/>
        <v>-3.4350000000000001</v>
      </c>
      <c r="J75" s="9">
        <f t="shared" si="4"/>
        <v>0.92500000000000027</v>
      </c>
      <c r="K75">
        <f t="shared" si="5"/>
        <v>0.93550000000000022</v>
      </c>
    </row>
    <row r="76" spans="1:11" x14ac:dyDescent="0.2">
      <c r="A76" t="s">
        <v>656</v>
      </c>
      <c r="B76">
        <v>4.8219999999999999E-2</v>
      </c>
      <c r="C76">
        <v>236</v>
      </c>
      <c r="D76" t="s">
        <v>656</v>
      </c>
      <c r="E76">
        <v>235</v>
      </c>
      <c r="F76" s="1">
        <v>45161</v>
      </c>
      <c r="G76" s="7">
        <v>6.7708333333333925</v>
      </c>
      <c r="H76" s="10">
        <v>3.4415</v>
      </c>
      <c r="I76" s="9">
        <f t="shared" si="3"/>
        <v>-3.4415</v>
      </c>
      <c r="J76" s="9">
        <f t="shared" si="4"/>
        <v>0.91850000000000032</v>
      </c>
      <c r="K76">
        <f t="shared" si="5"/>
        <v>0.92175000000000029</v>
      </c>
    </row>
    <row r="77" spans="1:11" x14ac:dyDescent="0.2">
      <c r="A77" t="s">
        <v>657</v>
      </c>
      <c r="B77">
        <v>4.8430000000000001E-2</v>
      </c>
      <c r="C77">
        <v>236</v>
      </c>
      <c r="D77" t="s">
        <v>657</v>
      </c>
      <c r="E77">
        <v>235</v>
      </c>
      <c r="F77" s="1">
        <v>45161</v>
      </c>
      <c r="G77" s="7">
        <v>6.7812500000000595</v>
      </c>
      <c r="H77" s="10">
        <v>3.4584999999999999</v>
      </c>
      <c r="I77" s="9">
        <f t="shared" si="3"/>
        <v>-3.4584999999999999</v>
      </c>
      <c r="J77" s="9">
        <f t="shared" si="4"/>
        <v>0.90150000000000041</v>
      </c>
      <c r="K77">
        <f t="shared" si="5"/>
        <v>0.91000000000000036</v>
      </c>
    </row>
    <row r="78" spans="1:11" x14ac:dyDescent="0.2">
      <c r="A78" t="s">
        <v>658</v>
      </c>
      <c r="B78">
        <v>4.7934999999999998E-2</v>
      </c>
      <c r="C78">
        <v>236</v>
      </c>
      <c r="D78" t="s">
        <v>658</v>
      </c>
      <c r="E78">
        <v>235</v>
      </c>
      <c r="F78" s="1">
        <v>45161</v>
      </c>
      <c r="G78" s="7">
        <v>6.7916666666667265</v>
      </c>
      <c r="H78" s="10">
        <v>3.4224999999999999</v>
      </c>
      <c r="I78" s="9">
        <f t="shared" si="3"/>
        <v>-3.4224999999999999</v>
      </c>
      <c r="J78" s="9">
        <f t="shared" si="4"/>
        <v>0.93750000000000044</v>
      </c>
      <c r="K78">
        <f t="shared" si="5"/>
        <v>0.91950000000000043</v>
      </c>
    </row>
    <row r="79" spans="1:11" x14ac:dyDescent="0.2">
      <c r="A79" t="s">
        <v>659</v>
      </c>
      <c r="B79">
        <v>4.7989999999999998E-2</v>
      </c>
      <c r="C79">
        <v>236</v>
      </c>
      <c r="D79" t="s">
        <v>659</v>
      </c>
      <c r="E79">
        <v>235</v>
      </c>
      <c r="F79" s="1">
        <v>45161</v>
      </c>
      <c r="G79" s="7">
        <v>6.8020833333333934</v>
      </c>
      <c r="H79" s="10">
        <v>3.4255</v>
      </c>
      <c r="I79" s="9">
        <f t="shared" si="3"/>
        <v>-3.4255</v>
      </c>
      <c r="J79" s="9">
        <f t="shared" si="4"/>
        <v>0.93450000000000033</v>
      </c>
      <c r="K79">
        <f t="shared" si="5"/>
        <v>0.93600000000000039</v>
      </c>
    </row>
    <row r="80" spans="1:11" x14ac:dyDescent="0.2">
      <c r="A80" t="s">
        <v>660</v>
      </c>
      <c r="B80">
        <v>4.8189999999999997E-2</v>
      </c>
      <c r="C80">
        <v>236</v>
      </c>
      <c r="D80" t="s">
        <v>660</v>
      </c>
      <c r="E80">
        <v>235</v>
      </c>
      <c r="F80" s="1">
        <v>45161</v>
      </c>
      <c r="G80" s="7">
        <v>6.8125000000000604</v>
      </c>
      <c r="H80" s="10">
        <v>3.4415</v>
      </c>
      <c r="I80" s="9">
        <f t="shared" si="3"/>
        <v>-3.4415</v>
      </c>
      <c r="J80" s="9">
        <f t="shared" si="4"/>
        <v>0.91850000000000032</v>
      </c>
      <c r="K80">
        <f t="shared" si="5"/>
        <v>0.92650000000000032</v>
      </c>
    </row>
    <row r="81" spans="1:11" x14ac:dyDescent="0.2">
      <c r="A81" t="s">
        <v>661</v>
      </c>
      <c r="B81">
        <v>4.8044999999999997E-2</v>
      </c>
      <c r="C81">
        <v>236</v>
      </c>
      <c r="D81" t="s">
        <v>661</v>
      </c>
      <c r="E81">
        <v>235</v>
      </c>
      <c r="F81" s="1">
        <v>45161</v>
      </c>
      <c r="G81" s="7">
        <v>6.8229166666667274</v>
      </c>
      <c r="H81" s="10">
        <v>3.4304999999999999</v>
      </c>
      <c r="I81" s="9">
        <f t="shared" si="3"/>
        <v>-3.4304999999999999</v>
      </c>
      <c r="J81" s="9">
        <f t="shared" si="4"/>
        <v>0.92950000000000044</v>
      </c>
      <c r="K81">
        <f t="shared" si="5"/>
        <v>0.92400000000000038</v>
      </c>
    </row>
    <row r="82" spans="1:11" x14ac:dyDescent="0.2">
      <c r="A82" t="s">
        <v>662</v>
      </c>
      <c r="B82">
        <v>4.8044999999999997E-2</v>
      </c>
      <c r="C82">
        <v>236</v>
      </c>
      <c r="D82" t="s">
        <v>662</v>
      </c>
      <c r="E82">
        <v>235</v>
      </c>
      <c r="F82" s="1">
        <v>45161</v>
      </c>
      <c r="G82" s="7">
        <v>6.8333333333333943</v>
      </c>
      <c r="H82" s="10">
        <v>3.4295</v>
      </c>
      <c r="I82" s="9">
        <f t="shared" si="3"/>
        <v>-3.4295</v>
      </c>
      <c r="J82" s="9">
        <f t="shared" si="4"/>
        <v>0.93050000000000033</v>
      </c>
      <c r="K82">
        <f t="shared" si="5"/>
        <v>0.93000000000000038</v>
      </c>
    </row>
    <row r="83" spans="1:11" x14ac:dyDescent="0.2">
      <c r="A83" t="s">
        <v>663</v>
      </c>
      <c r="B83">
        <v>4.8149999999999998E-2</v>
      </c>
      <c r="C83">
        <v>236</v>
      </c>
      <c r="D83" t="s">
        <v>663</v>
      </c>
      <c r="E83">
        <v>235</v>
      </c>
      <c r="F83" s="1">
        <v>45161</v>
      </c>
      <c r="G83" s="7">
        <v>6.8437500000000613</v>
      </c>
      <c r="H83" s="10">
        <v>3.4390000000000001</v>
      </c>
      <c r="I83" s="9">
        <f t="shared" si="3"/>
        <v>-3.4390000000000001</v>
      </c>
      <c r="J83" s="9">
        <f t="shared" si="4"/>
        <v>0.92100000000000026</v>
      </c>
      <c r="K83">
        <f t="shared" si="5"/>
        <v>0.92575000000000029</v>
      </c>
    </row>
    <row r="84" spans="1:11" x14ac:dyDescent="0.2">
      <c r="A84" t="s">
        <v>664</v>
      </c>
      <c r="B84" t="s">
        <v>665</v>
      </c>
      <c r="C84">
        <v>236</v>
      </c>
      <c r="D84" t="s">
        <v>664</v>
      </c>
      <c r="E84">
        <v>235</v>
      </c>
      <c r="F84" s="1">
        <v>45161</v>
      </c>
      <c r="G84" s="7">
        <v>6.8541666666667282</v>
      </c>
      <c r="H84" s="10">
        <v>3.4464999999999999</v>
      </c>
      <c r="I84" s="9">
        <f t="shared" si="3"/>
        <v>-3.4464999999999999</v>
      </c>
      <c r="J84" s="9">
        <f t="shared" si="4"/>
        <v>0.91350000000000042</v>
      </c>
      <c r="K84">
        <f t="shared" si="5"/>
        <v>0.91725000000000034</v>
      </c>
    </row>
    <row r="85" spans="1:11" x14ac:dyDescent="0.2">
      <c r="A85" t="s">
        <v>666</v>
      </c>
      <c r="B85">
        <v>4.829E-2</v>
      </c>
      <c r="C85">
        <v>236</v>
      </c>
      <c r="D85" t="s">
        <v>666</v>
      </c>
      <c r="E85">
        <v>235</v>
      </c>
      <c r="F85" s="1">
        <v>45161</v>
      </c>
      <c r="G85" s="7">
        <v>6.8645833333333952</v>
      </c>
      <c r="H85" s="10">
        <v>3.4474999999999998</v>
      </c>
      <c r="I85" s="9">
        <f t="shared" si="3"/>
        <v>-3.4474999999999998</v>
      </c>
      <c r="J85" s="9">
        <f t="shared" si="4"/>
        <v>0.91250000000000053</v>
      </c>
      <c r="K85">
        <f t="shared" si="5"/>
        <v>0.91300000000000048</v>
      </c>
    </row>
    <row r="86" spans="1:11" x14ac:dyDescent="0.2">
      <c r="A86" t="s">
        <v>667</v>
      </c>
      <c r="B86">
        <v>4.8640000000000003E-2</v>
      </c>
      <c r="C86">
        <v>236</v>
      </c>
      <c r="D86" t="s">
        <v>667</v>
      </c>
      <c r="E86">
        <v>235</v>
      </c>
      <c r="F86" s="1">
        <v>45161</v>
      </c>
      <c r="G86" s="7">
        <v>6.8750000000000622</v>
      </c>
      <c r="H86" s="10">
        <v>3.4714999999999998</v>
      </c>
      <c r="I86" s="9">
        <f t="shared" si="3"/>
        <v>-3.4714999999999998</v>
      </c>
      <c r="J86" s="9">
        <f t="shared" si="4"/>
        <v>0.88850000000000051</v>
      </c>
      <c r="K86">
        <f t="shared" si="5"/>
        <v>0.90050000000000052</v>
      </c>
    </row>
    <row r="87" spans="1:11" x14ac:dyDescent="0.2">
      <c r="A87" t="s">
        <v>668</v>
      </c>
      <c r="B87">
        <v>4.913E-2</v>
      </c>
      <c r="C87">
        <v>236</v>
      </c>
      <c r="D87" t="s">
        <v>668</v>
      </c>
      <c r="E87">
        <v>235</v>
      </c>
      <c r="F87" s="1">
        <v>45161</v>
      </c>
      <c r="G87" s="7">
        <v>6.8854166666667291</v>
      </c>
      <c r="H87" s="10">
        <v>3.508</v>
      </c>
      <c r="I87" s="9">
        <f t="shared" si="3"/>
        <v>-3.508</v>
      </c>
      <c r="J87" s="9">
        <f t="shared" si="4"/>
        <v>0.85200000000000031</v>
      </c>
      <c r="K87">
        <f t="shared" si="5"/>
        <v>0.87025000000000041</v>
      </c>
    </row>
    <row r="88" spans="1:11" x14ac:dyDescent="0.2">
      <c r="A88" t="s">
        <v>669</v>
      </c>
      <c r="B88">
        <v>4.9424999999999997E-2</v>
      </c>
      <c r="C88">
        <v>236</v>
      </c>
      <c r="D88" t="s">
        <v>669</v>
      </c>
      <c r="E88">
        <v>235</v>
      </c>
      <c r="F88" s="1">
        <v>45161</v>
      </c>
      <c r="G88" s="7">
        <v>6.8958333333333961</v>
      </c>
      <c r="H88" s="10">
        <v>3.5295000000000001</v>
      </c>
      <c r="I88" s="9">
        <f t="shared" si="3"/>
        <v>-3.5295000000000001</v>
      </c>
      <c r="J88" s="9">
        <f t="shared" si="4"/>
        <v>0.83050000000000024</v>
      </c>
      <c r="K88">
        <f t="shared" si="5"/>
        <v>0.84125000000000028</v>
      </c>
    </row>
    <row r="89" spans="1:11" x14ac:dyDescent="0.2">
      <c r="A89" t="s">
        <v>670</v>
      </c>
      <c r="B89">
        <v>5.0139999999999997E-2</v>
      </c>
      <c r="C89">
        <v>236</v>
      </c>
      <c r="D89" t="s">
        <v>670</v>
      </c>
      <c r="E89">
        <v>235</v>
      </c>
      <c r="F89" s="1">
        <v>45161</v>
      </c>
      <c r="G89" s="7">
        <v>6.9062500000000631</v>
      </c>
      <c r="H89" s="10">
        <v>3.58</v>
      </c>
      <c r="I89" s="9">
        <f t="shared" si="3"/>
        <v>-3.58</v>
      </c>
      <c r="J89" s="9">
        <f t="shared" si="4"/>
        <v>0.78000000000000025</v>
      </c>
      <c r="K89">
        <f t="shared" si="5"/>
        <v>0.80525000000000024</v>
      </c>
    </row>
    <row r="90" spans="1:11" x14ac:dyDescent="0.2">
      <c r="A90" t="s">
        <v>671</v>
      </c>
      <c r="B90" t="s">
        <v>672</v>
      </c>
      <c r="C90">
        <v>236</v>
      </c>
      <c r="D90" t="s">
        <v>671</v>
      </c>
      <c r="E90">
        <v>235</v>
      </c>
      <c r="F90" s="1">
        <v>45161</v>
      </c>
      <c r="G90" s="7">
        <v>6.91666666666673</v>
      </c>
      <c r="H90" s="10">
        <v>3.62</v>
      </c>
      <c r="I90" s="9">
        <f t="shared" si="3"/>
        <v>-3.62</v>
      </c>
      <c r="J90" s="9">
        <f t="shared" si="4"/>
        <v>0.74000000000000021</v>
      </c>
      <c r="K90">
        <f t="shared" si="5"/>
        <v>0.76000000000000023</v>
      </c>
    </row>
    <row r="91" spans="1:11" x14ac:dyDescent="0.2">
      <c r="A91" t="s">
        <v>673</v>
      </c>
      <c r="B91">
        <v>5.1610000000000003E-2</v>
      </c>
      <c r="C91">
        <v>236</v>
      </c>
      <c r="D91" t="s">
        <v>673</v>
      </c>
      <c r="E91">
        <v>235</v>
      </c>
      <c r="F91" s="1">
        <v>45161</v>
      </c>
      <c r="G91" s="7">
        <v>6.927083333333397</v>
      </c>
      <c r="H91" s="10">
        <v>3.6855000000000002</v>
      </c>
      <c r="I91" s="9">
        <f t="shared" si="3"/>
        <v>-3.6855000000000002</v>
      </c>
      <c r="J91" s="9">
        <f t="shared" si="4"/>
        <v>0.6745000000000001</v>
      </c>
      <c r="K91">
        <f t="shared" si="5"/>
        <v>0.70725000000000016</v>
      </c>
    </row>
    <row r="92" spans="1:11" x14ac:dyDescent="0.2">
      <c r="A92" t="s">
        <v>674</v>
      </c>
      <c r="B92">
        <v>5.2040000000000003E-2</v>
      </c>
      <c r="C92">
        <v>236</v>
      </c>
      <c r="D92" t="s">
        <v>674</v>
      </c>
      <c r="E92">
        <v>235</v>
      </c>
      <c r="F92" s="1">
        <v>45161</v>
      </c>
      <c r="G92" s="7">
        <v>6.9375000000000639</v>
      </c>
      <c r="H92" s="10">
        <v>3.7160000000000002</v>
      </c>
      <c r="I92" s="9">
        <f t="shared" si="3"/>
        <v>-3.7160000000000002</v>
      </c>
      <c r="J92" s="9">
        <f t="shared" si="4"/>
        <v>0.64400000000000013</v>
      </c>
      <c r="K92">
        <f t="shared" si="5"/>
        <v>0.65925000000000011</v>
      </c>
    </row>
    <row r="93" spans="1:11" x14ac:dyDescent="0.2">
      <c r="A93" t="s">
        <v>675</v>
      </c>
      <c r="B93">
        <v>5.2909999999999999E-2</v>
      </c>
      <c r="C93">
        <v>236</v>
      </c>
      <c r="D93" t="s">
        <v>675</v>
      </c>
      <c r="E93">
        <v>235</v>
      </c>
      <c r="F93" s="1">
        <v>45161</v>
      </c>
      <c r="G93" s="7">
        <v>6.9479166666667309</v>
      </c>
      <c r="H93" s="10">
        <v>3.778</v>
      </c>
      <c r="I93" s="9">
        <f t="shared" si="3"/>
        <v>-3.778</v>
      </c>
      <c r="J93" s="9">
        <f t="shared" si="4"/>
        <v>0.58200000000000029</v>
      </c>
      <c r="K93">
        <f t="shared" si="5"/>
        <v>0.61300000000000021</v>
      </c>
    </row>
    <row r="94" spans="1:11" x14ac:dyDescent="0.2">
      <c r="A94" t="s">
        <v>676</v>
      </c>
      <c r="B94">
        <v>5.3775000000000003E-2</v>
      </c>
      <c r="C94">
        <v>236</v>
      </c>
      <c r="D94" t="s">
        <v>676</v>
      </c>
      <c r="E94">
        <v>235</v>
      </c>
      <c r="F94" s="1">
        <v>45161</v>
      </c>
      <c r="G94" s="7">
        <v>6.9583333333333979</v>
      </c>
      <c r="H94" s="10">
        <v>3.839</v>
      </c>
      <c r="I94" s="9">
        <f t="shared" si="3"/>
        <v>-3.839</v>
      </c>
      <c r="J94" s="9">
        <f t="shared" si="4"/>
        <v>0.52100000000000035</v>
      </c>
      <c r="K94">
        <f t="shared" si="5"/>
        <v>0.55150000000000032</v>
      </c>
    </row>
    <row r="95" spans="1:11" x14ac:dyDescent="0.2">
      <c r="A95" t="s">
        <v>677</v>
      </c>
      <c r="B95">
        <v>5.4715E-2</v>
      </c>
      <c r="C95">
        <v>236</v>
      </c>
      <c r="D95" t="s">
        <v>677</v>
      </c>
      <c r="E95">
        <v>235</v>
      </c>
      <c r="F95" s="1">
        <v>45161</v>
      </c>
      <c r="G95" s="7">
        <v>6.9687500000000648</v>
      </c>
      <c r="H95" s="10">
        <v>3.9064999999999999</v>
      </c>
      <c r="I95" s="9">
        <f t="shared" si="3"/>
        <v>-3.9064999999999999</v>
      </c>
      <c r="J95" s="9">
        <f t="shared" si="4"/>
        <v>0.45350000000000046</v>
      </c>
      <c r="K95">
        <f t="shared" si="5"/>
        <v>0.48725000000000041</v>
      </c>
    </row>
    <row r="96" spans="1:11" x14ac:dyDescent="0.2">
      <c r="A96" t="s">
        <v>678</v>
      </c>
      <c r="B96">
        <v>5.4495000000000002E-2</v>
      </c>
      <c r="C96">
        <v>236</v>
      </c>
      <c r="D96" t="s">
        <v>678</v>
      </c>
      <c r="E96">
        <v>235</v>
      </c>
      <c r="F96" s="1">
        <v>45161</v>
      </c>
      <c r="G96" s="7">
        <v>6.9791666666667318</v>
      </c>
      <c r="H96" s="10">
        <v>3.891</v>
      </c>
      <c r="I96" s="9">
        <f t="shared" si="3"/>
        <v>-3.891</v>
      </c>
      <c r="J96" s="9">
        <f t="shared" si="4"/>
        <v>0.46900000000000031</v>
      </c>
      <c r="K96">
        <f t="shared" si="5"/>
        <v>0.46125000000000038</v>
      </c>
    </row>
    <row r="97" spans="1:18" x14ac:dyDescent="0.2">
      <c r="A97" t="s">
        <v>679</v>
      </c>
      <c r="B97">
        <v>5.5454999999999997E-2</v>
      </c>
      <c r="C97">
        <v>236</v>
      </c>
      <c r="D97" t="s">
        <v>679</v>
      </c>
      <c r="E97">
        <v>235</v>
      </c>
      <c r="F97" s="1">
        <v>45161</v>
      </c>
      <c r="G97" s="7">
        <v>6.9895833333333988</v>
      </c>
      <c r="H97" s="10">
        <v>3.9594999999999998</v>
      </c>
      <c r="I97" s="9">
        <f t="shared" si="3"/>
        <v>-3.9594999999999998</v>
      </c>
      <c r="J97" s="9">
        <f t="shared" si="4"/>
        <v>0.40050000000000052</v>
      </c>
      <c r="K97">
        <f t="shared" si="5"/>
        <v>0.43475000000000041</v>
      </c>
    </row>
    <row r="98" spans="1:18" x14ac:dyDescent="0.2">
      <c r="A98" t="s">
        <v>681</v>
      </c>
      <c r="B98">
        <v>5.543E-2</v>
      </c>
      <c r="C98">
        <v>236</v>
      </c>
      <c r="D98" t="s">
        <v>681</v>
      </c>
      <c r="E98">
        <v>236</v>
      </c>
      <c r="F98" s="1">
        <v>45162</v>
      </c>
      <c r="G98" s="7">
        <v>7.0000000000000657</v>
      </c>
      <c r="H98" s="10">
        <v>3.9584999999999999</v>
      </c>
      <c r="I98" s="9">
        <f t="shared" si="3"/>
        <v>-3.9584999999999999</v>
      </c>
      <c r="J98" s="9">
        <f t="shared" si="4"/>
        <v>0.40150000000000041</v>
      </c>
      <c r="K98">
        <f t="shared" si="5"/>
        <v>0.40100000000000047</v>
      </c>
    </row>
    <row r="99" spans="1:18" x14ac:dyDescent="0.2">
      <c r="A99" t="s">
        <v>682</v>
      </c>
      <c r="B99">
        <v>5.6425000000000003E-2</v>
      </c>
      <c r="C99">
        <v>236</v>
      </c>
      <c r="D99" t="s">
        <v>682</v>
      </c>
      <c r="E99">
        <v>236</v>
      </c>
      <c r="F99" s="1">
        <v>45162</v>
      </c>
      <c r="G99" s="7">
        <v>7.0104166666667327</v>
      </c>
      <c r="H99" s="10">
        <v>4.0289999999999999</v>
      </c>
      <c r="I99" s="9">
        <f t="shared" si="3"/>
        <v>-4.0289999999999999</v>
      </c>
      <c r="J99" s="9">
        <f t="shared" si="4"/>
        <v>0.33100000000000041</v>
      </c>
      <c r="K99">
        <f t="shared" si="5"/>
        <v>0.36625000000000041</v>
      </c>
    </row>
    <row r="100" spans="1:18" x14ac:dyDescent="0.2">
      <c r="A100" t="s">
        <v>683</v>
      </c>
      <c r="B100">
        <v>5.6840000000000002E-2</v>
      </c>
      <c r="C100">
        <v>236</v>
      </c>
      <c r="D100" t="s">
        <v>683</v>
      </c>
      <c r="E100">
        <v>236</v>
      </c>
      <c r="F100" s="1">
        <v>45162</v>
      </c>
      <c r="G100" s="7">
        <v>7.0208333333333997</v>
      </c>
      <c r="H100" s="10">
        <v>4.0570000000000004</v>
      </c>
      <c r="I100" s="9">
        <f t="shared" si="3"/>
        <v>-4.0570000000000004</v>
      </c>
      <c r="J100" s="9">
        <f t="shared" si="4"/>
        <v>0.30299999999999994</v>
      </c>
      <c r="K100">
        <f t="shared" si="5"/>
        <v>0.31700000000000017</v>
      </c>
    </row>
    <row r="101" spans="1:18" x14ac:dyDescent="0.2">
      <c r="A101" t="s">
        <v>684</v>
      </c>
      <c r="B101">
        <v>5.7149999999999999E-2</v>
      </c>
      <c r="C101">
        <v>236</v>
      </c>
      <c r="D101" t="s">
        <v>684</v>
      </c>
      <c r="E101">
        <v>236</v>
      </c>
      <c r="F101" s="1">
        <v>45162</v>
      </c>
      <c r="G101" s="7">
        <v>7.0312500000000666</v>
      </c>
      <c r="H101" s="10">
        <v>4.08</v>
      </c>
      <c r="I101" s="9">
        <f t="shared" si="3"/>
        <v>-4.08</v>
      </c>
      <c r="J101" s="9">
        <f t="shared" si="4"/>
        <v>0.28000000000000025</v>
      </c>
      <c r="K101">
        <f t="shared" si="5"/>
        <v>0.29150000000000009</v>
      </c>
    </row>
    <row r="102" spans="1:18" x14ac:dyDescent="0.2">
      <c r="A102" t="s">
        <v>685</v>
      </c>
      <c r="B102">
        <v>5.7454999999999999E-2</v>
      </c>
      <c r="C102">
        <v>236</v>
      </c>
      <c r="D102" t="s">
        <v>685</v>
      </c>
      <c r="E102">
        <v>236</v>
      </c>
      <c r="F102" s="1">
        <v>45162</v>
      </c>
      <c r="G102" s="7">
        <v>7.0416666666667336</v>
      </c>
      <c r="H102" s="10">
        <v>4.1025</v>
      </c>
      <c r="I102" s="9">
        <f t="shared" si="3"/>
        <v>-4.1025</v>
      </c>
      <c r="J102" s="9">
        <f t="shared" si="4"/>
        <v>0.25750000000000028</v>
      </c>
      <c r="K102">
        <f t="shared" si="5"/>
        <v>0.26875000000000027</v>
      </c>
    </row>
    <row r="103" spans="1:18" x14ac:dyDescent="0.2">
      <c r="A103" t="s">
        <v>686</v>
      </c>
      <c r="B103">
        <v>5.7610000000000001E-2</v>
      </c>
      <c r="C103">
        <v>236</v>
      </c>
      <c r="D103" t="s">
        <v>686</v>
      </c>
      <c r="E103">
        <v>236</v>
      </c>
      <c r="F103" s="1">
        <v>45162</v>
      </c>
      <c r="G103" s="7">
        <v>7.0520833333334005</v>
      </c>
      <c r="H103" s="10">
        <v>4.1135000000000002</v>
      </c>
      <c r="I103" s="9">
        <f t="shared" si="3"/>
        <v>-4.1135000000000002</v>
      </c>
      <c r="J103" s="9">
        <f t="shared" si="4"/>
        <v>0.24650000000000016</v>
      </c>
      <c r="K103">
        <f t="shared" si="5"/>
        <v>0.25200000000000022</v>
      </c>
    </row>
    <row r="104" spans="1:18" x14ac:dyDescent="0.2">
      <c r="A104" t="s">
        <v>687</v>
      </c>
      <c r="B104" s="3">
        <v>5.7665000000000001E-2</v>
      </c>
      <c r="C104" s="3">
        <v>236</v>
      </c>
      <c r="D104" s="3" t="s">
        <v>687</v>
      </c>
      <c r="E104" s="3">
        <v>236</v>
      </c>
      <c r="F104" s="5">
        <v>45162</v>
      </c>
      <c r="G104" s="8">
        <v>7.0625000000000675</v>
      </c>
      <c r="H104" s="15">
        <v>4.117</v>
      </c>
      <c r="I104" s="9">
        <f t="shared" si="3"/>
        <v>-4.117</v>
      </c>
      <c r="J104" s="9">
        <f t="shared" si="4"/>
        <v>0.24300000000000033</v>
      </c>
      <c r="K104">
        <f t="shared" si="5"/>
        <v>0.24475000000000025</v>
      </c>
    </row>
    <row r="105" spans="1:18" x14ac:dyDescent="0.2">
      <c r="A105" t="s">
        <v>688</v>
      </c>
      <c r="B105">
        <v>5.774E-2</v>
      </c>
      <c r="C105">
        <v>236</v>
      </c>
      <c r="D105" t="s">
        <v>688</v>
      </c>
      <c r="E105">
        <v>236</v>
      </c>
      <c r="F105" s="1">
        <v>45162</v>
      </c>
      <c r="G105" s="7">
        <v>7.0729166666667345</v>
      </c>
      <c r="H105" s="10">
        <v>4.1230000000000002</v>
      </c>
      <c r="I105" s="9">
        <f t="shared" si="3"/>
        <v>-4.1230000000000002</v>
      </c>
      <c r="J105" s="9">
        <f t="shared" si="4"/>
        <v>0.2370000000000001</v>
      </c>
      <c r="K105">
        <f t="shared" si="5"/>
        <v>0.24000000000000021</v>
      </c>
      <c r="M105">
        <f>SUM(K9:K105)</f>
        <v>51.583500000000058</v>
      </c>
      <c r="N105" t="s">
        <v>6420</v>
      </c>
      <c r="O105" t="s">
        <v>6421</v>
      </c>
    </row>
    <row r="106" spans="1:18" x14ac:dyDescent="0.2">
      <c r="A106" t="s">
        <v>689</v>
      </c>
      <c r="B106">
        <v>5.7625000000000003E-2</v>
      </c>
      <c r="C106">
        <v>236</v>
      </c>
      <c r="D106" t="s">
        <v>689</v>
      </c>
      <c r="E106">
        <v>236</v>
      </c>
      <c r="F106" s="1">
        <v>45162</v>
      </c>
      <c r="G106" s="7">
        <v>7.0833333333334014</v>
      </c>
      <c r="H106" s="10">
        <v>4.1139999999999999</v>
      </c>
      <c r="I106" s="9">
        <f t="shared" si="3"/>
        <v>-4.1139999999999999</v>
      </c>
      <c r="M106">
        <f>SUM(K9:K105)/96</f>
        <v>0.5373281250000006</v>
      </c>
      <c r="N106" t="s">
        <v>6422</v>
      </c>
    </row>
    <row r="107" spans="1:18" x14ac:dyDescent="0.2">
      <c r="A107" t="s">
        <v>690</v>
      </c>
      <c r="B107">
        <v>5.7865E-2</v>
      </c>
      <c r="C107">
        <v>236</v>
      </c>
      <c r="D107" t="s">
        <v>690</v>
      </c>
      <c r="E107">
        <v>236</v>
      </c>
      <c r="F107" s="1">
        <v>45162</v>
      </c>
      <c r="G107" s="7">
        <v>7.0937500000000684</v>
      </c>
      <c r="H107" s="10">
        <v>4.1304999999999996</v>
      </c>
      <c r="I107" s="9">
        <f t="shared" si="3"/>
        <v>-4.1304999999999996</v>
      </c>
      <c r="M107">
        <f>SUM(K29:K84)/55</f>
        <v>0.71386363636363692</v>
      </c>
      <c r="N107" t="s">
        <v>6453</v>
      </c>
      <c r="O107" t="s">
        <v>6455</v>
      </c>
      <c r="Q107" t="s">
        <v>6454</v>
      </c>
      <c r="R107">
        <f>12*4+ 7</f>
        <v>55</v>
      </c>
    </row>
    <row r="108" spans="1:18" x14ac:dyDescent="0.2">
      <c r="A108" t="s">
        <v>691</v>
      </c>
      <c r="B108" t="s">
        <v>692</v>
      </c>
      <c r="C108">
        <v>236</v>
      </c>
      <c r="D108" t="s">
        <v>691</v>
      </c>
      <c r="E108">
        <v>236</v>
      </c>
      <c r="F108" s="1">
        <v>45162</v>
      </c>
      <c r="G108" s="7">
        <v>7.1041666666667354</v>
      </c>
      <c r="H108" s="10">
        <v>4.1115000000000004</v>
      </c>
      <c r="I108" s="9">
        <f t="shared" si="3"/>
        <v>-4.1115000000000004</v>
      </c>
    </row>
    <row r="109" spans="1:18" x14ac:dyDescent="0.2">
      <c r="A109" t="s">
        <v>693</v>
      </c>
      <c r="B109">
        <v>5.7970000000000001E-2</v>
      </c>
      <c r="C109">
        <v>236</v>
      </c>
      <c r="D109" t="s">
        <v>693</v>
      </c>
      <c r="E109">
        <v>236</v>
      </c>
      <c r="F109" s="1">
        <v>45162</v>
      </c>
      <c r="G109" s="7">
        <v>7.1145833333334023</v>
      </c>
      <c r="H109" s="10">
        <v>4.1390000000000002</v>
      </c>
      <c r="I109" s="9">
        <f t="shared" si="3"/>
        <v>-4.1390000000000002</v>
      </c>
    </row>
    <row r="110" spans="1:18" x14ac:dyDescent="0.2">
      <c r="A110" t="s">
        <v>694</v>
      </c>
      <c r="B110">
        <v>5.8049999999999997E-2</v>
      </c>
      <c r="C110">
        <v>236</v>
      </c>
      <c r="D110" t="s">
        <v>694</v>
      </c>
      <c r="E110">
        <v>236</v>
      </c>
      <c r="F110" s="1">
        <v>45162</v>
      </c>
      <c r="G110" s="7">
        <v>7.1250000000000693</v>
      </c>
      <c r="H110" s="10">
        <v>4.1449999999999996</v>
      </c>
      <c r="I110" s="9">
        <f t="shared" si="3"/>
        <v>-4.1449999999999996</v>
      </c>
    </row>
    <row r="111" spans="1:18" x14ac:dyDescent="0.2">
      <c r="A111" t="s">
        <v>695</v>
      </c>
      <c r="B111">
        <v>5.7590000000000002E-2</v>
      </c>
      <c r="C111">
        <v>236</v>
      </c>
      <c r="D111" t="s">
        <v>695</v>
      </c>
      <c r="E111">
        <v>236</v>
      </c>
      <c r="F111" s="1">
        <v>45162</v>
      </c>
      <c r="G111" s="7">
        <v>7.1354166666667362</v>
      </c>
      <c r="H111" s="10">
        <v>4.1115000000000004</v>
      </c>
      <c r="I111" s="9">
        <f t="shared" si="3"/>
        <v>-4.1115000000000004</v>
      </c>
    </row>
    <row r="112" spans="1:18" x14ac:dyDescent="0.2">
      <c r="A112" t="s">
        <v>696</v>
      </c>
      <c r="B112">
        <v>5.8055000000000002E-2</v>
      </c>
      <c r="C112">
        <v>236</v>
      </c>
      <c r="D112" t="s">
        <v>696</v>
      </c>
      <c r="E112">
        <v>236</v>
      </c>
      <c r="F112" s="1">
        <v>45162</v>
      </c>
      <c r="G112" s="7">
        <v>7.1458333333334032</v>
      </c>
      <c r="H112" s="10">
        <v>4.1455000000000002</v>
      </c>
      <c r="I112" s="9">
        <f t="shared" si="3"/>
        <v>-4.1455000000000002</v>
      </c>
    </row>
    <row r="113" spans="1:11" x14ac:dyDescent="0.2">
      <c r="A113" t="s">
        <v>697</v>
      </c>
      <c r="B113" s="12">
        <v>5.808E-2</v>
      </c>
      <c r="C113" s="12">
        <v>236</v>
      </c>
      <c r="D113" s="12" t="s">
        <v>697</v>
      </c>
      <c r="E113" s="12">
        <v>236</v>
      </c>
      <c r="F113" s="13">
        <v>45162</v>
      </c>
      <c r="G113" s="14">
        <v>7.1562500000000702</v>
      </c>
      <c r="H113" s="11">
        <v>4.1464999999999996</v>
      </c>
      <c r="I113" s="9">
        <f t="shared" si="3"/>
        <v>-4.1464999999999996</v>
      </c>
      <c r="J113" s="9">
        <f>I113+4.1465</f>
        <v>0</v>
      </c>
      <c r="K113">
        <f t="shared" ref="K113:K176" si="6" xml:space="preserve"> (J112+J113)/2</f>
        <v>0</v>
      </c>
    </row>
    <row r="114" spans="1:11" x14ac:dyDescent="0.2">
      <c r="A114" t="s">
        <v>698</v>
      </c>
      <c r="B114">
        <v>5.7465000000000002E-2</v>
      </c>
      <c r="C114">
        <v>236</v>
      </c>
      <c r="D114" t="s">
        <v>698</v>
      </c>
      <c r="E114">
        <v>236</v>
      </c>
      <c r="F114" s="1">
        <v>45162</v>
      </c>
      <c r="G114" s="7">
        <v>7.1666666666667371</v>
      </c>
      <c r="H114" s="10">
        <v>4.1025</v>
      </c>
      <c r="I114" s="9">
        <f t="shared" si="3"/>
        <v>-4.1025</v>
      </c>
      <c r="J114" s="9">
        <f t="shared" ref="J114:J177" si="7">I114+4.1465</f>
        <v>4.3999999999999595E-2</v>
      </c>
      <c r="K114">
        <f t="shared" si="6"/>
        <v>2.1999999999999797E-2</v>
      </c>
    </row>
    <row r="115" spans="1:11" x14ac:dyDescent="0.2">
      <c r="A115" t="s">
        <v>699</v>
      </c>
      <c r="B115">
        <v>5.8040000000000001E-2</v>
      </c>
      <c r="C115">
        <v>236</v>
      </c>
      <c r="D115" t="s">
        <v>699</v>
      </c>
      <c r="E115">
        <v>236</v>
      </c>
      <c r="F115" s="1">
        <v>45162</v>
      </c>
      <c r="G115" s="7">
        <v>7.1770833333334041</v>
      </c>
      <c r="H115" s="10">
        <v>4.1440000000000001</v>
      </c>
      <c r="I115" s="9">
        <f t="shared" si="3"/>
        <v>-4.1440000000000001</v>
      </c>
      <c r="J115" s="9">
        <f t="shared" si="7"/>
        <v>2.4999999999995026E-3</v>
      </c>
      <c r="K115">
        <f t="shared" si="6"/>
        <v>2.3249999999999549E-2</v>
      </c>
    </row>
    <row r="116" spans="1:11" x14ac:dyDescent="0.2">
      <c r="A116" t="s">
        <v>700</v>
      </c>
      <c r="B116">
        <v>5.774E-2</v>
      </c>
      <c r="C116">
        <v>236</v>
      </c>
      <c r="D116" t="s">
        <v>700</v>
      </c>
      <c r="E116">
        <v>236</v>
      </c>
      <c r="F116" s="1">
        <v>45162</v>
      </c>
      <c r="G116" s="7">
        <v>7.1875000000000711</v>
      </c>
      <c r="H116" s="10">
        <v>4.1219999999999999</v>
      </c>
      <c r="I116" s="9">
        <f t="shared" si="3"/>
        <v>-4.1219999999999999</v>
      </c>
      <c r="J116" s="9">
        <f t="shared" si="7"/>
        <v>2.4499999999999744E-2</v>
      </c>
      <c r="K116">
        <f t="shared" si="6"/>
        <v>1.3499999999999623E-2</v>
      </c>
    </row>
    <row r="117" spans="1:11" x14ac:dyDescent="0.2">
      <c r="A117" t="s">
        <v>701</v>
      </c>
      <c r="B117">
        <v>5.7375000000000002E-2</v>
      </c>
      <c r="C117">
        <v>236</v>
      </c>
      <c r="D117" t="s">
        <v>701</v>
      </c>
      <c r="E117">
        <v>236</v>
      </c>
      <c r="F117" s="1">
        <v>45162</v>
      </c>
      <c r="G117" s="7">
        <v>7.197916666666738</v>
      </c>
      <c r="H117" s="10">
        <v>4.0955000000000004</v>
      </c>
      <c r="I117" s="9">
        <f t="shared" si="3"/>
        <v>-4.0955000000000004</v>
      </c>
      <c r="J117" s="9">
        <f t="shared" si="7"/>
        <v>5.0999999999999268E-2</v>
      </c>
      <c r="K117">
        <f t="shared" si="6"/>
        <v>3.7749999999999506E-2</v>
      </c>
    </row>
    <row r="118" spans="1:11" x14ac:dyDescent="0.2">
      <c r="A118" t="s">
        <v>702</v>
      </c>
      <c r="B118">
        <v>5.7590000000000002E-2</v>
      </c>
      <c r="C118">
        <v>236</v>
      </c>
      <c r="D118" t="s">
        <v>702</v>
      </c>
      <c r="E118">
        <v>236</v>
      </c>
      <c r="F118" s="1">
        <v>45162</v>
      </c>
      <c r="G118" s="7">
        <v>7.208333333333405</v>
      </c>
      <c r="H118" s="10">
        <v>4.1129999999999898</v>
      </c>
      <c r="I118" s="9">
        <f t="shared" si="3"/>
        <v>-4.1129999999999898</v>
      </c>
      <c r="J118" s="9">
        <f t="shared" si="7"/>
        <v>3.3500000000009855E-2</v>
      </c>
      <c r="K118">
        <f t="shared" si="6"/>
        <v>4.2250000000004562E-2</v>
      </c>
    </row>
    <row r="119" spans="1:11" x14ac:dyDescent="0.2">
      <c r="A119" t="s">
        <v>704</v>
      </c>
      <c r="B119">
        <v>5.7509999999999999E-2</v>
      </c>
      <c r="C119">
        <v>236</v>
      </c>
      <c r="D119" t="s">
        <v>704</v>
      </c>
      <c r="E119">
        <v>236</v>
      </c>
      <c r="F119" s="1">
        <v>45162</v>
      </c>
      <c r="G119" s="7">
        <v>7.2187500000000719</v>
      </c>
      <c r="H119" s="10">
        <v>4.1055000000000001</v>
      </c>
      <c r="I119" s="9">
        <f t="shared" si="3"/>
        <v>-4.1055000000000001</v>
      </c>
      <c r="J119" s="9">
        <f t="shared" si="7"/>
        <v>4.0999999999999481E-2</v>
      </c>
      <c r="K119">
        <f t="shared" si="6"/>
        <v>3.7250000000004668E-2</v>
      </c>
    </row>
    <row r="120" spans="1:11" x14ac:dyDescent="0.2">
      <c r="A120" t="s">
        <v>705</v>
      </c>
      <c r="B120">
        <v>5.713E-2</v>
      </c>
      <c r="C120">
        <v>236</v>
      </c>
      <c r="D120" t="s">
        <v>705</v>
      </c>
      <c r="E120">
        <v>236</v>
      </c>
      <c r="F120" s="1">
        <v>45162</v>
      </c>
      <c r="G120" s="7">
        <v>7.2291666666667389</v>
      </c>
      <c r="H120" s="10">
        <v>4.0785</v>
      </c>
      <c r="I120" s="9">
        <f t="shared" si="3"/>
        <v>-4.0785</v>
      </c>
      <c r="J120" s="9">
        <f t="shared" si="7"/>
        <v>6.7999999999999616E-2</v>
      </c>
      <c r="K120">
        <f t="shared" si="6"/>
        <v>5.4499999999999549E-2</v>
      </c>
    </row>
    <row r="121" spans="1:11" x14ac:dyDescent="0.2">
      <c r="A121" t="s">
        <v>706</v>
      </c>
      <c r="B121">
        <v>5.7704999999999999E-2</v>
      </c>
      <c r="C121">
        <v>236</v>
      </c>
      <c r="D121" t="s">
        <v>706</v>
      </c>
      <c r="E121">
        <v>236</v>
      </c>
      <c r="F121" s="1">
        <v>45162</v>
      </c>
      <c r="G121" s="7">
        <v>7.2395833333334059</v>
      </c>
      <c r="H121" s="10">
        <v>4.1185</v>
      </c>
      <c r="I121" s="9">
        <f t="shared" si="3"/>
        <v>-4.1185</v>
      </c>
      <c r="J121" s="9">
        <f t="shared" si="7"/>
        <v>2.7999999999999581E-2</v>
      </c>
      <c r="K121">
        <f t="shared" si="6"/>
        <v>4.7999999999999599E-2</v>
      </c>
    </row>
    <row r="122" spans="1:11" x14ac:dyDescent="0.2">
      <c r="A122" t="s">
        <v>707</v>
      </c>
      <c r="B122">
        <v>5.7645000000000002E-2</v>
      </c>
      <c r="C122">
        <v>236</v>
      </c>
      <c r="D122" t="s">
        <v>707</v>
      </c>
      <c r="E122">
        <v>236</v>
      </c>
      <c r="F122" s="1">
        <v>45162</v>
      </c>
      <c r="G122" s="7">
        <v>7.2500000000000728</v>
      </c>
      <c r="H122" s="10">
        <v>4.1150000000000002</v>
      </c>
      <c r="I122" s="9">
        <f t="shared" si="3"/>
        <v>-4.1150000000000002</v>
      </c>
      <c r="J122" s="9">
        <f t="shared" si="7"/>
        <v>3.1499999999999417E-2</v>
      </c>
      <c r="K122">
        <f t="shared" si="6"/>
        <v>2.9749999999999499E-2</v>
      </c>
    </row>
    <row r="123" spans="1:11" x14ac:dyDescent="0.2">
      <c r="A123" t="s">
        <v>708</v>
      </c>
      <c r="B123">
        <v>5.7415000000000001E-2</v>
      </c>
      <c r="C123">
        <v>236</v>
      </c>
      <c r="D123" t="s">
        <v>708</v>
      </c>
      <c r="E123">
        <v>236</v>
      </c>
      <c r="F123" s="1">
        <v>45162</v>
      </c>
      <c r="G123" s="7">
        <v>7.2604166666667398</v>
      </c>
      <c r="H123" s="10">
        <v>4.0994999999999999</v>
      </c>
      <c r="I123" s="9">
        <f t="shared" si="3"/>
        <v>-4.0994999999999999</v>
      </c>
      <c r="J123" s="9">
        <f t="shared" si="7"/>
        <v>4.6999999999999709E-2</v>
      </c>
      <c r="K123">
        <f t="shared" si="6"/>
        <v>3.9249999999999563E-2</v>
      </c>
    </row>
    <row r="124" spans="1:11" x14ac:dyDescent="0.2">
      <c r="A124" t="s">
        <v>709</v>
      </c>
      <c r="B124">
        <v>5.7564999999999998E-2</v>
      </c>
      <c r="C124">
        <v>236</v>
      </c>
      <c r="D124" t="s">
        <v>709</v>
      </c>
      <c r="E124">
        <v>236</v>
      </c>
      <c r="F124" s="1">
        <v>45162</v>
      </c>
      <c r="G124" s="7">
        <v>7.2708333333334068</v>
      </c>
      <c r="H124" s="10">
        <v>4.1094999999999997</v>
      </c>
      <c r="I124" s="9">
        <f t="shared" si="3"/>
        <v>-4.1094999999999997</v>
      </c>
      <c r="J124" s="9">
        <f t="shared" si="7"/>
        <v>3.6999999999999922E-2</v>
      </c>
      <c r="K124">
        <f t="shared" si="6"/>
        <v>4.1999999999999815E-2</v>
      </c>
    </row>
    <row r="125" spans="1:11" x14ac:dyDescent="0.2">
      <c r="A125" t="s">
        <v>710</v>
      </c>
      <c r="B125">
        <v>5.6895000000000001E-2</v>
      </c>
      <c r="C125">
        <v>236</v>
      </c>
      <c r="D125" t="s">
        <v>710</v>
      </c>
      <c r="E125">
        <v>236</v>
      </c>
      <c r="F125" s="1">
        <v>45162</v>
      </c>
      <c r="G125" s="7">
        <v>7.2812500000000737</v>
      </c>
      <c r="H125" s="10">
        <v>4.0620000000000003</v>
      </c>
      <c r="I125" s="9">
        <f t="shared" si="3"/>
        <v>-4.0620000000000003</v>
      </c>
      <c r="J125" s="9">
        <f t="shared" si="7"/>
        <v>8.4499999999999353E-2</v>
      </c>
      <c r="K125">
        <f t="shared" si="6"/>
        <v>6.0749999999999638E-2</v>
      </c>
    </row>
    <row r="126" spans="1:11" x14ac:dyDescent="0.2">
      <c r="A126" t="s">
        <v>711</v>
      </c>
      <c r="B126">
        <v>5.6919999999999998E-2</v>
      </c>
      <c r="C126">
        <v>236</v>
      </c>
      <c r="D126" t="s">
        <v>711</v>
      </c>
      <c r="E126">
        <v>236</v>
      </c>
      <c r="F126" s="1">
        <v>45162</v>
      </c>
      <c r="G126" s="7">
        <v>7.2916666666667407</v>
      </c>
      <c r="H126" s="10">
        <v>4.0640000000000001</v>
      </c>
      <c r="I126" s="9">
        <f t="shared" si="3"/>
        <v>-4.0640000000000001</v>
      </c>
      <c r="J126" s="9">
        <f t="shared" si="7"/>
        <v>8.2499999999999574E-2</v>
      </c>
      <c r="K126">
        <f t="shared" si="6"/>
        <v>8.3499999999999464E-2</v>
      </c>
    </row>
    <row r="127" spans="1:11" x14ac:dyDescent="0.2">
      <c r="A127" t="s">
        <v>712</v>
      </c>
      <c r="B127">
        <v>5.586E-2</v>
      </c>
      <c r="C127">
        <v>236</v>
      </c>
      <c r="D127" t="s">
        <v>712</v>
      </c>
      <c r="E127">
        <v>236</v>
      </c>
      <c r="F127" s="1">
        <v>45162</v>
      </c>
      <c r="G127" s="7">
        <v>7.3020833333334076</v>
      </c>
      <c r="H127" s="10">
        <v>3.988</v>
      </c>
      <c r="I127" s="9">
        <f t="shared" si="3"/>
        <v>-3.988</v>
      </c>
      <c r="J127" s="9">
        <f t="shared" si="7"/>
        <v>0.15849999999999964</v>
      </c>
      <c r="K127">
        <f t="shared" si="6"/>
        <v>0.12049999999999961</v>
      </c>
    </row>
    <row r="128" spans="1:11" x14ac:dyDescent="0.2">
      <c r="A128" t="s">
        <v>713</v>
      </c>
      <c r="B128">
        <v>5.6279999999999997E-2</v>
      </c>
      <c r="C128">
        <v>236</v>
      </c>
      <c r="D128" t="s">
        <v>713</v>
      </c>
      <c r="E128">
        <v>236</v>
      </c>
      <c r="F128" s="1">
        <v>45162</v>
      </c>
      <c r="G128" s="7">
        <v>7.3125000000000746</v>
      </c>
      <c r="H128" s="10">
        <v>4.0175000000000001</v>
      </c>
      <c r="I128" s="9">
        <f t="shared" si="3"/>
        <v>-4.0175000000000001</v>
      </c>
      <c r="J128" s="9">
        <f t="shared" si="7"/>
        <v>0.12899999999999956</v>
      </c>
      <c r="K128">
        <f t="shared" si="6"/>
        <v>0.1437499999999996</v>
      </c>
    </row>
    <row r="129" spans="1:11" x14ac:dyDescent="0.2">
      <c r="A129" t="s">
        <v>714</v>
      </c>
      <c r="B129">
        <v>5.5870000000000003E-2</v>
      </c>
      <c r="C129">
        <v>236</v>
      </c>
      <c r="D129" t="s">
        <v>714</v>
      </c>
      <c r="E129">
        <v>236</v>
      </c>
      <c r="F129" s="1">
        <v>45162</v>
      </c>
      <c r="G129" s="7">
        <v>7.3229166666667416</v>
      </c>
      <c r="H129" s="10">
        <v>3.9885000000000002</v>
      </c>
      <c r="I129" s="9">
        <f t="shared" si="3"/>
        <v>-3.9885000000000002</v>
      </c>
      <c r="J129" s="9">
        <f t="shared" si="7"/>
        <v>0.15799999999999947</v>
      </c>
      <c r="K129">
        <f t="shared" si="6"/>
        <v>0.14349999999999952</v>
      </c>
    </row>
    <row r="130" spans="1:11" x14ac:dyDescent="0.2">
      <c r="A130" t="s">
        <v>715</v>
      </c>
      <c r="B130">
        <v>5.5669999999999997E-2</v>
      </c>
      <c r="C130">
        <v>236</v>
      </c>
      <c r="D130" t="s">
        <v>715</v>
      </c>
      <c r="E130">
        <v>236</v>
      </c>
      <c r="F130" s="1">
        <v>45162</v>
      </c>
      <c r="G130" s="7">
        <v>7.3333333333334085</v>
      </c>
      <c r="H130" s="10">
        <v>3.9744999999999999</v>
      </c>
      <c r="I130" s="9">
        <f t="shared" si="3"/>
        <v>-3.9744999999999999</v>
      </c>
      <c r="J130" s="9">
        <f t="shared" si="7"/>
        <v>0.17199999999999971</v>
      </c>
      <c r="K130">
        <f t="shared" si="6"/>
        <v>0.16499999999999959</v>
      </c>
    </row>
    <row r="131" spans="1:11" x14ac:dyDescent="0.2">
      <c r="A131" t="s">
        <v>716</v>
      </c>
      <c r="B131">
        <v>5.5309999999999998E-2</v>
      </c>
      <c r="C131">
        <v>236</v>
      </c>
      <c r="D131" t="s">
        <v>716</v>
      </c>
      <c r="E131">
        <v>236</v>
      </c>
      <c r="F131" s="1">
        <v>45162</v>
      </c>
      <c r="G131" s="7">
        <v>7.3437500000000755</v>
      </c>
      <c r="H131" s="10">
        <v>3.9485000000000001</v>
      </c>
      <c r="I131" s="9">
        <f t="shared" ref="I131:I194" si="8">-H131</f>
        <v>-3.9485000000000001</v>
      </c>
      <c r="J131" s="9">
        <f t="shared" si="7"/>
        <v>0.19799999999999951</v>
      </c>
      <c r="K131">
        <f t="shared" si="6"/>
        <v>0.18499999999999961</v>
      </c>
    </row>
    <row r="132" spans="1:11" x14ac:dyDescent="0.2">
      <c r="A132" t="s">
        <v>717</v>
      </c>
      <c r="B132">
        <v>5.4960000000000002E-2</v>
      </c>
      <c r="C132">
        <v>236</v>
      </c>
      <c r="D132" t="s">
        <v>717</v>
      </c>
      <c r="E132">
        <v>236</v>
      </c>
      <c r="F132" s="1">
        <v>45162</v>
      </c>
      <c r="G132" s="7">
        <v>7.3541666666667425</v>
      </c>
      <c r="H132" s="10">
        <v>3.92349999999999</v>
      </c>
      <c r="I132" s="9">
        <f t="shared" si="8"/>
        <v>-3.92349999999999</v>
      </c>
      <c r="J132" s="9">
        <f t="shared" si="7"/>
        <v>0.22300000000000963</v>
      </c>
      <c r="K132">
        <f t="shared" si="6"/>
        <v>0.21050000000000457</v>
      </c>
    </row>
    <row r="133" spans="1:11" x14ac:dyDescent="0.2">
      <c r="A133" t="s">
        <v>719</v>
      </c>
      <c r="B133">
        <v>5.4614999999999997E-2</v>
      </c>
      <c r="C133">
        <v>236</v>
      </c>
      <c r="D133" t="s">
        <v>719</v>
      </c>
      <c r="E133">
        <v>236</v>
      </c>
      <c r="F133" s="1">
        <v>45162</v>
      </c>
      <c r="G133" s="7">
        <v>7.3645833333334094</v>
      </c>
      <c r="H133" s="10">
        <v>3.899</v>
      </c>
      <c r="I133" s="9">
        <f t="shared" si="8"/>
        <v>-3.899</v>
      </c>
      <c r="J133" s="9">
        <f t="shared" si="7"/>
        <v>0.24749999999999961</v>
      </c>
      <c r="K133">
        <f t="shared" si="6"/>
        <v>0.23525000000000462</v>
      </c>
    </row>
    <row r="134" spans="1:11" x14ac:dyDescent="0.2">
      <c r="A134" t="s">
        <v>720</v>
      </c>
      <c r="B134">
        <v>5.3754999999999997E-2</v>
      </c>
      <c r="C134">
        <v>236</v>
      </c>
      <c r="D134" t="s">
        <v>720</v>
      </c>
      <c r="E134">
        <v>236</v>
      </c>
      <c r="F134" s="1">
        <v>45162</v>
      </c>
      <c r="G134" s="7">
        <v>7.3750000000000764</v>
      </c>
      <c r="H134" s="10">
        <v>3.8370000000000002</v>
      </c>
      <c r="I134" s="9">
        <f t="shared" si="8"/>
        <v>-3.8370000000000002</v>
      </c>
      <c r="J134" s="9">
        <f t="shared" si="7"/>
        <v>0.30949999999999944</v>
      </c>
      <c r="K134">
        <f t="shared" si="6"/>
        <v>0.27849999999999953</v>
      </c>
    </row>
    <row r="135" spans="1:11" x14ac:dyDescent="0.2">
      <c r="A135" t="s">
        <v>721</v>
      </c>
      <c r="B135">
        <v>5.314E-2</v>
      </c>
      <c r="C135">
        <v>236</v>
      </c>
      <c r="D135" t="s">
        <v>721</v>
      </c>
      <c r="E135">
        <v>236</v>
      </c>
      <c r="F135" s="1">
        <v>45162</v>
      </c>
      <c r="G135" s="7">
        <v>7.3854166666667433</v>
      </c>
      <c r="H135" s="10">
        <v>3.794</v>
      </c>
      <c r="I135" s="9">
        <f t="shared" si="8"/>
        <v>-3.794</v>
      </c>
      <c r="J135" s="9">
        <f t="shared" si="7"/>
        <v>0.35249999999999959</v>
      </c>
      <c r="K135">
        <f t="shared" si="6"/>
        <v>0.33099999999999952</v>
      </c>
    </row>
    <row r="136" spans="1:11" x14ac:dyDescent="0.2">
      <c r="A136" t="s">
        <v>722</v>
      </c>
      <c r="B136">
        <v>5.262E-2</v>
      </c>
      <c r="C136">
        <v>236</v>
      </c>
      <c r="D136" t="s">
        <v>722</v>
      </c>
      <c r="E136">
        <v>236</v>
      </c>
      <c r="F136" s="1">
        <v>45162</v>
      </c>
      <c r="G136" s="7">
        <v>7.3958333333334103</v>
      </c>
      <c r="H136" s="10">
        <v>3.7565</v>
      </c>
      <c r="I136" s="9">
        <f t="shared" si="8"/>
        <v>-3.7565</v>
      </c>
      <c r="J136" s="9">
        <f t="shared" si="7"/>
        <v>0.38999999999999968</v>
      </c>
      <c r="K136">
        <f t="shared" si="6"/>
        <v>0.37124999999999964</v>
      </c>
    </row>
    <row r="137" spans="1:11" x14ac:dyDescent="0.2">
      <c r="A137" t="s">
        <v>723</v>
      </c>
      <c r="B137">
        <v>5.1900000000000002E-2</v>
      </c>
      <c r="C137">
        <v>236</v>
      </c>
      <c r="D137" t="s">
        <v>723</v>
      </c>
      <c r="E137">
        <v>236</v>
      </c>
      <c r="F137" s="1">
        <v>45162</v>
      </c>
      <c r="G137" s="7">
        <v>7.4062500000000773</v>
      </c>
      <c r="H137" s="10">
        <v>3.7054999999999998</v>
      </c>
      <c r="I137" s="9">
        <f t="shared" si="8"/>
        <v>-3.7054999999999998</v>
      </c>
      <c r="J137" s="9">
        <f t="shared" si="7"/>
        <v>0.44099999999999984</v>
      </c>
      <c r="K137">
        <f t="shared" si="6"/>
        <v>0.41549999999999976</v>
      </c>
    </row>
    <row r="138" spans="1:11" x14ac:dyDescent="0.2">
      <c r="A138" t="s">
        <v>724</v>
      </c>
      <c r="B138">
        <v>5.1049999999999998E-2</v>
      </c>
      <c r="C138">
        <v>236</v>
      </c>
      <c r="D138" t="s">
        <v>724</v>
      </c>
      <c r="E138">
        <v>236</v>
      </c>
      <c r="F138" s="1">
        <v>45162</v>
      </c>
      <c r="G138" s="7">
        <v>7.4166666666667442</v>
      </c>
      <c r="H138" s="10">
        <v>3.6469999999999998</v>
      </c>
      <c r="I138" s="9">
        <f t="shared" si="8"/>
        <v>-3.6469999999999998</v>
      </c>
      <c r="J138" s="9">
        <f t="shared" si="7"/>
        <v>0.49949999999999983</v>
      </c>
      <c r="K138">
        <f t="shared" si="6"/>
        <v>0.47024999999999983</v>
      </c>
    </row>
    <row r="139" spans="1:11" x14ac:dyDescent="0.2">
      <c r="A139" t="s">
        <v>725</v>
      </c>
      <c r="B139">
        <v>5.0430000000000003E-2</v>
      </c>
      <c r="C139">
        <v>236</v>
      </c>
      <c r="D139" t="s">
        <v>725</v>
      </c>
      <c r="E139">
        <v>236</v>
      </c>
      <c r="F139" s="1">
        <v>45162</v>
      </c>
      <c r="G139" s="7">
        <v>7.4270833333334112</v>
      </c>
      <c r="H139" s="10">
        <v>3.6004999999999998</v>
      </c>
      <c r="I139" s="9">
        <f t="shared" si="8"/>
        <v>-3.6004999999999998</v>
      </c>
      <c r="J139" s="9">
        <f t="shared" si="7"/>
        <v>0.54599999999999982</v>
      </c>
      <c r="K139">
        <f t="shared" si="6"/>
        <v>0.52274999999999983</v>
      </c>
    </row>
    <row r="140" spans="1:11" x14ac:dyDescent="0.2">
      <c r="A140" t="s">
        <v>726</v>
      </c>
      <c r="B140">
        <v>5.0744999999999998E-2</v>
      </c>
      <c r="C140">
        <v>236</v>
      </c>
      <c r="D140" t="s">
        <v>726</v>
      </c>
      <c r="E140">
        <v>236</v>
      </c>
      <c r="F140" s="1">
        <v>45162</v>
      </c>
      <c r="G140" s="7">
        <v>7.4375000000000782</v>
      </c>
      <c r="H140" s="10">
        <v>3.6230000000000002</v>
      </c>
      <c r="I140" s="9">
        <f t="shared" si="8"/>
        <v>-3.6230000000000002</v>
      </c>
      <c r="J140" s="9">
        <f t="shared" si="7"/>
        <v>0.52349999999999941</v>
      </c>
      <c r="K140">
        <f t="shared" si="6"/>
        <v>0.53474999999999961</v>
      </c>
    </row>
    <row r="141" spans="1:11" x14ac:dyDescent="0.2">
      <c r="A141" t="s">
        <v>727</v>
      </c>
      <c r="B141">
        <v>5.1139999999999998E-2</v>
      </c>
      <c r="C141">
        <v>236</v>
      </c>
      <c r="D141" t="s">
        <v>727</v>
      </c>
      <c r="E141">
        <v>236</v>
      </c>
      <c r="F141" s="1">
        <v>45162</v>
      </c>
      <c r="G141" s="7">
        <v>7.4479166666667451</v>
      </c>
      <c r="H141" s="10">
        <v>3.6515</v>
      </c>
      <c r="I141" s="9">
        <f t="shared" si="8"/>
        <v>-3.6515</v>
      </c>
      <c r="J141" s="9">
        <f t="shared" si="7"/>
        <v>0.49499999999999966</v>
      </c>
      <c r="K141">
        <f t="shared" si="6"/>
        <v>0.50924999999999954</v>
      </c>
    </row>
    <row r="142" spans="1:11" x14ac:dyDescent="0.2">
      <c r="A142" t="s">
        <v>728</v>
      </c>
      <c r="B142">
        <v>5.083E-2</v>
      </c>
      <c r="C142">
        <v>236</v>
      </c>
      <c r="D142" t="s">
        <v>728</v>
      </c>
      <c r="E142">
        <v>236</v>
      </c>
      <c r="F142" s="1">
        <v>45162</v>
      </c>
      <c r="G142" s="7">
        <v>7.4583333333334121</v>
      </c>
      <c r="H142" s="10">
        <v>3.6284999999999998</v>
      </c>
      <c r="I142" s="9">
        <f t="shared" si="8"/>
        <v>-3.6284999999999998</v>
      </c>
      <c r="J142" s="9">
        <f t="shared" si="7"/>
        <v>0.51799999999999979</v>
      </c>
      <c r="K142">
        <f t="shared" si="6"/>
        <v>0.50649999999999973</v>
      </c>
    </row>
    <row r="143" spans="1:11" x14ac:dyDescent="0.2">
      <c r="A143" t="s">
        <v>729</v>
      </c>
      <c r="B143">
        <v>5.0724999999999999E-2</v>
      </c>
      <c r="C143">
        <v>236</v>
      </c>
      <c r="D143" t="s">
        <v>729</v>
      </c>
      <c r="E143">
        <v>236</v>
      </c>
      <c r="F143" s="1">
        <v>45162</v>
      </c>
      <c r="G143" s="7">
        <v>7.468750000000079</v>
      </c>
      <c r="H143" s="10">
        <v>3.6225000000000001</v>
      </c>
      <c r="I143" s="9">
        <f t="shared" si="8"/>
        <v>-3.6225000000000001</v>
      </c>
      <c r="J143" s="9">
        <f t="shared" si="7"/>
        <v>0.52399999999999958</v>
      </c>
      <c r="K143">
        <f t="shared" si="6"/>
        <v>0.52099999999999969</v>
      </c>
    </row>
    <row r="144" spans="1:11" x14ac:dyDescent="0.2">
      <c r="A144" t="s">
        <v>730</v>
      </c>
      <c r="B144">
        <v>5.033E-2</v>
      </c>
      <c r="C144">
        <v>236</v>
      </c>
      <c r="D144" t="s">
        <v>730</v>
      </c>
      <c r="E144">
        <v>236</v>
      </c>
      <c r="F144" s="1">
        <v>45162</v>
      </c>
      <c r="G144" s="7">
        <v>7.479166666666746</v>
      </c>
      <c r="H144" s="10">
        <v>3.5935000000000001</v>
      </c>
      <c r="I144" s="9">
        <f t="shared" si="8"/>
        <v>-3.5935000000000001</v>
      </c>
      <c r="J144" s="9">
        <f t="shared" si="7"/>
        <v>0.55299999999999949</v>
      </c>
      <c r="K144">
        <f t="shared" si="6"/>
        <v>0.53849999999999953</v>
      </c>
    </row>
    <row r="145" spans="1:11" x14ac:dyDescent="0.2">
      <c r="A145" t="s">
        <v>731</v>
      </c>
      <c r="B145">
        <v>4.9880000000000001E-2</v>
      </c>
      <c r="C145">
        <v>236</v>
      </c>
      <c r="D145" t="s">
        <v>731</v>
      </c>
      <c r="E145">
        <v>236</v>
      </c>
      <c r="F145" s="1">
        <v>45162</v>
      </c>
      <c r="G145" s="7">
        <v>7.489583333333413</v>
      </c>
      <c r="H145" s="10">
        <v>3.5605000000000002</v>
      </c>
      <c r="I145" s="9">
        <f t="shared" si="8"/>
        <v>-3.5605000000000002</v>
      </c>
      <c r="J145" s="9">
        <f t="shared" si="7"/>
        <v>0.58599999999999941</v>
      </c>
      <c r="K145">
        <f t="shared" si="6"/>
        <v>0.56949999999999945</v>
      </c>
    </row>
    <row r="146" spans="1:11" x14ac:dyDescent="0.2">
      <c r="A146" t="s">
        <v>732</v>
      </c>
      <c r="B146">
        <v>5.0070000000000003E-2</v>
      </c>
      <c r="C146">
        <v>236</v>
      </c>
      <c r="D146" t="s">
        <v>732</v>
      </c>
      <c r="E146">
        <v>236</v>
      </c>
      <c r="F146" s="1">
        <v>45162</v>
      </c>
      <c r="G146" s="7">
        <v>7.5000000000000799</v>
      </c>
      <c r="H146" s="10">
        <v>3.5739999999999998</v>
      </c>
      <c r="I146" s="9">
        <f t="shared" si="8"/>
        <v>-3.5739999999999998</v>
      </c>
      <c r="J146" s="9">
        <f t="shared" si="7"/>
        <v>0.57249999999999979</v>
      </c>
      <c r="K146">
        <f t="shared" si="6"/>
        <v>0.5792499999999996</v>
      </c>
    </row>
    <row r="147" spans="1:11" x14ac:dyDescent="0.2">
      <c r="A147" t="s">
        <v>733</v>
      </c>
      <c r="B147">
        <v>4.947E-2</v>
      </c>
      <c r="C147">
        <v>236</v>
      </c>
      <c r="D147" t="s">
        <v>733</v>
      </c>
      <c r="E147">
        <v>236</v>
      </c>
      <c r="F147" s="1">
        <v>45162</v>
      </c>
      <c r="G147" s="7">
        <v>7.5104166666667469</v>
      </c>
      <c r="H147" s="10">
        <v>3.5335000000000001</v>
      </c>
      <c r="I147" s="9">
        <f t="shared" si="8"/>
        <v>-3.5335000000000001</v>
      </c>
      <c r="J147" s="9">
        <f t="shared" si="7"/>
        <v>0.61299999999999955</v>
      </c>
      <c r="K147">
        <f t="shared" si="6"/>
        <v>0.59274999999999967</v>
      </c>
    </row>
    <row r="148" spans="1:11" x14ac:dyDescent="0.2">
      <c r="A148" t="s">
        <v>734</v>
      </c>
      <c r="B148" t="s">
        <v>735</v>
      </c>
      <c r="C148">
        <v>236</v>
      </c>
      <c r="D148" t="s">
        <v>734</v>
      </c>
      <c r="E148">
        <v>236</v>
      </c>
      <c r="F148" s="1">
        <v>45162</v>
      </c>
      <c r="G148" s="7">
        <v>7.5208333333334139</v>
      </c>
      <c r="H148" s="10">
        <v>3.5165000000000002</v>
      </c>
      <c r="I148" s="9">
        <f t="shared" si="8"/>
        <v>-3.5165000000000002</v>
      </c>
      <c r="J148" s="9">
        <f t="shared" si="7"/>
        <v>0.62999999999999945</v>
      </c>
      <c r="K148">
        <f t="shared" si="6"/>
        <v>0.6214999999999995</v>
      </c>
    </row>
    <row r="149" spans="1:11" x14ac:dyDescent="0.2">
      <c r="A149" t="s">
        <v>736</v>
      </c>
      <c r="B149">
        <v>4.9064999999999998E-2</v>
      </c>
      <c r="C149">
        <v>236</v>
      </c>
      <c r="D149" t="s">
        <v>736</v>
      </c>
      <c r="E149">
        <v>236</v>
      </c>
      <c r="F149" s="1">
        <v>45162</v>
      </c>
      <c r="G149" s="7">
        <v>7.5312500000000808</v>
      </c>
      <c r="H149" s="10">
        <v>3.5034999999999998</v>
      </c>
      <c r="I149" s="9">
        <f t="shared" si="8"/>
        <v>-3.5034999999999998</v>
      </c>
      <c r="J149" s="9">
        <f t="shared" si="7"/>
        <v>0.64299999999999979</v>
      </c>
      <c r="K149">
        <f t="shared" si="6"/>
        <v>0.63649999999999962</v>
      </c>
    </row>
    <row r="150" spans="1:11" x14ac:dyDescent="0.2">
      <c r="A150" t="s">
        <v>737</v>
      </c>
      <c r="B150">
        <v>4.8559999999999999E-2</v>
      </c>
      <c r="C150">
        <v>236</v>
      </c>
      <c r="D150" t="s">
        <v>737</v>
      </c>
      <c r="E150">
        <v>236</v>
      </c>
      <c r="F150" s="1">
        <v>45162</v>
      </c>
      <c r="G150" s="7">
        <v>7.5416666666667478</v>
      </c>
      <c r="H150" s="10">
        <v>3.4674999999999998</v>
      </c>
      <c r="I150" s="9">
        <f t="shared" si="8"/>
        <v>-3.4674999999999998</v>
      </c>
      <c r="J150" s="9">
        <f t="shared" si="7"/>
        <v>0.67899999999999983</v>
      </c>
      <c r="K150">
        <f t="shared" si="6"/>
        <v>0.66099999999999981</v>
      </c>
    </row>
    <row r="151" spans="1:11" x14ac:dyDescent="0.2">
      <c r="A151" t="s">
        <v>739</v>
      </c>
      <c r="B151">
        <v>4.8570000000000002E-2</v>
      </c>
      <c r="C151">
        <v>236</v>
      </c>
      <c r="D151" t="s">
        <v>739</v>
      </c>
      <c r="E151">
        <v>236</v>
      </c>
      <c r="F151" s="1">
        <v>45162</v>
      </c>
      <c r="G151" s="7">
        <v>7.5520833333334147</v>
      </c>
      <c r="H151" s="10">
        <v>3.4674999999999998</v>
      </c>
      <c r="I151" s="9">
        <f t="shared" si="8"/>
        <v>-3.4674999999999998</v>
      </c>
      <c r="J151" s="9">
        <f t="shared" si="7"/>
        <v>0.67899999999999983</v>
      </c>
      <c r="K151">
        <f t="shared" si="6"/>
        <v>0.67899999999999983</v>
      </c>
    </row>
    <row r="152" spans="1:11" x14ac:dyDescent="0.2">
      <c r="A152" t="s">
        <v>740</v>
      </c>
      <c r="B152">
        <v>4.8265000000000002E-2</v>
      </c>
      <c r="C152">
        <v>236</v>
      </c>
      <c r="D152" t="s">
        <v>740</v>
      </c>
      <c r="E152">
        <v>236</v>
      </c>
      <c r="F152" s="1">
        <v>45162</v>
      </c>
      <c r="G152" s="7">
        <v>7.5625000000000817</v>
      </c>
      <c r="H152" s="10">
        <v>3.4464999999999999</v>
      </c>
      <c r="I152" s="9">
        <f t="shared" si="8"/>
        <v>-3.4464999999999999</v>
      </c>
      <c r="J152" s="9">
        <f t="shared" si="7"/>
        <v>0.69999999999999973</v>
      </c>
      <c r="K152">
        <f t="shared" si="6"/>
        <v>0.68949999999999978</v>
      </c>
    </row>
    <row r="153" spans="1:11" x14ac:dyDescent="0.2">
      <c r="A153" t="s">
        <v>741</v>
      </c>
      <c r="B153">
        <v>4.7969999999999999E-2</v>
      </c>
      <c r="C153">
        <v>236</v>
      </c>
      <c r="D153" t="s">
        <v>741</v>
      </c>
      <c r="E153">
        <v>236</v>
      </c>
      <c r="F153" s="1">
        <v>45162</v>
      </c>
      <c r="G153" s="7">
        <v>7.5729166666667487</v>
      </c>
      <c r="H153" s="10">
        <v>3.4249999999999998</v>
      </c>
      <c r="I153" s="9">
        <f t="shared" si="8"/>
        <v>-3.4249999999999998</v>
      </c>
      <c r="J153" s="9">
        <f t="shared" si="7"/>
        <v>0.72149999999999981</v>
      </c>
      <c r="K153">
        <f t="shared" si="6"/>
        <v>0.71074999999999977</v>
      </c>
    </row>
    <row r="154" spans="1:11" x14ac:dyDescent="0.2">
      <c r="A154" t="s">
        <v>742</v>
      </c>
      <c r="B154">
        <v>4.7785000000000001E-2</v>
      </c>
      <c r="C154">
        <v>236</v>
      </c>
      <c r="D154" t="s">
        <v>742</v>
      </c>
      <c r="E154">
        <v>236</v>
      </c>
      <c r="F154" s="1">
        <v>45162</v>
      </c>
      <c r="G154" s="7">
        <v>7.5833333333334156</v>
      </c>
      <c r="H154" s="10">
        <v>3.41</v>
      </c>
      <c r="I154" s="9">
        <f t="shared" si="8"/>
        <v>-3.41</v>
      </c>
      <c r="J154" s="9">
        <f t="shared" si="7"/>
        <v>0.73649999999999949</v>
      </c>
      <c r="K154">
        <f t="shared" si="6"/>
        <v>0.72899999999999965</v>
      </c>
    </row>
    <row r="155" spans="1:11" x14ac:dyDescent="0.2">
      <c r="A155" t="s">
        <v>743</v>
      </c>
      <c r="B155">
        <v>4.7864999999999998E-2</v>
      </c>
      <c r="C155">
        <v>236</v>
      </c>
      <c r="D155" t="s">
        <v>743</v>
      </c>
      <c r="E155">
        <v>236</v>
      </c>
      <c r="F155" s="1">
        <v>45162</v>
      </c>
      <c r="G155" s="7">
        <v>7.5937500000000826</v>
      </c>
      <c r="H155" s="10">
        <v>3.4159999999999999</v>
      </c>
      <c r="I155" s="9">
        <f t="shared" si="8"/>
        <v>-3.4159999999999999</v>
      </c>
      <c r="J155" s="9">
        <f t="shared" si="7"/>
        <v>0.73049999999999971</v>
      </c>
      <c r="K155">
        <f t="shared" si="6"/>
        <v>0.7334999999999996</v>
      </c>
    </row>
    <row r="156" spans="1:11" x14ac:dyDescent="0.2">
      <c r="A156" t="s">
        <v>744</v>
      </c>
      <c r="B156">
        <v>4.7129999999999998E-2</v>
      </c>
      <c r="C156">
        <v>236</v>
      </c>
      <c r="D156" t="s">
        <v>744</v>
      </c>
      <c r="E156">
        <v>236</v>
      </c>
      <c r="F156" s="1">
        <v>45162</v>
      </c>
      <c r="G156" s="7">
        <v>7.6041666666667496</v>
      </c>
      <c r="H156" s="10">
        <v>3.367</v>
      </c>
      <c r="I156" s="9">
        <f t="shared" si="8"/>
        <v>-3.367</v>
      </c>
      <c r="J156" s="9">
        <f t="shared" si="7"/>
        <v>0.77949999999999964</v>
      </c>
      <c r="K156">
        <f t="shared" si="6"/>
        <v>0.75499999999999967</v>
      </c>
    </row>
    <row r="157" spans="1:11" x14ac:dyDescent="0.2">
      <c r="A157" t="s">
        <v>745</v>
      </c>
      <c r="B157">
        <v>4.7285000000000001E-2</v>
      </c>
      <c r="C157">
        <v>236</v>
      </c>
      <c r="D157" t="s">
        <v>745</v>
      </c>
      <c r="E157">
        <v>236</v>
      </c>
      <c r="F157" s="1">
        <v>45162</v>
      </c>
      <c r="G157" s="7">
        <v>7.6145833333334165</v>
      </c>
      <c r="H157" s="10">
        <v>3.3765000000000001</v>
      </c>
      <c r="I157" s="9">
        <f t="shared" si="8"/>
        <v>-3.3765000000000001</v>
      </c>
      <c r="J157" s="9">
        <f t="shared" si="7"/>
        <v>0.76999999999999957</v>
      </c>
      <c r="K157">
        <f t="shared" si="6"/>
        <v>0.77474999999999961</v>
      </c>
    </row>
    <row r="158" spans="1:11" x14ac:dyDescent="0.2">
      <c r="A158" t="s">
        <v>746</v>
      </c>
      <c r="B158">
        <v>4.7335000000000002E-2</v>
      </c>
      <c r="C158">
        <v>236</v>
      </c>
      <c r="D158" t="s">
        <v>746</v>
      </c>
      <c r="E158">
        <v>236</v>
      </c>
      <c r="F158" s="1">
        <v>45162</v>
      </c>
      <c r="G158" s="7">
        <v>7.6250000000000835</v>
      </c>
      <c r="H158" s="10">
        <v>3.3795000000000002</v>
      </c>
      <c r="I158" s="9">
        <f t="shared" si="8"/>
        <v>-3.3795000000000002</v>
      </c>
      <c r="J158" s="9">
        <f t="shared" si="7"/>
        <v>0.76699999999999946</v>
      </c>
      <c r="K158">
        <f t="shared" si="6"/>
        <v>0.76849999999999952</v>
      </c>
    </row>
    <row r="159" spans="1:11" x14ac:dyDescent="0.2">
      <c r="A159" t="s">
        <v>747</v>
      </c>
      <c r="B159">
        <v>4.7055E-2</v>
      </c>
      <c r="C159">
        <v>236</v>
      </c>
      <c r="D159" t="s">
        <v>747</v>
      </c>
      <c r="E159">
        <v>236</v>
      </c>
      <c r="F159" s="1">
        <v>45162</v>
      </c>
      <c r="G159" s="7">
        <v>7.6354166666667505</v>
      </c>
      <c r="H159" s="10">
        <v>3.3595000000000002</v>
      </c>
      <c r="I159" s="9">
        <f t="shared" si="8"/>
        <v>-3.3595000000000002</v>
      </c>
      <c r="J159" s="9">
        <f t="shared" si="7"/>
        <v>0.78699999999999948</v>
      </c>
      <c r="K159">
        <f t="shared" si="6"/>
        <v>0.77699999999999947</v>
      </c>
    </row>
    <row r="160" spans="1:11" x14ac:dyDescent="0.2">
      <c r="A160" t="s">
        <v>748</v>
      </c>
      <c r="B160">
        <v>4.6870000000000002E-2</v>
      </c>
      <c r="C160">
        <v>236</v>
      </c>
      <c r="D160" t="s">
        <v>748</v>
      </c>
      <c r="E160">
        <v>236</v>
      </c>
      <c r="F160" s="1">
        <v>45162</v>
      </c>
      <c r="G160" s="7">
        <v>7.6458333333334174</v>
      </c>
      <c r="H160" s="10">
        <v>3.3464999999999998</v>
      </c>
      <c r="I160" s="9">
        <f t="shared" si="8"/>
        <v>-3.3464999999999998</v>
      </c>
      <c r="J160" s="9">
        <f t="shared" si="7"/>
        <v>0.79999999999999982</v>
      </c>
      <c r="K160">
        <f t="shared" si="6"/>
        <v>0.79349999999999965</v>
      </c>
    </row>
    <row r="161" spans="1:11" x14ac:dyDescent="0.2">
      <c r="A161" t="s">
        <v>749</v>
      </c>
      <c r="B161">
        <v>4.7030000000000002E-2</v>
      </c>
      <c r="C161">
        <v>236</v>
      </c>
      <c r="D161" t="s">
        <v>749</v>
      </c>
      <c r="E161">
        <v>236</v>
      </c>
      <c r="F161" s="1">
        <v>45162</v>
      </c>
      <c r="G161" s="7">
        <v>7.6562500000000844</v>
      </c>
      <c r="H161" s="10">
        <v>3.3580000000000001</v>
      </c>
      <c r="I161" s="9">
        <f t="shared" si="8"/>
        <v>-3.3580000000000001</v>
      </c>
      <c r="J161" s="9">
        <f t="shared" si="7"/>
        <v>0.78849999999999953</v>
      </c>
      <c r="K161">
        <f t="shared" si="6"/>
        <v>0.79424999999999968</v>
      </c>
    </row>
    <row r="162" spans="1:11" x14ac:dyDescent="0.2">
      <c r="A162" t="s">
        <v>750</v>
      </c>
      <c r="B162">
        <v>4.6780000000000002E-2</v>
      </c>
      <c r="C162">
        <v>236</v>
      </c>
      <c r="D162" t="s">
        <v>750</v>
      </c>
      <c r="E162">
        <v>236</v>
      </c>
      <c r="F162" s="1">
        <v>45162</v>
      </c>
      <c r="G162" s="7">
        <v>7.6666666666667513</v>
      </c>
      <c r="H162" s="10">
        <v>3.3414999999999999</v>
      </c>
      <c r="I162" s="9">
        <f t="shared" si="8"/>
        <v>-3.3414999999999999</v>
      </c>
      <c r="J162" s="9">
        <f t="shared" si="7"/>
        <v>0.80499999999999972</v>
      </c>
      <c r="K162">
        <f t="shared" si="6"/>
        <v>0.79674999999999963</v>
      </c>
    </row>
    <row r="163" spans="1:11" x14ac:dyDescent="0.2">
      <c r="A163" t="s">
        <v>751</v>
      </c>
      <c r="B163">
        <v>4.6434999999999997E-2</v>
      </c>
      <c r="C163">
        <v>236</v>
      </c>
      <c r="D163" t="s">
        <v>751</v>
      </c>
      <c r="E163">
        <v>236</v>
      </c>
      <c r="F163" s="1">
        <v>45162</v>
      </c>
      <c r="G163" s="7">
        <v>7.6770833333334183</v>
      </c>
      <c r="H163" s="10">
        <v>3.3155000000000001</v>
      </c>
      <c r="I163" s="9">
        <f t="shared" si="8"/>
        <v>-3.3155000000000001</v>
      </c>
      <c r="J163" s="9">
        <f t="shared" si="7"/>
        <v>0.83099999999999952</v>
      </c>
      <c r="K163">
        <f t="shared" si="6"/>
        <v>0.81799999999999962</v>
      </c>
    </row>
    <row r="164" spans="1:11" x14ac:dyDescent="0.2">
      <c r="A164" t="s">
        <v>752</v>
      </c>
      <c r="B164">
        <v>4.6274999999999997E-2</v>
      </c>
      <c r="C164">
        <v>236</v>
      </c>
      <c r="D164" t="s">
        <v>752</v>
      </c>
      <c r="E164">
        <v>236</v>
      </c>
      <c r="F164" s="1">
        <v>45162</v>
      </c>
      <c r="G164" s="7">
        <v>7.6875000000000853</v>
      </c>
      <c r="H164" s="10">
        <v>3.302</v>
      </c>
      <c r="I164" s="9">
        <f t="shared" si="8"/>
        <v>-3.302</v>
      </c>
      <c r="J164" s="9">
        <f t="shared" si="7"/>
        <v>0.84449999999999958</v>
      </c>
      <c r="K164">
        <f t="shared" si="6"/>
        <v>0.83774999999999955</v>
      </c>
    </row>
    <row r="165" spans="1:11" x14ac:dyDescent="0.2">
      <c r="A165" t="s">
        <v>753</v>
      </c>
      <c r="B165">
        <v>4.6875E-2</v>
      </c>
      <c r="C165">
        <v>236</v>
      </c>
      <c r="D165" t="s">
        <v>753</v>
      </c>
      <c r="E165">
        <v>236</v>
      </c>
      <c r="F165" s="1">
        <v>45162</v>
      </c>
      <c r="G165" s="7">
        <v>7.6979166666667522</v>
      </c>
      <c r="H165" s="10">
        <v>3.3450000000000002</v>
      </c>
      <c r="I165" s="9">
        <f t="shared" si="8"/>
        <v>-3.3450000000000002</v>
      </c>
      <c r="J165" s="9">
        <f t="shared" si="7"/>
        <v>0.80149999999999944</v>
      </c>
      <c r="K165">
        <f t="shared" si="6"/>
        <v>0.82299999999999951</v>
      </c>
    </row>
    <row r="166" spans="1:11" x14ac:dyDescent="0.2">
      <c r="A166" t="s">
        <v>754</v>
      </c>
      <c r="B166" s="17">
        <v>4.6100000000000002E-2</v>
      </c>
      <c r="C166" s="17">
        <v>236</v>
      </c>
      <c r="D166" s="17" t="s">
        <v>754</v>
      </c>
      <c r="E166" s="17">
        <v>236</v>
      </c>
      <c r="F166" s="18">
        <v>45162</v>
      </c>
      <c r="G166" s="19">
        <v>7.7083333333334192</v>
      </c>
      <c r="H166" s="16">
        <v>3.2915000000000001</v>
      </c>
      <c r="I166" s="9">
        <f t="shared" si="8"/>
        <v>-3.2915000000000001</v>
      </c>
      <c r="J166" s="9">
        <f t="shared" si="7"/>
        <v>0.85499999999999954</v>
      </c>
      <c r="K166">
        <f t="shared" si="6"/>
        <v>0.82824999999999949</v>
      </c>
    </row>
    <row r="167" spans="1:11" x14ac:dyDescent="0.2">
      <c r="A167" t="s">
        <v>755</v>
      </c>
      <c r="B167">
        <v>4.6804999999999999E-2</v>
      </c>
      <c r="C167">
        <v>236</v>
      </c>
      <c r="D167" t="s">
        <v>755</v>
      </c>
      <c r="E167">
        <v>236</v>
      </c>
      <c r="F167" s="1">
        <v>45162</v>
      </c>
      <c r="G167" s="7">
        <v>7.7187500000000862</v>
      </c>
      <c r="H167" s="10">
        <v>3.3395000000000001</v>
      </c>
      <c r="I167" s="9">
        <f t="shared" si="8"/>
        <v>-3.3395000000000001</v>
      </c>
      <c r="J167" s="9">
        <f t="shared" si="7"/>
        <v>0.8069999999999995</v>
      </c>
      <c r="K167">
        <f t="shared" si="6"/>
        <v>0.83099999999999952</v>
      </c>
    </row>
    <row r="168" spans="1:11" x14ac:dyDescent="0.2">
      <c r="A168" t="s">
        <v>756</v>
      </c>
      <c r="B168">
        <v>4.6420000000000003E-2</v>
      </c>
      <c r="C168">
        <v>236</v>
      </c>
      <c r="D168" t="s">
        <v>756</v>
      </c>
      <c r="E168">
        <v>236</v>
      </c>
      <c r="F168" s="1">
        <v>45162</v>
      </c>
      <c r="G168" s="7">
        <v>7.7291666666667531</v>
      </c>
      <c r="H168" s="10">
        <v>3.3144999999999998</v>
      </c>
      <c r="I168" s="9">
        <f t="shared" si="8"/>
        <v>-3.3144999999999998</v>
      </c>
      <c r="J168" s="9">
        <f t="shared" si="7"/>
        <v>0.83199999999999985</v>
      </c>
      <c r="K168">
        <f t="shared" si="6"/>
        <v>0.81949999999999967</v>
      </c>
    </row>
    <row r="169" spans="1:11" x14ac:dyDescent="0.2">
      <c r="A169" t="s">
        <v>758</v>
      </c>
      <c r="B169">
        <v>4.6980000000000001E-2</v>
      </c>
      <c r="C169">
        <v>236</v>
      </c>
      <c r="D169" t="s">
        <v>758</v>
      </c>
      <c r="E169">
        <v>236</v>
      </c>
      <c r="F169" s="1">
        <v>45162</v>
      </c>
      <c r="G169" s="7">
        <v>7.7395833333334201</v>
      </c>
      <c r="H169" s="10">
        <v>3.3544999999999998</v>
      </c>
      <c r="I169" s="9">
        <f t="shared" si="8"/>
        <v>-3.3544999999999998</v>
      </c>
      <c r="J169" s="9">
        <f t="shared" si="7"/>
        <v>0.79199999999999982</v>
      </c>
      <c r="K169">
        <f t="shared" si="6"/>
        <v>0.81199999999999983</v>
      </c>
    </row>
    <row r="170" spans="1:11" x14ac:dyDescent="0.2">
      <c r="A170" t="s">
        <v>759</v>
      </c>
      <c r="B170">
        <v>4.6774999999999997E-2</v>
      </c>
      <c r="C170">
        <v>237</v>
      </c>
      <c r="D170" t="s">
        <v>759</v>
      </c>
      <c r="E170">
        <v>236</v>
      </c>
      <c r="F170" s="1">
        <v>45162</v>
      </c>
      <c r="G170" s="7">
        <v>7.750000000000087</v>
      </c>
      <c r="H170" s="10">
        <v>3.3384999999999998</v>
      </c>
      <c r="I170" s="9">
        <f t="shared" si="8"/>
        <v>-3.3384999999999998</v>
      </c>
      <c r="J170" s="9">
        <f t="shared" si="7"/>
        <v>0.80799999999999983</v>
      </c>
      <c r="K170">
        <f t="shared" si="6"/>
        <v>0.79999999999999982</v>
      </c>
    </row>
    <row r="171" spans="1:11" x14ac:dyDescent="0.2">
      <c r="A171" t="s">
        <v>760</v>
      </c>
      <c r="B171">
        <v>4.6679999999999999E-2</v>
      </c>
      <c r="C171">
        <v>237</v>
      </c>
      <c r="D171" t="s">
        <v>760</v>
      </c>
      <c r="E171">
        <v>236</v>
      </c>
      <c r="F171" s="1">
        <v>45162</v>
      </c>
      <c r="G171" s="7">
        <v>7.760416666666754</v>
      </c>
      <c r="H171" s="10">
        <v>3.3334999999999999</v>
      </c>
      <c r="I171" s="9">
        <f t="shared" si="8"/>
        <v>-3.3334999999999999</v>
      </c>
      <c r="J171" s="9">
        <f t="shared" si="7"/>
        <v>0.81299999999999972</v>
      </c>
      <c r="K171">
        <f t="shared" si="6"/>
        <v>0.81049999999999978</v>
      </c>
    </row>
    <row r="172" spans="1:11" x14ac:dyDescent="0.2">
      <c r="A172" t="s">
        <v>761</v>
      </c>
      <c r="B172">
        <v>4.6850000000000003E-2</v>
      </c>
      <c r="C172">
        <v>237</v>
      </c>
      <c r="D172" t="s">
        <v>761</v>
      </c>
      <c r="E172">
        <v>236</v>
      </c>
      <c r="F172" s="1">
        <v>45162</v>
      </c>
      <c r="G172" s="7">
        <v>7.770833333333421</v>
      </c>
      <c r="H172" s="10">
        <v>3.3450000000000002</v>
      </c>
      <c r="I172" s="9">
        <f t="shared" si="8"/>
        <v>-3.3450000000000002</v>
      </c>
      <c r="J172" s="9">
        <f t="shared" si="7"/>
        <v>0.80149999999999944</v>
      </c>
      <c r="K172">
        <f t="shared" si="6"/>
        <v>0.80724999999999958</v>
      </c>
    </row>
    <row r="173" spans="1:11" x14ac:dyDescent="0.2">
      <c r="A173" t="s">
        <v>762</v>
      </c>
      <c r="B173">
        <v>4.6780000000000002E-2</v>
      </c>
      <c r="C173">
        <v>237</v>
      </c>
      <c r="D173" t="s">
        <v>762</v>
      </c>
      <c r="E173">
        <v>236</v>
      </c>
      <c r="F173" s="1">
        <v>45162</v>
      </c>
      <c r="G173" s="7">
        <v>7.7812500000000879</v>
      </c>
      <c r="H173" s="10">
        <v>3.34</v>
      </c>
      <c r="I173" s="9">
        <f t="shared" si="8"/>
        <v>-3.34</v>
      </c>
      <c r="J173" s="9">
        <f t="shared" si="7"/>
        <v>0.80649999999999977</v>
      </c>
      <c r="K173">
        <f t="shared" si="6"/>
        <v>0.8039999999999996</v>
      </c>
    </row>
    <row r="174" spans="1:11" x14ac:dyDescent="0.2">
      <c r="A174" t="s">
        <v>763</v>
      </c>
      <c r="B174">
        <v>4.7015000000000001E-2</v>
      </c>
      <c r="C174">
        <v>237</v>
      </c>
      <c r="D174" t="s">
        <v>763</v>
      </c>
      <c r="E174">
        <v>236</v>
      </c>
      <c r="F174" s="1">
        <v>45162</v>
      </c>
      <c r="G174" s="7">
        <v>7.7916666666667549</v>
      </c>
      <c r="H174" s="10">
        <v>3.3574999999999999</v>
      </c>
      <c r="I174" s="9">
        <f t="shared" si="8"/>
        <v>-3.3574999999999999</v>
      </c>
      <c r="J174" s="9">
        <f t="shared" si="7"/>
        <v>0.7889999999999997</v>
      </c>
      <c r="K174">
        <f t="shared" si="6"/>
        <v>0.79774999999999974</v>
      </c>
    </row>
    <row r="175" spans="1:11" x14ac:dyDescent="0.2">
      <c r="A175" t="s">
        <v>764</v>
      </c>
      <c r="B175">
        <v>4.6760000000000003E-2</v>
      </c>
      <c r="C175">
        <v>237</v>
      </c>
      <c r="D175" t="s">
        <v>764</v>
      </c>
      <c r="E175">
        <v>236</v>
      </c>
      <c r="F175" s="1">
        <v>45162</v>
      </c>
      <c r="G175" s="7">
        <v>7.8020833333334219</v>
      </c>
      <c r="H175" s="10">
        <v>3.3395000000000001</v>
      </c>
      <c r="I175" s="9">
        <f t="shared" si="8"/>
        <v>-3.3395000000000001</v>
      </c>
      <c r="J175" s="9">
        <f t="shared" si="7"/>
        <v>0.8069999999999995</v>
      </c>
      <c r="K175">
        <f t="shared" si="6"/>
        <v>0.7979999999999996</v>
      </c>
    </row>
    <row r="176" spans="1:11" x14ac:dyDescent="0.2">
      <c r="A176" t="s">
        <v>765</v>
      </c>
      <c r="B176">
        <v>4.6934999999999998E-2</v>
      </c>
      <c r="C176">
        <v>237</v>
      </c>
      <c r="D176" t="s">
        <v>765</v>
      </c>
      <c r="E176">
        <v>236</v>
      </c>
      <c r="F176" s="1">
        <v>45162</v>
      </c>
      <c r="G176" s="7">
        <v>7.8125000000000888</v>
      </c>
      <c r="H176" s="10">
        <v>3.3504999999999998</v>
      </c>
      <c r="I176" s="9">
        <f t="shared" si="8"/>
        <v>-3.3504999999999998</v>
      </c>
      <c r="J176" s="9">
        <f t="shared" si="7"/>
        <v>0.79599999999999982</v>
      </c>
      <c r="K176">
        <f t="shared" si="6"/>
        <v>0.80149999999999966</v>
      </c>
    </row>
    <row r="177" spans="1:11" x14ac:dyDescent="0.2">
      <c r="A177" t="s">
        <v>766</v>
      </c>
      <c r="B177">
        <v>4.6894999999999999E-2</v>
      </c>
      <c r="C177">
        <v>237</v>
      </c>
      <c r="D177" t="s">
        <v>766</v>
      </c>
      <c r="E177">
        <v>236</v>
      </c>
      <c r="F177" s="1">
        <v>45162</v>
      </c>
      <c r="G177" s="7">
        <v>7.8229166666667558</v>
      </c>
      <c r="H177" s="10">
        <v>3.3490000000000002</v>
      </c>
      <c r="I177" s="9">
        <f t="shared" si="8"/>
        <v>-3.3490000000000002</v>
      </c>
      <c r="J177" s="9">
        <f t="shared" si="7"/>
        <v>0.79749999999999943</v>
      </c>
      <c r="K177">
        <f t="shared" ref="K177:K240" si="9" xml:space="preserve"> (J176+J177)/2</f>
        <v>0.79674999999999963</v>
      </c>
    </row>
    <row r="178" spans="1:11" x14ac:dyDescent="0.2">
      <c r="A178" t="s">
        <v>767</v>
      </c>
      <c r="B178">
        <v>4.6945000000000001E-2</v>
      </c>
      <c r="C178">
        <v>237</v>
      </c>
      <c r="D178" t="s">
        <v>767</v>
      </c>
      <c r="E178">
        <v>236</v>
      </c>
      <c r="F178" s="1">
        <v>45162</v>
      </c>
      <c r="G178" s="7">
        <v>7.8333333333334227</v>
      </c>
      <c r="H178" s="10">
        <v>3.3525</v>
      </c>
      <c r="I178" s="9">
        <f t="shared" si="8"/>
        <v>-3.3525</v>
      </c>
      <c r="J178" s="9">
        <f t="shared" ref="J178:J208" si="10">I178+4.1465</f>
        <v>0.79399999999999959</v>
      </c>
      <c r="K178">
        <f t="shared" si="9"/>
        <v>0.79574999999999951</v>
      </c>
    </row>
    <row r="179" spans="1:11" x14ac:dyDescent="0.2">
      <c r="A179" t="s">
        <v>768</v>
      </c>
      <c r="B179">
        <v>4.6859999999999999E-2</v>
      </c>
      <c r="C179">
        <v>237</v>
      </c>
      <c r="D179" t="s">
        <v>768</v>
      </c>
      <c r="E179">
        <v>236</v>
      </c>
      <c r="F179" s="1">
        <v>45162</v>
      </c>
      <c r="G179" s="7">
        <v>7.8437500000000897</v>
      </c>
      <c r="H179" s="10">
        <v>3.3464999999999998</v>
      </c>
      <c r="I179" s="9">
        <f t="shared" si="8"/>
        <v>-3.3464999999999998</v>
      </c>
      <c r="J179" s="9">
        <f t="shared" si="10"/>
        <v>0.79999999999999982</v>
      </c>
      <c r="K179">
        <f t="shared" si="9"/>
        <v>0.79699999999999971</v>
      </c>
    </row>
    <row r="180" spans="1:11" x14ac:dyDescent="0.2">
      <c r="A180" t="s">
        <v>769</v>
      </c>
      <c r="B180">
        <v>4.7280000000000003E-2</v>
      </c>
      <c r="C180">
        <v>237</v>
      </c>
      <c r="D180" t="s">
        <v>769</v>
      </c>
      <c r="E180">
        <v>236</v>
      </c>
      <c r="F180" s="1">
        <v>45162</v>
      </c>
      <c r="G180" s="7">
        <v>7.8541666666667567</v>
      </c>
      <c r="H180" s="10">
        <v>3.37549999999999</v>
      </c>
      <c r="I180" s="9">
        <f t="shared" si="8"/>
        <v>-3.37549999999999</v>
      </c>
      <c r="J180" s="9">
        <f t="shared" si="10"/>
        <v>0.77100000000000968</v>
      </c>
      <c r="K180">
        <f t="shared" si="9"/>
        <v>0.78550000000000475</v>
      </c>
    </row>
    <row r="181" spans="1:11" x14ac:dyDescent="0.2">
      <c r="A181" t="s">
        <v>771</v>
      </c>
      <c r="B181">
        <v>4.7384999999999997E-2</v>
      </c>
      <c r="C181">
        <v>237</v>
      </c>
      <c r="D181" t="s">
        <v>771</v>
      </c>
      <c r="E181">
        <v>236</v>
      </c>
      <c r="F181" s="1">
        <v>45162</v>
      </c>
      <c r="G181" s="7">
        <v>7.8645833333334236</v>
      </c>
      <c r="H181" s="10">
        <v>3.3835000000000002</v>
      </c>
      <c r="I181" s="9">
        <f t="shared" si="8"/>
        <v>-3.3835000000000002</v>
      </c>
      <c r="J181" s="9">
        <f t="shared" si="10"/>
        <v>0.76299999999999946</v>
      </c>
      <c r="K181">
        <f t="shared" si="9"/>
        <v>0.76700000000000457</v>
      </c>
    </row>
    <row r="182" spans="1:11" x14ac:dyDescent="0.2">
      <c r="A182" t="s">
        <v>772</v>
      </c>
      <c r="B182">
        <v>4.7559999999999998E-2</v>
      </c>
      <c r="C182">
        <v>237</v>
      </c>
      <c r="D182" t="s">
        <v>772</v>
      </c>
      <c r="E182">
        <v>236</v>
      </c>
      <c r="F182" s="1">
        <v>45162</v>
      </c>
      <c r="G182" s="7">
        <v>7.8750000000000906</v>
      </c>
      <c r="H182" s="10">
        <v>3.3965000000000001</v>
      </c>
      <c r="I182" s="9">
        <f t="shared" si="8"/>
        <v>-3.3965000000000001</v>
      </c>
      <c r="J182" s="9">
        <f t="shared" si="10"/>
        <v>0.74999999999999956</v>
      </c>
      <c r="K182">
        <f t="shared" si="9"/>
        <v>0.75649999999999951</v>
      </c>
    </row>
    <row r="183" spans="1:11" x14ac:dyDescent="0.2">
      <c r="A183" t="s">
        <v>773</v>
      </c>
      <c r="B183">
        <v>4.8000000000000001E-2</v>
      </c>
      <c r="C183">
        <v>237</v>
      </c>
      <c r="D183" t="s">
        <v>773</v>
      </c>
      <c r="E183">
        <v>236</v>
      </c>
      <c r="F183" s="1">
        <v>45162</v>
      </c>
      <c r="G183" s="7">
        <v>7.8854166666667576</v>
      </c>
      <c r="H183" s="10">
        <v>3.4264999999999999</v>
      </c>
      <c r="I183" s="9">
        <f t="shared" si="8"/>
        <v>-3.4264999999999999</v>
      </c>
      <c r="J183" s="9">
        <f t="shared" si="10"/>
        <v>0.71999999999999975</v>
      </c>
      <c r="K183">
        <f t="shared" si="9"/>
        <v>0.73499999999999965</v>
      </c>
    </row>
    <row r="184" spans="1:11" x14ac:dyDescent="0.2">
      <c r="A184" t="s">
        <v>774</v>
      </c>
      <c r="B184">
        <v>4.8695000000000002E-2</v>
      </c>
      <c r="C184">
        <v>237</v>
      </c>
      <c r="D184" t="s">
        <v>774</v>
      </c>
      <c r="E184">
        <v>236</v>
      </c>
      <c r="F184" s="1">
        <v>45162</v>
      </c>
      <c r="G184" s="7">
        <v>7.8958333333334245</v>
      </c>
      <c r="H184" s="10">
        <v>3.476</v>
      </c>
      <c r="I184" s="9">
        <f t="shared" si="8"/>
        <v>-3.476</v>
      </c>
      <c r="J184" s="9">
        <f t="shared" si="10"/>
        <v>0.67049999999999965</v>
      </c>
      <c r="K184">
        <f t="shared" si="9"/>
        <v>0.6952499999999997</v>
      </c>
    </row>
    <row r="185" spans="1:11" x14ac:dyDescent="0.2">
      <c r="A185" t="s">
        <v>775</v>
      </c>
      <c r="B185">
        <v>4.8904999999999997E-2</v>
      </c>
      <c r="C185">
        <v>237</v>
      </c>
      <c r="D185" t="s">
        <v>775</v>
      </c>
      <c r="E185">
        <v>236</v>
      </c>
      <c r="F185" s="1">
        <v>45162</v>
      </c>
      <c r="G185" s="7">
        <v>7.9062500000000915</v>
      </c>
      <c r="H185" s="10">
        <v>3.4914999999999998</v>
      </c>
      <c r="I185" s="9">
        <f t="shared" si="8"/>
        <v>-3.4914999999999998</v>
      </c>
      <c r="J185" s="9">
        <f t="shared" si="10"/>
        <v>0.6549999999999998</v>
      </c>
      <c r="K185">
        <f t="shared" si="9"/>
        <v>0.66274999999999973</v>
      </c>
    </row>
    <row r="186" spans="1:11" x14ac:dyDescent="0.2">
      <c r="A186" t="s">
        <v>776</v>
      </c>
      <c r="B186" t="s">
        <v>777</v>
      </c>
      <c r="C186">
        <v>237</v>
      </c>
      <c r="D186" t="s">
        <v>776</v>
      </c>
      <c r="E186">
        <v>236</v>
      </c>
      <c r="F186" s="1">
        <v>45162</v>
      </c>
      <c r="G186" s="7">
        <v>7.9166666666667584</v>
      </c>
      <c r="H186" s="10">
        <v>3.5365000000000002</v>
      </c>
      <c r="I186" s="9">
        <f t="shared" si="8"/>
        <v>-3.5365000000000002</v>
      </c>
      <c r="J186" s="9">
        <f t="shared" si="10"/>
        <v>0.60999999999999943</v>
      </c>
      <c r="K186">
        <f t="shared" si="9"/>
        <v>0.63249999999999962</v>
      </c>
    </row>
    <row r="187" spans="1:11" x14ac:dyDescent="0.2">
      <c r="A187" t="s">
        <v>778</v>
      </c>
      <c r="B187">
        <v>5.0209999999999998E-2</v>
      </c>
      <c r="C187">
        <v>237</v>
      </c>
      <c r="D187" t="s">
        <v>778</v>
      </c>
      <c r="E187">
        <v>236</v>
      </c>
      <c r="F187" s="1">
        <v>45162</v>
      </c>
      <c r="G187" s="7">
        <v>7.9270833333334254</v>
      </c>
      <c r="H187" s="10">
        <v>3.5855000000000001</v>
      </c>
      <c r="I187" s="9">
        <f t="shared" si="8"/>
        <v>-3.5855000000000001</v>
      </c>
      <c r="J187" s="9">
        <f t="shared" si="10"/>
        <v>0.5609999999999995</v>
      </c>
      <c r="K187">
        <f t="shared" si="9"/>
        <v>0.58549999999999947</v>
      </c>
    </row>
    <row r="188" spans="1:11" x14ac:dyDescent="0.2">
      <c r="A188" t="s">
        <v>779</v>
      </c>
      <c r="B188">
        <v>5.0750000000000003E-2</v>
      </c>
      <c r="C188">
        <v>237</v>
      </c>
      <c r="D188" t="s">
        <v>779</v>
      </c>
      <c r="E188">
        <v>236</v>
      </c>
      <c r="F188" s="1">
        <v>45162</v>
      </c>
      <c r="G188" s="7">
        <v>7.9375000000000924</v>
      </c>
      <c r="H188" s="10">
        <v>3.6244999999999998</v>
      </c>
      <c r="I188" s="9">
        <f t="shared" si="8"/>
        <v>-3.6244999999999998</v>
      </c>
      <c r="J188" s="9">
        <f t="shared" si="10"/>
        <v>0.5219999999999998</v>
      </c>
      <c r="K188">
        <f t="shared" si="9"/>
        <v>0.54149999999999965</v>
      </c>
    </row>
    <row r="189" spans="1:11" x14ac:dyDescent="0.2">
      <c r="A189" t="s">
        <v>780</v>
      </c>
      <c r="B189">
        <v>5.1444999999999998E-2</v>
      </c>
      <c r="C189">
        <v>237</v>
      </c>
      <c r="D189" t="s">
        <v>780</v>
      </c>
      <c r="E189">
        <v>236</v>
      </c>
      <c r="F189" s="1">
        <v>45162</v>
      </c>
      <c r="G189" s="7">
        <v>7.9479166666667593</v>
      </c>
      <c r="H189" s="10">
        <v>3.6724999999999999</v>
      </c>
      <c r="I189" s="9">
        <f t="shared" si="8"/>
        <v>-3.6724999999999999</v>
      </c>
      <c r="J189" s="9">
        <f t="shared" si="10"/>
        <v>0.47399999999999975</v>
      </c>
      <c r="K189">
        <f t="shared" si="9"/>
        <v>0.49799999999999978</v>
      </c>
    </row>
    <row r="190" spans="1:11" x14ac:dyDescent="0.2">
      <c r="A190" t="s">
        <v>781</v>
      </c>
      <c r="B190">
        <v>5.2549999999999999E-2</v>
      </c>
      <c r="C190">
        <v>237</v>
      </c>
      <c r="D190" t="s">
        <v>781</v>
      </c>
      <c r="E190">
        <v>236</v>
      </c>
      <c r="F190" s="1">
        <v>45162</v>
      </c>
      <c r="G190" s="7">
        <v>7.9583333333334263</v>
      </c>
      <c r="H190" s="10">
        <v>3.7519999999999998</v>
      </c>
      <c r="I190" s="9">
        <f t="shared" si="8"/>
        <v>-3.7519999999999998</v>
      </c>
      <c r="J190" s="9">
        <f t="shared" si="10"/>
        <v>0.39449999999999985</v>
      </c>
      <c r="K190">
        <f t="shared" si="9"/>
        <v>0.4342499999999998</v>
      </c>
    </row>
    <row r="191" spans="1:11" x14ac:dyDescent="0.2">
      <c r="A191" t="s">
        <v>782</v>
      </c>
      <c r="B191">
        <v>5.2975000000000001E-2</v>
      </c>
      <c r="C191">
        <v>237</v>
      </c>
      <c r="D191" t="s">
        <v>782</v>
      </c>
      <c r="E191">
        <v>236</v>
      </c>
      <c r="F191" s="1">
        <v>45162</v>
      </c>
      <c r="G191" s="7">
        <v>7.9687500000000933</v>
      </c>
      <c r="H191" s="10">
        <v>3.782</v>
      </c>
      <c r="I191" s="9">
        <f t="shared" si="8"/>
        <v>-3.782</v>
      </c>
      <c r="J191" s="9">
        <f t="shared" si="10"/>
        <v>0.3644999999999996</v>
      </c>
      <c r="K191">
        <f t="shared" si="9"/>
        <v>0.37949999999999973</v>
      </c>
    </row>
    <row r="192" spans="1:11" x14ac:dyDescent="0.2">
      <c r="A192" t="s">
        <v>783</v>
      </c>
      <c r="B192">
        <v>5.3754999999999997E-2</v>
      </c>
      <c r="C192">
        <v>237</v>
      </c>
      <c r="D192" t="s">
        <v>783</v>
      </c>
      <c r="E192">
        <v>236</v>
      </c>
      <c r="F192" s="1">
        <v>45162</v>
      </c>
      <c r="G192" s="7">
        <v>7.9791666666667602</v>
      </c>
      <c r="H192" s="10">
        <v>3.8370000000000002</v>
      </c>
      <c r="I192" s="9">
        <f t="shared" si="8"/>
        <v>-3.8370000000000002</v>
      </c>
      <c r="J192" s="9">
        <f t="shared" si="10"/>
        <v>0.30949999999999944</v>
      </c>
      <c r="K192">
        <f t="shared" si="9"/>
        <v>0.33699999999999952</v>
      </c>
    </row>
    <row r="193" spans="1:11" x14ac:dyDescent="0.2">
      <c r="A193" t="s">
        <v>784</v>
      </c>
      <c r="B193">
        <v>5.4495000000000002E-2</v>
      </c>
      <c r="C193">
        <v>237</v>
      </c>
      <c r="D193" t="s">
        <v>784</v>
      </c>
      <c r="E193">
        <v>236</v>
      </c>
      <c r="F193" s="1">
        <v>45162</v>
      </c>
      <c r="G193" s="7">
        <v>7.9895833333334272</v>
      </c>
      <c r="H193" s="10">
        <v>3.89</v>
      </c>
      <c r="I193" s="9">
        <f t="shared" si="8"/>
        <v>-3.89</v>
      </c>
      <c r="J193" s="9">
        <f t="shared" si="10"/>
        <v>0.25649999999999951</v>
      </c>
      <c r="K193">
        <f t="shared" si="9"/>
        <v>0.28299999999999947</v>
      </c>
    </row>
    <row r="194" spans="1:11" x14ac:dyDescent="0.2">
      <c r="A194" t="s">
        <v>785</v>
      </c>
      <c r="B194">
        <v>5.4885000000000003E-2</v>
      </c>
      <c r="C194">
        <v>237</v>
      </c>
      <c r="D194" t="s">
        <v>785</v>
      </c>
      <c r="E194">
        <v>237</v>
      </c>
      <c r="F194" s="1">
        <v>45163</v>
      </c>
      <c r="G194" s="7">
        <v>8.0000000000000941</v>
      </c>
      <c r="H194" s="10">
        <v>3.9175</v>
      </c>
      <c r="I194" s="9">
        <f t="shared" si="8"/>
        <v>-3.9175</v>
      </c>
      <c r="J194" s="9">
        <f t="shared" si="10"/>
        <v>0.22899999999999965</v>
      </c>
      <c r="K194">
        <f t="shared" si="9"/>
        <v>0.24274999999999958</v>
      </c>
    </row>
    <row r="195" spans="1:11" x14ac:dyDescent="0.2">
      <c r="A195" t="s">
        <v>786</v>
      </c>
      <c r="B195">
        <v>5.5305E-2</v>
      </c>
      <c r="C195">
        <v>237</v>
      </c>
      <c r="D195" t="s">
        <v>786</v>
      </c>
      <c r="E195">
        <v>237</v>
      </c>
      <c r="F195" s="1">
        <v>45163</v>
      </c>
      <c r="G195" s="7">
        <v>8.0104166666667602</v>
      </c>
      <c r="H195" s="10">
        <v>3.9489999999999998</v>
      </c>
      <c r="I195" s="9">
        <f t="shared" ref="I195:I258" si="11">-H195</f>
        <v>-3.9489999999999998</v>
      </c>
      <c r="J195" s="9">
        <f t="shared" si="10"/>
        <v>0.19749999999999979</v>
      </c>
      <c r="K195">
        <f t="shared" si="9"/>
        <v>0.21324999999999972</v>
      </c>
    </row>
    <row r="196" spans="1:11" x14ac:dyDescent="0.2">
      <c r="A196" t="s">
        <v>787</v>
      </c>
      <c r="B196">
        <v>5.5449999999999999E-2</v>
      </c>
      <c r="C196">
        <v>237</v>
      </c>
      <c r="D196" t="s">
        <v>787</v>
      </c>
      <c r="E196">
        <v>237</v>
      </c>
      <c r="F196" s="1">
        <v>45163</v>
      </c>
      <c r="G196" s="7">
        <v>8.0208333333334263</v>
      </c>
      <c r="H196" s="10">
        <v>3.9590000000000001</v>
      </c>
      <c r="I196" s="9">
        <f t="shared" si="11"/>
        <v>-3.9590000000000001</v>
      </c>
      <c r="J196" s="9">
        <f t="shared" si="10"/>
        <v>0.18749999999999956</v>
      </c>
      <c r="K196">
        <f t="shared" si="9"/>
        <v>0.19249999999999967</v>
      </c>
    </row>
    <row r="197" spans="1:11" x14ac:dyDescent="0.2">
      <c r="A197" t="s">
        <v>788</v>
      </c>
      <c r="B197">
        <v>5.5710000000000003E-2</v>
      </c>
      <c r="C197">
        <v>237</v>
      </c>
      <c r="D197" t="s">
        <v>788</v>
      </c>
      <c r="E197">
        <v>237</v>
      </c>
      <c r="F197" s="1">
        <v>45163</v>
      </c>
      <c r="G197" s="7">
        <v>8.0312500000000924</v>
      </c>
      <c r="H197" s="10">
        <v>3.9775</v>
      </c>
      <c r="I197" s="9">
        <f t="shared" si="11"/>
        <v>-3.9775</v>
      </c>
      <c r="J197" s="9">
        <f t="shared" si="10"/>
        <v>0.16899999999999959</v>
      </c>
      <c r="K197">
        <f t="shared" si="9"/>
        <v>0.17824999999999958</v>
      </c>
    </row>
    <row r="198" spans="1:11" x14ac:dyDescent="0.2">
      <c r="A198" t="s">
        <v>789</v>
      </c>
      <c r="B198">
        <v>5.5739999999999998E-2</v>
      </c>
      <c r="C198">
        <v>237</v>
      </c>
      <c r="D198" t="s">
        <v>789</v>
      </c>
      <c r="E198">
        <v>237</v>
      </c>
      <c r="F198" s="1">
        <v>45163</v>
      </c>
      <c r="G198" s="7">
        <v>8.0416666666667584</v>
      </c>
      <c r="H198" s="10">
        <v>3.9790000000000001</v>
      </c>
      <c r="I198" s="9">
        <f t="shared" si="11"/>
        <v>-3.9790000000000001</v>
      </c>
      <c r="J198" s="9">
        <f t="shared" si="10"/>
        <v>0.16749999999999954</v>
      </c>
      <c r="K198">
        <f t="shared" si="9"/>
        <v>0.16824999999999957</v>
      </c>
    </row>
    <row r="199" spans="1:11" x14ac:dyDescent="0.2">
      <c r="A199" t="s">
        <v>790</v>
      </c>
      <c r="B199">
        <v>5.6070000000000002E-2</v>
      </c>
      <c r="C199">
        <v>237</v>
      </c>
      <c r="D199" t="s">
        <v>790</v>
      </c>
      <c r="E199">
        <v>237</v>
      </c>
      <c r="F199" s="1">
        <v>45163</v>
      </c>
      <c r="G199" s="7">
        <v>8.0520833333334245</v>
      </c>
      <c r="H199" s="10">
        <v>4.0034999999999998</v>
      </c>
      <c r="I199" s="9">
        <f t="shared" si="11"/>
        <v>-4.0034999999999998</v>
      </c>
      <c r="J199" s="9">
        <f t="shared" si="10"/>
        <v>0.14299999999999979</v>
      </c>
      <c r="K199">
        <f t="shared" si="9"/>
        <v>0.15524999999999967</v>
      </c>
    </row>
    <row r="200" spans="1:11" x14ac:dyDescent="0.2">
      <c r="A200" t="s">
        <v>791</v>
      </c>
      <c r="B200">
        <v>5.6480000000000002E-2</v>
      </c>
      <c r="C200">
        <v>237</v>
      </c>
      <c r="D200" t="s">
        <v>791</v>
      </c>
      <c r="E200">
        <v>237</v>
      </c>
      <c r="F200" s="1">
        <v>45163</v>
      </c>
      <c r="G200" s="7">
        <v>8.0625000000000906</v>
      </c>
      <c r="H200" s="10">
        <v>4.032</v>
      </c>
      <c r="I200" s="9">
        <f t="shared" si="11"/>
        <v>-4.032</v>
      </c>
      <c r="J200" s="9">
        <f t="shared" si="10"/>
        <v>0.1144999999999996</v>
      </c>
      <c r="K200">
        <f t="shared" si="9"/>
        <v>0.1287499999999997</v>
      </c>
    </row>
    <row r="201" spans="1:11" x14ac:dyDescent="0.2">
      <c r="A201" t="s">
        <v>792</v>
      </c>
      <c r="B201">
        <v>5.6434999999999999E-2</v>
      </c>
      <c r="C201">
        <v>237</v>
      </c>
      <c r="D201" t="s">
        <v>792</v>
      </c>
      <c r="E201">
        <v>237</v>
      </c>
      <c r="F201" s="1">
        <v>45163</v>
      </c>
      <c r="G201" s="7">
        <v>8.0729166666667567</v>
      </c>
      <c r="H201" s="10">
        <v>4.0289999999999999</v>
      </c>
      <c r="I201" s="9">
        <f t="shared" si="11"/>
        <v>-4.0289999999999999</v>
      </c>
      <c r="J201" s="9">
        <f t="shared" si="10"/>
        <v>0.11749999999999972</v>
      </c>
      <c r="K201">
        <f t="shared" si="9"/>
        <v>0.11599999999999966</v>
      </c>
    </row>
    <row r="202" spans="1:11" x14ac:dyDescent="0.2">
      <c r="A202" t="s">
        <v>793</v>
      </c>
      <c r="B202">
        <v>5.6724999999999998E-2</v>
      </c>
      <c r="C202">
        <v>237</v>
      </c>
      <c r="D202" t="s">
        <v>793</v>
      </c>
      <c r="E202">
        <v>237</v>
      </c>
      <c r="F202" s="1">
        <v>45163</v>
      </c>
      <c r="G202" s="7">
        <v>8.0833333333334227</v>
      </c>
      <c r="H202" s="10">
        <v>4.0490000000000004</v>
      </c>
      <c r="I202" s="9">
        <f t="shared" si="11"/>
        <v>-4.0490000000000004</v>
      </c>
      <c r="J202" s="9">
        <f t="shared" si="10"/>
        <v>9.7499999999999254E-2</v>
      </c>
      <c r="K202">
        <f t="shared" si="9"/>
        <v>0.10749999999999948</v>
      </c>
    </row>
    <row r="203" spans="1:11" x14ac:dyDescent="0.2">
      <c r="A203" t="s">
        <v>794</v>
      </c>
      <c r="B203">
        <v>5.6785000000000002E-2</v>
      </c>
      <c r="C203">
        <v>237</v>
      </c>
      <c r="D203" t="s">
        <v>794</v>
      </c>
      <c r="E203">
        <v>237</v>
      </c>
      <c r="F203" s="1">
        <v>45163</v>
      </c>
      <c r="G203" s="7">
        <v>8.0937500000000888</v>
      </c>
      <c r="H203" s="10">
        <v>4.0545</v>
      </c>
      <c r="I203" s="9">
        <f t="shared" si="11"/>
        <v>-4.0545</v>
      </c>
      <c r="J203" s="9">
        <f t="shared" si="10"/>
        <v>9.1999999999999638E-2</v>
      </c>
      <c r="K203">
        <f t="shared" si="9"/>
        <v>9.4749999999999446E-2</v>
      </c>
    </row>
    <row r="204" spans="1:11" x14ac:dyDescent="0.2">
      <c r="A204" t="s">
        <v>795</v>
      </c>
      <c r="B204" t="s">
        <v>796</v>
      </c>
      <c r="C204">
        <v>237</v>
      </c>
      <c r="D204" t="s">
        <v>795</v>
      </c>
      <c r="E204">
        <v>237</v>
      </c>
      <c r="F204" s="1">
        <v>45163</v>
      </c>
      <c r="G204" s="7">
        <v>8.1041666666667549</v>
      </c>
      <c r="H204" s="10">
        <v>4.0385</v>
      </c>
      <c r="I204" s="9">
        <f t="shared" si="11"/>
        <v>-4.0385</v>
      </c>
      <c r="J204" s="9">
        <f t="shared" si="10"/>
        <v>0.10799999999999965</v>
      </c>
      <c r="K204">
        <f t="shared" si="9"/>
        <v>9.9999999999999645E-2</v>
      </c>
    </row>
    <row r="205" spans="1:11" x14ac:dyDescent="0.2">
      <c r="A205" t="s">
        <v>797</v>
      </c>
      <c r="B205">
        <v>5.6099999999999997E-2</v>
      </c>
      <c r="C205">
        <v>237</v>
      </c>
      <c r="D205" t="s">
        <v>797</v>
      </c>
      <c r="E205">
        <v>237</v>
      </c>
      <c r="F205" s="1">
        <v>45163</v>
      </c>
      <c r="G205" s="7">
        <v>8.114583333333421</v>
      </c>
      <c r="H205" s="10">
        <v>4.0045000000000002</v>
      </c>
      <c r="I205" s="9">
        <f t="shared" si="11"/>
        <v>-4.0045000000000002</v>
      </c>
      <c r="J205" s="9">
        <f t="shared" si="10"/>
        <v>0.14199999999999946</v>
      </c>
      <c r="K205">
        <f t="shared" si="9"/>
        <v>0.12499999999999956</v>
      </c>
    </row>
    <row r="206" spans="1:11" x14ac:dyDescent="0.2">
      <c r="A206" t="s">
        <v>798</v>
      </c>
      <c r="B206">
        <v>5.6129999999999999E-2</v>
      </c>
      <c r="C206">
        <v>237</v>
      </c>
      <c r="D206" t="s">
        <v>798</v>
      </c>
      <c r="E206">
        <v>237</v>
      </c>
      <c r="F206" s="1">
        <v>45163</v>
      </c>
      <c r="G206" s="7">
        <v>8.125000000000087</v>
      </c>
      <c r="H206" s="10">
        <v>4.0069999999999997</v>
      </c>
      <c r="I206" s="9">
        <f t="shared" si="11"/>
        <v>-4.0069999999999997</v>
      </c>
      <c r="J206" s="9">
        <f t="shared" si="10"/>
        <v>0.13949999999999996</v>
      </c>
      <c r="K206">
        <f t="shared" si="9"/>
        <v>0.14074999999999971</v>
      </c>
    </row>
    <row r="207" spans="1:11" x14ac:dyDescent="0.2">
      <c r="A207" t="s">
        <v>799</v>
      </c>
      <c r="B207">
        <v>5.663E-2</v>
      </c>
      <c r="C207">
        <v>237</v>
      </c>
      <c r="D207" t="s">
        <v>799</v>
      </c>
      <c r="E207">
        <v>237</v>
      </c>
      <c r="F207" s="1">
        <v>45163</v>
      </c>
      <c r="G207" s="7">
        <v>8.1354166666667531</v>
      </c>
      <c r="H207" s="10">
        <v>4.0445000000000002</v>
      </c>
      <c r="I207" s="9">
        <f t="shared" si="11"/>
        <v>-4.0445000000000002</v>
      </c>
      <c r="J207" s="9">
        <f t="shared" si="10"/>
        <v>0.10199999999999942</v>
      </c>
      <c r="K207">
        <f t="shared" si="9"/>
        <v>0.12074999999999969</v>
      </c>
    </row>
    <row r="208" spans="1:11" x14ac:dyDescent="0.2">
      <c r="A208" t="s">
        <v>800</v>
      </c>
      <c r="B208">
        <v>5.6605000000000003E-2</v>
      </c>
      <c r="C208">
        <v>237</v>
      </c>
      <c r="D208" t="s">
        <v>800</v>
      </c>
      <c r="E208">
        <v>237</v>
      </c>
      <c r="F208" s="1">
        <v>45163</v>
      </c>
      <c r="G208" s="7">
        <v>8.1458333333334192</v>
      </c>
      <c r="H208" s="10">
        <v>4.0415000000000001</v>
      </c>
      <c r="I208" s="9">
        <f t="shared" si="11"/>
        <v>-4.0415000000000001</v>
      </c>
      <c r="J208" s="9">
        <f t="shared" si="10"/>
        <v>0.10499999999999954</v>
      </c>
      <c r="K208">
        <f t="shared" si="9"/>
        <v>0.10349999999999948</v>
      </c>
    </row>
    <row r="209" spans="1:13" x14ac:dyDescent="0.2">
      <c r="A209" t="s">
        <v>801</v>
      </c>
      <c r="B209" s="3">
        <v>5.6689999999999997E-2</v>
      </c>
      <c r="C209" s="3">
        <v>237</v>
      </c>
      <c r="D209" s="3" t="s">
        <v>801</v>
      </c>
      <c r="E209" s="3">
        <v>237</v>
      </c>
      <c r="F209" s="5">
        <v>45163</v>
      </c>
      <c r="G209" s="8">
        <v>8.1562500000000853</v>
      </c>
      <c r="H209" s="15">
        <v>4.0475000000000003</v>
      </c>
      <c r="I209" s="9">
        <f t="shared" si="11"/>
        <v>-4.0475000000000003</v>
      </c>
      <c r="J209" s="9">
        <v>0</v>
      </c>
      <c r="K209">
        <f t="shared" si="9"/>
        <v>5.2499999999999769E-2</v>
      </c>
      <c r="M209">
        <f>SUM(K113:K209)/96</f>
        <v>0.45322395833333329</v>
      </c>
    </row>
    <row r="210" spans="1:13" x14ac:dyDescent="0.2">
      <c r="A210" t="s">
        <v>802</v>
      </c>
      <c r="B210" t="s">
        <v>803</v>
      </c>
      <c r="C210">
        <v>237</v>
      </c>
      <c r="D210" t="s">
        <v>802</v>
      </c>
      <c r="E210">
        <v>237</v>
      </c>
      <c r="F210" s="1">
        <v>45163</v>
      </c>
      <c r="G210" s="7">
        <v>8.1666666666667513</v>
      </c>
      <c r="H210" s="10">
        <v>4.0445000000000002</v>
      </c>
      <c r="I210" s="9">
        <f t="shared" si="11"/>
        <v>-4.0445000000000002</v>
      </c>
    </row>
    <row r="211" spans="1:13" x14ac:dyDescent="0.2">
      <c r="A211" t="s">
        <v>804</v>
      </c>
      <c r="B211" s="12">
        <v>5.67E-2</v>
      </c>
      <c r="C211" s="12">
        <v>237</v>
      </c>
      <c r="D211" s="12" t="s">
        <v>804</v>
      </c>
      <c r="E211" s="12">
        <v>237</v>
      </c>
      <c r="F211" s="13">
        <v>45163</v>
      </c>
      <c r="G211" s="14">
        <v>8.1770833333334174</v>
      </c>
      <c r="H211" s="11">
        <v>4.0490000000000004</v>
      </c>
      <c r="I211" s="9">
        <f t="shared" si="11"/>
        <v>-4.0490000000000004</v>
      </c>
      <c r="J211" s="9">
        <f>I211+4.049</f>
        <v>0</v>
      </c>
      <c r="K211">
        <f t="shared" si="9"/>
        <v>0</v>
      </c>
    </row>
    <row r="212" spans="1:13" x14ac:dyDescent="0.2">
      <c r="A212" t="s">
        <v>805</v>
      </c>
      <c r="B212">
        <v>5.654E-2</v>
      </c>
      <c r="C212">
        <v>237</v>
      </c>
      <c r="D212" t="s">
        <v>805</v>
      </c>
      <c r="E212">
        <v>237</v>
      </c>
      <c r="F212" s="1">
        <v>45163</v>
      </c>
      <c r="G212" s="7">
        <v>8.1875000000000835</v>
      </c>
      <c r="H212" s="10">
        <v>4.0380000000000003</v>
      </c>
      <c r="I212" s="9">
        <f t="shared" si="11"/>
        <v>-4.0380000000000003</v>
      </c>
      <c r="J212" s="9">
        <f t="shared" ref="J212:J275" si="12">I212+4.049</f>
        <v>1.1000000000000121E-2</v>
      </c>
      <c r="K212">
        <f t="shared" si="9"/>
        <v>5.5000000000000604E-3</v>
      </c>
    </row>
    <row r="213" spans="1:13" x14ac:dyDescent="0.2">
      <c r="A213" t="s">
        <v>806</v>
      </c>
      <c r="B213">
        <v>5.6625000000000002E-2</v>
      </c>
      <c r="C213">
        <v>237</v>
      </c>
      <c r="D213" t="s">
        <v>806</v>
      </c>
      <c r="E213">
        <v>237</v>
      </c>
      <c r="F213" s="1">
        <v>45163</v>
      </c>
      <c r="G213" s="7">
        <v>8.1979166666667496</v>
      </c>
      <c r="H213" s="10">
        <v>4.0419999999999998</v>
      </c>
      <c r="I213" s="9">
        <f t="shared" si="11"/>
        <v>-4.0419999999999998</v>
      </c>
      <c r="J213" s="9">
        <f t="shared" si="12"/>
        <v>7.0000000000005613E-3</v>
      </c>
      <c r="K213">
        <f t="shared" si="9"/>
        <v>9.0000000000003411E-3</v>
      </c>
    </row>
    <row r="214" spans="1:13" x14ac:dyDescent="0.2">
      <c r="A214" t="s">
        <v>807</v>
      </c>
      <c r="B214">
        <v>5.6309999999999999E-2</v>
      </c>
      <c r="C214">
        <v>237</v>
      </c>
      <c r="D214" t="s">
        <v>807</v>
      </c>
      <c r="E214">
        <v>237</v>
      </c>
      <c r="F214" s="1">
        <v>45163</v>
      </c>
      <c r="G214" s="7">
        <v>8.2083333333334156</v>
      </c>
      <c r="H214" s="10">
        <v>4.0184999999999897</v>
      </c>
      <c r="I214" s="9">
        <f t="shared" si="11"/>
        <v>-4.0184999999999897</v>
      </c>
      <c r="J214" s="9">
        <f t="shared" si="12"/>
        <v>3.050000000001063E-2</v>
      </c>
      <c r="K214">
        <f t="shared" si="9"/>
        <v>1.8750000000005596E-2</v>
      </c>
    </row>
    <row r="215" spans="1:13" x14ac:dyDescent="0.2">
      <c r="A215" t="s">
        <v>809</v>
      </c>
      <c r="B215">
        <v>5.6355000000000002E-2</v>
      </c>
      <c r="C215">
        <v>237</v>
      </c>
      <c r="D215" t="s">
        <v>809</v>
      </c>
      <c r="E215">
        <v>237</v>
      </c>
      <c r="F215" s="1">
        <v>45163</v>
      </c>
      <c r="G215" s="7">
        <v>8.2187500000000817</v>
      </c>
      <c r="H215" s="10">
        <v>4.024</v>
      </c>
      <c r="I215" s="9">
        <f t="shared" si="11"/>
        <v>-4.024</v>
      </c>
      <c r="J215" s="9">
        <f t="shared" si="12"/>
        <v>2.5000000000000355E-2</v>
      </c>
      <c r="K215">
        <f t="shared" si="9"/>
        <v>2.7750000000005492E-2</v>
      </c>
    </row>
    <row r="216" spans="1:13" x14ac:dyDescent="0.2">
      <c r="A216" t="s">
        <v>810</v>
      </c>
      <c r="B216">
        <v>5.6590000000000001E-2</v>
      </c>
      <c r="C216">
        <v>237</v>
      </c>
      <c r="D216" t="s">
        <v>810</v>
      </c>
      <c r="E216">
        <v>237</v>
      </c>
      <c r="F216" s="1">
        <v>45163</v>
      </c>
      <c r="G216" s="7">
        <v>8.2291666666667478</v>
      </c>
      <c r="H216" s="10">
        <v>4.0415000000000001</v>
      </c>
      <c r="I216" s="9">
        <f t="shared" si="11"/>
        <v>-4.0415000000000001</v>
      </c>
      <c r="J216" s="9">
        <f t="shared" si="12"/>
        <v>7.5000000000002842E-3</v>
      </c>
      <c r="K216">
        <f t="shared" si="9"/>
        <v>1.625000000000032E-2</v>
      </c>
    </row>
    <row r="217" spans="1:13" x14ac:dyDescent="0.2">
      <c r="A217" t="s">
        <v>811</v>
      </c>
      <c r="B217">
        <v>5.6489999999999999E-2</v>
      </c>
      <c r="C217">
        <v>237</v>
      </c>
      <c r="D217" t="s">
        <v>811</v>
      </c>
      <c r="E217">
        <v>237</v>
      </c>
      <c r="F217" s="1">
        <v>45163</v>
      </c>
      <c r="G217" s="7">
        <v>8.2395833333334139</v>
      </c>
      <c r="H217" s="10">
        <v>4.0330000000000004</v>
      </c>
      <c r="I217" s="9">
        <f t="shared" si="11"/>
        <v>-4.0330000000000004</v>
      </c>
      <c r="J217" s="9">
        <f t="shared" si="12"/>
        <v>1.6000000000000014E-2</v>
      </c>
      <c r="K217">
        <f t="shared" si="9"/>
        <v>1.1750000000000149E-2</v>
      </c>
    </row>
    <row r="218" spans="1:13" x14ac:dyDescent="0.2">
      <c r="A218" t="s">
        <v>812</v>
      </c>
      <c r="B218">
        <v>5.6570000000000002E-2</v>
      </c>
      <c r="C218">
        <v>237</v>
      </c>
      <c r="D218" t="s">
        <v>812</v>
      </c>
      <c r="E218">
        <v>237</v>
      </c>
      <c r="F218" s="1">
        <v>45163</v>
      </c>
      <c r="G218" s="7">
        <v>8.2500000000000799</v>
      </c>
      <c r="H218" s="10">
        <v>4.0374999999999996</v>
      </c>
      <c r="I218" s="9">
        <f t="shared" si="11"/>
        <v>-4.0374999999999996</v>
      </c>
      <c r="J218" s="9">
        <f t="shared" si="12"/>
        <v>1.1500000000000732E-2</v>
      </c>
      <c r="K218">
        <f t="shared" si="9"/>
        <v>1.3750000000000373E-2</v>
      </c>
    </row>
    <row r="219" spans="1:13" x14ac:dyDescent="0.2">
      <c r="A219" t="s">
        <v>813</v>
      </c>
      <c r="B219">
        <v>5.6610000000000001E-2</v>
      </c>
      <c r="C219">
        <v>237</v>
      </c>
      <c r="D219" t="s">
        <v>813</v>
      </c>
      <c r="E219">
        <v>237</v>
      </c>
      <c r="F219" s="1">
        <v>45163</v>
      </c>
      <c r="G219" s="7">
        <v>8.260416666666746</v>
      </c>
      <c r="H219" s="10">
        <v>4.0410000000000004</v>
      </c>
      <c r="I219" s="9">
        <f t="shared" si="11"/>
        <v>-4.0410000000000004</v>
      </c>
      <c r="J219" s="9">
        <f t="shared" si="12"/>
        <v>8.0000000000000071E-3</v>
      </c>
      <c r="K219">
        <f t="shared" si="9"/>
        <v>9.7500000000003695E-3</v>
      </c>
    </row>
    <row r="220" spans="1:13" x14ac:dyDescent="0.2">
      <c r="A220" t="s">
        <v>814</v>
      </c>
      <c r="B220">
        <v>5.6325E-2</v>
      </c>
      <c r="C220">
        <v>237</v>
      </c>
      <c r="D220" t="s">
        <v>814</v>
      </c>
      <c r="E220">
        <v>237</v>
      </c>
      <c r="F220" s="1">
        <v>45163</v>
      </c>
      <c r="G220" s="7">
        <v>8.2708333333334121</v>
      </c>
      <c r="H220" s="10">
        <v>4.0199999999999996</v>
      </c>
      <c r="I220" s="9">
        <f t="shared" si="11"/>
        <v>-4.0199999999999996</v>
      </c>
      <c r="J220" s="9">
        <f t="shared" si="12"/>
        <v>2.9000000000000803E-2</v>
      </c>
      <c r="K220">
        <f t="shared" si="9"/>
        <v>1.8500000000000405E-2</v>
      </c>
    </row>
    <row r="221" spans="1:13" x14ac:dyDescent="0.2">
      <c r="A221" t="s">
        <v>816</v>
      </c>
      <c r="B221" t="s">
        <v>817</v>
      </c>
      <c r="C221">
        <v>237</v>
      </c>
      <c r="D221" t="s">
        <v>816</v>
      </c>
      <c r="E221">
        <v>237</v>
      </c>
      <c r="F221" s="1">
        <v>45163</v>
      </c>
      <c r="G221" s="7">
        <v>8.2812500000000782</v>
      </c>
      <c r="H221" s="10">
        <v>3.9824999999999999</v>
      </c>
      <c r="I221" s="9">
        <f t="shared" si="11"/>
        <v>-3.9824999999999999</v>
      </c>
      <c r="J221" s="9">
        <f t="shared" si="12"/>
        <v>6.6500000000000448E-2</v>
      </c>
      <c r="K221">
        <f t="shared" si="9"/>
        <v>4.7750000000000625E-2</v>
      </c>
    </row>
    <row r="222" spans="1:13" x14ac:dyDescent="0.2">
      <c r="A222" t="s">
        <v>818</v>
      </c>
      <c r="B222">
        <v>5.5890000000000002E-2</v>
      </c>
      <c r="C222">
        <v>237</v>
      </c>
      <c r="D222" t="s">
        <v>818</v>
      </c>
      <c r="E222">
        <v>237</v>
      </c>
      <c r="F222" s="1">
        <v>45163</v>
      </c>
      <c r="G222" s="7">
        <v>8.2916666666667442</v>
      </c>
      <c r="H222" s="10">
        <v>3.9914999999999998</v>
      </c>
      <c r="I222" s="9">
        <f t="shared" si="11"/>
        <v>-3.9914999999999998</v>
      </c>
      <c r="J222" s="9">
        <f t="shared" si="12"/>
        <v>5.7500000000000551E-2</v>
      </c>
      <c r="K222">
        <f t="shared" si="9"/>
        <v>6.2000000000000499E-2</v>
      </c>
    </row>
    <row r="223" spans="1:13" x14ac:dyDescent="0.2">
      <c r="A223" t="s">
        <v>819</v>
      </c>
      <c r="B223">
        <v>5.5495000000000003E-2</v>
      </c>
      <c r="C223">
        <v>237</v>
      </c>
      <c r="D223" t="s">
        <v>819</v>
      </c>
      <c r="E223">
        <v>237</v>
      </c>
      <c r="F223" s="1">
        <v>45163</v>
      </c>
      <c r="G223" s="7">
        <v>8.3020833333334103</v>
      </c>
      <c r="H223" s="10">
        <v>3.9615</v>
      </c>
      <c r="I223" s="9">
        <f t="shared" si="11"/>
        <v>-3.9615</v>
      </c>
      <c r="J223" s="9">
        <f t="shared" si="12"/>
        <v>8.7500000000000355E-2</v>
      </c>
      <c r="K223">
        <f t="shared" si="9"/>
        <v>7.2500000000000453E-2</v>
      </c>
    </row>
    <row r="224" spans="1:13" x14ac:dyDescent="0.2">
      <c r="A224" t="s">
        <v>820</v>
      </c>
      <c r="B224">
        <v>5.5230000000000001E-2</v>
      </c>
      <c r="C224">
        <v>237</v>
      </c>
      <c r="D224" t="s">
        <v>820</v>
      </c>
      <c r="E224">
        <v>237</v>
      </c>
      <c r="F224" s="1">
        <v>45163</v>
      </c>
      <c r="G224" s="7">
        <v>8.3125000000000764</v>
      </c>
      <c r="H224" s="10">
        <v>3.9420000000000002</v>
      </c>
      <c r="I224" s="9">
        <f t="shared" si="11"/>
        <v>-3.9420000000000002</v>
      </c>
      <c r="J224" s="9">
        <f t="shared" si="12"/>
        <v>0.10700000000000021</v>
      </c>
      <c r="K224">
        <f t="shared" si="9"/>
        <v>9.7250000000000281E-2</v>
      </c>
    </row>
    <row r="225" spans="1:11" x14ac:dyDescent="0.2">
      <c r="A225" t="s">
        <v>821</v>
      </c>
      <c r="B225">
        <v>5.4969999999999998E-2</v>
      </c>
      <c r="C225">
        <v>237</v>
      </c>
      <c r="D225" t="s">
        <v>821</v>
      </c>
      <c r="E225">
        <v>237</v>
      </c>
      <c r="F225" s="1">
        <v>45163</v>
      </c>
      <c r="G225" s="7">
        <v>8.3229166666667425</v>
      </c>
      <c r="H225" s="10">
        <v>3.9235000000000002</v>
      </c>
      <c r="I225" s="9">
        <f t="shared" si="11"/>
        <v>-3.9235000000000002</v>
      </c>
      <c r="J225" s="9">
        <f t="shared" si="12"/>
        <v>0.12550000000000017</v>
      </c>
      <c r="K225">
        <f t="shared" si="9"/>
        <v>0.11625000000000019</v>
      </c>
    </row>
    <row r="226" spans="1:11" x14ac:dyDescent="0.2">
      <c r="A226" t="s">
        <v>822</v>
      </c>
      <c r="B226">
        <v>5.5140000000000002E-2</v>
      </c>
      <c r="C226">
        <v>237</v>
      </c>
      <c r="D226" t="s">
        <v>822</v>
      </c>
      <c r="E226">
        <v>237</v>
      </c>
      <c r="F226" s="1">
        <v>45163</v>
      </c>
      <c r="G226" s="7">
        <v>8.3333333333334085</v>
      </c>
      <c r="H226" s="10">
        <v>3.9365000000000001</v>
      </c>
      <c r="I226" s="9">
        <f t="shared" si="11"/>
        <v>-3.9365000000000001</v>
      </c>
      <c r="J226" s="9">
        <f t="shared" si="12"/>
        <v>0.11250000000000027</v>
      </c>
      <c r="K226">
        <f t="shared" si="9"/>
        <v>0.11900000000000022</v>
      </c>
    </row>
    <row r="227" spans="1:11" x14ac:dyDescent="0.2">
      <c r="A227" t="s">
        <v>823</v>
      </c>
      <c r="B227">
        <v>5.4835000000000002E-2</v>
      </c>
      <c r="C227">
        <v>237</v>
      </c>
      <c r="D227" t="s">
        <v>823</v>
      </c>
      <c r="E227">
        <v>237</v>
      </c>
      <c r="F227" s="1">
        <v>45163</v>
      </c>
      <c r="G227" s="7">
        <v>8.3437500000000746</v>
      </c>
      <c r="H227" s="10">
        <v>3.9165000000000001</v>
      </c>
      <c r="I227" s="9">
        <f t="shared" si="11"/>
        <v>-3.9165000000000001</v>
      </c>
      <c r="J227" s="9">
        <f t="shared" si="12"/>
        <v>0.13250000000000028</v>
      </c>
      <c r="K227">
        <f t="shared" si="9"/>
        <v>0.12250000000000028</v>
      </c>
    </row>
    <row r="228" spans="1:11" x14ac:dyDescent="0.2">
      <c r="A228" t="s">
        <v>824</v>
      </c>
      <c r="B228">
        <v>5.4465E-2</v>
      </c>
      <c r="C228">
        <v>237</v>
      </c>
      <c r="D228" t="s">
        <v>824</v>
      </c>
      <c r="E228">
        <v>237</v>
      </c>
      <c r="F228" s="1">
        <v>45163</v>
      </c>
      <c r="G228" s="7">
        <v>8.3541666666667407</v>
      </c>
      <c r="H228" s="10">
        <v>3.8889999999999998</v>
      </c>
      <c r="I228" s="9">
        <f t="shared" si="11"/>
        <v>-3.8889999999999998</v>
      </c>
      <c r="J228" s="9">
        <f t="shared" si="12"/>
        <v>0.16000000000000059</v>
      </c>
      <c r="K228">
        <f t="shared" si="9"/>
        <v>0.14625000000000044</v>
      </c>
    </row>
    <row r="229" spans="1:11" x14ac:dyDescent="0.2">
      <c r="A229" t="s">
        <v>826</v>
      </c>
      <c r="B229">
        <v>5.3775000000000003E-2</v>
      </c>
      <c r="C229">
        <v>237</v>
      </c>
      <c r="D229" t="s">
        <v>826</v>
      </c>
      <c r="E229">
        <v>237</v>
      </c>
      <c r="F229" s="1">
        <v>45163</v>
      </c>
      <c r="G229" s="7">
        <v>8.3645833333334068</v>
      </c>
      <c r="H229" s="10">
        <v>3.8395000000000001</v>
      </c>
      <c r="I229" s="9">
        <f t="shared" si="11"/>
        <v>-3.8395000000000001</v>
      </c>
      <c r="J229" s="9">
        <f t="shared" si="12"/>
        <v>0.20950000000000024</v>
      </c>
      <c r="K229">
        <f t="shared" si="9"/>
        <v>0.18475000000000041</v>
      </c>
    </row>
    <row r="230" spans="1:11" x14ac:dyDescent="0.2">
      <c r="A230" t="s">
        <v>827</v>
      </c>
      <c r="B230">
        <v>5.323E-2</v>
      </c>
      <c r="C230">
        <v>237</v>
      </c>
      <c r="D230" t="s">
        <v>827</v>
      </c>
      <c r="E230">
        <v>237</v>
      </c>
      <c r="F230" s="1">
        <v>45163</v>
      </c>
      <c r="G230" s="7">
        <v>8.3750000000000728</v>
      </c>
      <c r="H230" s="10">
        <v>3.8010000000000002</v>
      </c>
      <c r="I230" s="9">
        <f t="shared" si="11"/>
        <v>-3.8010000000000002</v>
      </c>
      <c r="J230" s="9">
        <f t="shared" si="12"/>
        <v>0.24800000000000022</v>
      </c>
      <c r="K230">
        <f t="shared" si="9"/>
        <v>0.22875000000000023</v>
      </c>
    </row>
    <row r="231" spans="1:11" x14ac:dyDescent="0.2">
      <c r="A231" t="s">
        <v>828</v>
      </c>
      <c r="B231">
        <v>5.3019999999999998E-2</v>
      </c>
      <c r="C231">
        <v>237</v>
      </c>
      <c r="D231" t="s">
        <v>828</v>
      </c>
      <c r="E231">
        <v>237</v>
      </c>
      <c r="F231" s="1">
        <v>45163</v>
      </c>
      <c r="G231" s="7">
        <v>8.3854166666667389</v>
      </c>
      <c r="H231" s="10">
        <v>3.786</v>
      </c>
      <c r="I231" s="9">
        <f t="shared" si="11"/>
        <v>-3.786</v>
      </c>
      <c r="J231" s="9">
        <f t="shared" si="12"/>
        <v>0.26300000000000034</v>
      </c>
      <c r="K231">
        <f t="shared" si="9"/>
        <v>0.25550000000000028</v>
      </c>
    </row>
    <row r="232" spans="1:11" x14ac:dyDescent="0.2">
      <c r="A232" t="s">
        <v>829</v>
      </c>
      <c r="B232">
        <v>5.237E-2</v>
      </c>
      <c r="C232">
        <v>237</v>
      </c>
      <c r="D232" t="s">
        <v>829</v>
      </c>
      <c r="E232">
        <v>237</v>
      </c>
      <c r="F232" s="1">
        <v>45163</v>
      </c>
      <c r="G232" s="7">
        <v>8.395833333333405</v>
      </c>
      <c r="H232" s="10">
        <v>3.7395</v>
      </c>
      <c r="I232" s="9">
        <f t="shared" si="11"/>
        <v>-3.7395</v>
      </c>
      <c r="J232" s="9">
        <f t="shared" si="12"/>
        <v>0.30950000000000033</v>
      </c>
      <c r="K232">
        <f t="shared" si="9"/>
        <v>0.28625000000000034</v>
      </c>
    </row>
    <row r="233" spans="1:11" x14ac:dyDescent="0.2">
      <c r="A233" t="s">
        <v>830</v>
      </c>
      <c r="B233">
        <v>5.1595000000000002E-2</v>
      </c>
      <c r="C233">
        <v>237</v>
      </c>
      <c r="D233" t="s">
        <v>830</v>
      </c>
      <c r="E233">
        <v>237</v>
      </c>
      <c r="F233" s="1">
        <v>45163</v>
      </c>
      <c r="G233" s="7">
        <v>8.4062500000000711</v>
      </c>
      <c r="H233" s="10">
        <v>3.6835</v>
      </c>
      <c r="I233" s="9">
        <f t="shared" si="11"/>
        <v>-3.6835</v>
      </c>
      <c r="J233" s="9">
        <f t="shared" si="12"/>
        <v>0.36550000000000038</v>
      </c>
      <c r="K233">
        <f t="shared" si="9"/>
        <v>0.33750000000000036</v>
      </c>
    </row>
    <row r="234" spans="1:11" x14ac:dyDescent="0.2">
      <c r="A234" t="s">
        <v>831</v>
      </c>
      <c r="B234">
        <v>5.108E-2</v>
      </c>
      <c r="C234">
        <v>237</v>
      </c>
      <c r="D234" t="s">
        <v>831</v>
      </c>
      <c r="E234">
        <v>237</v>
      </c>
      <c r="F234" s="1">
        <v>45163</v>
      </c>
      <c r="G234" s="7">
        <v>8.4166666666667371</v>
      </c>
      <c r="H234" s="10">
        <v>3.6465000000000001</v>
      </c>
      <c r="I234" s="9">
        <f t="shared" si="11"/>
        <v>-3.6465000000000001</v>
      </c>
      <c r="J234" s="9">
        <f t="shared" si="12"/>
        <v>0.4025000000000003</v>
      </c>
      <c r="K234">
        <f t="shared" si="9"/>
        <v>0.38400000000000034</v>
      </c>
    </row>
    <row r="235" spans="1:11" x14ac:dyDescent="0.2">
      <c r="A235" t="s">
        <v>832</v>
      </c>
      <c r="B235" t="s">
        <v>833</v>
      </c>
      <c r="C235">
        <v>237</v>
      </c>
      <c r="D235" t="s">
        <v>832</v>
      </c>
      <c r="E235">
        <v>237</v>
      </c>
      <c r="F235" s="1">
        <v>45163</v>
      </c>
      <c r="G235" s="7">
        <v>8.4270833333334032</v>
      </c>
      <c r="H235" s="10">
        <v>3.6255000000000002</v>
      </c>
      <c r="I235" s="9">
        <f t="shared" si="11"/>
        <v>-3.6255000000000002</v>
      </c>
      <c r="J235" s="9">
        <f t="shared" si="12"/>
        <v>0.42350000000000021</v>
      </c>
      <c r="K235">
        <f t="shared" si="9"/>
        <v>0.41300000000000026</v>
      </c>
    </row>
    <row r="236" spans="1:11" x14ac:dyDescent="0.2">
      <c r="A236" t="s">
        <v>834</v>
      </c>
      <c r="B236">
        <v>5.042E-2</v>
      </c>
      <c r="C236">
        <v>237</v>
      </c>
      <c r="D236" t="s">
        <v>834</v>
      </c>
      <c r="E236">
        <v>237</v>
      </c>
      <c r="F236" s="1">
        <v>45163</v>
      </c>
      <c r="G236" s="7">
        <v>8.4375000000000693</v>
      </c>
      <c r="H236" s="10">
        <v>3.5990000000000002</v>
      </c>
      <c r="I236" s="9">
        <f t="shared" si="11"/>
        <v>-3.5990000000000002</v>
      </c>
      <c r="J236" s="9">
        <f t="shared" si="12"/>
        <v>0.45000000000000018</v>
      </c>
      <c r="K236">
        <f t="shared" si="9"/>
        <v>0.43675000000000019</v>
      </c>
    </row>
    <row r="237" spans="1:11" x14ac:dyDescent="0.2">
      <c r="A237" t="s">
        <v>835</v>
      </c>
      <c r="B237">
        <v>4.9549999999999997E-2</v>
      </c>
      <c r="C237">
        <v>237</v>
      </c>
      <c r="D237" t="s">
        <v>835</v>
      </c>
      <c r="E237">
        <v>237</v>
      </c>
      <c r="F237" s="1">
        <v>45163</v>
      </c>
      <c r="G237" s="7">
        <v>8.4479166666667354</v>
      </c>
      <c r="H237" s="10">
        <v>3.5375000000000001</v>
      </c>
      <c r="I237" s="9">
        <f t="shared" si="11"/>
        <v>-3.5375000000000001</v>
      </c>
      <c r="J237" s="9">
        <f t="shared" si="12"/>
        <v>0.51150000000000029</v>
      </c>
      <c r="K237">
        <f t="shared" si="9"/>
        <v>0.48075000000000023</v>
      </c>
    </row>
    <row r="238" spans="1:11" x14ac:dyDescent="0.2">
      <c r="A238" t="s">
        <v>836</v>
      </c>
      <c r="B238">
        <v>4.9875000000000003E-2</v>
      </c>
      <c r="C238">
        <v>237</v>
      </c>
      <c r="D238" t="s">
        <v>836</v>
      </c>
      <c r="E238">
        <v>237</v>
      </c>
      <c r="F238" s="1">
        <v>45163</v>
      </c>
      <c r="G238" s="7">
        <v>8.4583333333334014</v>
      </c>
      <c r="H238" s="10">
        <v>3.5625</v>
      </c>
      <c r="I238" s="9">
        <f t="shared" si="11"/>
        <v>-3.5625</v>
      </c>
      <c r="J238" s="9">
        <f t="shared" si="12"/>
        <v>0.48650000000000038</v>
      </c>
      <c r="K238">
        <f t="shared" si="9"/>
        <v>0.49900000000000033</v>
      </c>
    </row>
    <row r="239" spans="1:11" x14ac:dyDescent="0.2">
      <c r="A239" t="s">
        <v>837</v>
      </c>
      <c r="B239">
        <v>4.8965000000000002E-2</v>
      </c>
      <c r="C239">
        <v>237</v>
      </c>
      <c r="D239" t="s">
        <v>837</v>
      </c>
      <c r="E239">
        <v>237</v>
      </c>
      <c r="F239" s="1">
        <v>45163</v>
      </c>
      <c r="G239" s="7">
        <v>8.4687500000000675</v>
      </c>
      <c r="H239" s="10">
        <v>3.4975000000000001</v>
      </c>
      <c r="I239" s="9">
        <f t="shared" si="11"/>
        <v>-3.4975000000000001</v>
      </c>
      <c r="J239" s="9">
        <f t="shared" si="12"/>
        <v>0.55150000000000032</v>
      </c>
      <c r="K239">
        <f t="shared" si="9"/>
        <v>0.51900000000000035</v>
      </c>
    </row>
    <row r="240" spans="1:11" x14ac:dyDescent="0.2">
      <c r="A240" t="s">
        <v>838</v>
      </c>
      <c r="B240">
        <v>4.9200000000000001E-2</v>
      </c>
      <c r="C240">
        <v>237</v>
      </c>
      <c r="D240" t="s">
        <v>838</v>
      </c>
      <c r="E240">
        <v>237</v>
      </c>
      <c r="F240" s="1">
        <v>45163</v>
      </c>
      <c r="G240" s="7">
        <v>8.4791666666667336</v>
      </c>
      <c r="H240" s="10">
        <v>3.5139999999999998</v>
      </c>
      <c r="I240" s="9">
        <f t="shared" si="11"/>
        <v>-3.5139999999999998</v>
      </c>
      <c r="J240" s="9">
        <f t="shared" si="12"/>
        <v>0.53500000000000059</v>
      </c>
      <c r="K240">
        <f t="shared" si="9"/>
        <v>0.54325000000000045</v>
      </c>
    </row>
    <row r="241" spans="1:11" x14ac:dyDescent="0.2">
      <c r="A241" t="s">
        <v>840</v>
      </c>
      <c r="B241">
        <v>4.8945000000000002E-2</v>
      </c>
      <c r="C241">
        <v>237</v>
      </c>
      <c r="D241" t="s">
        <v>840</v>
      </c>
      <c r="E241">
        <v>237</v>
      </c>
      <c r="F241" s="1">
        <v>45163</v>
      </c>
      <c r="G241" s="7">
        <v>8.4895833333333997</v>
      </c>
      <c r="H241" s="10">
        <v>3.4940000000000002</v>
      </c>
      <c r="I241" s="9">
        <f t="shared" si="11"/>
        <v>-3.4940000000000002</v>
      </c>
      <c r="J241" s="9">
        <f t="shared" si="12"/>
        <v>0.55500000000000016</v>
      </c>
      <c r="K241">
        <f t="shared" ref="K241:K296" si="13" xml:space="preserve"> (J240+J241)/2</f>
        <v>0.54500000000000037</v>
      </c>
    </row>
    <row r="242" spans="1:11" x14ac:dyDescent="0.2">
      <c r="A242" t="s">
        <v>841</v>
      </c>
      <c r="B242">
        <v>4.8445000000000002E-2</v>
      </c>
      <c r="C242">
        <v>237</v>
      </c>
      <c r="D242" t="s">
        <v>841</v>
      </c>
      <c r="E242">
        <v>237</v>
      </c>
      <c r="F242" s="1">
        <v>45163</v>
      </c>
      <c r="G242" s="7">
        <v>8.5000000000000657</v>
      </c>
      <c r="H242" s="10">
        <v>3.46</v>
      </c>
      <c r="I242" s="9">
        <f t="shared" si="11"/>
        <v>-3.46</v>
      </c>
      <c r="J242" s="9">
        <f t="shared" si="12"/>
        <v>0.58900000000000041</v>
      </c>
      <c r="K242">
        <f t="shared" si="13"/>
        <v>0.57200000000000029</v>
      </c>
    </row>
    <row r="243" spans="1:11" x14ac:dyDescent="0.2">
      <c r="A243" t="s">
        <v>842</v>
      </c>
      <c r="B243">
        <v>4.8930000000000001E-2</v>
      </c>
      <c r="C243">
        <v>237</v>
      </c>
      <c r="D243" t="s">
        <v>842</v>
      </c>
      <c r="E243">
        <v>237</v>
      </c>
      <c r="F243" s="1">
        <v>45163</v>
      </c>
      <c r="G243" s="7">
        <v>8.5104166666667318</v>
      </c>
      <c r="H243" s="10">
        <v>3.492</v>
      </c>
      <c r="I243" s="9">
        <f t="shared" si="11"/>
        <v>-3.492</v>
      </c>
      <c r="J243" s="9">
        <f t="shared" si="12"/>
        <v>0.55700000000000038</v>
      </c>
      <c r="K243">
        <f t="shared" si="13"/>
        <v>0.5730000000000004</v>
      </c>
    </row>
    <row r="244" spans="1:11" x14ac:dyDescent="0.2">
      <c r="A244" t="s">
        <v>843</v>
      </c>
      <c r="B244">
        <v>4.8770000000000001E-2</v>
      </c>
      <c r="C244">
        <v>237</v>
      </c>
      <c r="D244" t="s">
        <v>843</v>
      </c>
      <c r="E244">
        <v>237</v>
      </c>
      <c r="F244" s="1">
        <v>45163</v>
      </c>
      <c r="G244" s="7">
        <v>8.5208333333333979</v>
      </c>
      <c r="H244" s="10">
        <v>3.4805000000000001</v>
      </c>
      <c r="I244" s="9">
        <f t="shared" si="11"/>
        <v>-3.4805000000000001</v>
      </c>
      <c r="J244" s="9">
        <f t="shared" si="12"/>
        <v>0.56850000000000023</v>
      </c>
      <c r="K244">
        <f t="shared" si="13"/>
        <v>0.56275000000000031</v>
      </c>
    </row>
    <row r="245" spans="1:11" x14ac:dyDescent="0.2">
      <c r="A245" t="s">
        <v>844</v>
      </c>
      <c r="B245">
        <v>4.861E-2</v>
      </c>
      <c r="C245">
        <v>237</v>
      </c>
      <c r="D245" t="s">
        <v>844</v>
      </c>
      <c r="E245">
        <v>237</v>
      </c>
      <c r="F245" s="1">
        <v>45163</v>
      </c>
      <c r="G245" s="7">
        <v>8.5312500000000639</v>
      </c>
      <c r="H245" s="10">
        <v>3.4704999999999999</v>
      </c>
      <c r="I245" s="9">
        <f t="shared" si="11"/>
        <v>-3.4704999999999999</v>
      </c>
      <c r="J245" s="9">
        <f t="shared" si="12"/>
        <v>0.57850000000000046</v>
      </c>
      <c r="K245">
        <f t="shared" si="13"/>
        <v>0.57350000000000034</v>
      </c>
    </row>
    <row r="246" spans="1:11" x14ac:dyDescent="0.2">
      <c r="A246" t="s">
        <v>845</v>
      </c>
      <c r="B246">
        <v>4.8390000000000002E-2</v>
      </c>
      <c r="C246">
        <v>237</v>
      </c>
      <c r="D246" t="s">
        <v>845</v>
      </c>
      <c r="E246">
        <v>237</v>
      </c>
      <c r="F246" s="1">
        <v>45163</v>
      </c>
      <c r="G246" s="7">
        <v>8.54166666666673</v>
      </c>
      <c r="H246" s="10">
        <v>3.4544999999999999</v>
      </c>
      <c r="I246" s="9">
        <f t="shared" si="11"/>
        <v>-3.4544999999999999</v>
      </c>
      <c r="J246" s="9">
        <f t="shared" si="12"/>
        <v>0.59450000000000047</v>
      </c>
      <c r="K246">
        <f t="shared" si="13"/>
        <v>0.58650000000000047</v>
      </c>
    </row>
    <row r="247" spans="1:11" x14ac:dyDescent="0.2">
      <c r="A247" t="s">
        <v>846</v>
      </c>
      <c r="B247">
        <v>4.8390000000000002E-2</v>
      </c>
      <c r="C247">
        <v>237</v>
      </c>
      <c r="D247" t="s">
        <v>846</v>
      </c>
      <c r="E247">
        <v>237</v>
      </c>
      <c r="F247" s="1">
        <v>45163</v>
      </c>
      <c r="G247" s="7">
        <v>8.5520833333333961</v>
      </c>
      <c r="H247" s="10">
        <v>3.4540000000000002</v>
      </c>
      <c r="I247" s="9">
        <f t="shared" si="11"/>
        <v>-3.4540000000000002</v>
      </c>
      <c r="J247" s="9">
        <f t="shared" si="12"/>
        <v>0.5950000000000002</v>
      </c>
      <c r="K247">
        <f t="shared" si="13"/>
        <v>0.59475000000000033</v>
      </c>
    </row>
    <row r="248" spans="1:11" x14ac:dyDescent="0.2">
      <c r="A248" t="s">
        <v>847</v>
      </c>
      <c r="B248">
        <v>4.8235E-2</v>
      </c>
      <c r="C248">
        <v>237</v>
      </c>
      <c r="D248" t="s">
        <v>847</v>
      </c>
      <c r="E248">
        <v>237</v>
      </c>
      <c r="F248" s="1">
        <v>45163</v>
      </c>
      <c r="G248" s="7">
        <v>8.5625000000000622</v>
      </c>
      <c r="H248" s="10">
        <v>3.4445000000000001</v>
      </c>
      <c r="I248" s="9">
        <f t="shared" si="11"/>
        <v>-3.4445000000000001</v>
      </c>
      <c r="J248" s="9">
        <f t="shared" si="12"/>
        <v>0.60450000000000026</v>
      </c>
      <c r="K248">
        <f t="shared" si="13"/>
        <v>0.59975000000000023</v>
      </c>
    </row>
    <row r="249" spans="1:11" x14ac:dyDescent="0.2">
      <c r="A249" t="s">
        <v>848</v>
      </c>
      <c r="B249">
        <v>4.7989999999999998E-2</v>
      </c>
      <c r="C249">
        <v>237</v>
      </c>
      <c r="D249" t="s">
        <v>848</v>
      </c>
      <c r="E249">
        <v>237</v>
      </c>
      <c r="F249" s="1">
        <v>45163</v>
      </c>
      <c r="G249" s="7">
        <v>8.5729166666667282</v>
      </c>
      <c r="H249" s="10">
        <v>3.4260000000000002</v>
      </c>
      <c r="I249" s="9">
        <f t="shared" si="11"/>
        <v>-3.4260000000000002</v>
      </c>
      <c r="J249" s="9">
        <f t="shared" si="12"/>
        <v>0.62300000000000022</v>
      </c>
      <c r="K249">
        <f t="shared" si="13"/>
        <v>0.61375000000000024</v>
      </c>
    </row>
    <row r="250" spans="1:11" x14ac:dyDescent="0.2">
      <c r="A250" t="s">
        <v>849</v>
      </c>
      <c r="B250">
        <v>4.7625000000000001E-2</v>
      </c>
      <c r="C250">
        <v>237</v>
      </c>
      <c r="D250" t="s">
        <v>849</v>
      </c>
      <c r="E250">
        <v>237</v>
      </c>
      <c r="F250" s="1">
        <v>45163</v>
      </c>
      <c r="G250" s="7">
        <v>8.5833333333333943</v>
      </c>
      <c r="H250" s="10">
        <v>3.4009999999999998</v>
      </c>
      <c r="I250" s="9">
        <f t="shared" si="11"/>
        <v>-3.4009999999999998</v>
      </c>
      <c r="J250" s="9">
        <f t="shared" si="12"/>
        <v>0.64800000000000058</v>
      </c>
      <c r="K250">
        <f t="shared" si="13"/>
        <v>0.6355000000000004</v>
      </c>
    </row>
    <row r="251" spans="1:11" x14ac:dyDescent="0.2">
      <c r="A251" t="s">
        <v>850</v>
      </c>
      <c r="B251">
        <v>4.7425000000000002E-2</v>
      </c>
      <c r="C251">
        <v>237</v>
      </c>
      <c r="D251" t="s">
        <v>850</v>
      </c>
      <c r="E251">
        <v>237</v>
      </c>
      <c r="F251" s="1">
        <v>45163</v>
      </c>
      <c r="G251" s="7">
        <v>8.5937500000000604</v>
      </c>
      <c r="H251" s="10">
        <v>3.3875000000000002</v>
      </c>
      <c r="I251" s="9">
        <f t="shared" si="11"/>
        <v>-3.3875000000000002</v>
      </c>
      <c r="J251" s="9">
        <f t="shared" si="12"/>
        <v>0.6615000000000002</v>
      </c>
      <c r="K251">
        <f t="shared" si="13"/>
        <v>0.65475000000000039</v>
      </c>
    </row>
    <row r="252" spans="1:11" x14ac:dyDescent="0.2">
      <c r="A252" t="s">
        <v>851</v>
      </c>
      <c r="B252">
        <v>4.6754999999999998E-2</v>
      </c>
      <c r="C252">
        <v>237</v>
      </c>
      <c r="D252" t="s">
        <v>851</v>
      </c>
      <c r="E252">
        <v>237</v>
      </c>
      <c r="F252" s="1">
        <v>45163</v>
      </c>
      <c r="G252" s="7">
        <v>8.6041666666667265</v>
      </c>
      <c r="H252">
        <v>3.3384999999999998</v>
      </c>
      <c r="I252" s="9">
        <f t="shared" si="11"/>
        <v>-3.3384999999999998</v>
      </c>
      <c r="J252" s="9">
        <f t="shared" si="12"/>
        <v>0.71050000000000058</v>
      </c>
      <c r="K252">
        <f t="shared" si="13"/>
        <v>0.68600000000000039</v>
      </c>
    </row>
    <row r="253" spans="1:11" x14ac:dyDescent="0.2">
      <c r="A253" t="s">
        <v>853</v>
      </c>
      <c r="B253">
        <v>4.7030000000000002E-2</v>
      </c>
      <c r="C253">
        <v>237</v>
      </c>
      <c r="D253" t="s">
        <v>853</v>
      </c>
      <c r="E253">
        <v>237</v>
      </c>
      <c r="F253" s="1">
        <v>45163</v>
      </c>
      <c r="G253" s="7">
        <v>8.6145833333333925</v>
      </c>
      <c r="H253" s="10">
        <v>3.3574999999999999</v>
      </c>
      <c r="I253" s="9">
        <f t="shared" si="11"/>
        <v>-3.3574999999999999</v>
      </c>
      <c r="J253" s="9">
        <f t="shared" si="12"/>
        <v>0.69150000000000045</v>
      </c>
      <c r="K253">
        <f t="shared" si="13"/>
        <v>0.70100000000000051</v>
      </c>
    </row>
    <row r="254" spans="1:11" x14ac:dyDescent="0.2">
      <c r="A254" t="s">
        <v>854</v>
      </c>
      <c r="B254">
        <v>4.7155000000000002E-2</v>
      </c>
      <c r="C254">
        <v>237</v>
      </c>
      <c r="D254" t="s">
        <v>854</v>
      </c>
      <c r="E254">
        <v>237</v>
      </c>
      <c r="F254" s="1">
        <v>45163</v>
      </c>
      <c r="G254" s="7">
        <v>8.6250000000000586</v>
      </c>
      <c r="H254" s="10">
        <v>3.3675000000000002</v>
      </c>
      <c r="I254" s="9">
        <f t="shared" si="11"/>
        <v>-3.3675000000000002</v>
      </c>
      <c r="J254" s="9">
        <f t="shared" si="12"/>
        <v>0.68150000000000022</v>
      </c>
      <c r="K254">
        <f t="shared" si="13"/>
        <v>0.68650000000000033</v>
      </c>
    </row>
    <row r="255" spans="1:11" x14ac:dyDescent="0.2">
      <c r="A255" t="s">
        <v>855</v>
      </c>
      <c r="B255" t="s">
        <v>856</v>
      </c>
      <c r="C255">
        <v>237</v>
      </c>
      <c r="D255" t="s">
        <v>855</v>
      </c>
      <c r="E255">
        <v>237</v>
      </c>
      <c r="F255" s="1">
        <v>45163</v>
      </c>
      <c r="G255" s="7">
        <v>8.6354166666667247</v>
      </c>
      <c r="H255" s="10">
        <v>3.3460000000000001</v>
      </c>
      <c r="I255" s="9">
        <f t="shared" si="11"/>
        <v>-3.3460000000000001</v>
      </c>
      <c r="J255" s="9">
        <f t="shared" si="12"/>
        <v>0.70300000000000029</v>
      </c>
      <c r="K255">
        <f t="shared" si="13"/>
        <v>0.69225000000000025</v>
      </c>
    </row>
    <row r="256" spans="1:11" x14ac:dyDescent="0.2">
      <c r="A256" t="s">
        <v>857</v>
      </c>
      <c r="B256" t="s">
        <v>858</v>
      </c>
      <c r="C256">
        <v>237</v>
      </c>
      <c r="D256" t="s">
        <v>857</v>
      </c>
      <c r="E256">
        <v>237</v>
      </c>
      <c r="F256" s="1">
        <v>45163</v>
      </c>
      <c r="G256" s="7">
        <v>8.6458333333333908</v>
      </c>
      <c r="H256" s="10">
        <v>3.302</v>
      </c>
      <c r="I256" s="9">
        <f t="shared" si="11"/>
        <v>-3.302</v>
      </c>
      <c r="J256" s="9">
        <f t="shared" si="12"/>
        <v>0.74700000000000033</v>
      </c>
      <c r="K256">
        <f t="shared" si="13"/>
        <v>0.72500000000000031</v>
      </c>
    </row>
    <row r="257" spans="1:11" x14ac:dyDescent="0.2">
      <c r="A257" t="s">
        <v>859</v>
      </c>
      <c r="B257">
        <v>4.6664999999999998E-2</v>
      </c>
      <c r="C257">
        <v>237</v>
      </c>
      <c r="D257" t="s">
        <v>859</v>
      </c>
      <c r="E257">
        <v>237</v>
      </c>
      <c r="F257" s="1">
        <v>45163</v>
      </c>
      <c r="G257" s="7">
        <v>8.6562500000000568</v>
      </c>
      <c r="H257" s="10">
        <v>3.331</v>
      </c>
      <c r="I257" s="9">
        <f t="shared" si="11"/>
        <v>-3.331</v>
      </c>
      <c r="J257" s="9">
        <f t="shared" si="12"/>
        <v>0.71800000000000042</v>
      </c>
      <c r="K257">
        <f t="shared" si="13"/>
        <v>0.73250000000000037</v>
      </c>
    </row>
    <row r="258" spans="1:11" x14ac:dyDescent="0.2">
      <c r="A258" t="s">
        <v>860</v>
      </c>
      <c r="B258">
        <v>4.6625E-2</v>
      </c>
      <c r="C258">
        <v>237</v>
      </c>
      <c r="D258" t="s">
        <v>860</v>
      </c>
      <c r="E258">
        <v>237</v>
      </c>
      <c r="F258" s="1">
        <v>45163</v>
      </c>
      <c r="G258" s="7">
        <v>8.6666666666667229</v>
      </c>
      <c r="H258" s="10">
        <v>3.3290000000000002</v>
      </c>
      <c r="I258" s="9">
        <f t="shared" si="11"/>
        <v>-3.3290000000000002</v>
      </c>
      <c r="J258" s="9">
        <f t="shared" si="12"/>
        <v>0.7200000000000002</v>
      </c>
      <c r="K258">
        <f t="shared" si="13"/>
        <v>0.71900000000000031</v>
      </c>
    </row>
    <row r="259" spans="1:11" x14ac:dyDescent="0.2">
      <c r="A259" t="s">
        <v>861</v>
      </c>
      <c r="B259">
        <v>4.6464999999999999E-2</v>
      </c>
      <c r="C259">
        <v>237</v>
      </c>
      <c r="D259" t="s">
        <v>861</v>
      </c>
      <c r="E259">
        <v>237</v>
      </c>
      <c r="F259" s="1">
        <v>45163</v>
      </c>
      <c r="G259" s="7">
        <v>8.677083333333389</v>
      </c>
      <c r="H259" s="10">
        <v>3.3170000000000002</v>
      </c>
      <c r="I259" s="9">
        <f t="shared" ref="I259:I322" si="14">-H259</f>
        <v>-3.3170000000000002</v>
      </c>
      <c r="J259" s="9">
        <f t="shared" si="12"/>
        <v>0.73200000000000021</v>
      </c>
      <c r="K259">
        <f t="shared" si="13"/>
        <v>0.7260000000000002</v>
      </c>
    </row>
    <row r="260" spans="1:11" x14ac:dyDescent="0.2">
      <c r="A260" t="s">
        <v>862</v>
      </c>
      <c r="B260" s="17">
        <v>4.6035E-2</v>
      </c>
      <c r="C260" s="17">
        <v>237</v>
      </c>
      <c r="D260" s="17" t="s">
        <v>862</v>
      </c>
      <c r="E260" s="17">
        <v>237</v>
      </c>
      <c r="F260" s="18">
        <v>45163</v>
      </c>
      <c r="G260" s="19">
        <v>8.6875000000000551</v>
      </c>
      <c r="H260" s="16">
        <v>3.2865000000000002</v>
      </c>
      <c r="I260" s="9">
        <f t="shared" si="14"/>
        <v>-3.2865000000000002</v>
      </c>
      <c r="J260" s="9">
        <f t="shared" si="12"/>
        <v>0.76250000000000018</v>
      </c>
      <c r="K260">
        <f t="shared" si="13"/>
        <v>0.74725000000000019</v>
      </c>
    </row>
    <row r="261" spans="1:11" x14ac:dyDescent="0.2">
      <c r="A261" t="s">
        <v>863</v>
      </c>
      <c r="B261">
        <v>4.6679999999999999E-2</v>
      </c>
      <c r="C261">
        <v>237</v>
      </c>
      <c r="D261" t="s">
        <v>863</v>
      </c>
      <c r="E261">
        <v>237</v>
      </c>
      <c r="F261" s="1">
        <v>45163</v>
      </c>
      <c r="G261" s="7">
        <v>8.6979166666667211</v>
      </c>
      <c r="H261" s="10">
        <v>3.3319999999999999</v>
      </c>
      <c r="I261" s="9">
        <f t="shared" si="14"/>
        <v>-3.3319999999999999</v>
      </c>
      <c r="J261" s="9">
        <f t="shared" si="12"/>
        <v>0.71700000000000053</v>
      </c>
      <c r="K261">
        <f t="shared" si="13"/>
        <v>0.73975000000000035</v>
      </c>
    </row>
    <row r="262" spans="1:11" x14ac:dyDescent="0.2">
      <c r="A262" t="s">
        <v>864</v>
      </c>
      <c r="B262">
        <v>4.6225000000000002E-2</v>
      </c>
      <c r="C262">
        <v>237</v>
      </c>
      <c r="D262" t="s">
        <v>864</v>
      </c>
      <c r="E262">
        <v>237</v>
      </c>
      <c r="F262" s="1">
        <v>45163</v>
      </c>
      <c r="G262" s="7">
        <v>8.7083333333333872</v>
      </c>
      <c r="H262" s="10">
        <v>3.2995000000000001</v>
      </c>
      <c r="I262" s="9">
        <f t="shared" si="14"/>
        <v>-3.2995000000000001</v>
      </c>
      <c r="J262" s="9">
        <f t="shared" si="12"/>
        <v>0.74950000000000028</v>
      </c>
      <c r="K262">
        <f t="shared" si="13"/>
        <v>0.7332500000000004</v>
      </c>
    </row>
    <row r="263" spans="1:11" x14ac:dyDescent="0.2">
      <c r="A263" t="s">
        <v>865</v>
      </c>
      <c r="B263">
        <v>4.6455000000000003E-2</v>
      </c>
      <c r="C263">
        <v>237</v>
      </c>
      <c r="D263" t="s">
        <v>865</v>
      </c>
      <c r="E263">
        <v>237</v>
      </c>
      <c r="F263" s="1">
        <v>45163</v>
      </c>
      <c r="G263" s="7">
        <v>8.7187500000000533</v>
      </c>
      <c r="H263" s="10">
        <v>3.3165</v>
      </c>
      <c r="I263" s="9">
        <f t="shared" si="14"/>
        <v>-3.3165</v>
      </c>
      <c r="J263" s="9">
        <f t="shared" si="12"/>
        <v>0.73250000000000037</v>
      </c>
      <c r="K263">
        <f t="shared" si="13"/>
        <v>0.74100000000000033</v>
      </c>
    </row>
    <row r="264" spans="1:11" x14ac:dyDescent="0.2">
      <c r="A264" t="s">
        <v>866</v>
      </c>
      <c r="B264">
        <v>4.6304999999999999E-2</v>
      </c>
      <c r="C264">
        <v>237</v>
      </c>
      <c r="D264" t="s">
        <v>866</v>
      </c>
      <c r="E264">
        <v>237</v>
      </c>
      <c r="F264" s="1">
        <v>45163</v>
      </c>
      <c r="G264" s="7">
        <v>8.7291666666667194</v>
      </c>
      <c r="H264" s="10">
        <v>3.3050000000000002</v>
      </c>
      <c r="I264" s="9">
        <f t="shared" si="14"/>
        <v>-3.3050000000000002</v>
      </c>
      <c r="J264" s="9">
        <f t="shared" si="12"/>
        <v>0.74400000000000022</v>
      </c>
      <c r="K264">
        <f t="shared" si="13"/>
        <v>0.73825000000000029</v>
      </c>
    </row>
    <row r="265" spans="1:11" x14ac:dyDescent="0.2">
      <c r="A265" t="s">
        <v>867</v>
      </c>
      <c r="B265">
        <v>4.6100000000000002E-2</v>
      </c>
      <c r="C265">
        <v>237</v>
      </c>
      <c r="D265" t="s">
        <v>867</v>
      </c>
      <c r="E265">
        <v>237</v>
      </c>
      <c r="F265" s="1">
        <v>45163</v>
      </c>
      <c r="G265" s="7">
        <v>8.7395833333333854</v>
      </c>
      <c r="H265" s="10">
        <v>3.2915000000000001</v>
      </c>
      <c r="I265" s="9">
        <f t="shared" si="14"/>
        <v>-3.2915000000000001</v>
      </c>
      <c r="J265" s="9">
        <f t="shared" si="12"/>
        <v>0.75750000000000028</v>
      </c>
      <c r="K265">
        <f t="shared" si="13"/>
        <v>0.75075000000000025</v>
      </c>
    </row>
    <row r="266" spans="1:11" x14ac:dyDescent="0.2">
      <c r="A266" t="s">
        <v>868</v>
      </c>
      <c r="B266">
        <v>4.6149999999999997E-2</v>
      </c>
      <c r="C266">
        <v>238</v>
      </c>
      <c r="D266" t="s">
        <v>868</v>
      </c>
      <c r="E266">
        <v>237</v>
      </c>
      <c r="F266" s="1">
        <v>45163</v>
      </c>
      <c r="G266" s="7">
        <v>8.7500000000000515</v>
      </c>
      <c r="H266" s="10">
        <v>3.2945000000000002</v>
      </c>
      <c r="I266" s="9">
        <f t="shared" si="14"/>
        <v>-3.2945000000000002</v>
      </c>
      <c r="J266" s="9">
        <f t="shared" si="12"/>
        <v>0.75450000000000017</v>
      </c>
      <c r="K266">
        <f t="shared" si="13"/>
        <v>0.75600000000000023</v>
      </c>
    </row>
    <row r="267" spans="1:11" x14ac:dyDescent="0.2">
      <c r="A267" t="s">
        <v>869</v>
      </c>
      <c r="B267" s="17">
        <v>4.5874999999999999E-2</v>
      </c>
      <c r="C267" s="17">
        <v>238</v>
      </c>
      <c r="D267" s="17" t="s">
        <v>869</v>
      </c>
      <c r="E267" s="17">
        <v>237</v>
      </c>
      <c r="F267" s="18">
        <v>45163</v>
      </c>
      <c r="G267" s="19">
        <v>8.7604166666667176</v>
      </c>
      <c r="H267" s="16">
        <v>3.2749999999999999</v>
      </c>
      <c r="I267" s="9">
        <f t="shared" si="14"/>
        <v>-3.2749999999999999</v>
      </c>
      <c r="J267" s="9">
        <f t="shared" si="12"/>
        <v>0.77400000000000047</v>
      </c>
      <c r="K267">
        <f t="shared" si="13"/>
        <v>0.76425000000000032</v>
      </c>
    </row>
    <row r="268" spans="1:11" x14ac:dyDescent="0.2">
      <c r="A268" t="s">
        <v>870</v>
      </c>
      <c r="B268">
        <v>4.6495000000000002E-2</v>
      </c>
      <c r="C268">
        <v>238</v>
      </c>
      <c r="D268" t="s">
        <v>870</v>
      </c>
      <c r="E268">
        <v>237</v>
      </c>
      <c r="F268" s="1">
        <v>45163</v>
      </c>
      <c r="G268" s="7">
        <v>8.7708333333333837</v>
      </c>
      <c r="H268" s="10">
        <v>3.32</v>
      </c>
      <c r="I268" s="9">
        <f t="shared" si="14"/>
        <v>-3.32</v>
      </c>
      <c r="J268" s="9">
        <f t="shared" si="12"/>
        <v>0.72900000000000054</v>
      </c>
      <c r="K268">
        <f t="shared" si="13"/>
        <v>0.7515000000000005</v>
      </c>
    </row>
    <row r="269" spans="1:11" x14ac:dyDescent="0.2">
      <c r="A269" t="s">
        <v>871</v>
      </c>
      <c r="B269" t="s">
        <v>872</v>
      </c>
      <c r="C269">
        <v>238</v>
      </c>
      <c r="D269" t="s">
        <v>871</v>
      </c>
      <c r="E269">
        <v>237</v>
      </c>
      <c r="F269" s="1">
        <v>45163</v>
      </c>
      <c r="G269" s="7">
        <v>8.7812500000000497</v>
      </c>
      <c r="H269" s="10">
        <v>3.319</v>
      </c>
      <c r="I269" s="9">
        <f t="shared" si="14"/>
        <v>-3.319</v>
      </c>
      <c r="J269" s="9">
        <f t="shared" si="12"/>
        <v>0.73000000000000043</v>
      </c>
      <c r="K269">
        <f t="shared" si="13"/>
        <v>0.72950000000000048</v>
      </c>
    </row>
    <row r="270" spans="1:11" x14ac:dyDescent="0.2">
      <c r="A270" t="s">
        <v>873</v>
      </c>
      <c r="B270">
        <v>4.6309999999999997E-2</v>
      </c>
      <c r="C270">
        <v>238</v>
      </c>
      <c r="D270" t="s">
        <v>873</v>
      </c>
      <c r="E270">
        <v>237</v>
      </c>
      <c r="F270" s="1">
        <v>45163</v>
      </c>
      <c r="G270" s="7">
        <v>8.7916666666667158</v>
      </c>
      <c r="H270" s="10">
        <v>3.3075000000000001</v>
      </c>
      <c r="I270" s="9">
        <f t="shared" si="14"/>
        <v>-3.3075000000000001</v>
      </c>
      <c r="J270" s="9">
        <f t="shared" si="12"/>
        <v>0.74150000000000027</v>
      </c>
      <c r="K270">
        <f t="shared" si="13"/>
        <v>0.73575000000000035</v>
      </c>
    </row>
    <row r="271" spans="1:11" x14ac:dyDescent="0.2">
      <c r="A271" t="s">
        <v>874</v>
      </c>
      <c r="B271">
        <v>4.6859999999999999E-2</v>
      </c>
      <c r="C271">
        <v>238</v>
      </c>
      <c r="D271" t="s">
        <v>874</v>
      </c>
      <c r="E271">
        <v>237</v>
      </c>
      <c r="F271" s="1">
        <v>45163</v>
      </c>
      <c r="G271" s="7">
        <v>8.8020833333333819</v>
      </c>
      <c r="H271" s="10">
        <v>3.3454999999999999</v>
      </c>
      <c r="I271" s="9">
        <f t="shared" si="14"/>
        <v>-3.3454999999999999</v>
      </c>
      <c r="J271" s="9">
        <f t="shared" si="12"/>
        <v>0.70350000000000046</v>
      </c>
      <c r="K271">
        <f t="shared" si="13"/>
        <v>0.72250000000000036</v>
      </c>
    </row>
    <row r="272" spans="1:11" x14ac:dyDescent="0.2">
      <c r="A272" t="s">
        <v>875</v>
      </c>
      <c r="B272">
        <v>4.6760000000000003E-2</v>
      </c>
      <c r="C272">
        <v>238</v>
      </c>
      <c r="D272" t="s">
        <v>875</v>
      </c>
      <c r="E272">
        <v>237</v>
      </c>
      <c r="F272" s="1">
        <v>45163</v>
      </c>
      <c r="G272" s="7">
        <v>8.812500000000048</v>
      </c>
      <c r="H272" s="10">
        <v>3.339</v>
      </c>
      <c r="I272" s="9">
        <f t="shared" si="14"/>
        <v>-3.339</v>
      </c>
      <c r="J272" s="9">
        <f t="shared" si="12"/>
        <v>0.71000000000000041</v>
      </c>
      <c r="K272">
        <f t="shared" si="13"/>
        <v>0.70675000000000043</v>
      </c>
    </row>
    <row r="273" spans="1:11" x14ac:dyDescent="0.2">
      <c r="A273" t="s">
        <v>876</v>
      </c>
      <c r="B273">
        <v>4.7579999999999997E-2</v>
      </c>
      <c r="C273">
        <v>238</v>
      </c>
      <c r="D273" t="s">
        <v>876</v>
      </c>
      <c r="E273">
        <v>237</v>
      </c>
      <c r="F273" s="1">
        <v>45163</v>
      </c>
      <c r="G273" s="7">
        <v>8.822916666666714</v>
      </c>
      <c r="H273" s="10">
        <v>3.3955000000000002</v>
      </c>
      <c r="I273" s="9">
        <f t="shared" si="14"/>
        <v>-3.3955000000000002</v>
      </c>
      <c r="J273" s="9">
        <f t="shared" si="12"/>
        <v>0.65350000000000019</v>
      </c>
      <c r="K273">
        <f t="shared" si="13"/>
        <v>0.6817500000000003</v>
      </c>
    </row>
    <row r="274" spans="1:11" x14ac:dyDescent="0.2">
      <c r="A274" t="s">
        <v>877</v>
      </c>
      <c r="B274">
        <v>4.7405000000000003E-2</v>
      </c>
      <c r="C274">
        <v>238</v>
      </c>
      <c r="D274" t="s">
        <v>877</v>
      </c>
      <c r="E274">
        <v>237</v>
      </c>
      <c r="F274" s="1">
        <v>45163</v>
      </c>
      <c r="G274" s="7">
        <v>8.8333333333333801</v>
      </c>
      <c r="H274" s="10">
        <v>3.3849999999999998</v>
      </c>
      <c r="I274" s="9">
        <f t="shared" si="14"/>
        <v>-3.3849999999999998</v>
      </c>
      <c r="J274" s="9">
        <f t="shared" si="12"/>
        <v>0.66400000000000059</v>
      </c>
      <c r="K274">
        <f t="shared" si="13"/>
        <v>0.65875000000000039</v>
      </c>
    </row>
    <row r="275" spans="1:11" x14ac:dyDescent="0.2">
      <c r="A275" t="s">
        <v>878</v>
      </c>
      <c r="B275">
        <v>4.7954999999999998E-2</v>
      </c>
      <c r="C275">
        <v>238</v>
      </c>
      <c r="D275" t="s">
        <v>878</v>
      </c>
      <c r="E275">
        <v>237</v>
      </c>
      <c r="F275" s="1">
        <v>45163</v>
      </c>
      <c r="G275" s="7">
        <v>8.8437500000000462</v>
      </c>
      <c r="H275" s="10">
        <v>3.4235000000000002</v>
      </c>
      <c r="I275" s="9">
        <f t="shared" si="14"/>
        <v>-3.4235000000000002</v>
      </c>
      <c r="J275" s="9">
        <f t="shared" si="12"/>
        <v>0.62550000000000017</v>
      </c>
      <c r="K275">
        <f t="shared" si="13"/>
        <v>0.64475000000000038</v>
      </c>
    </row>
    <row r="276" spans="1:11" x14ac:dyDescent="0.2">
      <c r="A276" t="s">
        <v>879</v>
      </c>
      <c r="B276">
        <v>4.8285000000000002E-2</v>
      </c>
      <c r="C276">
        <v>238</v>
      </c>
      <c r="D276" t="s">
        <v>879</v>
      </c>
      <c r="E276">
        <v>237</v>
      </c>
      <c r="F276" s="1">
        <v>45163</v>
      </c>
      <c r="G276" s="7">
        <v>8.8541666666667123</v>
      </c>
      <c r="H276" s="10">
        <v>3.448</v>
      </c>
      <c r="I276" s="9">
        <f t="shared" si="14"/>
        <v>-3.448</v>
      </c>
      <c r="J276" s="9">
        <f t="shared" ref="J276:J294" si="15">I276+4.049</f>
        <v>0.60100000000000042</v>
      </c>
      <c r="K276">
        <f t="shared" si="13"/>
        <v>0.61325000000000029</v>
      </c>
    </row>
    <row r="277" spans="1:11" x14ac:dyDescent="0.2">
      <c r="A277" t="s">
        <v>880</v>
      </c>
      <c r="B277">
        <v>4.8325E-2</v>
      </c>
      <c r="C277">
        <v>238</v>
      </c>
      <c r="D277" t="s">
        <v>880</v>
      </c>
      <c r="E277">
        <v>237</v>
      </c>
      <c r="F277" s="1">
        <v>45163</v>
      </c>
      <c r="G277" s="7">
        <v>8.8645833333333783</v>
      </c>
      <c r="H277">
        <v>3.4514999999999998</v>
      </c>
      <c r="I277" s="9">
        <f t="shared" si="14"/>
        <v>-3.4514999999999998</v>
      </c>
      <c r="J277" s="9">
        <f t="shared" si="15"/>
        <v>0.59750000000000059</v>
      </c>
      <c r="K277">
        <f t="shared" si="13"/>
        <v>0.5992500000000005</v>
      </c>
    </row>
    <row r="278" spans="1:11" x14ac:dyDescent="0.2">
      <c r="A278" t="s">
        <v>882</v>
      </c>
      <c r="B278">
        <v>4.8375000000000001E-2</v>
      </c>
      <c r="C278">
        <v>238</v>
      </c>
      <c r="D278" t="s">
        <v>882</v>
      </c>
      <c r="E278">
        <v>237</v>
      </c>
      <c r="F278" s="1">
        <v>45163</v>
      </c>
      <c r="G278" s="7">
        <v>8.8750000000000444</v>
      </c>
      <c r="H278" s="10">
        <v>3.4550000000000001</v>
      </c>
      <c r="I278" s="9">
        <f t="shared" si="14"/>
        <v>-3.4550000000000001</v>
      </c>
      <c r="J278" s="9">
        <f t="shared" si="15"/>
        <v>0.59400000000000031</v>
      </c>
      <c r="K278">
        <f t="shared" si="13"/>
        <v>0.59575000000000045</v>
      </c>
    </row>
    <row r="279" spans="1:11" x14ac:dyDescent="0.2">
      <c r="A279" t="s">
        <v>883</v>
      </c>
      <c r="B279">
        <v>4.9250000000000002E-2</v>
      </c>
      <c r="C279">
        <v>238</v>
      </c>
      <c r="D279" t="s">
        <v>883</v>
      </c>
      <c r="E279">
        <v>237</v>
      </c>
      <c r="F279" s="1">
        <v>45163</v>
      </c>
      <c r="G279" s="7">
        <v>8.8854166666667105</v>
      </c>
      <c r="H279" s="10">
        <v>3.5179999999999998</v>
      </c>
      <c r="I279" s="9">
        <f t="shared" si="14"/>
        <v>-3.5179999999999998</v>
      </c>
      <c r="J279" s="9">
        <f t="shared" si="15"/>
        <v>0.53100000000000058</v>
      </c>
      <c r="K279">
        <f t="shared" si="13"/>
        <v>0.56250000000000044</v>
      </c>
    </row>
    <row r="280" spans="1:11" x14ac:dyDescent="0.2">
      <c r="A280" t="s">
        <v>884</v>
      </c>
      <c r="B280">
        <v>5.0064999999999998E-2</v>
      </c>
      <c r="C280">
        <v>238</v>
      </c>
      <c r="D280" t="s">
        <v>884</v>
      </c>
      <c r="E280">
        <v>237</v>
      </c>
      <c r="F280" s="1">
        <v>45163</v>
      </c>
      <c r="G280" s="7">
        <v>8.8958333333333766</v>
      </c>
      <c r="H280" s="10">
        <v>3.5739999999999998</v>
      </c>
      <c r="I280" s="9">
        <f t="shared" si="14"/>
        <v>-3.5739999999999998</v>
      </c>
      <c r="J280" s="9">
        <f t="shared" si="15"/>
        <v>0.47500000000000053</v>
      </c>
      <c r="K280">
        <f t="shared" si="13"/>
        <v>0.50300000000000056</v>
      </c>
    </row>
    <row r="281" spans="1:11" x14ac:dyDescent="0.2">
      <c r="A281" t="s">
        <v>885</v>
      </c>
      <c r="B281" t="s">
        <v>886</v>
      </c>
      <c r="C281">
        <v>238</v>
      </c>
      <c r="D281" t="s">
        <v>885</v>
      </c>
      <c r="E281">
        <v>237</v>
      </c>
      <c r="F281" s="1">
        <v>45163</v>
      </c>
      <c r="G281" s="7">
        <v>8.9062500000000426</v>
      </c>
      <c r="H281" s="10">
        <v>3.5840000000000001</v>
      </c>
      <c r="I281" s="9">
        <f t="shared" si="14"/>
        <v>-3.5840000000000001</v>
      </c>
      <c r="J281" s="9">
        <f t="shared" si="15"/>
        <v>0.4650000000000003</v>
      </c>
      <c r="K281">
        <f t="shared" si="13"/>
        <v>0.47000000000000042</v>
      </c>
    </row>
    <row r="282" spans="1:11" x14ac:dyDescent="0.2">
      <c r="A282" t="s">
        <v>887</v>
      </c>
      <c r="B282">
        <v>5.0465000000000003E-2</v>
      </c>
      <c r="C282">
        <v>238</v>
      </c>
      <c r="D282" t="s">
        <v>887</v>
      </c>
      <c r="E282">
        <v>237</v>
      </c>
      <c r="F282" s="1">
        <v>45163</v>
      </c>
      <c r="G282" s="7">
        <v>8.9166666666667087</v>
      </c>
      <c r="H282" s="9">
        <v>3.60299999999999</v>
      </c>
      <c r="I282" s="9">
        <f t="shared" si="14"/>
        <v>-3.60299999999999</v>
      </c>
      <c r="J282" s="9">
        <f t="shared" si="15"/>
        <v>0.44600000000001039</v>
      </c>
      <c r="K282">
        <f t="shared" si="13"/>
        <v>0.45550000000000535</v>
      </c>
    </row>
    <row r="283" spans="1:11" x14ac:dyDescent="0.2">
      <c r="A283" t="s">
        <v>889</v>
      </c>
      <c r="B283">
        <v>5.0994999999999999E-2</v>
      </c>
      <c r="C283">
        <v>238</v>
      </c>
      <c r="D283" t="s">
        <v>889</v>
      </c>
      <c r="E283">
        <v>237</v>
      </c>
      <c r="F283" s="1">
        <v>45163</v>
      </c>
      <c r="G283" s="7">
        <v>8.9270833333333748</v>
      </c>
      <c r="H283" s="10">
        <v>3.6404999999999998</v>
      </c>
      <c r="I283" s="9">
        <f t="shared" si="14"/>
        <v>-3.6404999999999998</v>
      </c>
      <c r="J283" s="9">
        <f t="shared" si="15"/>
        <v>0.40850000000000053</v>
      </c>
      <c r="K283">
        <f t="shared" si="13"/>
        <v>0.42725000000000546</v>
      </c>
    </row>
    <row r="284" spans="1:11" x14ac:dyDescent="0.2">
      <c r="A284" t="s">
        <v>890</v>
      </c>
      <c r="B284">
        <v>5.1784999999999998E-2</v>
      </c>
      <c r="C284">
        <v>238</v>
      </c>
      <c r="D284" t="s">
        <v>890</v>
      </c>
      <c r="E284">
        <v>237</v>
      </c>
      <c r="F284" s="1">
        <v>45163</v>
      </c>
      <c r="G284" s="7">
        <v>8.9375000000000409</v>
      </c>
      <c r="H284" s="10">
        <v>3.6964999999999999</v>
      </c>
      <c r="I284" s="9">
        <f t="shared" si="14"/>
        <v>-3.6964999999999999</v>
      </c>
      <c r="J284" s="9">
        <f t="shared" si="15"/>
        <v>0.35250000000000048</v>
      </c>
      <c r="K284">
        <f t="shared" si="13"/>
        <v>0.3805000000000005</v>
      </c>
    </row>
    <row r="285" spans="1:11" x14ac:dyDescent="0.2">
      <c r="A285" t="s">
        <v>891</v>
      </c>
      <c r="B285">
        <v>5.2159999999999998E-2</v>
      </c>
      <c r="C285">
        <v>238</v>
      </c>
      <c r="D285" t="s">
        <v>891</v>
      </c>
      <c r="E285">
        <v>237</v>
      </c>
      <c r="F285" s="1">
        <v>45163</v>
      </c>
      <c r="G285" s="7">
        <v>8.9479166666667069</v>
      </c>
      <c r="H285" s="10">
        <v>3.7240000000000002</v>
      </c>
      <c r="I285" s="9">
        <f t="shared" si="14"/>
        <v>-3.7240000000000002</v>
      </c>
      <c r="J285" s="9">
        <f t="shared" si="15"/>
        <v>0.32500000000000018</v>
      </c>
      <c r="K285">
        <f t="shared" si="13"/>
        <v>0.33875000000000033</v>
      </c>
    </row>
    <row r="286" spans="1:11" x14ac:dyDescent="0.2">
      <c r="A286" t="s">
        <v>892</v>
      </c>
      <c r="B286">
        <v>5.3644999999999998E-2</v>
      </c>
      <c r="C286">
        <v>238</v>
      </c>
      <c r="D286" t="s">
        <v>892</v>
      </c>
      <c r="E286">
        <v>237</v>
      </c>
      <c r="F286" s="1">
        <v>45163</v>
      </c>
      <c r="G286" s="7">
        <v>8.958333333333373</v>
      </c>
      <c r="H286" s="10">
        <v>3.8294999999999999</v>
      </c>
      <c r="I286" s="9">
        <f t="shared" si="14"/>
        <v>-3.8294999999999999</v>
      </c>
      <c r="J286" s="9">
        <f t="shared" si="15"/>
        <v>0.21950000000000047</v>
      </c>
      <c r="K286">
        <f t="shared" si="13"/>
        <v>0.27225000000000033</v>
      </c>
    </row>
    <row r="287" spans="1:11" x14ac:dyDescent="0.2">
      <c r="A287" t="s">
        <v>893</v>
      </c>
      <c r="B287">
        <v>5.4135000000000003E-2</v>
      </c>
      <c r="C287">
        <v>238</v>
      </c>
      <c r="D287" t="s">
        <v>893</v>
      </c>
      <c r="E287">
        <v>237</v>
      </c>
      <c r="F287" s="1">
        <v>45163</v>
      </c>
      <c r="G287" s="7">
        <v>8.9687500000000391</v>
      </c>
      <c r="H287" s="10">
        <v>3.8650000000000002</v>
      </c>
      <c r="I287" s="9">
        <f t="shared" si="14"/>
        <v>-3.8650000000000002</v>
      </c>
      <c r="J287" s="9">
        <f t="shared" si="15"/>
        <v>0.18400000000000016</v>
      </c>
      <c r="K287">
        <f t="shared" si="13"/>
        <v>0.20175000000000032</v>
      </c>
    </row>
    <row r="288" spans="1:11" x14ac:dyDescent="0.2">
      <c r="A288" t="s">
        <v>894</v>
      </c>
      <c r="B288" t="s">
        <v>895</v>
      </c>
      <c r="C288">
        <v>238</v>
      </c>
      <c r="D288" t="s">
        <v>894</v>
      </c>
      <c r="E288">
        <v>237</v>
      </c>
      <c r="F288" s="1">
        <v>45163</v>
      </c>
      <c r="G288" s="7">
        <v>8.9791666666667052</v>
      </c>
      <c r="H288" s="10">
        <v>3.8744999999999998</v>
      </c>
      <c r="I288" s="9">
        <f t="shared" si="14"/>
        <v>-3.8744999999999998</v>
      </c>
      <c r="J288" s="9">
        <f t="shared" si="15"/>
        <v>0.17450000000000054</v>
      </c>
      <c r="K288">
        <f t="shared" si="13"/>
        <v>0.17925000000000035</v>
      </c>
    </row>
    <row r="289" spans="1:13" x14ac:dyDescent="0.2">
      <c r="A289" t="s">
        <v>896</v>
      </c>
      <c r="B289">
        <v>5.5300000000000002E-2</v>
      </c>
      <c r="C289">
        <v>238</v>
      </c>
      <c r="D289" t="s">
        <v>896</v>
      </c>
      <c r="E289">
        <v>237</v>
      </c>
      <c r="F289" s="1">
        <v>45163</v>
      </c>
      <c r="G289" s="7">
        <v>8.9895833333333712</v>
      </c>
      <c r="H289" s="10">
        <v>3.9489999999999998</v>
      </c>
      <c r="I289" s="9">
        <f t="shared" si="14"/>
        <v>-3.9489999999999998</v>
      </c>
      <c r="J289" s="9">
        <f t="shared" si="15"/>
        <v>0.10000000000000053</v>
      </c>
      <c r="K289">
        <f t="shared" si="13"/>
        <v>0.13725000000000054</v>
      </c>
    </row>
    <row r="290" spans="1:13" x14ac:dyDescent="0.2">
      <c r="A290" t="s">
        <v>897</v>
      </c>
      <c r="B290">
        <v>5.6165E-2</v>
      </c>
      <c r="C290">
        <v>238</v>
      </c>
      <c r="D290" t="s">
        <v>897</v>
      </c>
      <c r="E290">
        <v>238</v>
      </c>
      <c r="F290" s="1">
        <v>45164</v>
      </c>
      <c r="G290" s="7">
        <v>9.0000000000000373</v>
      </c>
      <c r="H290" s="10">
        <v>4.0090000000000003</v>
      </c>
      <c r="I290" s="9">
        <f t="shared" si="14"/>
        <v>-4.0090000000000003</v>
      </c>
      <c r="J290" s="9">
        <f t="shared" si="15"/>
        <v>4.0000000000000036E-2</v>
      </c>
      <c r="K290">
        <f t="shared" si="13"/>
        <v>7.0000000000000284E-2</v>
      </c>
    </row>
    <row r="291" spans="1:13" x14ac:dyDescent="0.2">
      <c r="A291" t="s">
        <v>898</v>
      </c>
      <c r="B291">
        <v>5.62E-2</v>
      </c>
      <c r="C291">
        <v>238</v>
      </c>
      <c r="D291" t="s">
        <v>898</v>
      </c>
      <c r="E291">
        <v>238</v>
      </c>
      <c r="F291" s="1">
        <v>45164</v>
      </c>
      <c r="G291" s="7">
        <v>9.0104166666667034</v>
      </c>
      <c r="H291" s="10">
        <v>4.0119999999999996</v>
      </c>
      <c r="I291" s="9">
        <f t="shared" si="14"/>
        <v>-4.0119999999999996</v>
      </c>
      <c r="J291" s="9">
        <f t="shared" si="15"/>
        <v>3.700000000000081E-2</v>
      </c>
      <c r="K291">
        <f t="shared" si="13"/>
        <v>3.8500000000000423E-2</v>
      </c>
    </row>
    <row r="292" spans="1:13" x14ac:dyDescent="0.2">
      <c r="A292" t="s">
        <v>899</v>
      </c>
      <c r="B292">
        <v>5.645E-2</v>
      </c>
      <c r="C292">
        <v>238</v>
      </c>
      <c r="D292" t="s">
        <v>899</v>
      </c>
      <c r="E292">
        <v>238</v>
      </c>
      <c r="F292" s="1">
        <v>45164</v>
      </c>
      <c r="G292" s="7">
        <v>9.0208333333333695</v>
      </c>
      <c r="H292" s="10">
        <v>4.0309999999999997</v>
      </c>
      <c r="I292" s="9">
        <f t="shared" si="14"/>
        <v>-4.0309999999999997</v>
      </c>
      <c r="J292" s="9">
        <f t="shared" si="15"/>
        <v>1.8000000000000682E-2</v>
      </c>
      <c r="K292">
        <f t="shared" si="13"/>
        <v>2.7500000000000746E-2</v>
      </c>
    </row>
    <row r="293" spans="1:13" x14ac:dyDescent="0.2">
      <c r="A293" t="s">
        <v>900</v>
      </c>
      <c r="B293">
        <v>5.6309999999999999E-2</v>
      </c>
      <c r="C293">
        <v>238</v>
      </c>
      <c r="D293" t="s">
        <v>900</v>
      </c>
      <c r="E293">
        <v>238</v>
      </c>
      <c r="F293" s="1">
        <v>45164</v>
      </c>
      <c r="G293" s="7">
        <v>9.0312500000000355</v>
      </c>
      <c r="H293" s="10">
        <v>4.0185000000000004</v>
      </c>
      <c r="I293" s="9">
        <f t="shared" si="14"/>
        <v>-4.0185000000000004</v>
      </c>
      <c r="J293" s="9">
        <f t="shared" si="15"/>
        <v>3.0499999999999972E-2</v>
      </c>
      <c r="K293">
        <f t="shared" si="13"/>
        <v>2.4250000000000327E-2</v>
      </c>
    </row>
    <row r="294" spans="1:13" x14ac:dyDescent="0.2">
      <c r="A294" t="s">
        <v>901</v>
      </c>
      <c r="B294">
        <v>5.6660000000000002E-2</v>
      </c>
      <c r="C294">
        <v>238</v>
      </c>
      <c r="D294" t="s">
        <v>901</v>
      </c>
      <c r="E294">
        <v>238</v>
      </c>
      <c r="F294" s="1">
        <v>45164</v>
      </c>
      <c r="G294" s="7">
        <v>9.0416666666667016</v>
      </c>
      <c r="H294" s="10">
        <v>4.0469999999999997</v>
      </c>
      <c r="I294" s="9">
        <f t="shared" si="14"/>
        <v>-4.0469999999999997</v>
      </c>
      <c r="J294" s="9">
        <f t="shared" si="15"/>
        <v>2.0000000000006679E-3</v>
      </c>
      <c r="K294">
        <f t="shared" si="13"/>
        <v>1.625000000000032E-2</v>
      </c>
    </row>
    <row r="295" spans="1:13" x14ac:dyDescent="0.2">
      <c r="A295" t="s">
        <v>902</v>
      </c>
      <c r="B295">
        <v>5.6954999999999999E-2</v>
      </c>
      <c r="C295">
        <v>238</v>
      </c>
      <c r="D295" t="s">
        <v>902</v>
      </c>
      <c r="E295">
        <v>238</v>
      </c>
      <c r="F295" s="1">
        <v>45164</v>
      </c>
      <c r="G295" s="7">
        <v>9.0520833333333677</v>
      </c>
      <c r="H295" s="10">
        <v>4.0664999999999996</v>
      </c>
      <c r="I295" s="9">
        <f t="shared" si="14"/>
        <v>-4.0664999999999996</v>
      </c>
      <c r="J295" s="9">
        <v>0</v>
      </c>
      <c r="K295">
        <f t="shared" si="13"/>
        <v>1.000000000000334E-3</v>
      </c>
    </row>
    <row r="296" spans="1:13" x14ac:dyDescent="0.2">
      <c r="A296" t="s">
        <v>903</v>
      </c>
      <c r="B296" s="3">
        <v>5.7840000000000003E-2</v>
      </c>
      <c r="C296" s="3">
        <v>238</v>
      </c>
      <c r="D296" s="3" t="s">
        <v>903</v>
      </c>
      <c r="E296" s="3">
        <v>238</v>
      </c>
      <c r="F296" s="5">
        <v>45164</v>
      </c>
      <c r="G296" s="8">
        <v>9.0625000000000338</v>
      </c>
      <c r="H296" s="15">
        <v>4.1284999999999998</v>
      </c>
      <c r="I296" s="9">
        <f t="shared" si="14"/>
        <v>-4.1284999999999998</v>
      </c>
      <c r="J296" s="9">
        <v>0</v>
      </c>
      <c r="K296">
        <f t="shared" si="13"/>
        <v>0</v>
      </c>
      <c r="M296">
        <f>SUM(K211:K296)/86</f>
        <v>0.40904651162790751</v>
      </c>
    </row>
    <row r="297" spans="1:13" x14ac:dyDescent="0.2">
      <c r="A297" t="s">
        <v>904</v>
      </c>
      <c r="B297">
        <v>5.6899999999999999E-2</v>
      </c>
      <c r="C297">
        <v>238</v>
      </c>
      <c r="D297" t="s">
        <v>904</v>
      </c>
      <c r="E297">
        <v>238</v>
      </c>
      <c r="F297" s="1">
        <v>45164</v>
      </c>
      <c r="G297" s="7">
        <v>9.0729166666666998</v>
      </c>
      <c r="H297" s="10">
        <v>4.0625</v>
      </c>
      <c r="I297" s="9">
        <f t="shared" si="14"/>
        <v>-4.0625</v>
      </c>
    </row>
    <row r="298" spans="1:13" x14ac:dyDescent="0.2">
      <c r="A298" t="s">
        <v>905</v>
      </c>
      <c r="B298">
        <v>5.6974999999999998E-2</v>
      </c>
      <c r="C298">
        <v>238</v>
      </c>
      <c r="D298" t="s">
        <v>905</v>
      </c>
      <c r="E298">
        <v>238</v>
      </c>
      <c r="F298" s="1">
        <v>45164</v>
      </c>
      <c r="G298" s="7">
        <v>9.0833333333333659</v>
      </c>
      <c r="H298" s="10">
        <v>4.0670000000000002</v>
      </c>
      <c r="I298" s="9">
        <f t="shared" si="14"/>
        <v>-4.0670000000000002</v>
      </c>
    </row>
    <row r="299" spans="1:13" x14ac:dyDescent="0.2">
      <c r="A299" t="s">
        <v>906</v>
      </c>
      <c r="B299">
        <v>5.7095E-2</v>
      </c>
      <c r="C299">
        <v>238</v>
      </c>
      <c r="D299" t="s">
        <v>906</v>
      </c>
      <c r="E299">
        <v>238</v>
      </c>
      <c r="F299" s="1">
        <v>45164</v>
      </c>
      <c r="G299" s="7">
        <v>9.093750000000032</v>
      </c>
      <c r="H299" s="10">
        <v>4.0765000000000002</v>
      </c>
      <c r="I299" s="9">
        <f t="shared" si="14"/>
        <v>-4.0765000000000002</v>
      </c>
    </row>
    <row r="300" spans="1:13" x14ac:dyDescent="0.2">
      <c r="A300" t="s">
        <v>907</v>
      </c>
      <c r="B300" s="12">
        <v>5.7544999999999999E-2</v>
      </c>
      <c r="C300" s="12">
        <v>238</v>
      </c>
      <c r="D300" s="12" t="s">
        <v>907</v>
      </c>
      <c r="E300" s="12">
        <v>238</v>
      </c>
      <c r="F300" s="13">
        <v>45164</v>
      </c>
      <c r="G300" s="14">
        <v>9.104166666666698</v>
      </c>
      <c r="H300" s="11">
        <v>4.1079999999999997</v>
      </c>
      <c r="I300" s="9">
        <f t="shared" si="14"/>
        <v>-4.1079999999999997</v>
      </c>
    </row>
    <row r="301" spans="1:13" x14ac:dyDescent="0.2">
      <c r="A301" t="s">
        <v>908</v>
      </c>
      <c r="B301">
        <v>5.6980000000000003E-2</v>
      </c>
      <c r="C301">
        <v>238</v>
      </c>
      <c r="D301" t="s">
        <v>908</v>
      </c>
      <c r="E301">
        <v>238</v>
      </c>
      <c r="F301" s="1">
        <v>45164</v>
      </c>
      <c r="G301" s="7">
        <v>9.1145833333333641</v>
      </c>
      <c r="H301" s="10">
        <v>4.069</v>
      </c>
      <c r="I301" s="9">
        <f t="shared" si="14"/>
        <v>-4.069</v>
      </c>
    </row>
    <row r="302" spans="1:13" x14ac:dyDescent="0.2">
      <c r="A302" t="s">
        <v>909</v>
      </c>
      <c r="B302">
        <v>5.6989999999999999E-2</v>
      </c>
      <c r="C302">
        <v>238</v>
      </c>
      <c r="D302" t="s">
        <v>909</v>
      </c>
      <c r="E302">
        <v>238</v>
      </c>
      <c r="F302" s="1">
        <v>45164</v>
      </c>
      <c r="G302" s="7">
        <v>9.1250000000000302</v>
      </c>
      <c r="H302" s="10">
        <v>4.0674999999999999</v>
      </c>
      <c r="I302" s="9">
        <f t="shared" si="14"/>
        <v>-4.0674999999999999</v>
      </c>
    </row>
    <row r="303" spans="1:13" x14ac:dyDescent="0.2">
      <c r="A303" t="s">
        <v>910</v>
      </c>
      <c r="B303">
        <v>5.7070000000000003E-2</v>
      </c>
      <c r="C303">
        <v>238</v>
      </c>
      <c r="D303" t="s">
        <v>910</v>
      </c>
      <c r="E303">
        <v>238</v>
      </c>
      <c r="F303" s="1">
        <v>45164</v>
      </c>
      <c r="G303" s="7">
        <v>9.1354166666666963</v>
      </c>
      <c r="H303" s="10">
        <v>4.0744999999999996</v>
      </c>
      <c r="I303" s="9">
        <f t="shared" si="14"/>
        <v>-4.0744999999999996</v>
      </c>
    </row>
    <row r="304" spans="1:13" x14ac:dyDescent="0.2">
      <c r="A304" t="s">
        <v>911</v>
      </c>
      <c r="B304">
        <v>5.6994999999999997E-2</v>
      </c>
      <c r="C304">
        <v>238</v>
      </c>
      <c r="D304" t="s">
        <v>911</v>
      </c>
      <c r="E304">
        <v>238</v>
      </c>
      <c r="F304" s="1">
        <v>45164</v>
      </c>
      <c r="G304" s="7">
        <v>9.1458333333333623</v>
      </c>
      <c r="H304" s="10">
        <v>4.07</v>
      </c>
      <c r="I304" s="9">
        <f t="shared" si="14"/>
        <v>-4.07</v>
      </c>
    </row>
    <row r="305" spans="1:9" x14ac:dyDescent="0.2">
      <c r="A305" t="s">
        <v>912</v>
      </c>
      <c r="B305">
        <v>5.722E-2</v>
      </c>
      <c r="C305">
        <v>238</v>
      </c>
      <c r="D305" t="s">
        <v>912</v>
      </c>
      <c r="E305">
        <v>238</v>
      </c>
      <c r="F305" s="1">
        <v>45164</v>
      </c>
      <c r="G305" s="7">
        <v>9.1562500000000284</v>
      </c>
      <c r="H305" s="10">
        <v>4.0854999999999997</v>
      </c>
      <c r="I305" s="9">
        <f t="shared" si="14"/>
        <v>-4.0854999999999997</v>
      </c>
    </row>
    <row r="306" spans="1:9" x14ac:dyDescent="0.2">
      <c r="A306" t="s">
        <v>913</v>
      </c>
      <c r="B306">
        <v>5.7215000000000002E-2</v>
      </c>
      <c r="C306">
        <v>238</v>
      </c>
      <c r="D306" t="s">
        <v>913</v>
      </c>
      <c r="E306">
        <v>238</v>
      </c>
      <c r="F306" s="1">
        <v>45164</v>
      </c>
      <c r="G306" s="7">
        <v>9.1666666666666945</v>
      </c>
      <c r="H306" s="10">
        <v>4.0860000000000003</v>
      </c>
      <c r="I306" s="9">
        <f t="shared" si="14"/>
        <v>-4.0860000000000003</v>
      </c>
    </row>
    <row r="307" spans="1:9" x14ac:dyDescent="0.2">
      <c r="A307" t="s">
        <v>914</v>
      </c>
      <c r="B307">
        <v>5.7485000000000001E-2</v>
      </c>
      <c r="C307">
        <v>238</v>
      </c>
      <c r="D307" t="s">
        <v>914</v>
      </c>
      <c r="E307">
        <v>238</v>
      </c>
      <c r="F307" s="1">
        <v>45164</v>
      </c>
      <c r="G307" s="7">
        <v>9.1770833333333606</v>
      </c>
      <c r="H307" s="10">
        <v>4.1035000000000004</v>
      </c>
      <c r="I307" s="9">
        <f t="shared" si="14"/>
        <v>-4.1035000000000004</v>
      </c>
    </row>
    <row r="308" spans="1:9" x14ac:dyDescent="0.2">
      <c r="A308" t="s">
        <v>915</v>
      </c>
      <c r="B308">
        <v>5.6954999999999999E-2</v>
      </c>
      <c r="C308">
        <v>238</v>
      </c>
      <c r="D308" t="s">
        <v>915</v>
      </c>
      <c r="E308">
        <v>238</v>
      </c>
      <c r="F308" s="1">
        <v>45164</v>
      </c>
      <c r="G308" s="7">
        <v>9.1875000000000266</v>
      </c>
      <c r="H308" s="10">
        <v>4.0685000000000002</v>
      </c>
      <c r="I308" s="9">
        <f t="shared" si="14"/>
        <v>-4.0685000000000002</v>
      </c>
    </row>
    <row r="309" spans="1:9" x14ac:dyDescent="0.2">
      <c r="A309" t="s">
        <v>916</v>
      </c>
      <c r="B309">
        <v>5.7084999999999997E-2</v>
      </c>
      <c r="C309">
        <v>238</v>
      </c>
      <c r="D309" t="s">
        <v>916</v>
      </c>
      <c r="E309">
        <v>238</v>
      </c>
      <c r="F309" s="1">
        <v>45164</v>
      </c>
      <c r="G309" s="7">
        <v>9.1979166666666927</v>
      </c>
      <c r="H309" s="10">
        <v>4.0754999999999999</v>
      </c>
      <c r="I309" s="9">
        <f t="shared" si="14"/>
        <v>-4.0754999999999999</v>
      </c>
    </row>
    <row r="310" spans="1:9" x14ac:dyDescent="0.2">
      <c r="A310" t="s">
        <v>917</v>
      </c>
      <c r="B310">
        <v>5.6809999999999999E-2</v>
      </c>
      <c r="C310">
        <v>238</v>
      </c>
      <c r="D310" t="s">
        <v>917</v>
      </c>
      <c r="E310">
        <v>238</v>
      </c>
      <c r="F310" s="1">
        <v>45164</v>
      </c>
      <c r="G310" s="7">
        <v>9.2083333333333588</v>
      </c>
      <c r="H310" s="10">
        <v>4.0555000000000003</v>
      </c>
      <c r="I310" s="9">
        <f t="shared" si="14"/>
        <v>-4.0555000000000003</v>
      </c>
    </row>
    <row r="311" spans="1:9" x14ac:dyDescent="0.2">
      <c r="A311" t="s">
        <v>918</v>
      </c>
      <c r="B311">
        <v>5.7064999999999998E-2</v>
      </c>
      <c r="C311">
        <v>238</v>
      </c>
      <c r="D311" t="s">
        <v>918</v>
      </c>
      <c r="E311">
        <v>238</v>
      </c>
      <c r="F311" s="1">
        <v>45164</v>
      </c>
      <c r="G311" s="7">
        <v>9.2187500000000249</v>
      </c>
      <c r="H311" s="10">
        <v>4.0750000000000002</v>
      </c>
      <c r="I311" s="9">
        <f t="shared" si="14"/>
        <v>-4.0750000000000002</v>
      </c>
    </row>
    <row r="312" spans="1:9" x14ac:dyDescent="0.2">
      <c r="A312" t="s">
        <v>919</v>
      </c>
      <c r="B312">
        <v>5.7055000000000002E-2</v>
      </c>
      <c r="C312">
        <v>238</v>
      </c>
      <c r="D312" t="s">
        <v>919</v>
      </c>
      <c r="E312">
        <v>238</v>
      </c>
      <c r="F312" s="1">
        <v>45164</v>
      </c>
      <c r="G312" s="7">
        <v>9.2291666666666909</v>
      </c>
      <c r="H312" s="10">
        <v>4.0739999999999998</v>
      </c>
      <c r="I312" s="9">
        <f t="shared" si="14"/>
        <v>-4.0739999999999998</v>
      </c>
    </row>
    <row r="313" spans="1:9" x14ac:dyDescent="0.2">
      <c r="A313" t="s">
        <v>920</v>
      </c>
      <c r="B313">
        <v>5.6739999999999999E-2</v>
      </c>
      <c r="C313">
        <v>238</v>
      </c>
      <c r="D313" t="s">
        <v>920</v>
      </c>
      <c r="E313">
        <v>238</v>
      </c>
      <c r="F313" s="1">
        <v>45164</v>
      </c>
      <c r="G313" s="7">
        <v>9.239583333333357</v>
      </c>
      <c r="H313" s="10">
        <v>4.0525000000000002</v>
      </c>
      <c r="I313" s="9">
        <f t="shared" si="14"/>
        <v>-4.0525000000000002</v>
      </c>
    </row>
    <row r="314" spans="1:9" x14ac:dyDescent="0.2">
      <c r="A314" t="s">
        <v>921</v>
      </c>
      <c r="B314">
        <v>5.7000000000000002E-2</v>
      </c>
      <c r="C314">
        <v>238</v>
      </c>
      <c r="D314" t="s">
        <v>921</v>
      </c>
      <c r="E314">
        <v>238</v>
      </c>
      <c r="F314" s="1">
        <v>45164</v>
      </c>
      <c r="G314" s="7">
        <v>9.2500000000000231</v>
      </c>
      <c r="H314" s="10">
        <v>4.07</v>
      </c>
      <c r="I314" s="9">
        <f t="shared" si="14"/>
        <v>-4.07</v>
      </c>
    </row>
    <row r="315" spans="1:9" x14ac:dyDescent="0.2">
      <c r="A315" t="s">
        <v>922</v>
      </c>
      <c r="B315">
        <v>5.6755E-2</v>
      </c>
      <c r="C315">
        <v>238</v>
      </c>
      <c r="D315" t="s">
        <v>922</v>
      </c>
      <c r="E315">
        <v>238</v>
      </c>
      <c r="F315" s="1">
        <v>45164</v>
      </c>
      <c r="G315" s="7">
        <v>9.2604166666666892</v>
      </c>
      <c r="H315" s="10">
        <v>4.0510000000000002</v>
      </c>
      <c r="I315" s="9">
        <f t="shared" si="14"/>
        <v>-4.0510000000000002</v>
      </c>
    </row>
    <row r="316" spans="1:9" x14ac:dyDescent="0.2">
      <c r="A316" t="s">
        <v>923</v>
      </c>
      <c r="B316">
        <v>5.7169999999999999E-2</v>
      </c>
      <c r="C316">
        <v>238</v>
      </c>
      <c r="D316" t="s">
        <v>923</v>
      </c>
      <c r="E316">
        <v>238</v>
      </c>
      <c r="F316" s="1">
        <v>45164</v>
      </c>
      <c r="G316" s="7">
        <v>9.2708333333333552</v>
      </c>
      <c r="H316">
        <v>4.0824999999999996</v>
      </c>
      <c r="I316" s="9">
        <f t="shared" si="14"/>
        <v>-4.0824999999999996</v>
      </c>
    </row>
    <row r="317" spans="1:9" x14ac:dyDescent="0.2">
      <c r="A317" t="s">
        <v>924</v>
      </c>
      <c r="B317">
        <v>5.6875000000000002E-2</v>
      </c>
      <c r="C317">
        <v>238</v>
      </c>
      <c r="D317" t="s">
        <v>924</v>
      </c>
      <c r="E317">
        <v>238</v>
      </c>
      <c r="F317" s="1">
        <v>45164</v>
      </c>
      <c r="G317" s="7">
        <v>9.2812500000000213</v>
      </c>
      <c r="H317" s="10">
        <v>4.0614999999999997</v>
      </c>
      <c r="I317" s="9">
        <f t="shared" si="14"/>
        <v>-4.0614999999999997</v>
      </c>
    </row>
    <row r="318" spans="1:9" x14ac:dyDescent="0.2">
      <c r="A318" t="s">
        <v>925</v>
      </c>
      <c r="B318">
        <v>5.6684999999999999E-2</v>
      </c>
      <c r="C318">
        <v>238</v>
      </c>
      <c r="D318" t="s">
        <v>925</v>
      </c>
      <c r="E318">
        <v>238</v>
      </c>
      <c r="F318" s="1">
        <v>45164</v>
      </c>
      <c r="G318" s="7">
        <v>9.2916666666666874</v>
      </c>
      <c r="H318" s="10">
        <v>4.0475000000000003</v>
      </c>
      <c r="I318" s="9">
        <f t="shared" si="14"/>
        <v>-4.0475000000000003</v>
      </c>
    </row>
    <row r="319" spans="1:9" x14ac:dyDescent="0.2">
      <c r="A319" t="s">
        <v>926</v>
      </c>
      <c r="B319">
        <v>5.6599999999999998E-2</v>
      </c>
      <c r="C319">
        <v>238</v>
      </c>
      <c r="D319" t="s">
        <v>926</v>
      </c>
      <c r="E319">
        <v>238</v>
      </c>
      <c r="F319" s="1">
        <v>45164</v>
      </c>
      <c r="G319" s="7">
        <v>9.3020833333333535</v>
      </c>
      <c r="H319" s="10">
        <v>4.0410000000000004</v>
      </c>
      <c r="I319" s="9">
        <f t="shared" si="14"/>
        <v>-4.0410000000000004</v>
      </c>
    </row>
    <row r="320" spans="1:9" x14ac:dyDescent="0.2">
      <c r="A320" t="s">
        <v>927</v>
      </c>
      <c r="B320">
        <v>5.6329999999999998E-2</v>
      </c>
      <c r="C320">
        <v>238</v>
      </c>
      <c r="D320" t="s">
        <v>927</v>
      </c>
      <c r="E320">
        <v>238</v>
      </c>
      <c r="F320" s="1">
        <v>45164</v>
      </c>
      <c r="G320" s="7">
        <v>9.3125000000000195</v>
      </c>
      <c r="H320" s="10">
        <v>4.0214999999999996</v>
      </c>
      <c r="I320" s="9">
        <f t="shared" si="14"/>
        <v>-4.0214999999999996</v>
      </c>
    </row>
    <row r="321" spans="1:9" x14ac:dyDescent="0.2">
      <c r="A321" t="s">
        <v>928</v>
      </c>
      <c r="B321">
        <v>5.5985E-2</v>
      </c>
      <c r="C321">
        <v>238</v>
      </c>
      <c r="D321" t="s">
        <v>928</v>
      </c>
      <c r="E321">
        <v>238</v>
      </c>
      <c r="F321" s="1">
        <v>45164</v>
      </c>
      <c r="G321" s="7">
        <v>9.3229166666666856</v>
      </c>
      <c r="H321" s="9">
        <v>3.99799999999999</v>
      </c>
      <c r="I321" s="9">
        <f t="shared" si="14"/>
        <v>-3.99799999999999</v>
      </c>
    </row>
    <row r="322" spans="1:9" x14ac:dyDescent="0.2">
      <c r="A322" t="s">
        <v>929</v>
      </c>
      <c r="B322">
        <v>5.5780000000000003E-2</v>
      </c>
      <c r="C322">
        <v>238</v>
      </c>
      <c r="D322" t="s">
        <v>929</v>
      </c>
      <c r="E322">
        <v>238</v>
      </c>
      <c r="F322" s="1">
        <v>45164</v>
      </c>
      <c r="G322" s="7">
        <v>9.3333333333333517</v>
      </c>
      <c r="H322" s="10">
        <v>3.9830000000000001</v>
      </c>
      <c r="I322" s="9">
        <f t="shared" si="14"/>
        <v>-3.9830000000000001</v>
      </c>
    </row>
    <row r="323" spans="1:9" x14ac:dyDescent="0.2">
      <c r="A323" t="s">
        <v>930</v>
      </c>
      <c r="B323">
        <v>5.5335000000000002E-2</v>
      </c>
      <c r="C323">
        <v>238</v>
      </c>
      <c r="D323" t="s">
        <v>930</v>
      </c>
      <c r="E323">
        <v>238</v>
      </c>
      <c r="F323" s="1">
        <v>45164</v>
      </c>
      <c r="G323" s="7">
        <v>9.3437500000000178</v>
      </c>
      <c r="H323" s="10">
        <v>3.9504999999999999</v>
      </c>
      <c r="I323" s="9">
        <f t="shared" ref="I323:I386" si="16">-H323</f>
        <v>-3.9504999999999999</v>
      </c>
    </row>
    <row r="324" spans="1:9" x14ac:dyDescent="0.2">
      <c r="A324" t="s">
        <v>931</v>
      </c>
      <c r="B324">
        <v>5.5105000000000001E-2</v>
      </c>
      <c r="C324">
        <v>238</v>
      </c>
      <c r="D324" t="s">
        <v>931</v>
      </c>
      <c r="E324">
        <v>238</v>
      </c>
      <c r="F324" s="1">
        <v>45164</v>
      </c>
      <c r="G324" s="7">
        <v>9.3541666666666838</v>
      </c>
      <c r="H324" s="10">
        <v>3.9344999999999999</v>
      </c>
      <c r="I324" s="9">
        <f t="shared" si="16"/>
        <v>-3.9344999999999999</v>
      </c>
    </row>
    <row r="325" spans="1:9" x14ac:dyDescent="0.2">
      <c r="A325" t="s">
        <v>932</v>
      </c>
      <c r="B325">
        <v>5.4620000000000002E-2</v>
      </c>
      <c r="C325">
        <v>238</v>
      </c>
      <c r="D325" t="s">
        <v>932</v>
      </c>
      <c r="E325">
        <v>238</v>
      </c>
      <c r="F325" s="1">
        <v>45164</v>
      </c>
      <c r="G325" s="7">
        <v>9.3645833333333499</v>
      </c>
      <c r="H325" s="10">
        <v>3.9</v>
      </c>
      <c r="I325" s="9">
        <f t="shared" si="16"/>
        <v>-3.9</v>
      </c>
    </row>
    <row r="326" spans="1:9" x14ac:dyDescent="0.2">
      <c r="A326" t="s">
        <v>933</v>
      </c>
      <c r="B326">
        <v>5.4245000000000002E-2</v>
      </c>
      <c r="C326">
        <v>238</v>
      </c>
      <c r="D326" t="s">
        <v>933</v>
      </c>
      <c r="E326">
        <v>238</v>
      </c>
      <c r="F326" s="1">
        <v>45164</v>
      </c>
      <c r="G326" s="7">
        <v>9.375000000000016</v>
      </c>
      <c r="H326" s="10">
        <v>3.8744999999999998</v>
      </c>
      <c r="I326" s="9">
        <f t="shared" si="16"/>
        <v>-3.8744999999999998</v>
      </c>
    </row>
    <row r="327" spans="1:9" x14ac:dyDescent="0.2">
      <c r="A327" t="s">
        <v>934</v>
      </c>
      <c r="B327">
        <v>5.3710000000000001E-2</v>
      </c>
      <c r="C327">
        <v>238</v>
      </c>
      <c r="D327" t="s">
        <v>934</v>
      </c>
      <c r="E327">
        <v>238</v>
      </c>
      <c r="F327" s="1">
        <v>45164</v>
      </c>
      <c r="G327" s="7">
        <v>9.3854166666666821</v>
      </c>
      <c r="H327" s="10">
        <v>3.835</v>
      </c>
      <c r="I327" s="9">
        <f t="shared" si="16"/>
        <v>-3.835</v>
      </c>
    </row>
    <row r="328" spans="1:9" x14ac:dyDescent="0.2">
      <c r="A328" t="s">
        <v>935</v>
      </c>
      <c r="B328">
        <v>5.3080000000000002E-2</v>
      </c>
      <c r="C328">
        <v>238</v>
      </c>
      <c r="D328" t="s">
        <v>935</v>
      </c>
      <c r="E328">
        <v>238</v>
      </c>
      <c r="F328" s="1">
        <v>45164</v>
      </c>
      <c r="G328" s="7">
        <v>9.3958333333333481</v>
      </c>
      <c r="H328" s="10">
        <v>3.7890000000000001</v>
      </c>
      <c r="I328" s="9">
        <f t="shared" si="16"/>
        <v>-3.7890000000000001</v>
      </c>
    </row>
    <row r="329" spans="1:9" x14ac:dyDescent="0.2">
      <c r="A329" t="s">
        <v>936</v>
      </c>
      <c r="B329">
        <v>5.2615000000000002E-2</v>
      </c>
      <c r="C329">
        <v>238</v>
      </c>
      <c r="D329" t="s">
        <v>936</v>
      </c>
      <c r="E329">
        <v>238</v>
      </c>
      <c r="F329" s="1">
        <v>45164</v>
      </c>
      <c r="G329" s="7">
        <v>9.4062500000000142</v>
      </c>
      <c r="H329" s="10">
        <v>3.7555000000000001</v>
      </c>
      <c r="I329" s="9">
        <f t="shared" si="16"/>
        <v>-3.7555000000000001</v>
      </c>
    </row>
    <row r="330" spans="1:9" x14ac:dyDescent="0.2">
      <c r="A330" t="s">
        <v>937</v>
      </c>
      <c r="B330">
        <v>5.185E-2</v>
      </c>
      <c r="C330">
        <v>238</v>
      </c>
      <c r="D330" t="s">
        <v>937</v>
      </c>
      <c r="E330">
        <v>238</v>
      </c>
      <c r="F330" s="1">
        <v>45164</v>
      </c>
      <c r="G330" s="7">
        <v>9.4166666666666803</v>
      </c>
      <c r="H330" s="10">
        <v>3.7029999999999998</v>
      </c>
      <c r="I330" s="9">
        <f t="shared" si="16"/>
        <v>-3.7029999999999998</v>
      </c>
    </row>
    <row r="331" spans="1:9" x14ac:dyDescent="0.2">
      <c r="A331" t="s">
        <v>938</v>
      </c>
      <c r="B331">
        <v>5.1650000000000001E-2</v>
      </c>
      <c r="C331">
        <v>238</v>
      </c>
      <c r="D331" t="s">
        <v>938</v>
      </c>
      <c r="E331">
        <v>238</v>
      </c>
      <c r="F331" s="1">
        <v>45164</v>
      </c>
      <c r="G331" s="7">
        <v>9.4270833333333464</v>
      </c>
      <c r="H331" s="10">
        <v>3.6865000000000001</v>
      </c>
      <c r="I331" s="9">
        <f t="shared" si="16"/>
        <v>-3.6865000000000001</v>
      </c>
    </row>
    <row r="332" spans="1:9" x14ac:dyDescent="0.2">
      <c r="A332" t="s">
        <v>939</v>
      </c>
      <c r="B332">
        <v>5.0775000000000001E-2</v>
      </c>
      <c r="C332">
        <v>238</v>
      </c>
      <c r="D332" t="s">
        <v>939</v>
      </c>
      <c r="E332">
        <v>238</v>
      </c>
      <c r="F332" s="1">
        <v>45164</v>
      </c>
      <c r="G332" s="7">
        <v>9.4375000000000124</v>
      </c>
      <c r="H332" s="10">
        <v>3.625</v>
      </c>
      <c r="I332" s="9">
        <f t="shared" si="16"/>
        <v>-3.625</v>
      </c>
    </row>
    <row r="333" spans="1:9" x14ac:dyDescent="0.2">
      <c r="A333" t="s">
        <v>940</v>
      </c>
      <c r="B333">
        <v>4.9910000000000003E-2</v>
      </c>
      <c r="C333">
        <v>238</v>
      </c>
      <c r="D333" t="s">
        <v>940</v>
      </c>
      <c r="E333">
        <v>238</v>
      </c>
      <c r="F333" s="1">
        <v>45164</v>
      </c>
      <c r="G333" s="7">
        <v>9.4479166666666785</v>
      </c>
      <c r="H333" s="10">
        <v>3.5630000000000002</v>
      </c>
      <c r="I333" s="9">
        <f t="shared" si="16"/>
        <v>-3.5630000000000002</v>
      </c>
    </row>
    <row r="334" spans="1:9" x14ac:dyDescent="0.2">
      <c r="A334" t="s">
        <v>941</v>
      </c>
      <c r="B334">
        <v>4.9904999999999998E-2</v>
      </c>
      <c r="C334">
        <v>238</v>
      </c>
      <c r="D334" t="s">
        <v>941</v>
      </c>
      <c r="E334">
        <v>238</v>
      </c>
      <c r="F334" s="1">
        <v>45164</v>
      </c>
      <c r="G334" s="7">
        <v>9.4583333333333446</v>
      </c>
      <c r="H334" s="10">
        <v>3.5625</v>
      </c>
      <c r="I334" s="9">
        <f t="shared" si="16"/>
        <v>-3.5625</v>
      </c>
    </row>
    <row r="335" spans="1:9" x14ac:dyDescent="0.2">
      <c r="A335" t="s">
        <v>942</v>
      </c>
      <c r="B335">
        <v>4.9715000000000002E-2</v>
      </c>
      <c r="C335">
        <v>238</v>
      </c>
      <c r="D335" t="s">
        <v>942</v>
      </c>
      <c r="E335">
        <v>238</v>
      </c>
      <c r="F335" s="1">
        <v>45164</v>
      </c>
      <c r="G335" s="7">
        <v>9.4687500000000107</v>
      </c>
      <c r="H335" s="10">
        <v>3.5495000000000001</v>
      </c>
      <c r="I335" s="9">
        <f t="shared" si="16"/>
        <v>-3.5495000000000001</v>
      </c>
    </row>
    <row r="336" spans="1:9" x14ac:dyDescent="0.2">
      <c r="A336" t="s">
        <v>943</v>
      </c>
      <c r="B336">
        <v>4.9610000000000001E-2</v>
      </c>
      <c r="C336">
        <v>238</v>
      </c>
      <c r="D336" t="s">
        <v>943</v>
      </c>
      <c r="E336">
        <v>238</v>
      </c>
      <c r="F336" s="1">
        <v>45164</v>
      </c>
      <c r="G336" s="7">
        <v>9.4791666666666767</v>
      </c>
      <c r="H336" s="10">
        <v>3.5415000000000001</v>
      </c>
      <c r="I336" s="9">
        <f t="shared" si="16"/>
        <v>-3.5415000000000001</v>
      </c>
    </row>
    <row r="337" spans="1:9" x14ac:dyDescent="0.2">
      <c r="A337" t="s">
        <v>944</v>
      </c>
      <c r="B337">
        <v>4.947E-2</v>
      </c>
      <c r="C337">
        <v>238</v>
      </c>
      <c r="D337" t="s">
        <v>944</v>
      </c>
      <c r="E337">
        <v>238</v>
      </c>
      <c r="F337" s="1">
        <v>45164</v>
      </c>
      <c r="G337" s="7">
        <v>9.4895833333333428</v>
      </c>
      <c r="H337" s="10">
        <v>3.5325000000000002</v>
      </c>
      <c r="I337" s="9">
        <f t="shared" si="16"/>
        <v>-3.5325000000000002</v>
      </c>
    </row>
    <row r="338" spans="1:9" x14ac:dyDescent="0.2">
      <c r="A338" t="s">
        <v>945</v>
      </c>
      <c r="B338">
        <v>4.9075000000000001E-2</v>
      </c>
      <c r="C338">
        <v>238</v>
      </c>
      <c r="D338" t="s">
        <v>945</v>
      </c>
      <c r="E338">
        <v>238</v>
      </c>
      <c r="F338" s="1">
        <v>45164</v>
      </c>
      <c r="G338" s="7">
        <v>9.5000000000000089</v>
      </c>
      <c r="H338" s="10">
        <v>3.504</v>
      </c>
      <c r="I338" s="9">
        <f t="shared" si="16"/>
        <v>-3.504</v>
      </c>
    </row>
    <row r="339" spans="1:9" x14ac:dyDescent="0.2">
      <c r="A339" t="s">
        <v>946</v>
      </c>
      <c r="B339" t="s">
        <v>947</v>
      </c>
      <c r="C339">
        <v>238</v>
      </c>
      <c r="D339" t="s">
        <v>946</v>
      </c>
      <c r="E339">
        <v>238</v>
      </c>
      <c r="F339" s="1">
        <v>45164</v>
      </c>
      <c r="G339" s="7">
        <v>9.510416666666675</v>
      </c>
      <c r="H339" s="10">
        <v>3.5005000000000002</v>
      </c>
      <c r="I339" s="9">
        <f t="shared" si="16"/>
        <v>-3.5005000000000002</v>
      </c>
    </row>
    <row r="340" spans="1:9" x14ac:dyDescent="0.2">
      <c r="A340" t="s">
        <v>948</v>
      </c>
      <c r="B340">
        <v>4.8939999999999997E-2</v>
      </c>
      <c r="C340">
        <v>238</v>
      </c>
      <c r="D340" t="s">
        <v>948</v>
      </c>
      <c r="E340">
        <v>238</v>
      </c>
      <c r="F340" s="1">
        <v>45164</v>
      </c>
      <c r="G340" s="7">
        <v>9.520833333333341</v>
      </c>
      <c r="H340" s="10">
        <v>3.4925000000000002</v>
      </c>
      <c r="I340" s="9">
        <f t="shared" si="16"/>
        <v>-3.4925000000000002</v>
      </c>
    </row>
    <row r="341" spans="1:9" x14ac:dyDescent="0.2">
      <c r="A341" t="s">
        <v>949</v>
      </c>
      <c r="B341">
        <v>4.8845E-2</v>
      </c>
      <c r="C341">
        <v>238</v>
      </c>
      <c r="D341" t="s">
        <v>949</v>
      </c>
      <c r="E341">
        <v>238</v>
      </c>
      <c r="F341" s="1">
        <v>45164</v>
      </c>
      <c r="G341" s="7">
        <v>9.5312500000000071</v>
      </c>
      <c r="H341" s="10">
        <v>3.4870000000000001</v>
      </c>
      <c r="I341" s="9">
        <f t="shared" si="16"/>
        <v>-3.4870000000000001</v>
      </c>
    </row>
    <row r="342" spans="1:9" x14ac:dyDescent="0.2">
      <c r="A342" t="s">
        <v>950</v>
      </c>
      <c r="B342">
        <v>4.8480000000000002E-2</v>
      </c>
      <c r="C342">
        <v>238</v>
      </c>
      <c r="D342" t="s">
        <v>950</v>
      </c>
      <c r="E342">
        <v>238</v>
      </c>
      <c r="F342" s="1">
        <v>45164</v>
      </c>
      <c r="G342" s="7">
        <v>9.5416666666666732</v>
      </c>
      <c r="H342" s="10">
        <v>3.46</v>
      </c>
      <c r="I342" s="9">
        <f t="shared" si="16"/>
        <v>-3.46</v>
      </c>
    </row>
    <row r="343" spans="1:9" x14ac:dyDescent="0.2">
      <c r="A343" t="s">
        <v>951</v>
      </c>
      <c r="B343">
        <v>4.8294999999999998E-2</v>
      </c>
      <c r="C343">
        <v>238</v>
      </c>
      <c r="D343" t="s">
        <v>951</v>
      </c>
      <c r="E343">
        <v>238</v>
      </c>
      <c r="F343" s="1">
        <v>45164</v>
      </c>
      <c r="G343" s="7">
        <v>9.5520833333333393</v>
      </c>
      <c r="H343" s="10">
        <v>3.4485000000000001</v>
      </c>
      <c r="I343" s="9">
        <f t="shared" si="16"/>
        <v>-3.4485000000000001</v>
      </c>
    </row>
    <row r="344" spans="1:9" x14ac:dyDescent="0.2">
      <c r="A344" t="s">
        <v>952</v>
      </c>
      <c r="B344">
        <v>4.8079999999999998E-2</v>
      </c>
      <c r="C344">
        <v>238</v>
      </c>
      <c r="D344" t="s">
        <v>952</v>
      </c>
      <c r="E344">
        <v>238</v>
      </c>
      <c r="F344" s="1">
        <v>45164</v>
      </c>
      <c r="G344" s="7">
        <v>9.5625000000000053</v>
      </c>
      <c r="H344" s="10">
        <v>3.431</v>
      </c>
      <c r="I344" s="9">
        <f t="shared" si="16"/>
        <v>-3.431</v>
      </c>
    </row>
    <row r="345" spans="1:9" x14ac:dyDescent="0.2">
      <c r="A345" t="s">
        <v>953</v>
      </c>
      <c r="B345">
        <v>4.8039999999999999E-2</v>
      </c>
      <c r="C345">
        <v>238</v>
      </c>
      <c r="D345" t="s">
        <v>953</v>
      </c>
      <c r="E345">
        <v>238</v>
      </c>
      <c r="F345" s="1">
        <v>45164</v>
      </c>
      <c r="G345" s="7">
        <v>9.5729166666666714</v>
      </c>
      <c r="H345">
        <v>3.43149999999999</v>
      </c>
      <c r="I345" s="9">
        <f t="shared" si="16"/>
        <v>-3.43149999999999</v>
      </c>
    </row>
    <row r="346" spans="1:9" x14ac:dyDescent="0.2">
      <c r="A346" t="s">
        <v>954</v>
      </c>
      <c r="B346">
        <v>4.7780000000000003E-2</v>
      </c>
      <c r="C346">
        <v>238</v>
      </c>
      <c r="D346" t="s">
        <v>954</v>
      </c>
      <c r="E346">
        <v>238</v>
      </c>
      <c r="F346" s="1">
        <v>45164</v>
      </c>
      <c r="G346" s="7">
        <v>9.5833333333333375</v>
      </c>
      <c r="H346" s="10">
        <v>3.4115000000000002</v>
      </c>
      <c r="I346" s="9">
        <f t="shared" si="16"/>
        <v>-3.4115000000000002</v>
      </c>
    </row>
    <row r="347" spans="1:9" x14ac:dyDescent="0.2">
      <c r="A347" t="s">
        <v>955</v>
      </c>
      <c r="B347">
        <v>4.7335000000000002E-2</v>
      </c>
      <c r="C347">
        <v>238</v>
      </c>
      <c r="D347" t="s">
        <v>955</v>
      </c>
      <c r="E347">
        <v>238</v>
      </c>
      <c r="F347" s="1">
        <v>45164</v>
      </c>
      <c r="G347" s="7">
        <v>9.5937500000000036</v>
      </c>
      <c r="H347" s="10">
        <v>3.3795000000000002</v>
      </c>
      <c r="I347" s="9">
        <f t="shared" si="16"/>
        <v>-3.3795000000000002</v>
      </c>
    </row>
    <row r="348" spans="1:9" x14ac:dyDescent="0.2">
      <c r="A348" t="s">
        <v>956</v>
      </c>
      <c r="B348">
        <v>4.7234999999999999E-2</v>
      </c>
      <c r="C348">
        <v>238</v>
      </c>
      <c r="D348" t="s">
        <v>956</v>
      </c>
      <c r="E348">
        <v>238</v>
      </c>
      <c r="F348" s="1">
        <v>45164</v>
      </c>
      <c r="G348" s="7">
        <v>9.6041666666666696</v>
      </c>
      <c r="H348" s="10">
        <v>3.371</v>
      </c>
      <c r="I348" s="9">
        <f t="shared" si="16"/>
        <v>-3.371</v>
      </c>
    </row>
    <row r="349" spans="1:9" x14ac:dyDescent="0.2">
      <c r="A349" t="s">
        <v>957</v>
      </c>
      <c r="B349">
        <v>4.6699999999999998E-2</v>
      </c>
      <c r="C349">
        <v>238</v>
      </c>
      <c r="D349" t="s">
        <v>957</v>
      </c>
      <c r="E349">
        <v>238</v>
      </c>
      <c r="F349" s="1">
        <v>45164</v>
      </c>
      <c r="G349" s="7">
        <v>9.6145833333333357</v>
      </c>
      <c r="H349" s="10">
        <v>3.3334999999999999</v>
      </c>
      <c r="I349" s="9">
        <f t="shared" si="16"/>
        <v>-3.3334999999999999</v>
      </c>
    </row>
    <row r="350" spans="1:9" x14ac:dyDescent="0.2">
      <c r="A350" t="s">
        <v>958</v>
      </c>
      <c r="B350">
        <v>4.6614999999999997E-2</v>
      </c>
      <c r="C350">
        <v>238</v>
      </c>
      <c r="D350" t="s">
        <v>958</v>
      </c>
      <c r="E350">
        <v>238</v>
      </c>
      <c r="F350" s="1">
        <v>45164</v>
      </c>
      <c r="G350" s="7">
        <v>9.6250000000000018</v>
      </c>
      <c r="H350" s="10">
        <v>3.3279999999999998</v>
      </c>
      <c r="I350" s="9">
        <f t="shared" si="16"/>
        <v>-3.3279999999999998</v>
      </c>
    </row>
    <row r="351" spans="1:9" x14ac:dyDescent="0.2">
      <c r="A351" t="s">
        <v>959</v>
      </c>
      <c r="B351">
        <v>4.6379999999999998E-2</v>
      </c>
      <c r="C351">
        <v>238</v>
      </c>
      <c r="D351" t="s">
        <v>959</v>
      </c>
      <c r="E351">
        <v>238</v>
      </c>
      <c r="F351" s="1">
        <v>45164</v>
      </c>
      <c r="G351" s="7">
        <v>9.6354166666666679</v>
      </c>
      <c r="H351" s="10">
        <v>3.3115000000000001</v>
      </c>
      <c r="I351" s="9">
        <f t="shared" si="16"/>
        <v>-3.3115000000000001</v>
      </c>
    </row>
    <row r="352" spans="1:9" x14ac:dyDescent="0.2">
      <c r="A352" t="s">
        <v>960</v>
      </c>
      <c r="B352">
        <v>5.0047058823529403E-2</v>
      </c>
      <c r="C352">
        <v>238</v>
      </c>
      <c r="D352" t="s">
        <v>960</v>
      </c>
      <c r="E352">
        <v>238</v>
      </c>
      <c r="F352" s="1">
        <v>45164</v>
      </c>
      <c r="G352" s="7">
        <v>9.6458333333333339</v>
      </c>
      <c r="H352" s="9">
        <v>3.5735294117646998</v>
      </c>
      <c r="I352" s="9">
        <f t="shared" si="16"/>
        <v>-3.5735294117646998</v>
      </c>
    </row>
    <row r="353" spans="1:9" x14ac:dyDescent="0.2">
      <c r="A353" t="s">
        <v>962</v>
      </c>
      <c r="B353">
        <v>4.6780000000000002E-2</v>
      </c>
      <c r="C353">
        <v>238</v>
      </c>
      <c r="D353" t="s">
        <v>962</v>
      </c>
      <c r="E353">
        <v>238</v>
      </c>
      <c r="F353" s="1">
        <v>45164</v>
      </c>
      <c r="G353" s="7">
        <v>9.65625</v>
      </c>
      <c r="H353" s="10">
        <v>3.3380000000000001</v>
      </c>
      <c r="I353" s="9">
        <f t="shared" si="16"/>
        <v>-3.3380000000000001</v>
      </c>
    </row>
    <row r="354" spans="1:9" x14ac:dyDescent="0.2">
      <c r="A354" t="s">
        <v>963</v>
      </c>
      <c r="B354">
        <v>4.666E-2</v>
      </c>
      <c r="C354">
        <v>238</v>
      </c>
      <c r="D354" t="s">
        <v>963</v>
      </c>
      <c r="E354">
        <v>238</v>
      </c>
      <c r="F354" s="1">
        <v>45164</v>
      </c>
      <c r="G354" s="7">
        <v>9.6666666666666661</v>
      </c>
      <c r="H354" s="10">
        <v>3.33</v>
      </c>
      <c r="I354" s="9">
        <f t="shared" si="16"/>
        <v>-3.33</v>
      </c>
    </row>
    <row r="355" spans="1:9" x14ac:dyDescent="0.2">
      <c r="A355" t="s">
        <v>964</v>
      </c>
      <c r="B355">
        <v>4.6350000000000002E-2</v>
      </c>
      <c r="C355">
        <v>238</v>
      </c>
      <c r="D355" t="s">
        <v>964</v>
      </c>
      <c r="E355">
        <v>238</v>
      </c>
      <c r="F355" s="1">
        <v>45164</v>
      </c>
      <c r="G355" s="7">
        <v>9.6770833333333321</v>
      </c>
      <c r="H355" s="10">
        <v>3.31</v>
      </c>
      <c r="I355" s="9">
        <f t="shared" si="16"/>
        <v>-3.31</v>
      </c>
    </row>
    <row r="356" spans="1:9" x14ac:dyDescent="0.2">
      <c r="A356" t="s">
        <v>965</v>
      </c>
      <c r="B356">
        <v>4.6719999999999998E-2</v>
      </c>
      <c r="C356">
        <v>238</v>
      </c>
      <c r="D356" t="s">
        <v>965</v>
      </c>
      <c r="E356">
        <v>238</v>
      </c>
      <c r="F356" s="1">
        <v>45164</v>
      </c>
      <c r="G356" s="7">
        <v>9.6874999999999982</v>
      </c>
      <c r="H356" s="10">
        <v>3.3365</v>
      </c>
      <c r="I356" s="9">
        <f t="shared" si="16"/>
        <v>-3.3365</v>
      </c>
    </row>
    <row r="357" spans="1:9" x14ac:dyDescent="0.2">
      <c r="A357" t="s">
        <v>966</v>
      </c>
      <c r="B357">
        <v>4.6984999999999999E-2</v>
      </c>
      <c r="C357">
        <v>238</v>
      </c>
      <c r="D357" t="s">
        <v>966</v>
      </c>
      <c r="E357">
        <v>238</v>
      </c>
      <c r="F357" s="1">
        <v>45164</v>
      </c>
      <c r="G357" s="7">
        <v>9.6979166666666643</v>
      </c>
      <c r="H357" s="10">
        <v>3.355</v>
      </c>
      <c r="I357" s="9">
        <f t="shared" si="16"/>
        <v>-3.355</v>
      </c>
    </row>
    <row r="358" spans="1:9" x14ac:dyDescent="0.2">
      <c r="A358" t="s">
        <v>967</v>
      </c>
      <c r="B358">
        <v>4.6835000000000002E-2</v>
      </c>
      <c r="C358">
        <v>238</v>
      </c>
      <c r="D358" t="s">
        <v>967</v>
      </c>
      <c r="E358">
        <v>238</v>
      </c>
      <c r="F358" s="1">
        <v>45164</v>
      </c>
      <c r="G358" s="7">
        <v>9.7083333333333304</v>
      </c>
      <c r="H358" s="10">
        <v>3.343</v>
      </c>
      <c r="I358" s="9">
        <f t="shared" si="16"/>
        <v>-3.343</v>
      </c>
    </row>
    <row r="359" spans="1:9" x14ac:dyDescent="0.2">
      <c r="A359" t="s">
        <v>968</v>
      </c>
      <c r="B359">
        <v>4.6914999999999998E-2</v>
      </c>
      <c r="C359">
        <v>238</v>
      </c>
      <c r="D359" t="s">
        <v>968</v>
      </c>
      <c r="E359">
        <v>238</v>
      </c>
      <c r="F359" s="1">
        <v>45164</v>
      </c>
      <c r="G359" s="7">
        <v>9.7187499999999964</v>
      </c>
      <c r="H359" s="10">
        <v>3.3494999999999999</v>
      </c>
      <c r="I359" s="9">
        <f t="shared" si="16"/>
        <v>-3.3494999999999999</v>
      </c>
    </row>
    <row r="360" spans="1:9" x14ac:dyDescent="0.2">
      <c r="A360" t="s">
        <v>969</v>
      </c>
      <c r="B360">
        <v>4.7010000000000003E-2</v>
      </c>
      <c r="C360">
        <v>238</v>
      </c>
      <c r="D360" t="s">
        <v>969</v>
      </c>
      <c r="E360">
        <v>238</v>
      </c>
      <c r="F360" s="1">
        <v>45164</v>
      </c>
      <c r="G360" s="7">
        <v>9.7291666666666625</v>
      </c>
      <c r="H360" s="10">
        <v>3.3559999999999999</v>
      </c>
      <c r="I360" s="9">
        <f t="shared" si="16"/>
        <v>-3.3559999999999999</v>
      </c>
    </row>
    <row r="361" spans="1:9" x14ac:dyDescent="0.2">
      <c r="A361" t="s">
        <v>970</v>
      </c>
      <c r="B361">
        <v>4.7055E-2</v>
      </c>
      <c r="C361">
        <v>238</v>
      </c>
      <c r="D361" t="s">
        <v>970</v>
      </c>
      <c r="E361">
        <v>238</v>
      </c>
      <c r="F361" s="1">
        <v>45164</v>
      </c>
      <c r="G361" s="7">
        <v>9.7395833333333286</v>
      </c>
      <c r="H361" s="10">
        <v>3.3595000000000002</v>
      </c>
      <c r="I361" s="9">
        <f t="shared" si="16"/>
        <v>-3.3595000000000002</v>
      </c>
    </row>
    <row r="362" spans="1:9" x14ac:dyDescent="0.2">
      <c r="A362" t="s">
        <v>971</v>
      </c>
      <c r="B362" t="s">
        <v>972</v>
      </c>
      <c r="C362">
        <v>239</v>
      </c>
      <c r="D362" t="s">
        <v>971</v>
      </c>
      <c r="E362">
        <v>238</v>
      </c>
      <c r="F362" s="1">
        <v>45164</v>
      </c>
      <c r="G362" s="7">
        <v>9.7499999999999947</v>
      </c>
      <c r="H362" s="10">
        <v>3.3374999999999999</v>
      </c>
      <c r="I362" s="9">
        <f t="shared" si="16"/>
        <v>-3.3374999999999999</v>
      </c>
    </row>
    <row r="363" spans="1:9" x14ac:dyDescent="0.2">
      <c r="A363" t="s">
        <v>973</v>
      </c>
      <c r="B363">
        <v>4.7399999999999998E-2</v>
      </c>
      <c r="C363">
        <v>239</v>
      </c>
      <c r="D363" t="s">
        <v>973</v>
      </c>
      <c r="E363">
        <v>238</v>
      </c>
      <c r="F363" s="1">
        <v>45164</v>
      </c>
      <c r="G363" s="7">
        <v>9.7604166666666607</v>
      </c>
      <c r="H363" s="10">
        <v>3.3855</v>
      </c>
      <c r="I363" s="9">
        <f t="shared" si="16"/>
        <v>-3.3855</v>
      </c>
    </row>
    <row r="364" spans="1:9" x14ac:dyDescent="0.2">
      <c r="A364" t="s">
        <v>974</v>
      </c>
      <c r="B364">
        <v>4.7234999999999999E-2</v>
      </c>
      <c r="C364">
        <v>239</v>
      </c>
      <c r="D364" t="s">
        <v>974</v>
      </c>
      <c r="E364">
        <v>238</v>
      </c>
      <c r="F364" s="1">
        <v>45164</v>
      </c>
      <c r="G364" s="7">
        <v>9.7708333333333268</v>
      </c>
      <c r="H364" s="10">
        <v>3.3734999999999999</v>
      </c>
      <c r="I364" s="9">
        <f t="shared" si="16"/>
        <v>-3.3734999999999999</v>
      </c>
    </row>
    <row r="365" spans="1:9" x14ac:dyDescent="0.2">
      <c r="A365" t="s">
        <v>975</v>
      </c>
      <c r="B365">
        <v>4.7750000000000001E-2</v>
      </c>
      <c r="C365">
        <v>239</v>
      </c>
      <c r="D365" t="s">
        <v>975</v>
      </c>
      <c r="E365">
        <v>238</v>
      </c>
      <c r="F365" s="1">
        <v>45164</v>
      </c>
      <c r="G365" s="7">
        <v>9.7812499999999929</v>
      </c>
      <c r="H365" s="10">
        <v>3.4095</v>
      </c>
      <c r="I365" s="9">
        <f t="shared" si="16"/>
        <v>-3.4095</v>
      </c>
    </row>
    <row r="366" spans="1:9" x14ac:dyDescent="0.2">
      <c r="A366" t="s">
        <v>976</v>
      </c>
      <c r="B366">
        <v>4.7695000000000001E-2</v>
      </c>
      <c r="C366">
        <v>239</v>
      </c>
      <c r="D366" t="s">
        <v>976</v>
      </c>
      <c r="E366">
        <v>238</v>
      </c>
      <c r="F366" s="1">
        <v>45164</v>
      </c>
      <c r="G366" s="7">
        <v>9.791666666666659</v>
      </c>
      <c r="H366" s="10">
        <v>3.4064999999999999</v>
      </c>
      <c r="I366" s="9">
        <f t="shared" si="16"/>
        <v>-3.4064999999999999</v>
      </c>
    </row>
    <row r="367" spans="1:9" x14ac:dyDescent="0.2">
      <c r="A367" t="s">
        <v>977</v>
      </c>
      <c r="B367">
        <v>4.7945000000000002E-2</v>
      </c>
      <c r="C367">
        <v>239</v>
      </c>
      <c r="D367" t="s">
        <v>977</v>
      </c>
      <c r="E367">
        <v>238</v>
      </c>
      <c r="F367" s="1">
        <v>45164</v>
      </c>
      <c r="G367" s="7">
        <v>9.802083333333325</v>
      </c>
      <c r="H367" s="10">
        <v>3.4235000000000002</v>
      </c>
      <c r="I367" s="9">
        <f t="shared" si="16"/>
        <v>-3.4235000000000002</v>
      </c>
    </row>
    <row r="368" spans="1:9" x14ac:dyDescent="0.2">
      <c r="A368" t="s">
        <v>978</v>
      </c>
      <c r="B368">
        <v>4.8099999999999997E-2</v>
      </c>
      <c r="C368">
        <v>239</v>
      </c>
      <c r="D368" t="s">
        <v>978</v>
      </c>
      <c r="E368">
        <v>238</v>
      </c>
      <c r="F368" s="1">
        <v>45164</v>
      </c>
      <c r="G368" s="7">
        <v>9.8124999999999911</v>
      </c>
      <c r="H368" s="10">
        <v>3.4344999999999999</v>
      </c>
      <c r="I368" s="9">
        <f t="shared" si="16"/>
        <v>-3.4344999999999999</v>
      </c>
    </row>
    <row r="369" spans="1:9" x14ac:dyDescent="0.2">
      <c r="A369" t="s">
        <v>979</v>
      </c>
      <c r="B369">
        <v>4.7919999999999997E-2</v>
      </c>
      <c r="C369">
        <v>239</v>
      </c>
      <c r="D369" t="s">
        <v>979</v>
      </c>
      <c r="E369">
        <v>238</v>
      </c>
      <c r="F369" s="1">
        <v>45164</v>
      </c>
      <c r="G369" s="7">
        <v>9.8229166666666572</v>
      </c>
      <c r="H369" s="10">
        <v>3.4205000000000001</v>
      </c>
      <c r="I369" s="9">
        <f t="shared" si="16"/>
        <v>-3.4205000000000001</v>
      </c>
    </row>
    <row r="370" spans="1:9" x14ac:dyDescent="0.2">
      <c r="A370" t="s">
        <v>980</v>
      </c>
      <c r="B370" t="s">
        <v>981</v>
      </c>
      <c r="C370">
        <v>239</v>
      </c>
      <c r="D370" t="s">
        <v>980</v>
      </c>
      <c r="E370">
        <v>238</v>
      </c>
      <c r="F370" s="1">
        <v>45164</v>
      </c>
      <c r="G370" s="7">
        <v>9.8333333333333233</v>
      </c>
      <c r="H370" s="10">
        <v>3.4359999999999999</v>
      </c>
      <c r="I370" s="9">
        <f t="shared" si="16"/>
        <v>-3.4359999999999999</v>
      </c>
    </row>
    <row r="371" spans="1:9" x14ac:dyDescent="0.2">
      <c r="A371" t="s">
        <v>982</v>
      </c>
      <c r="B371">
        <v>4.8370000000000003E-2</v>
      </c>
      <c r="C371">
        <v>239</v>
      </c>
      <c r="D371" t="s">
        <v>982</v>
      </c>
      <c r="E371">
        <v>238</v>
      </c>
      <c r="F371" s="1">
        <v>45164</v>
      </c>
      <c r="G371" s="7">
        <v>9.8437499999999893</v>
      </c>
      <c r="H371" s="10">
        <v>3.4550000000000001</v>
      </c>
      <c r="I371" s="9">
        <f t="shared" si="16"/>
        <v>-3.4550000000000001</v>
      </c>
    </row>
    <row r="372" spans="1:9" x14ac:dyDescent="0.2">
      <c r="A372" t="s">
        <v>983</v>
      </c>
      <c r="B372">
        <v>4.8520000000000001E-2</v>
      </c>
      <c r="C372">
        <v>239</v>
      </c>
      <c r="D372" t="s">
        <v>983</v>
      </c>
      <c r="E372">
        <v>238</v>
      </c>
      <c r="F372" s="1">
        <v>45164</v>
      </c>
      <c r="G372" s="7">
        <v>9.8541666666666554</v>
      </c>
      <c r="H372" s="10">
        <v>3.4630000000000001</v>
      </c>
      <c r="I372" s="9">
        <f t="shared" si="16"/>
        <v>-3.4630000000000001</v>
      </c>
    </row>
    <row r="373" spans="1:9" x14ac:dyDescent="0.2">
      <c r="A373" t="s">
        <v>984</v>
      </c>
      <c r="B373">
        <v>4.9259999999999998E-2</v>
      </c>
      <c r="C373">
        <v>239</v>
      </c>
      <c r="D373" t="s">
        <v>984</v>
      </c>
      <c r="E373">
        <v>238</v>
      </c>
      <c r="F373" s="1">
        <v>45164</v>
      </c>
      <c r="G373" s="7">
        <v>9.8645833333333215</v>
      </c>
      <c r="H373" s="10">
        <v>3.516</v>
      </c>
      <c r="I373" s="9">
        <f t="shared" si="16"/>
        <v>-3.516</v>
      </c>
    </row>
    <row r="374" spans="1:9" x14ac:dyDescent="0.2">
      <c r="A374" t="s">
        <v>985</v>
      </c>
      <c r="B374">
        <v>4.9149999999999999E-2</v>
      </c>
      <c r="C374">
        <v>239</v>
      </c>
      <c r="D374" t="s">
        <v>985</v>
      </c>
      <c r="E374">
        <v>238</v>
      </c>
      <c r="F374" s="1">
        <v>45164</v>
      </c>
      <c r="G374" s="7">
        <v>9.8749999999999876</v>
      </c>
      <c r="H374" s="10" t="s">
        <v>986</v>
      </c>
      <c r="I374" s="9">
        <f t="shared" si="16"/>
        <v>-3.50849999999999</v>
      </c>
    </row>
    <row r="375" spans="1:9" x14ac:dyDescent="0.2">
      <c r="A375" t="s">
        <v>987</v>
      </c>
      <c r="B375">
        <v>4.9660000000000003E-2</v>
      </c>
      <c r="C375">
        <v>239</v>
      </c>
      <c r="D375" t="s">
        <v>987</v>
      </c>
      <c r="E375">
        <v>238</v>
      </c>
      <c r="F375" s="1">
        <v>45164</v>
      </c>
      <c r="G375" s="7">
        <v>9.8854166666666536</v>
      </c>
      <c r="H375" s="10">
        <v>3.5445000000000002</v>
      </c>
      <c r="I375" s="9">
        <f t="shared" si="16"/>
        <v>-3.5445000000000002</v>
      </c>
    </row>
    <row r="376" spans="1:9" x14ac:dyDescent="0.2">
      <c r="A376" t="s">
        <v>988</v>
      </c>
      <c r="B376">
        <v>5.0540000000000002E-2</v>
      </c>
      <c r="C376">
        <v>239</v>
      </c>
      <c r="D376" t="s">
        <v>988</v>
      </c>
      <c r="E376">
        <v>238</v>
      </c>
      <c r="F376" s="1">
        <v>45164</v>
      </c>
      <c r="G376" s="7">
        <v>9.8958333333333197</v>
      </c>
      <c r="H376" s="10">
        <v>3.6095000000000002</v>
      </c>
      <c r="I376" s="9">
        <f t="shared" si="16"/>
        <v>-3.6095000000000002</v>
      </c>
    </row>
    <row r="377" spans="1:9" x14ac:dyDescent="0.2">
      <c r="A377" t="s">
        <v>989</v>
      </c>
      <c r="B377">
        <v>5.0575000000000002E-2</v>
      </c>
      <c r="C377">
        <v>239</v>
      </c>
      <c r="D377" t="s">
        <v>989</v>
      </c>
      <c r="E377">
        <v>238</v>
      </c>
      <c r="F377" s="1">
        <v>45164</v>
      </c>
      <c r="G377" s="7">
        <v>9.9062499999999858</v>
      </c>
      <c r="H377" s="10">
        <v>3.6105</v>
      </c>
      <c r="I377" s="9">
        <f t="shared" si="16"/>
        <v>-3.6105</v>
      </c>
    </row>
    <row r="378" spans="1:9" x14ac:dyDescent="0.2">
      <c r="A378" t="s">
        <v>990</v>
      </c>
      <c r="B378">
        <v>5.1459999999999999E-2</v>
      </c>
      <c r="C378">
        <v>239</v>
      </c>
      <c r="D378" t="s">
        <v>990</v>
      </c>
      <c r="E378">
        <v>238</v>
      </c>
      <c r="F378" s="1">
        <v>45164</v>
      </c>
      <c r="G378" s="7">
        <v>9.9166666666666519</v>
      </c>
      <c r="H378" s="10">
        <v>3.673</v>
      </c>
      <c r="I378" s="9">
        <f t="shared" si="16"/>
        <v>-3.673</v>
      </c>
    </row>
    <row r="379" spans="1:9" x14ac:dyDescent="0.2">
      <c r="A379" t="s">
        <v>991</v>
      </c>
      <c r="B379">
        <v>5.2225000000000001E-2</v>
      </c>
      <c r="C379">
        <v>239</v>
      </c>
      <c r="D379" t="s">
        <v>991</v>
      </c>
      <c r="E379">
        <v>238</v>
      </c>
      <c r="F379" s="1">
        <v>45164</v>
      </c>
      <c r="G379" s="7">
        <v>9.9270833333333179</v>
      </c>
      <c r="H379" s="10">
        <v>3.7284999999999999</v>
      </c>
      <c r="I379" s="9">
        <f t="shared" si="16"/>
        <v>-3.7284999999999999</v>
      </c>
    </row>
    <row r="380" spans="1:9" x14ac:dyDescent="0.2">
      <c r="A380" t="s">
        <v>992</v>
      </c>
      <c r="B380">
        <v>5.2595000000000003E-2</v>
      </c>
      <c r="C380">
        <v>239</v>
      </c>
      <c r="D380" t="s">
        <v>992</v>
      </c>
      <c r="E380">
        <v>238</v>
      </c>
      <c r="F380" s="1">
        <v>45164</v>
      </c>
      <c r="G380" s="7">
        <v>9.937499999999984</v>
      </c>
      <c r="H380" s="10">
        <v>3.7559999999999998</v>
      </c>
      <c r="I380" s="9">
        <f t="shared" si="16"/>
        <v>-3.7559999999999998</v>
      </c>
    </row>
    <row r="381" spans="1:9" x14ac:dyDescent="0.2">
      <c r="A381" t="s">
        <v>993</v>
      </c>
      <c r="B381">
        <v>5.3004999999999997E-2</v>
      </c>
      <c r="C381">
        <v>239</v>
      </c>
      <c r="D381" t="s">
        <v>993</v>
      </c>
      <c r="E381">
        <v>238</v>
      </c>
      <c r="F381" s="1">
        <v>45164</v>
      </c>
      <c r="G381" s="7">
        <v>9.9479166666666501</v>
      </c>
      <c r="H381" s="10">
        <v>3.7845</v>
      </c>
      <c r="I381" s="9">
        <f t="shared" si="16"/>
        <v>-3.7845</v>
      </c>
    </row>
    <row r="382" spans="1:9" x14ac:dyDescent="0.2">
      <c r="A382" t="s">
        <v>994</v>
      </c>
      <c r="B382">
        <v>5.4350000000000002E-2</v>
      </c>
      <c r="C382">
        <v>239</v>
      </c>
      <c r="D382" t="s">
        <v>994</v>
      </c>
      <c r="E382">
        <v>238</v>
      </c>
      <c r="F382" s="1">
        <v>45164</v>
      </c>
      <c r="G382" s="7">
        <v>9.9583333333333162</v>
      </c>
      <c r="H382" s="10">
        <v>3.8795000000000002</v>
      </c>
      <c r="I382" s="9">
        <f t="shared" si="16"/>
        <v>-3.8795000000000002</v>
      </c>
    </row>
    <row r="383" spans="1:9" x14ac:dyDescent="0.2">
      <c r="A383" t="s">
        <v>995</v>
      </c>
      <c r="B383">
        <v>5.4760000000000003E-2</v>
      </c>
      <c r="C383">
        <v>239</v>
      </c>
      <c r="D383" t="s">
        <v>995</v>
      </c>
      <c r="E383">
        <v>238</v>
      </c>
      <c r="F383" s="1">
        <v>45164</v>
      </c>
      <c r="G383" s="7">
        <v>9.9687499999999822</v>
      </c>
      <c r="H383" s="10">
        <v>3.9089999999999998</v>
      </c>
      <c r="I383" s="9">
        <f t="shared" si="16"/>
        <v>-3.9089999999999998</v>
      </c>
    </row>
    <row r="384" spans="1:9" x14ac:dyDescent="0.2">
      <c r="A384" t="s">
        <v>996</v>
      </c>
      <c r="B384">
        <v>5.4925000000000002E-2</v>
      </c>
      <c r="C384">
        <v>239</v>
      </c>
      <c r="D384" t="s">
        <v>996</v>
      </c>
      <c r="E384">
        <v>238</v>
      </c>
      <c r="F384" s="1">
        <v>45164</v>
      </c>
      <c r="G384" s="7">
        <v>9.9791666666666483</v>
      </c>
      <c r="H384" s="10">
        <v>3.9205000000000001</v>
      </c>
      <c r="I384" s="9">
        <f t="shared" si="16"/>
        <v>-3.9205000000000001</v>
      </c>
    </row>
    <row r="385" spans="1:9" x14ac:dyDescent="0.2">
      <c r="A385" t="s">
        <v>997</v>
      </c>
      <c r="B385">
        <v>5.6349999999999997E-2</v>
      </c>
      <c r="C385">
        <v>239</v>
      </c>
      <c r="D385" t="s">
        <v>997</v>
      </c>
      <c r="E385">
        <v>238</v>
      </c>
      <c r="F385" s="1">
        <v>45164</v>
      </c>
      <c r="G385" s="7">
        <v>9.9895833333333144</v>
      </c>
      <c r="H385" s="10">
        <v>4.0220000000000002</v>
      </c>
      <c r="I385" s="9">
        <f t="shared" si="16"/>
        <v>-4.0220000000000002</v>
      </c>
    </row>
    <row r="386" spans="1:9" x14ac:dyDescent="0.2">
      <c r="A386" t="s">
        <v>998</v>
      </c>
      <c r="B386">
        <v>5.6669999999999998E-2</v>
      </c>
      <c r="C386">
        <v>239</v>
      </c>
      <c r="D386" t="s">
        <v>998</v>
      </c>
      <c r="E386">
        <v>239</v>
      </c>
      <c r="F386" s="1">
        <v>45165</v>
      </c>
      <c r="G386" s="7">
        <v>9.9999999999999805</v>
      </c>
      <c r="H386" s="10">
        <v>4.0449999999999999</v>
      </c>
      <c r="I386" s="9">
        <f t="shared" si="16"/>
        <v>-4.0449999999999999</v>
      </c>
    </row>
    <row r="387" spans="1:9" x14ac:dyDescent="0.2">
      <c r="A387" t="s">
        <v>999</v>
      </c>
      <c r="B387">
        <v>5.7099999999999998E-2</v>
      </c>
      <c r="C387">
        <v>239</v>
      </c>
      <c r="D387" t="s">
        <v>999</v>
      </c>
      <c r="E387">
        <v>239</v>
      </c>
      <c r="F387" s="1">
        <v>45165</v>
      </c>
      <c r="G387" s="7">
        <v>10.010416666666647</v>
      </c>
      <c r="H387" s="10">
        <v>4.0750000000000002</v>
      </c>
      <c r="I387" s="9">
        <f t="shared" ref="I387:I450" si="17">-H387</f>
        <v>-4.0750000000000002</v>
      </c>
    </row>
    <row r="388" spans="1:9" x14ac:dyDescent="0.2">
      <c r="A388" t="s">
        <v>1000</v>
      </c>
      <c r="B388">
        <v>5.7494999999999997E-2</v>
      </c>
      <c r="C388">
        <v>239</v>
      </c>
      <c r="D388" t="s">
        <v>1000</v>
      </c>
      <c r="E388">
        <v>239</v>
      </c>
      <c r="F388" s="1">
        <v>45165</v>
      </c>
      <c r="G388" s="7">
        <v>10.020833333333313</v>
      </c>
      <c r="H388" s="10">
        <v>4.1044999999999998</v>
      </c>
      <c r="I388" s="9">
        <f t="shared" si="17"/>
        <v>-4.1044999999999998</v>
      </c>
    </row>
    <row r="389" spans="1:9" x14ac:dyDescent="0.2">
      <c r="A389" t="s">
        <v>1001</v>
      </c>
      <c r="B389">
        <v>5.7790000000000001E-2</v>
      </c>
      <c r="C389">
        <v>239</v>
      </c>
      <c r="D389" t="s">
        <v>1001</v>
      </c>
      <c r="E389">
        <v>239</v>
      </c>
      <c r="F389" s="1">
        <v>45165</v>
      </c>
      <c r="G389" s="7">
        <v>10.031249999999979</v>
      </c>
      <c r="H389" s="10">
        <v>4.1254999999999997</v>
      </c>
      <c r="I389" s="9">
        <f t="shared" si="17"/>
        <v>-4.1254999999999997</v>
      </c>
    </row>
    <row r="390" spans="1:9" x14ac:dyDescent="0.2">
      <c r="A390" t="s">
        <v>1002</v>
      </c>
      <c r="B390">
        <v>5.7825000000000001E-2</v>
      </c>
      <c r="C390">
        <v>239</v>
      </c>
      <c r="D390" t="s">
        <v>1002</v>
      </c>
      <c r="E390">
        <v>239</v>
      </c>
      <c r="F390" s="1">
        <v>45165</v>
      </c>
      <c r="G390" s="7">
        <v>10.041666666666645</v>
      </c>
      <c r="H390" s="9">
        <v>4.1289999999999996</v>
      </c>
      <c r="I390" s="9">
        <f t="shared" si="17"/>
        <v>-4.1289999999999996</v>
      </c>
    </row>
    <row r="391" spans="1:9" x14ac:dyDescent="0.2">
      <c r="A391" t="s">
        <v>1004</v>
      </c>
      <c r="B391">
        <v>5.8205E-2</v>
      </c>
      <c r="C391">
        <v>239</v>
      </c>
      <c r="D391" t="s">
        <v>1004</v>
      </c>
      <c r="E391">
        <v>239</v>
      </c>
      <c r="F391" s="1">
        <v>45165</v>
      </c>
      <c r="G391" s="7">
        <v>10.052083333333311</v>
      </c>
      <c r="H391" s="10">
        <v>4.1539999999999999</v>
      </c>
      <c r="I391" s="9">
        <f t="shared" si="17"/>
        <v>-4.1539999999999999</v>
      </c>
    </row>
    <row r="392" spans="1:9" x14ac:dyDescent="0.2">
      <c r="A392" t="s">
        <v>1005</v>
      </c>
      <c r="B392" s="3">
        <v>5.8474999999999999E-2</v>
      </c>
      <c r="C392" s="3">
        <v>239</v>
      </c>
      <c r="D392" s="3" t="s">
        <v>1005</v>
      </c>
      <c r="E392" s="3">
        <v>239</v>
      </c>
      <c r="F392" s="5">
        <v>45165</v>
      </c>
      <c r="G392" s="8">
        <v>10.062499999999977</v>
      </c>
      <c r="H392" s="20">
        <v>4.1739999999999897</v>
      </c>
      <c r="I392" s="9">
        <f t="shared" si="17"/>
        <v>-4.1739999999999897</v>
      </c>
    </row>
    <row r="393" spans="1:9" x14ac:dyDescent="0.2">
      <c r="A393" t="s">
        <v>1007</v>
      </c>
      <c r="B393">
        <v>5.7474999999999998E-2</v>
      </c>
      <c r="C393">
        <v>239</v>
      </c>
      <c r="D393" t="s">
        <v>1007</v>
      </c>
      <c r="E393">
        <v>239</v>
      </c>
      <c r="F393" s="1">
        <v>45165</v>
      </c>
      <c r="G393" s="7">
        <v>10.072916666666643</v>
      </c>
      <c r="H393" s="10">
        <v>4.1025</v>
      </c>
      <c r="I393" s="9">
        <f t="shared" si="17"/>
        <v>-4.1025</v>
      </c>
    </row>
    <row r="394" spans="1:9" x14ac:dyDescent="0.2">
      <c r="A394" t="s">
        <v>1008</v>
      </c>
      <c r="B394">
        <v>5.849E-2</v>
      </c>
      <c r="C394">
        <v>239</v>
      </c>
      <c r="D394" t="s">
        <v>1008</v>
      </c>
      <c r="E394">
        <v>239</v>
      </c>
      <c r="F394" s="1">
        <v>45165</v>
      </c>
      <c r="G394" s="7">
        <v>10.083333333333309</v>
      </c>
      <c r="H394" s="10">
        <v>4.1769999999999996</v>
      </c>
      <c r="I394" s="9">
        <f t="shared" si="17"/>
        <v>-4.1769999999999996</v>
      </c>
    </row>
    <row r="395" spans="1:9" x14ac:dyDescent="0.2">
      <c r="A395" t="s">
        <v>1009</v>
      </c>
      <c r="B395">
        <v>5.8485000000000002E-2</v>
      </c>
      <c r="C395">
        <v>239</v>
      </c>
      <c r="D395" t="s">
        <v>1009</v>
      </c>
      <c r="E395">
        <v>239</v>
      </c>
      <c r="F395" s="1">
        <v>45165</v>
      </c>
      <c r="G395" s="7">
        <v>10.093749999999975</v>
      </c>
      <c r="H395" s="10">
        <v>4.1745000000000001</v>
      </c>
      <c r="I395" s="9">
        <f t="shared" si="17"/>
        <v>-4.1745000000000001</v>
      </c>
    </row>
    <row r="396" spans="1:9" x14ac:dyDescent="0.2">
      <c r="A396" t="s">
        <v>1010</v>
      </c>
      <c r="B396">
        <v>5.8299999999999998E-2</v>
      </c>
      <c r="C396">
        <v>239</v>
      </c>
      <c r="D396" t="s">
        <v>1010</v>
      </c>
      <c r="E396">
        <v>239</v>
      </c>
      <c r="F396" s="1">
        <v>45165</v>
      </c>
      <c r="G396" s="7">
        <v>10.104166666666641</v>
      </c>
      <c r="H396" s="10">
        <v>4.1630000000000003</v>
      </c>
      <c r="I396" s="9">
        <f t="shared" si="17"/>
        <v>-4.1630000000000003</v>
      </c>
    </row>
    <row r="397" spans="1:9" x14ac:dyDescent="0.2">
      <c r="A397" t="s">
        <v>1011</v>
      </c>
      <c r="B397">
        <v>5.8160000000000003E-2</v>
      </c>
      <c r="C397">
        <v>239</v>
      </c>
      <c r="D397" t="s">
        <v>1011</v>
      </c>
      <c r="E397">
        <v>239</v>
      </c>
      <c r="F397" s="1">
        <v>45165</v>
      </c>
      <c r="G397" s="7">
        <v>10.114583333333307</v>
      </c>
      <c r="H397" s="10">
        <v>4.1524999999999999</v>
      </c>
      <c r="I397" s="9">
        <f t="shared" si="17"/>
        <v>-4.1524999999999999</v>
      </c>
    </row>
    <row r="398" spans="1:9" x14ac:dyDescent="0.2">
      <c r="A398" t="s">
        <v>1012</v>
      </c>
      <c r="B398">
        <v>5.8125000000000003E-2</v>
      </c>
      <c r="C398">
        <v>239</v>
      </c>
      <c r="D398" t="s">
        <v>1012</v>
      </c>
      <c r="E398">
        <v>239</v>
      </c>
      <c r="F398" s="1">
        <v>45165</v>
      </c>
      <c r="G398" s="7">
        <v>10.124999999999973</v>
      </c>
      <c r="H398" s="10">
        <v>4.1500000000000004</v>
      </c>
      <c r="I398" s="9">
        <f t="shared" si="17"/>
        <v>-4.1500000000000004</v>
      </c>
    </row>
    <row r="399" spans="1:9" x14ac:dyDescent="0.2">
      <c r="A399" t="s">
        <v>1013</v>
      </c>
      <c r="B399" s="12">
        <v>5.8615E-2</v>
      </c>
      <c r="C399" s="12">
        <v>239</v>
      </c>
      <c r="D399" s="12" t="s">
        <v>1013</v>
      </c>
      <c r="E399" s="12">
        <v>239</v>
      </c>
      <c r="F399" s="13">
        <v>45165</v>
      </c>
      <c r="G399" s="14">
        <v>10.135416666666639</v>
      </c>
      <c r="H399" s="11">
        <v>4.1840000000000002</v>
      </c>
      <c r="I399" s="9">
        <f t="shared" si="17"/>
        <v>-4.1840000000000002</v>
      </c>
    </row>
    <row r="400" spans="1:9" x14ac:dyDescent="0.2">
      <c r="A400" t="s">
        <v>1014</v>
      </c>
      <c r="B400">
        <v>5.8404999999999999E-2</v>
      </c>
      <c r="C400">
        <v>239</v>
      </c>
      <c r="D400" t="s">
        <v>1014</v>
      </c>
      <c r="E400">
        <v>239</v>
      </c>
      <c r="F400" s="1">
        <v>45165</v>
      </c>
      <c r="G400" s="7">
        <v>10.145833333333306</v>
      </c>
      <c r="H400" s="10">
        <v>4.1710000000000003</v>
      </c>
      <c r="I400" s="9">
        <f t="shared" si="17"/>
        <v>-4.1710000000000003</v>
      </c>
    </row>
    <row r="401" spans="1:9" x14ac:dyDescent="0.2">
      <c r="A401" t="s">
        <v>1015</v>
      </c>
      <c r="B401">
        <v>5.8395000000000002E-2</v>
      </c>
      <c r="C401">
        <v>239</v>
      </c>
      <c r="D401" t="s">
        <v>1015</v>
      </c>
      <c r="E401">
        <v>239</v>
      </c>
      <c r="F401" s="1">
        <v>45165</v>
      </c>
      <c r="G401" s="7">
        <v>10.156249999999972</v>
      </c>
      <c r="H401" s="10">
        <v>4.17</v>
      </c>
      <c r="I401" s="9">
        <f t="shared" si="17"/>
        <v>-4.17</v>
      </c>
    </row>
    <row r="402" spans="1:9" x14ac:dyDescent="0.2">
      <c r="A402" t="s">
        <v>1016</v>
      </c>
      <c r="B402">
        <v>5.8479999999999997E-2</v>
      </c>
      <c r="C402">
        <v>239</v>
      </c>
      <c r="D402" t="s">
        <v>1016</v>
      </c>
      <c r="E402">
        <v>239</v>
      </c>
      <c r="F402" s="1">
        <v>45165</v>
      </c>
      <c r="G402" s="7">
        <v>10.166666666666638</v>
      </c>
      <c r="H402" s="10">
        <v>4.1745000000000001</v>
      </c>
      <c r="I402" s="9">
        <f t="shared" si="17"/>
        <v>-4.1745000000000001</v>
      </c>
    </row>
    <row r="403" spans="1:9" x14ac:dyDescent="0.2">
      <c r="A403" t="s">
        <v>1017</v>
      </c>
      <c r="B403">
        <v>5.8174999999999998E-2</v>
      </c>
      <c r="C403">
        <v>239</v>
      </c>
      <c r="D403" t="s">
        <v>1017</v>
      </c>
      <c r="E403">
        <v>239</v>
      </c>
      <c r="F403" s="1">
        <v>45165</v>
      </c>
      <c r="G403" s="7">
        <v>10.177083333333304</v>
      </c>
      <c r="H403" s="10">
        <v>4.1520000000000001</v>
      </c>
      <c r="I403" s="9">
        <f t="shared" si="17"/>
        <v>-4.1520000000000001</v>
      </c>
    </row>
    <row r="404" spans="1:9" x14ac:dyDescent="0.2">
      <c r="A404" t="s">
        <v>1018</v>
      </c>
      <c r="B404">
        <v>5.8139999999999997E-2</v>
      </c>
      <c r="C404">
        <v>239</v>
      </c>
      <c r="D404" t="s">
        <v>1018</v>
      </c>
      <c r="E404">
        <v>239</v>
      </c>
      <c r="F404" s="1">
        <v>45165</v>
      </c>
      <c r="G404" s="7">
        <v>10.18749999999997</v>
      </c>
      <c r="H404" s="10">
        <v>4.1520000000000001</v>
      </c>
      <c r="I404" s="9">
        <f t="shared" si="17"/>
        <v>-4.1520000000000001</v>
      </c>
    </row>
    <row r="405" spans="1:9" x14ac:dyDescent="0.2">
      <c r="A405" t="s">
        <v>1019</v>
      </c>
      <c r="B405">
        <v>5.8270000000000002E-2</v>
      </c>
      <c r="C405">
        <v>239</v>
      </c>
      <c r="D405" t="s">
        <v>1019</v>
      </c>
      <c r="E405">
        <v>239</v>
      </c>
      <c r="F405" s="1">
        <v>45165</v>
      </c>
      <c r="G405" s="7">
        <v>10.197916666666636</v>
      </c>
      <c r="H405" s="10">
        <v>4.1595000000000004</v>
      </c>
      <c r="I405" s="9">
        <f t="shared" si="17"/>
        <v>-4.1595000000000004</v>
      </c>
    </row>
    <row r="406" spans="1:9" x14ac:dyDescent="0.2">
      <c r="A406" t="s">
        <v>1020</v>
      </c>
      <c r="B406">
        <v>5.8424999999999998E-2</v>
      </c>
      <c r="C406">
        <v>239</v>
      </c>
      <c r="D406" t="s">
        <v>1020</v>
      </c>
      <c r="E406">
        <v>239</v>
      </c>
      <c r="F406" s="1">
        <v>45165</v>
      </c>
      <c r="G406" s="7">
        <v>10.208333333333302</v>
      </c>
      <c r="H406" s="10">
        <v>4.1725000000000003</v>
      </c>
      <c r="I406" s="9">
        <f t="shared" si="17"/>
        <v>-4.1725000000000003</v>
      </c>
    </row>
    <row r="407" spans="1:9" x14ac:dyDescent="0.2">
      <c r="A407" t="s">
        <v>1021</v>
      </c>
      <c r="B407">
        <v>5.8325000000000002E-2</v>
      </c>
      <c r="C407">
        <v>239</v>
      </c>
      <c r="D407" t="s">
        <v>1021</v>
      </c>
      <c r="E407">
        <v>239</v>
      </c>
      <c r="F407" s="1">
        <v>45165</v>
      </c>
      <c r="G407" s="7">
        <v>10.218749999999968</v>
      </c>
      <c r="H407" s="10">
        <v>4.1660000000000004</v>
      </c>
      <c r="I407" s="9">
        <f t="shared" si="17"/>
        <v>-4.1660000000000004</v>
      </c>
    </row>
    <row r="408" spans="1:9" x14ac:dyDescent="0.2">
      <c r="A408" t="s">
        <v>1022</v>
      </c>
      <c r="B408">
        <v>5.8229999999999997E-2</v>
      </c>
      <c r="C408">
        <v>239</v>
      </c>
      <c r="D408" t="s">
        <v>1022</v>
      </c>
      <c r="E408">
        <v>239</v>
      </c>
      <c r="F408" s="1">
        <v>45165</v>
      </c>
      <c r="G408" s="7">
        <v>10.229166666666634</v>
      </c>
      <c r="H408" s="10">
        <v>4.1580000000000004</v>
      </c>
      <c r="I408" s="9">
        <f t="shared" si="17"/>
        <v>-4.1580000000000004</v>
      </c>
    </row>
    <row r="409" spans="1:9" x14ac:dyDescent="0.2">
      <c r="A409" t="s">
        <v>1023</v>
      </c>
      <c r="B409">
        <v>5.8025E-2</v>
      </c>
      <c r="C409">
        <v>239</v>
      </c>
      <c r="D409" t="s">
        <v>1023</v>
      </c>
      <c r="E409">
        <v>239</v>
      </c>
      <c r="F409" s="1">
        <v>45165</v>
      </c>
      <c r="G409" s="7">
        <v>10.2395833333333</v>
      </c>
      <c r="H409" s="10">
        <v>4.1425000000000001</v>
      </c>
      <c r="I409" s="9">
        <f t="shared" si="17"/>
        <v>-4.1425000000000001</v>
      </c>
    </row>
    <row r="410" spans="1:9" x14ac:dyDescent="0.2">
      <c r="A410" t="s">
        <v>1024</v>
      </c>
      <c r="B410">
        <v>5.8389999999999997E-2</v>
      </c>
      <c r="C410">
        <v>239</v>
      </c>
      <c r="D410" t="s">
        <v>1024</v>
      </c>
      <c r="E410">
        <v>239</v>
      </c>
      <c r="F410" s="1">
        <v>45165</v>
      </c>
      <c r="G410" s="7">
        <v>10.249999999999966</v>
      </c>
      <c r="H410" s="10">
        <v>4.17</v>
      </c>
      <c r="I410" s="9">
        <f t="shared" si="17"/>
        <v>-4.17</v>
      </c>
    </row>
    <row r="411" spans="1:9" x14ac:dyDescent="0.2">
      <c r="A411" t="s">
        <v>1025</v>
      </c>
      <c r="B411">
        <v>5.8569999999999997E-2</v>
      </c>
      <c r="C411">
        <v>239</v>
      </c>
      <c r="D411" t="s">
        <v>1025</v>
      </c>
      <c r="E411">
        <v>239</v>
      </c>
      <c r="F411" s="1">
        <v>45165</v>
      </c>
      <c r="G411" s="7">
        <v>10.260416666666632</v>
      </c>
      <c r="H411" s="10">
        <v>4.181</v>
      </c>
      <c r="I411" s="9">
        <f t="shared" si="17"/>
        <v>-4.181</v>
      </c>
    </row>
    <row r="412" spans="1:9" x14ac:dyDescent="0.2">
      <c r="A412" t="s">
        <v>1026</v>
      </c>
      <c r="B412">
        <v>5.8689999999999999E-2</v>
      </c>
      <c r="C412">
        <v>239</v>
      </c>
      <c r="D412" t="s">
        <v>1026</v>
      </c>
      <c r="E412">
        <v>239</v>
      </c>
      <c r="F412" s="1">
        <v>45165</v>
      </c>
      <c r="G412" s="7">
        <v>10.270833333333298</v>
      </c>
      <c r="H412" s="10">
        <v>4.1914999999999996</v>
      </c>
      <c r="I412" s="9">
        <f t="shared" si="17"/>
        <v>-4.1914999999999996</v>
      </c>
    </row>
    <row r="413" spans="1:9" x14ac:dyDescent="0.2">
      <c r="A413" t="s">
        <v>1027</v>
      </c>
      <c r="B413">
        <v>5.8244999999999998E-2</v>
      </c>
      <c r="C413">
        <v>239</v>
      </c>
      <c r="D413" t="s">
        <v>1027</v>
      </c>
      <c r="E413">
        <v>239</v>
      </c>
      <c r="F413" s="1">
        <v>45165</v>
      </c>
      <c r="G413" s="7">
        <v>10.281249999999964</v>
      </c>
      <c r="H413" s="10">
        <v>4.1595000000000004</v>
      </c>
      <c r="I413" s="9">
        <f t="shared" si="17"/>
        <v>-4.1595000000000004</v>
      </c>
    </row>
    <row r="414" spans="1:9" x14ac:dyDescent="0.2">
      <c r="A414" t="s">
        <v>1028</v>
      </c>
      <c r="B414">
        <v>5.799E-2</v>
      </c>
      <c r="C414">
        <v>239</v>
      </c>
      <c r="D414" t="s">
        <v>1028</v>
      </c>
      <c r="E414">
        <v>239</v>
      </c>
      <c r="F414" s="1">
        <v>45165</v>
      </c>
      <c r="G414" s="7">
        <v>10.291666666666631</v>
      </c>
      <c r="H414" s="10">
        <v>4.1395</v>
      </c>
      <c r="I414" s="9">
        <f t="shared" si="17"/>
        <v>-4.1395</v>
      </c>
    </row>
    <row r="415" spans="1:9" x14ac:dyDescent="0.2">
      <c r="A415" t="s">
        <v>1029</v>
      </c>
      <c r="B415">
        <v>5.7970000000000001E-2</v>
      </c>
      <c r="C415">
        <v>239</v>
      </c>
      <c r="D415" t="s">
        <v>1029</v>
      </c>
      <c r="E415">
        <v>239</v>
      </c>
      <c r="F415" s="1">
        <v>45165</v>
      </c>
      <c r="G415" s="7">
        <v>10.302083333333297</v>
      </c>
      <c r="H415" s="10">
        <v>4.1364999999999998</v>
      </c>
      <c r="I415" s="9">
        <f t="shared" si="17"/>
        <v>-4.1364999999999998</v>
      </c>
    </row>
    <row r="416" spans="1:9" x14ac:dyDescent="0.2">
      <c r="A416" t="s">
        <v>1030</v>
      </c>
      <c r="B416">
        <v>5.7590000000000002E-2</v>
      </c>
      <c r="C416">
        <v>239</v>
      </c>
      <c r="D416" t="s">
        <v>1030</v>
      </c>
      <c r="E416">
        <v>239</v>
      </c>
      <c r="F416" s="1">
        <v>45165</v>
      </c>
      <c r="G416" s="7">
        <v>10.312499999999963</v>
      </c>
      <c r="H416" s="10">
        <v>4.1105</v>
      </c>
      <c r="I416" s="9">
        <f t="shared" si="17"/>
        <v>-4.1105</v>
      </c>
    </row>
    <row r="417" spans="1:9" x14ac:dyDescent="0.2">
      <c r="A417" t="s">
        <v>1031</v>
      </c>
      <c r="B417">
        <v>5.7665000000000001E-2</v>
      </c>
      <c r="C417">
        <v>239</v>
      </c>
      <c r="D417" t="s">
        <v>1031</v>
      </c>
      <c r="E417">
        <v>239</v>
      </c>
      <c r="F417" s="1">
        <v>45165</v>
      </c>
      <c r="G417" s="7">
        <v>10.322916666666629</v>
      </c>
      <c r="H417" s="10">
        <v>4.1174999999999997</v>
      </c>
      <c r="I417" s="9">
        <f t="shared" si="17"/>
        <v>-4.1174999999999997</v>
      </c>
    </row>
    <row r="418" spans="1:9" x14ac:dyDescent="0.2">
      <c r="A418" t="s">
        <v>1032</v>
      </c>
      <c r="B418">
        <v>5.7134999999999998E-2</v>
      </c>
      <c r="C418">
        <v>239</v>
      </c>
      <c r="D418" t="s">
        <v>1032</v>
      </c>
      <c r="E418">
        <v>239</v>
      </c>
      <c r="F418" s="1">
        <v>45165</v>
      </c>
      <c r="G418" s="7">
        <v>10.333333333333295</v>
      </c>
      <c r="H418" s="10">
        <v>4.0789999999999997</v>
      </c>
      <c r="I418" s="9">
        <f t="shared" si="17"/>
        <v>-4.0789999999999997</v>
      </c>
    </row>
    <row r="419" spans="1:9" x14ac:dyDescent="0.2">
      <c r="A419" t="s">
        <v>1033</v>
      </c>
      <c r="B419">
        <v>5.6915E-2</v>
      </c>
      <c r="C419">
        <v>239</v>
      </c>
      <c r="D419" t="s">
        <v>1033</v>
      </c>
      <c r="E419">
        <v>239</v>
      </c>
      <c r="F419" s="1">
        <v>45165</v>
      </c>
      <c r="G419" s="7">
        <v>10.343749999999961</v>
      </c>
      <c r="H419" s="10">
        <v>4.0629999999999997</v>
      </c>
      <c r="I419" s="9">
        <f t="shared" si="17"/>
        <v>-4.0629999999999997</v>
      </c>
    </row>
    <row r="420" spans="1:9" x14ac:dyDescent="0.2">
      <c r="A420" t="s">
        <v>1034</v>
      </c>
      <c r="B420">
        <v>5.6314999999999997E-2</v>
      </c>
      <c r="C420">
        <v>239</v>
      </c>
      <c r="D420" t="s">
        <v>1034</v>
      </c>
      <c r="E420">
        <v>239</v>
      </c>
      <c r="F420" s="1">
        <v>45165</v>
      </c>
      <c r="G420" s="7">
        <v>10.354166666666627</v>
      </c>
      <c r="H420" s="10">
        <v>4.0205000000000002</v>
      </c>
      <c r="I420" s="9">
        <f t="shared" si="17"/>
        <v>-4.0205000000000002</v>
      </c>
    </row>
    <row r="421" spans="1:9" x14ac:dyDescent="0.2">
      <c r="A421" t="s">
        <v>1035</v>
      </c>
      <c r="B421">
        <v>5.6160000000000002E-2</v>
      </c>
      <c r="C421">
        <v>239</v>
      </c>
      <c r="D421" t="s">
        <v>1035</v>
      </c>
      <c r="E421">
        <v>239</v>
      </c>
      <c r="F421" s="1">
        <v>45165</v>
      </c>
      <c r="G421" s="7">
        <v>10.364583333333293</v>
      </c>
      <c r="H421" s="10">
        <v>4.0095000000000001</v>
      </c>
      <c r="I421" s="9">
        <f t="shared" si="17"/>
        <v>-4.0095000000000001</v>
      </c>
    </row>
    <row r="422" spans="1:9" x14ac:dyDescent="0.2">
      <c r="A422" t="s">
        <v>1036</v>
      </c>
      <c r="B422">
        <v>5.543E-2</v>
      </c>
      <c r="C422">
        <v>239</v>
      </c>
      <c r="D422" t="s">
        <v>1036</v>
      </c>
      <c r="E422">
        <v>239</v>
      </c>
      <c r="F422" s="1">
        <v>45165</v>
      </c>
      <c r="G422" s="7">
        <v>10.374999999999959</v>
      </c>
      <c r="H422" s="10">
        <v>3.9584999999999999</v>
      </c>
      <c r="I422" s="9">
        <f t="shared" si="17"/>
        <v>-3.9584999999999999</v>
      </c>
    </row>
    <row r="423" spans="1:9" x14ac:dyDescent="0.2">
      <c r="A423" t="s">
        <v>1037</v>
      </c>
      <c r="B423">
        <v>5.4885000000000003E-2</v>
      </c>
      <c r="C423">
        <v>239</v>
      </c>
      <c r="D423" t="s">
        <v>1037</v>
      </c>
      <c r="E423">
        <v>239</v>
      </c>
      <c r="F423" s="1">
        <v>45165</v>
      </c>
      <c r="G423" s="7">
        <v>10.385416666666625</v>
      </c>
      <c r="H423" s="10">
        <v>3.92</v>
      </c>
      <c r="I423" s="9">
        <f t="shared" si="17"/>
        <v>-3.92</v>
      </c>
    </row>
    <row r="424" spans="1:9" x14ac:dyDescent="0.2">
      <c r="A424" t="s">
        <v>1038</v>
      </c>
      <c r="B424">
        <v>5.3870000000000001E-2</v>
      </c>
      <c r="C424">
        <v>239</v>
      </c>
      <c r="D424" t="s">
        <v>1038</v>
      </c>
      <c r="E424">
        <v>239</v>
      </c>
      <c r="F424" s="1">
        <v>45165</v>
      </c>
      <c r="G424" s="7">
        <v>10.395833333333291</v>
      </c>
      <c r="H424">
        <v>3.8464999999999998</v>
      </c>
      <c r="I424" s="9">
        <f t="shared" si="17"/>
        <v>-3.8464999999999998</v>
      </c>
    </row>
    <row r="425" spans="1:9" x14ac:dyDescent="0.2">
      <c r="A425" t="s">
        <v>1040</v>
      </c>
      <c r="B425">
        <v>5.3560000000000003E-2</v>
      </c>
      <c r="C425">
        <v>239</v>
      </c>
      <c r="D425" t="s">
        <v>1040</v>
      </c>
      <c r="E425">
        <v>239</v>
      </c>
      <c r="F425" s="1">
        <v>45165</v>
      </c>
      <c r="G425" s="7">
        <v>10.406249999999957</v>
      </c>
      <c r="H425" s="10">
        <v>3.8239999999999998</v>
      </c>
      <c r="I425" s="9">
        <f t="shared" si="17"/>
        <v>-3.8239999999999998</v>
      </c>
    </row>
    <row r="426" spans="1:9" x14ac:dyDescent="0.2">
      <c r="A426" t="s">
        <v>1041</v>
      </c>
      <c r="B426">
        <v>5.2440000000000001E-2</v>
      </c>
      <c r="C426">
        <v>239</v>
      </c>
      <c r="D426" t="s">
        <v>1041</v>
      </c>
      <c r="E426">
        <v>239</v>
      </c>
      <c r="F426" s="1">
        <v>45165</v>
      </c>
      <c r="G426" s="7">
        <v>10.416666666666623</v>
      </c>
      <c r="H426" s="10">
        <v>3.7429999999999999</v>
      </c>
      <c r="I426" s="9">
        <f t="shared" si="17"/>
        <v>-3.7429999999999999</v>
      </c>
    </row>
    <row r="427" spans="1:9" x14ac:dyDescent="0.2">
      <c r="A427" t="s">
        <v>1042</v>
      </c>
      <c r="B427">
        <v>5.2330000000000002E-2</v>
      </c>
      <c r="C427">
        <v>239</v>
      </c>
      <c r="D427" t="s">
        <v>1042</v>
      </c>
      <c r="E427">
        <v>239</v>
      </c>
      <c r="F427" s="1">
        <v>45165</v>
      </c>
      <c r="G427" s="7">
        <v>10.42708333333329</v>
      </c>
      <c r="H427" s="10">
        <v>3.7349999999999999</v>
      </c>
      <c r="I427" s="9">
        <f t="shared" si="17"/>
        <v>-3.7349999999999999</v>
      </c>
    </row>
    <row r="428" spans="1:9" x14ac:dyDescent="0.2">
      <c r="A428" t="s">
        <v>1043</v>
      </c>
      <c r="B428">
        <v>5.1369999999999999E-2</v>
      </c>
      <c r="C428">
        <v>239</v>
      </c>
      <c r="D428" t="s">
        <v>1043</v>
      </c>
      <c r="E428">
        <v>239</v>
      </c>
      <c r="F428" s="1">
        <v>45165</v>
      </c>
      <c r="G428" s="7">
        <v>10.437499999999956</v>
      </c>
      <c r="H428" s="10">
        <v>3.6669999999999998</v>
      </c>
      <c r="I428" s="9">
        <f t="shared" si="17"/>
        <v>-3.6669999999999998</v>
      </c>
    </row>
    <row r="429" spans="1:9" x14ac:dyDescent="0.2">
      <c r="A429" t="s">
        <v>1044</v>
      </c>
      <c r="B429">
        <v>5.0470000000000001E-2</v>
      </c>
      <c r="C429">
        <v>239</v>
      </c>
      <c r="D429" t="s">
        <v>1044</v>
      </c>
      <c r="E429">
        <v>239</v>
      </c>
      <c r="F429" s="1">
        <v>45165</v>
      </c>
      <c r="G429" s="7">
        <v>10.447916666666622</v>
      </c>
      <c r="H429" s="10">
        <v>3.6040000000000001</v>
      </c>
      <c r="I429" s="9">
        <f t="shared" si="17"/>
        <v>-3.6040000000000001</v>
      </c>
    </row>
    <row r="430" spans="1:9" x14ac:dyDescent="0.2">
      <c r="A430" t="s">
        <v>1045</v>
      </c>
      <c r="B430">
        <v>4.9950000000000001E-2</v>
      </c>
      <c r="C430">
        <v>239</v>
      </c>
      <c r="D430" t="s">
        <v>1045</v>
      </c>
      <c r="E430">
        <v>239</v>
      </c>
      <c r="F430" s="1">
        <v>45165</v>
      </c>
      <c r="G430" s="7">
        <v>10.458333333333288</v>
      </c>
      <c r="H430" s="10">
        <v>3.5655000000000001</v>
      </c>
      <c r="I430" s="9">
        <f t="shared" si="17"/>
        <v>-3.5655000000000001</v>
      </c>
    </row>
    <row r="431" spans="1:9" x14ac:dyDescent="0.2">
      <c r="A431" t="s">
        <v>1046</v>
      </c>
      <c r="B431">
        <v>4.9814999999999998E-2</v>
      </c>
      <c r="C431">
        <v>239</v>
      </c>
      <c r="D431" t="s">
        <v>1046</v>
      </c>
      <c r="E431">
        <v>239</v>
      </c>
      <c r="F431" s="1">
        <v>45165</v>
      </c>
      <c r="G431" s="7">
        <v>10.468749999999954</v>
      </c>
      <c r="H431">
        <v>3.55649999999999</v>
      </c>
      <c r="I431" s="9">
        <f t="shared" si="17"/>
        <v>-3.55649999999999</v>
      </c>
    </row>
    <row r="432" spans="1:9" x14ac:dyDescent="0.2">
      <c r="A432" t="s">
        <v>1048</v>
      </c>
      <c r="B432">
        <v>4.9489999999999999E-2</v>
      </c>
      <c r="C432">
        <v>239</v>
      </c>
      <c r="D432" t="s">
        <v>1048</v>
      </c>
      <c r="E432">
        <v>239</v>
      </c>
      <c r="F432" s="1">
        <v>45165</v>
      </c>
      <c r="G432" s="7">
        <v>10.47916666666662</v>
      </c>
      <c r="H432" s="10">
        <v>3.5335000000000001</v>
      </c>
      <c r="I432" s="9">
        <f t="shared" si="17"/>
        <v>-3.5335000000000001</v>
      </c>
    </row>
    <row r="433" spans="1:9" x14ac:dyDescent="0.2">
      <c r="A433" t="s">
        <v>1049</v>
      </c>
      <c r="B433">
        <v>4.9169999999999998E-2</v>
      </c>
      <c r="C433">
        <v>239</v>
      </c>
      <c r="D433" t="s">
        <v>1049</v>
      </c>
      <c r="E433">
        <v>239</v>
      </c>
      <c r="F433" s="1">
        <v>45165</v>
      </c>
      <c r="G433" s="7">
        <v>10.489583333333286</v>
      </c>
      <c r="H433" s="10">
        <v>3.5105</v>
      </c>
      <c r="I433" s="9">
        <f t="shared" si="17"/>
        <v>-3.5105</v>
      </c>
    </row>
    <row r="434" spans="1:9" x14ac:dyDescent="0.2">
      <c r="A434" t="s">
        <v>1050</v>
      </c>
      <c r="B434">
        <v>4.8895000000000001E-2</v>
      </c>
      <c r="C434">
        <v>239</v>
      </c>
      <c r="D434" t="s">
        <v>1050</v>
      </c>
      <c r="E434">
        <v>239</v>
      </c>
      <c r="F434" s="1">
        <v>45165</v>
      </c>
      <c r="G434" s="7">
        <v>10.499999999999952</v>
      </c>
      <c r="H434" s="10">
        <v>3.4904999999999999</v>
      </c>
      <c r="I434" s="9">
        <f t="shared" si="17"/>
        <v>-3.4904999999999999</v>
      </c>
    </row>
    <row r="435" spans="1:9" x14ac:dyDescent="0.2">
      <c r="A435" t="s">
        <v>1051</v>
      </c>
      <c r="B435">
        <v>4.9020000000000001E-2</v>
      </c>
      <c r="C435">
        <v>239</v>
      </c>
      <c r="D435" t="s">
        <v>1051</v>
      </c>
      <c r="E435">
        <v>239</v>
      </c>
      <c r="F435" s="1">
        <v>45165</v>
      </c>
      <c r="G435" s="7">
        <v>10.510416666666618</v>
      </c>
      <c r="H435" s="10">
        <v>3.4990000000000001</v>
      </c>
      <c r="I435" s="9">
        <f t="shared" si="17"/>
        <v>-3.4990000000000001</v>
      </c>
    </row>
    <row r="436" spans="1:9" x14ac:dyDescent="0.2">
      <c r="A436" t="s">
        <v>1052</v>
      </c>
      <c r="B436">
        <v>4.9035000000000002E-2</v>
      </c>
      <c r="C436">
        <v>239</v>
      </c>
      <c r="D436" t="s">
        <v>1052</v>
      </c>
      <c r="E436">
        <v>239</v>
      </c>
      <c r="F436" s="1">
        <v>45165</v>
      </c>
      <c r="G436" s="7">
        <v>10.520833333333284</v>
      </c>
      <c r="H436" s="10">
        <v>3.5005000000000002</v>
      </c>
      <c r="I436" s="9">
        <f t="shared" si="17"/>
        <v>-3.5005000000000002</v>
      </c>
    </row>
    <row r="437" spans="1:9" x14ac:dyDescent="0.2">
      <c r="A437" t="s">
        <v>1053</v>
      </c>
      <c r="B437">
        <v>4.8384999999999997E-2</v>
      </c>
      <c r="C437">
        <v>239</v>
      </c>
      <c r="D437" t="s">
        <v>1053</v>
      </c>
      <c r="E437">
        <v>239</v>
      </c>
      <c r="F437" s="1">
        <v>45165</v>
      </c>
      <c r="G437" s="7">
        <v>10.53124999999995</v>
      </c>
      <c r="H437" s="10">
        <v>3.4535</v>
      </c>
      <c r="I437" s="9">
        <f t="shared" si="17"/>
        <v>-3.4535</v>
      </c>
    </row>
    <row r="438" spans="1:9" x14ac:dyDescent="0.2">
      <c r="A438" t="s">
        <v>1054</v>
      </c>
      <c r="B438">
        <v>4.8550000000000003E-2</v>
      </c>
      <c r="C438">
        <v>239</v>
      </c>
      <c r="D438" t="s">
        <v>1054</v>
      </c>
      <c r="E438">
        <v>239</v>
      </c>
      <c r="F438" s="1">
        <v>45165</v>
      </c>
      <c r="G438" s="7">
        <v>10.541666666666616</v>
      </c>
      <c r="H438" s="10">
        <v>3.4670000000000001</v>
      </c>
      <c r="I438" s="9">
        <f t="shared" si="17"/>
        <v>-3.4670000000000001</v>
      </c>
    </row>
    <row r="439" spans="1:9" x14ac:dyDescent="0.2">
      <c r="A439" t="s">
        <v>1055</v>
      </c>
      <c r="B439">
        <v>4.8224999999999997E-2</v>
      </c>
      <c r="C439">
        <v>239</v>
      </c>
      <c r="D439" t="s">
        <v>1055</v>
      </c>
      <c r="E439">
        <v>239</v>
      </c>
      <c r="F439" s="1">
        <v>45165</v>
      </c>
      <c r="G439" s="7">
        <v>10.552083333333282</v>
      </c>
      <c r="H439" s="10">
        <v>3.4424999999999999</v>
      </c>
      <c r="I439" s="9">
        <f t="shared" si="17"/>
        <v>-3.4424999999999999</v>
      </c>
    </row>
    <row r="440" spans="1:9" x14ac:dyDescent="0.2">
      <c r="A440" t="s">
        <v>1056</v>
      </c>
      <c r="B440">
        <v>4.7934999999999998E-2</v>
      </c>
      <c r="C440">
        <v>239</v>
      </c>
      <c r="D440" t="s">
        <v>1056</v>
      </c>
      <c r="E440">
        <v>239</v>
      </c>
      <c r="F440" s="1">
        <v>45165</v>
      </c>
      <c r="G440" s="7">
        <v>10.562499999999948</v>
      </c>
      <c r="H440" s="10">
        <v>3.4220000000000002</v>
      </c>
      <c r="I440" s="9">
        <f t="shared" si="17"/>
        <v>-3.4220000000000002</v>
      </c>
    </row>
    <row r="441" spans="1:9" x14ac:dyDescent="0.2">
      <c r="A441" t="s">
        <v>1057</v>
      </c>
      <c r="B441">
        <v>4.7405000000000003E-2</v>
      </c>
      <c r="C441">
        <v>239</v>
      </c>
      <c r="D441" t="s">
        <v>1057</v>
      </c>
      <c r="E441">
        <v>239</v>
      </c>
      <c r="F441" s="1">
        <v>45165</v>
      </c>
      <c r="G441" s="7">
        <v>10.572916666666615</v>
      </c>
      <c r="H441" s="10">
        <v>3.3845000000000001</v>
      </c>
      <c r="I441" s="9">
        <f t="shared" si="17"/>
        <v>-3.3845000000000001</v>
      </c>
    </row>
    <row r="442" spans="1:9" x14ac:dyDescent="0.2">
      <c r="A442" t="s">
        <v>1058</v>
      </c>
      <c r="B442">
        <v>4.7465E-2</v>
      </c>
      <c r="C442">
        <v>239</v>
      </c>
      <c r="D442" t="s">
        <v>1058</v>
      </c>
      <c r="E442">
        <v>239</v>
      </c>
      <c r="F442" s="1">
        <v>45165</v>
      </c>
      <c r="G442" s="7">
        <v>10.583333333333281</v>
      </c>
      <c r="H442" s="10">
        <v>3.3879999999999999</v>
      </c>
      <c r="I442" s="9">
        <f t="shared" si="17"/>
        <v>-3.3879999999999999</v>
      </c>
    </row>
    <row r="443" spans="1:9" x14ac:dyDescent="0.2">
      <c r="A443" t="s">
        <v>1059</v>
      </c>
      <c r="B443">
        <v>4.7280000000000003E-2</v>
      </c>
      <c r="C443">
        <v>239</v>
      </c>
      <c r="D443" t="s">
        <v>1059</v>
      </c>
      <c r="E443">
        <v>239</v>
      </c>
      <c r="F443" s="1">
        <v>45165</v>
      </c>
      <c r="G443" s="7">
        <v>10.593749999999947</v>
      </c>
      <c r="H443" s="10">
        <v>3.3744999999999998</v>
      </c>
      <c r="I443" s="9">
        <f t="shared" si="17"/>
        <v>-3.3744999999999998</v>
      </c>
    </row>
    <row r="444" spans="1:9" x14ac:dyDescent="0.2">
      <c r="A444" t="s">
        <v>1060</v>
      </c>
      <c r="B444">
        <v>4.7085000000000002E-2</v>
      </c>
      <c r="C444">
        <v>239</v>
      </c>
      <c r="D444" t="s">
        <v>1060</v>
      </c>
      <c r="E444">
        <v>239</v>
      </c>
      <c r="F444" s="1">
        <v>45165</v>
      </c>
      <c r="G444" s="7">
        <v>10.604166666666613</v>
      </c>
      <c r="H444" s="10">
        <v>3.363</v>
      </c>
      <c r="I444" s="9">
        <f t="shared" si="17"/>
        <v>-3.363</v>
      </c>
    </row>
    <row r="445" spans="1:9" x14ac:dyDescent="0.2">
      <c r="A445" t="s">
        <v>1061</v>
      </c>
      <c r="B445">
        <v>4.6760000000000003E-2</v>
      </c>
      <c r="C445">
        <v>239</v>
      </c>
      <c r="D445" t="s">
        <v>1061</v>
      </c>
      <c r="E445">
        <v>239</v>
      </c>
      <c r="F445" s="1">
        <v>45165</v>
      </c>
      <c r="G445" s="7">
        <v>10.614583333333279</v>
      </c>
      <c r="H445" s="10">
        <v>3.3384999999999998</v>
      </c>
      <c r="I445" s="9">
        <f t="shared" si="17"/>
        <v>-3.3384999999999998</v>
      </c>
    </row>
    <row r="446" spans="1:9" x14ac:dyDescent="0.2">
      <c r="A446" t="s">
        <v>1062</v>
      </c>
      <c r="B446">
        <v>4.6550000000000001E-2</v>
      </c>
      <c r="C446">
        <v>239</v>
      </c>
      <c r="D446" t="s">
        <v>1062</v>
      </c>
      <c r="E446">
        <v>239</v>
      </c>
      <c r="F446" s="1">
        <v>45165</v>
      </c>
      <c r="G446" s="7">
        <v>10.624999999999945</v>
      </c>
      <c r="H446" s="10">
        <v>3.3235000000000001</v>
      </c>
      <c r="I446" s="9">
        <f t="shared" si="17"/>
        <v>-3.3235000000000001</v>
      </c>
    </row>
    <row r="447" spans="1:9" x14ac:dyDescent="0.2">
      <c r="A447" t="s">
        <v>1063</v>
      </c>
      <c r="B447">
        <v>4.6504999999999998E-2</v>
      </c>
      <c r="C447">
        <v>239</v>
      </c>
      <c r="D447" t="s">
        <v>1063</v>
      </c>
      <c r="E447">
        <v>239</v>
      </c>
      <c r="F447" s="1">
        <v>45165</v>
      </c>
      <c r="G447" s="7">
        <v>10.635416666666611</v>
      </c>
      <c r="H447" s="10">
        <v>3.3195000000000001</v>
      </c>
      <c r="I447" s="9">
        <f t="shared" si="17"/>
        <v>-3.3195000000000001</v>
      </c>
    </row>
    <row r="448" spans="1:9" x14ac:dyDescent="0.2">
      <c r="A448" t="s">
        <v>1064</v>
      </c>
      <c r="B448">
        <v>4.6304999999999999E-2</v>
      </c>
      <c r="C448">
        <v>239</v>
      </c>
      <c r="D448" t="s">
        <v>1064</v>
      </c>
      <c r="E448">
        <v>239</v>
      </c>
      <c r="F448" s="1">
        <v>45165</v>
      </c>
      <c r="G448" s="7">
        <v>10.645833333333277</v>
      </c>
      <c r="H448" s="10">
        <v>3.3045</v>
      </c>
      <c r="I448" s="9">
        <f t="shared" si="17"/>
        <v>-3.3045</v>
      </c>
    </row>
    <row r="449" spans="1:9" x14ac:dyDescent="0.2">
      <c r="A449" t="s">
        <v>1065</v>
      </c>
      <c r="B449">
        <v>4.6115000000000003E-2</v>
      </c>
      <c r="C449">
        <v>239</v>
      </c>
      <c r="D449" t="s">
        <v>1065</v>
      </c>
      <c r="E449">
        <v>239</v>
      </c>
      <c r="F449" s="1">
        <v>45165</v>
      </c>
      <c r="G449" s="7">
        <v>10.656249999999943</v>
      </c>
      <c r="H449" s="10">
        <v>3.2930000000000001</v>
      </c>
      <c r="I449" s="9">
        <f t="shared" si="17"/>
        <v>-3.2930000000000001</v>
      </c>
    </row>
    <row r="450" spans="1:9" x14ac:dyDescent="0.2">
      <c r="A450" t="s">
        <v>1066</v>
      </c>
      <c r="B450">
        <v>4.6015E-2</v>
      </c>
      <c r="C450">
        <v>239</v>
      </c>
      <c r="D450" t="s">
        <v>1066</v>
      </c>
      <c r="E450">
        <v>239</v>
      </c>
      <c r="F450" s="1">
        <v>45165</v>
      </c>
      <c r="G450" s="7">
        <v>10.666666666666609</v>
      </c>
      <c r="H450" s="10">
        <v>3.2854999999999999</v>
      </c>
      <c r="I450" s="9">
        <f t="shared" si="17"/>
        <v>-3.2854999999999999</v>
      </c>
    </row>
    <row r="451" spans="1:9" x14ac:dyDescent="0.2">
      <c r="A451" t="s">
        <v>1067</v>
      </c>
      <c r="B451">
        <v>4.6065000000000002E-2</v>
      </c>
      <c r="C451">
        <v>239</v>
      </c>
      <c r="D451" t="s">
        <v>1067</v>
      </c>
      <c r="E451">
        <v>239</v>
      </c>
      <c r="F451" s="1">
        <v>45165</v>
      </c>
      <c r="G451" s="7">
        <v>10.677083333333275</v>
      </c>
      <c r="H451" s="10">
        <v>3.2885</v>
      </c>
      <c r="I451" s="9">
        <f t="shared" ref="I451:I514" si="18">-H451</f>
        <v>-3.2885</v>
      </c>
    </row>
    <row r="452" spans="1:9" x14ac:dyDescent="0.2">
      <c r="A452" t="s">
        <v>1068</v>
      </c>
      <c r="B452">
        <v>4.6175000000000001E-2</v>
      </c>
      <c r="C452">
        <v>239</v>
      </c>
      <c r="D452" t="s">
        <v>1068</v>
      </c>
      <c r="E452">
        <v>239</v>
      </c>
      <c r="F452" s="1">
        <v>45165</v>
      </c>
      <c r="G452" s="7">
        <v>10.687499999999941</v>
      </c>
      <c r="H452" s="10">
        <v>3.2959999999999998</v>
      </c>
      <c r="I452" s="9">
        <f t="shared" si="18"/>
        <v>-3.2959999999999998</v>
      </c>
    </row>
    <row r="453" spans="1:9" x14ac:dyDescent="0.2">
      <c r="A453" t="s">
        <v>1069</v>
      </c>
      <c r="B453">
        <v>4.6390000000000001E-2</v>
      </c>
      <c r="C453">
        <v>239</v>
      </c>
      <c r="D453" t="s">
        <v>1069</v>
      </c>
      <c r="E453">
        <v>239</v>
      </c>
      <c r="F453" s="1">
        <v>45165</v>
      </c>
      <c r="G453" s="7">
        <v>10.697916666666607</v>
      </c>
      <c r="H453" s="10">
        <v>3.3094999999999999</v>
      </c>
      <c r="I453" s="9">
        <f t="shared" si="18"/>
        <v>-3.3094999999999999</v>
      </c>
    </row>
    <row r="454" spans="1:9" x14ac:dyDescent="0.2">
      <c r="A454" t="s">
        <v>1070</v>
      </c>
      <c r="B454">
        <v>4.6085000000000001E-2</v>
      </c>
      <c r="C454">
        <v>239</v>
      </c>
      <c r="D454" t="s">
        <v>1070</v>
      </c>
      <c r="E454">
        <v>239</v>
      </c>
      <c r="F454" s="1">
        <v>45165</v>
      </c>
      <c r="G454" s="7">
        <v>10.708333333333274</v>
      </c>
      <c r="H454" s="10" t="s">
        <v>1071</v>
      </c>
      <c r="I454" s="9">
        <f t="shared" si="18"/>
        <v>-3.29049999999999</v>
      </c>
    </row>
    <row r="455" spans="1:9" x14ac:dyDescent="0.2">
      <c r="A455" t="s">
        <v>1072</v>
      </c>
      <c r="B455">
        <v>4.6039999999999998E-2</v>
      </c>
      <c r="C455">
        <v>239</v>
      </c>
      <c r="D455" t="s">
        <v>1072</v>
      </c>
      <c r="E455">
        <v>239</v>
      </c>
      <c r="F455" s="1">
        <v>45165</v>
      </c>
      <c r="G455" s="7">
        <v>10.71874999999994</v>
      </c>
      <c r="H455" s="10" t="s">
        <v>1073</v>
      </c>
      <c r="I455" s="9">
        <f t="shared" si="18"/>
        <v>-3.28649999999999</v>
      </c>
    </row>
    <row r="456" spans="1:9" x14ac:dyDescent="0.2">
      <c r="A456" t="s">
        <v>1074</v>
      </c>
      <c r="B456">
        <v>4.6080000000000003E-2</v>
      </c>
      <c r="C456">
        <v>239</v>
      </c>
      <c r="D456" t="s">
        <v>1074</v>
      </c>
      <c r="E456">
        <v>239</v>
      </c>
      <c r="F456" s="1">
        <v>45165</v>
      </c>
      <c r="G456" s="7">
        <v>10.729166666666606</v>
      </c>
      <c r="H456" s="10">
        <v>3.29</v>
      </c>
      <c r="I456" s="9">
        <f t="shared" si="18"/>
        <v>-3.29</v>
      </c>
    </row>
    <row r="457" spans="1:9" x14ac:dyDescent="0.2">
      <c r="A457" t="s">
        <v>1075</v>
      </c>
      <c r="B457">
        <v>4.6405000000000002E-2</v>
      </c>
      <c r="C457">
        <v>239</v>
      </c>
      <c r="D457" t="s">
        <v>1075</v>
      </c>
      <c r="E457">
        <v>239</v>
      </c>
      <c r="F457" s="1">
        <v>45165</v>
      </c>
      <c r="G457" s="7">
        <v>10.739583333333272</v>
      </c>
      <c r="H457" s="10">
        <v>3.3125</v>
      </c>
      <c r="I457" s="9">
        <f t="shared" si="18"/>
        <v>-3.3125</v>
      </c>
    </row>
    <row r="458" spans="1:9" x14ac:dyDescent="0.2">
      <c r="A458" t="s">
        <v>1076</v>
      </c>
      <c r="B458">
        <v>4.6464999999999999E-2</v>
      </c>
      <c r="C458">
        <v>240</v>
      </c>
      <c r="D458" t="s">
        <v>1076</v>
      </c>
      <c r="E458">
        <v>239</v>
      </c>
      <c r="F458" s="1">
        <v>45165</v>
      </c>
      <c r="G458" s="7">
        <v>10.749999999999938</v>
      </c>
      <c r="H458" s="10">
        <v>3.3180000000000001</v>
      </c>
      <c r="I458" s="9">
        <f t="shared" si="18"/>
        <v>-3.3180000000000001</v>
      </c>
    </row>
    <row r="459" spans="1:9" x14ac:dyDescent="0.2">
      <c r="A459" t="s">
        <v>1077</v>
      </c>
      <c r="B459">
        <v>4.7230000000000001E-2</v>
      </c>
      <c r="C459">
        <v>240</v>
      </c>
      <c r="D459" t="s">
        <v>1077</v>
      </c>
      <c r="E459">
        <v>239</v>
      </c>
      <c r="F459" s="1">
        <v>45165</v>
      </c>
      <c r="G459" s="7">
        <v>10.760416666666604</v>
      </c>
      <c r="H459" s="10">
        <v>3.3734999999999999</v>
      </c>
      <c r="I459" s="9">
        <f t="shared" si="18"/>
        <v>-3.3734999999999999</v>
      </c>
    </row>
    <row r="460" spans="1:9" x14ac:dyDescent="0.2">
      <c r="A460" t="s">
        <v>1078</v>
      </c>
      <c r="B460">
        <v>4.6455000000000003E-2</v>
      </c>
      <c r="C460">
        <v>240</v>
      </c>
      <c r="D460" t="s">
        <v>1078</v>
      </c>
      <c r="E460">
        <v>239</v>
      </c>
      <c r="F460" s="1">
        <v>45165</v>
      </c>
      <c r="G460" s="7">
        <v>10.77083333333327</v>
      </c>
      <c r="H460" s="10">
        <v>3.3159999999999998</v>
      </c>
      <c r="I460" s="9">
        <f t="shared" si="18"/>
        <v>-3.3159999999999998</v>
      </c>
    </row>
    <row r="461" spans="1:9" x14ac:dyDescent="0.2">
      <c r="A461" t="s">
        <v>1079</v>
      </c>
      <c r="B461">
        <v>4.6670000000000003E-2</v>
      </c>
      <c r="C461">
        <v>240</v>
      </c>
      <c r="D461" t="s">
        <v>1079</v>
      </c>
      <c r="E461">
        <v>239</v>
      </c>
      <c r="F461" s="1">
        <v>45165</v>
      </c>
      <c r="G461" s="7">
        <v>10.781249999999936</v>
      </c>
      <c r="H461" s="10">
        <v>3.3315000000000001</v>
      </c>
      <c r="I461" s="9">
        <f t="shared" si="18"/>
        <v>-3.3315000000000001</v>
      </c>
    </row>
    <row r="462" spans="1:9" x14ac:dyDescent="0.2">
      <c r="A462" t="s">
        <v>1080</v>
      </c>
      <c r="B462">
        <v>4.7149999999999997E-2</v>
      </c>
      <c r="C462">
        <v>240</v>
      </c>
      <c r="D462" t="s">
        <v>1080</v>
      </c>
      <c r="E462">
        <v>239</v>
      </c>
      <c r="F462" s="1">
        <v>45165</v>
      </c>
      <c r="G462" s="7">
        <v>10.791666666666602</v>
      </c>
      <c r="H462" s="10">
        <v>3.3660000000000001</v>
      </c>
      <c r="I462" s="9">
        <f t="shared" si="18"/>
        <v>-3.3660000000000001</v>
      </c>
    </row>
    <row r="463" spans="1:9" x14ac:dyDescent="0.2">
      <c r="A463" t="s">
        <v>1081</v>
      </c>
      <c r="B463">
        <v>4.7030000000000002E-2</v>
      </c>
      <c r="C463">
        <v>240</v>
      </c>
      <c r="D463" t="s">
        <v>1081</v>
      </c>
      <c r="E463">
        <v>239</v>
      </c>
      <c r="F463" s="1">
        <v>45165</v>
      </c>
      <c r="G463" s="7">
        <v>10.802083333333268</v>
      </c>
      <c r="H463" s="10">
        <v>3.3580000000000001</v>
      </c>
      <c r="I463" s="9">
        <f t="shared" si="18"/>
        <v>-3.3580000000000001</v>
      </c>
    </row>
    <row r="464" spans="1:9" x14ac:dyDescent="0.2">
      <c r="A464" t="s">
        <v>1082</v>
      </c>
      <c r="B464">
        <v>4.6960000000000002E-2</v>
      </c>
      <c r="C464">
        <v>240</v>
      </c>
      <c r="D464" t="s">
        <v>1082</v>
      </c>
      <c r="E464">
        <v>239</v>
      </c>
      <c r="F464" s="1">
        <v>45165</v>
      </c>
      <c r="G464" s="7">
        <v>10.812499999999934</v>
      </c>
      <c r="H464" s="10">
        <v>3.3540000000000001</v>
      </c>
      <c r="I464" s="9">
        <f t="shared" si="18"/>
        <v>-3.3540000000000001</v>
      </c>
    </row>
    <row r="465" spans="1:9" x14ac:dyDescent="0.2">
      <c r="A465" t="s">
        <v>1083</v>
      </c>
      <c r="B465">
        <v>4.7305E-2</v>
      </c>
      <c r="C465">
        <v>240</v>
      </c>
      <c r="D465" t="s">
        <v>1083</v>
      </c>
      <c r="E465">
        <v>239</v>
      </c>
      <c r="F465" s="1">
        <v>45165</v>
      </c>
      <c r="G465" s="7">
        <v>10.8229166666666</v>
      </c>
      <c r="H465" s="10">
        <v>3.3780000000000001</v>
      </c>
      <c r="I465" s="9">
        <f t="shared" si="18"/>
        <v>-3.3780000000000001</v>
      </c>
    </row>
    <row r="466" spans="1:9" x14ac:dyDescent="0.2">
      <c r="A466" t="s">
        <v>1084</v>
      </c>
      <c r="B466">
        <v>4.7335000000000002E-2</v>
      </c>
      <c r="C466">
        <v>240</v>
      </c>
      <c r="D466" t="s">
        <v>1084</v>
      </c>
      <c r="E466">
        <v>239</v>
      </c>
      <c r="F466" s="1">
        <v>45165</v>
      </c>
      <c r="G466" s="7">
        <v>10.833333333333266</v>
      </c>
      <c r="H466" s="10">
        <v>3.38</v>
      </c>
      <c r="I466" s="9">
        <f t="shared" si="18"/>
        <v>-3.38</v>
      </c>
    </row>
    <row r="467" spans="1:9" x14ac:dyDescent="0.2">
      <c r="A467" t="s">
        <v>1085</v>
      </c>
      <c r="B467">
        <v>4.7285000000000001E-2</v>
      </c>
      <c r="C467">
        <v>240</v>
      </c>
      <c r="D467" t="s">
        <v>1085</v>
      </c>
      <c r="E467">
        <v>239</v>
      </c>
      <c r="F467" s="1">
        <v>45165</v>
      </c>
      <c r="G467" s="7">
        <v>10.843749999999932</v>
      </c>
      <c r="H467" s="10">
        <v>3.3765000000000001</v>
      </c>
      <c r="I467" s="9">
        <f t="shared" si="18"/>
        <v>-3.3765000000000001</v>
      </c>
    </row>
    <row r="468" spans="1:9" x14ac:dyDescent="0.2">
      <c r="A468" t="s">
        <v>1086</v>
      </c>
      <c r="B468">
        <v>4.7344999999999998E-2</v>
      </c>
      <c r="C468">
        <v>240</v>
      </c>
      <c r="D468" t="s">
        <v>1086</v>
      </c>
      <c r="E468">
        <v>239</v>
      </c>
      <c r="F468" s="1">
        <v>45165</v>
      </c>
      <c r="G468" s="7">
        <v>10.854166666666599</v>
      </c>
      <c r="H468" s="10">
        <v>3.3795000000000002</v>
      </c>
      <c r="I468" s="9">
        <f t="shared" si="18"/>
        <v>-3.3795000000000002</v>
      </c>
    </row>
    <row r="469" spans="1:9" x14ac:dyDescent="0.2">
      <c r="A469" t="s">
        <v>1087</v>
      </c>
      <c r="B469">
        <v>4.8105000000000002E-2</v>
      </c>
      <c r="C469">
        <v>240</v>
      </c>
      <c r="D469" t="s">
        <v>1087</v>
      </c>
      <c r="E469">
        <v>239</v>
      </c>
      <c r="F469" s="1">
        <v>45165</v>
      </c>
      <c r="G469" s="7">
        <v>10.864583333333265</v>
      </c>
      <c r="H469" s="10">
        <v>3.4344999999999999</v>
      </c>
      <c r="I469" s="9">
        <f t="shared" si="18"/>
        <v>-3.4344999999999999</v>
      </c>
    </row>
    <row r="470" spans="1:9" x14ac:dyDescent="0.2">
      <c r="A470" t="s">
        <v>1088</v>
      </c>
      <c r="B470">
        <v>4.8250000000000001E-2</v>
      </c>
      <c r="C470">
        <v>240</v>
      </c>
      <c r="D470" t="s">
        <v>1088</v>
      </c>
      <c r="E470">
        <v>239</v>
      </c>
      <c r="F470" s="1">
        <v>45165</v>
      </c>
      <c r="G470" s="7">
        <v>10.874999999999931</v>
      </c>
      <c r="H470" s="10">
        <v>3.4464999999999999</v>
      </c>
      <c r="I470" s="9">
        <f t="shared" si="18"/>
        <v>-3.4464999999999999</v>
      </c>
    </row>
    <row r="471" spans="1:9" x14ac:dyDescent="0.2">
      <c r="A471" t="s">
        <v>1089</v>
      </c>
      <c r="B471">
        <v>4.8680000000000001E-2</v>
      </c>
      <c r="C471">
        <v>240</v>
      </c>
      <c r="D471" t="s">
        <v>1089</v>
      </c>
      <c r="E471">
        <v>239</v>
      </c>
      <c r="F471" s="1">
        <v>45165</v>
      </c>
      <c r="G471" s="7">
        <v>10.885416666666597</v>
      </c>
      <c r="H471" s="10">
        <v>3.4744999999999999</v>
      </c>
      <c r="I471" s="9">
        <f t="shared" si="18"/>
        <v>-3.4744999999999999</v>
      </c>
    </row>
    <row r="472" spans="1:9" x14ac:dyDescent="0.2">
      <c r="A472" t="s">
        <v>1090</v>
      </c>
      <c r="B472" t="s">
        <v>1091</v>
      </c>
      <c r="C472">
        <v>240</v>
      </c>
      <c r="D472" t="s">
        <v>1090</v>
      </c>
      <c r="E472">
        <v>239</v>
      </c>
      <c r="F472" s="1">
        <v>45165</v>
      </c>
      <c r="G472" s="7">
        <v>10.895833333333263</v>
      </c>
      <c r="H472" s="10">
        <v>3.496</v>
      </c>
      <c r="I472" s="9">
        <f t="shared" si="18"/>
        <v>-3.496</v>
      </c>
    </row>
    <row r="473" spans="1:9" x14ac:dyDescent="0.2">
      <c r="A473" t="s">
        <v>1092</v>
      </c>
      <c r="B473">
        <v>4.9595E-2</v>
      </c>
      <c r="C473">
        <v>240</v>
      </c>
      <c r="D473" t="s">
        <v>1092</v>
      </c>
      <c r="E473">
        <v>239</v>
      </c>
      <c r="F473" s="1">
        <v>45165</v>
      </c>
      <c r="G473" s="7">
        <v>10.906249999999929</v>
      </c>
      <c r="H473" s="10">
        <v>3.54</v>
      </c>
      <c r="I473" s="9">
        <f t="shared" si="18"/>
        <v>-3.54</v>
      </c>
    </row>
    <row r="474" spans="1:9" x14ac:dyDescent="0.2">
      <c r="A474" t="s">
        <v>1093</v>
      </c>
      <c r="B474">
        <v>5.0314999999999999E-2</v>
      </c>
      <c r="C474">
        <v>240</v>
      </c>
      <c r="D474" t="s">
        <v>1093</v>
      </c>
      <c r="E474">
        <v>239</v>
      </c>
      <c r="F474" s="1">
        <v>45165</v>
      </c>
      <c r="G474" s="7">
        <v>10.916666666666595</v>
      </c>
      <c r="H474" s="10">
        <v>3.5905</v>
      </c>
      <c r="I474" s="9">
        <f t="shared" si="18"/>
        <v>-3.5905</v>
      </c>
    </row>
    <row r="475" spans="1:9" x14ac:dyDescent="0.2">
      <c r="A475" t="s">
        <v>1094</v>
      </c>
      <c r="B475" t="s">
        <v>1095</v>
      </c>
      <c r="C475">
        <v>240</v>
      </c>
      <c r="D475" t="s">
        <v>1094</v>
      </c>
      <c r="E475">
        <v>239</v>
      </c>
      <c r="F475" s="1">
        <v>45165</v>
      </c>
      <c r="G475" s="7">
        <v>10.927083333333261</v>
      </c>
      <c r="H475" s="10">
        <v>3.5434999999999999</v>
      </c>
      <c r="I475" s="9">
        <f t="shared" si="18"/>
        <v>-3.5434999999999999</v>
      </c>
    </row>
    <row r="476" spans="1:9" x14ac:dyDescent="0.2">
      <c r="A476" t="s">
        <v>1096</v>
      </c>
      <c r="B476">
        <v>5.2260000000000001E-2</v>
      </c>
      <c r="C476">
        <v>240</v>
      </c>
      <c r="D476" t="s">
        <v>1096</v>
      </c>
      <c r="E476">
        <v>239</v>
      </c>
      <c r="F476" s="1">
        <v>45165</v>
      </c>
      <c r="G476" s="7">
        <v>10.937499999999927</v>
      </c>
      <c r="H476" s="10">
        <v>3.7305000000000001</v>
      </c>
      <c r="I476" s="9">
        <f t="shared" si="18"/>
        <v>-3.7305000000000001</v>
      </c>
    </row>
    <row r="477" spans="1:9" x14ac:dyDescent="0.2">
      <c r="A477" t="s">
        <v>1097</v>
      </c>
      <c r="B477">
        <v>5.2925E-2</v>
      </c>
      <c r="C477">
        <v>240</v>
      </c>
      <c r="D477" t="s">
        <v>1097</v>
      </c>
      <c r="E477">
        <v>239</v>
      </c>
      <c r="F477" s="1">
        <v>45165</v>
      </c>
      <c r="G477" s="7">
        <v>10.947916666666593</v>
      </c>
      <c r="H477" s="10">
        <v>3.778</v>
      </c>
      <c r="I477" s="9">
        <f t="shared" si="18"/>
        <v>-3.778</v>
      </c>
    </row>
    <row r="478" spans="1:9" x14ac:dyDescent="0.2">
      <c r="A478" t="s">
        <v>1098</v>
      </c>
      <c r="B478">
        <v>5.3859999999999998E-2</v>
      </c>
      <c r="C478">
        <v>240</v>
      </c>
      <c r="D478" t="s">
        <v>1098</v>
      </c>
      <c r="E478">
        <v>239</v>
      </c>
      <c r="F478" s="1">
        <v>45165</v>
      </c>
      <c r="G478" s="7">
        <v>10.958333333333259</v>
      </c>
      <c r="H478" s="10">
        <v>3.8464999999999998</v>
      </c>
      <c r="I478" s="9">
        <f t="shared" si="18"/>
        <v>-3.8464999999999998</v>
      </c>
    </row>
    <row r="479" spans="1:9" x14ac:dyDescent="0.2">
      <c r="A479" t="s">
        <v>1099</v>
      </c>
      <c r="B479">
        <v>5.4339999999999999E-2</v>
      </c>
      <c r="C479">
        <v>240</v>
      </c>
      <c r="D479" t="s">
        <v>1099</v>
      </c>
      <c r="E479">
        <v>239</v>
      </c>
      <c r="F479" s="1">
        <v>45165</v>
      </c>
      <c r="G479" s="7">
        <v>10.968749999999925</v>
      </c>
      <c r="H479" s="10">
        <v>3.8795000000000002</v>
      </c>
      <c r="I479" s="9">
        <f t="shared" si="18"/>
        <v>-3.8795000000000002</v>
      </c>
    </row>
    <row r="480" spans="1:9" x14ac:dyDescent="0.2">
      <c r="A480" t="s">
        <v>1100</v>
      </c>
      <c r="B480">
        <v>5.5039999999999999E-2</v>
      </c>
      <c r="C480">
        <v>240</v>
      </c>
      <c r="D480" t="s">
        <v>1100</v>
      </c>
      <c r="E480">
        <v>239</v>
      </c>
      <c r="F480" s="1">
        <v>45165</v>
      </c>
      <c r="G480" s="7">
        <v>10.979166666666591</v>
      </c>
      <c r="H480" s="10">
        <v>3.9285000000000001</v>
      </c>
      <c r="I480" s="9">
        <f t="shared" si="18"/>
        <v>-3.9285000000000001</v>
      </c>
    </row>
    <row r="481" spans="1:9" x14ac:dyDescent="0.2">
      <c r="A481" t="s">
        <v>1101</v>
      </c>
      <c r="B481">
        <v>5.5989999999999998E-2</v>
      </c>
      <c r="C481">
        <v>240</v>
      </c>
      <c r="D481" t="s">
        <v>1101</v>
      </c>
      <c r="E481">
        <v>239</v>
      </c>
      <c r="F481" s="1">
        <v>45165</v>
      </c>
      <c r="G481" s="7">
        <v>10.989583333333258</v>
      </c>
      <c r="H481" s="10">
        <v>3.9975000000000001</v>
      </c>
      <c r="I481" s="9">
        <f t="shared" si="18"/>
        <v>-3.9975000000000001</v>
      </c>
    </row>
    <row r="482" spans="1:9" x14ac:dyDescent="0.2">
      <c r="A482" t="s">
        <v>1102</v>
      </c>
      <c r="B482">
        <v>5.6335000000000003E-2</v>
      </c>
      <c r="C482">
        <v>240</v>
      </c>
      <c r="D482" t="s">
        <v>1102</v>
      </c>
      <c r="E482">
        <v>240</v>
      </c>
      <c r="F482" s="1">
        <v>45166</v>
      </c>
      <c r="G482" s="7">
        <v>10.999999999999924</v>
      </c>
      <c r="H482" s="10">
        <v>4.0214999999999996</v>
      </c>
      <c r="I482" s="9">
        <f t="shared" si="18"/>
        <v>-4.0214999999999996</v>
      </c>
    </row>
    <row r="483" spans="1:9" x14ac:dyDescent="0.2">
      <c r="A483" t="s">
        <v>1103</v>
      </c>
      <c r="B483">
        <v>5.6945000000000003E-2</v>
      </c>
      <c r="C483">
        <v>240</v>
      </c>
      <c r="D483" t="s">
        <v>1103</v>
      </c>
      <c r="E483">
        <v>240</v>
      </c>
      <c r="F483" s="1">
        <v>45166</v>
      </c>
      <c r="G483" s="7">
        <v>11.01041666666659</v>
      </c>
      <c r="H483" s="10" t="s">
        <v>1104</v>
      </c>
      <c r="I483" s="9">
        <f t="shared" si="18"/>
        <v>-4.0649999999999897</v>
      </c>
    </row>
    <row r="484" spans="1:9" x14ac:dyDescent="0.2">
      <c r="A484" t="s">
        <v>1105</v>
      </c>
      <c r="B484">
        <v>5.6724999999999998E-2</v>
      </c>
      <c r="C484">
        <v>240</v>
      </c>
      <c r="D484" t="s">
        <v>1105</v>
      </c>
      <c r="E484">
        <v>240</v>
      </c>
      <c r="F484" s="1">
        <v>45166</v>
      </c>
      <c r="G484" s="7">
        <v>11.020833333333256</v>
      </c>
      <c r="H484" s="10">
        <v>4.0495000000000001</v>
      </c>
      <c r="I484" s="9">
        <f t="shared" si="18"/>
        <v>-4.0495000000000001</v>
      </c>
    </row>
    <row r="485" spans="1:9" x14ac:dyDescent="0.2">
      <c r="A485" t="s">
        <v>1106</v>
      </c>
      <c r="B485">
        <v>5.7369999999999997E-2</v>
      </c>
      <c r="C485">
        <v>240</v>
      </c>
      <c r="D485" t="s">
        <v>1106</v>
      </c>
      <c r="E485">
        <v>240</v>
      </c>
      <c r="F485" s="1">
        <v>45166</v>
      </c>
      <c r="G485" s="7">
        <v>11.031249999999922</v>
      </c>
      <c r="H485" s="10">
        <v>4.0960000000000001</v>
      </c>
      <c r="I485" s="9">
        <f t="shared" si="18"/>
        <v>-4.0960000000000001</v>
      </c>
    </row>
    <row r="486" spans="1:9" x14ac:dyDescent="0.2">
      <c r="A486" t="s">
        <v>1107</v>
      </c>
      <c r="B486">
        <v>5.7235000000000001E-2</v>
      </c>
      <c r="C486">
        <v>240</v>
      </c>
      <c r="D486" t="s">
        <v>1107</v>
      </c>
      <c r="E486">
        <v>240</v>
      </c>
      <c r="F486" s="1">
        <v>45166</v>
      </c>
      <c r="G486" s="7">
        <v>11.041666666666588</v>
      </c>
      <c r="H486" s="10">
        <v>4.0869999999999997</v>
      </c>
      <c r="I486" s="9">
        <f t="shared" si="18"/>
        <v>-4.0869999999999997</v>
      </c>
    </row>
    <row r="487" spans="1:9" x14ac:dyDescent="0.2">
      <c r="A487" t="s">
        <v>1108</v>
      </c>
      <c r="B487">
        <v>5.7384999999999999E-2</v>
      </c>
      <c r="C487">
        <v>240</v>
      </c>
      <c r="D487" t="s">
        <v>1108</v>
      </c>
      <c r="E487">
        <v>240</v>
      </c>
      <c r="F487" s="1">
        <v>45166</v>
      </c>
      <c r="G487" s="7">
        <v>11.052083333333254</v>
      </c>
      <c r="H487" s="10" t="s">
        <v>1109</v>
      </c>
      <c r="I487" s="9">
        <f t="shared" si="18"/>
        <v>-4.0969999999999898</v>
      </c>
    </row>
    <row r="488" spans="1:9" x14ac:dyDescent="0.2">
      <c r="A488" t="s">
        <v>1110</v>
      </c>
      <c r="B488">
        <v>5.7680000000000002E-2</v>
      </c>
      <c r="C488">
        <v>240</v>
      </c>
      <c r="D488" t="s">
        <v>1110</v>
      </c>
      <c r="E488">
        <v>240</v>
      </c>
      <c r="F488" s="1">
        <v>45166</v>
      </c>
      <c r="G488" s="7">
        <v>11.06249999999992</v>
      </c>
      <c r="H488" s="10">
        <v>4.1185</v>
      </c>
      <c r="I488" s="9">
        <f t="shared" si="18"/>
        <v>-4.1185</v>
      </c>
    </row>
    <row r="489" spans="1:9" x14ac:dyDescent="0.2">
      <c r="A489" t="s">
        <v>1111</v>
      </c>
      <c r="B489" t="s">
        <v>1112</v>
      </c>
      <c r="C489">
        <v>240</v>
      </c>
      <c r="D489" t="s">
        <v>1111</v>
      </c>
      <c r="E489">
        <v>240</v>
      </c>
      <c r="F489" s="1">
        <v>45166</v>
      </c>
      <c r="G489" s="7">
        <v>11.072916666666586</v>
      </c>
      <c r="H489" s="10">
        <v>4.13</v>
      </c>
      <c r="I489" s="9">
        <f t="shared" si="18"/>
        <v>-4.13</v>
      </c>
    </row>
    <row r="490" spans="1:9" x14ac:dyDescent="0.2">
      <c r="A490" t="s">
        <v>1113</v>
      </c>
      <c r="B490">
        <v>5.79E-2</v>
      </c>
      <c r="C490">
        <v>240</v>
      </c>
      <c r="D490" t="s">
        <v>1113</v>
      </c>
      <c r="E490">
        <v>240</v>
      </c>
      <c r="F490" s="1">
        <v>45166</v>
      </c>
      <c r="G490" s="7">
        <v>11.083333333333252</v>
      </c>
      <c r="H490" s="10">
        <v>4.1360000000000001</v>
      </c>
      <c r="I490" s="9">
        <f t="shared" si="18"/>
        <v>-4.1360000000000001</v>
      </c>
    </row>
    <row r="491" spans="1:9" x14ac:dyDescent="0.2">
      <c r="A491" t="s">
        <v>1114</v>
      </c>
      <c r="B491">
        <v>5.7829999999999999E-2</v>
      </c>
      <c r="C491">
        <v>240</v>
      </c>
      <c r="D491" t="s">
        <v>1114</v>
      </c>
      <c r="E491">
        <v>240</v>
      </c>
      <c r="F491" s="1">
        <v>45166</v>
      </c>
      <c r="G491" s="7">
        <v>11.093749999999918</v>
      </c>
      <c r="H491" s="10" t="s">
        <v>1003</v>
      </c>
      <c r="I491" s="9">
        <f t="shared" si="18"/>
        <v>-4.1289999999999996</v>
      </c>
    </row>
    <row r="492" spans="1:9" x14ac:dyDescent="0.2">
      <c r="A492" t="s">
        <v>1115</v>
      </c>
      <c r="B492">
        <v>5.8029999999999998E-2</v>
      </c>
      <c r="C492">
        <v>240</v>
      </c>
      <c r="D492" t="s">
        <v>1115</v>
      </c>
      <c r="E492">
        <v>240</v>
      </c>
      <c r="F492" s="1">
        <v>45166</v>
      </c>
      <c r="G492" s="7">
        <v>11.104166666666584</v>
      </c>
      <c r="H492" s="10">
        <v>4.1444999999999999</v>
      </c>
      <c r="I492" s="9">
        <f t="shared" si="18"/>
        <v>-4.1444999999999999</v>
      </c>
    </row>
    <row r="493" spans="1:9" x14ac:dyDescent="0.2">
      <c r="A493" t="s">
        <v>1116</v>
      </c>
      <c r="B493">
        <v>5.8090000000000003E-2</v>
      </c>
      <c r="C493">
        <v>240</v>
      </c>
      <c r="D493" t="s">
        <v>1116</v>
      </c>
      <c r="E493">
        <v>240</v>
      </c>
      <c r="F493" s="1">
        <v>45166</v>
      </c>
      <c r="G493" s="7">
        <v>11.11458333333325</v>
      </c>
      <c r="H493" s="10" t="s">
        <v>1117</v>
      </c>
      <c r="I493" s="9">
        <f t="shared" si="18"/>
        <v>-4.1464999999999996</v>
      </c>
    </row>
    <row r="494" spans="1:9" x14ac:dyDescent="0.2">
      <c r="A494" t="s">
        <v>1118</v>
      </c>
      <c r="B494">
        <v>5.8025E-2</v>
      </c>
      <c r="C494">
        <v>240</v>
      </c>
      <c r="D494" t="s">
        <v>1118</v>
      </c>
      <c r="E494">
        <v>240</v>
      </c>
      <c r="F494" s="1">
        <v>45166</v>
      </c>
      <c r="G494" s="7">
        <v>11.124999999999917</v>
      </c>
      <c r="H494" s="10">
        <v>4.1429999999999998</v>
      </c>
      <c r="I494" s="9">
        <f t="shared" si="18"/>
        <v>-4.1429999999999998</v>
      </c>
    </row>
    <row r="495" spans="1:9" x14ac:dyDescent="0.2">
      <c r="A495" t="s">
        <v>1119</v>
      </c>
      <c r="B495">
        <v>5.8169999999999999E-2</v>
      </c>
      <c r="C495">
        <v>240</v>
      </c>
      <c r="D495" t="s">
        <v>1119</v>
      </c>
      <c r="E495">
        <v>240</v>
      </c>
      <c r="F495" s="1">
        <v>45166</v>
      </c>
      <c r="G495" s="7">
        <v>11.135416666666583</v>
      </c>
      <c r="H495" s="10">
        <v>4.1524999999999999</v>
      </c>
      <c r="I495" s="9">
        <f t="shared" si="18"/>
        <v>-4.1524999999999999</v>
      </c>
    </row>
    <row r="496" spans="1:9" x14ac:dyDescent="0.2">
      <c r="A496" t="s">
        <v>1120</v>
      </c>
      <c r="B496" t="s">
        <v>1121</v>
      </c>
      <c r="C496">
        <v>240</v>
      </c>
      <c r="D496" t="s">
        <v>1120</v>
      </c>
      <c r="E496">
        <v>240</v>
      </c>
      <c r="F496" s="1">
        <v>45166</v>
      </c>
      <c r="G496" s="7">
        <v>11.145833333333249</v>
      </c>
      <c r="H496" s="10">
        <v>4.1479999999999997</v>
      </c>
      <c r="I496" s="9">
        <f t="shared" si="18"/>
        <v>-4.1479999999999997</v>
      </c>
    </row>
    <row r="497" spans="1:9" x14ac:dyDescent="0.2">
      <c r="A497" t="s">
        <v>1122</v>
      </c>
      <c r="B497">
        <v>5.7945000000000003E-2</v>
      </c>
      <c r="C497">
        <v>240</v>
      </c>
      <c r="D497" t="s">
        <v>1122</v>
      </c>
      <c r="E497">
        <v>240</v>
      </c>
      <c r="F497" s="1">
        <v>45166</v>
      </c>
      <c r="G497" s="7">
        <v>11.156249999999915</v>
      </c>
      <c r="H497" s="10" t="s">
        <v>1123</v>
      </c>
      <c r="I497" s="9">
        <f t="shared" si="18"/>
        <v>-4.1354999999999897</v>
      </c>
    </row>
    <row r="498" spans="1:9" x14ac:dyDescent="0.2">
      <c r="A498" t="s">
        <v>1124</v>
      </c>
      <c r="B498">
        <v>5.8104999999999997E-2</v>
      </c>
      <c r="C498">
        <v>240</v>
      </c>
      <c r="D498" t="s">
        <v>1124</v>
      </c>
      <c r="E498">
        <v>240</v>
      </c>
      <c r="F498" s="1">
        <v>45166</v>
      </c>
      <c r="G498" s="7">
        <v>11.166666666666581</v>
      </c>
      <c r="H498" s="10">
        <v>4.1479999999999997</v>
      </c>
      <c r="I498" s="9">
        <f t="shared" si="18"/>
        <v>-4.1479999999999997</v>
      </c>
    </row>
    <row r="499" spans="1:9" x14ac:dyDescent="0.2">
      <c r="A499" t="s">
        <v>1125</v>
      </c>
      <c r="B499">
        <v>5.7880000000000001E-2</v>
      </c>
      <c r="C499">
        <v>240</v>
      </c>
      <c r="D499" t="s">
        <v>1125</v>
      </c>
      <c r="E499">
        <v>240</v>
      </c>
      <c r="F499" s="1">
        <v>45166</v>
      </c>
      <c r="G499" s="7">
        <v>11.177083333333247</v>
      </c>
      <c r="H499" s="10">
        <v>4.1334999999999997</v>
      </c>
      <c r="I499" s="9">
        <f t="shared" si="18"/>
        <v>-4.1334999999999997</v>
      </c>
    </row>
    <row r="500" spans="1:9" x14ac:dyDescent="0.2">
      <c r="A500" t="s">
        <v>1126</v>
      </c>
      <c r="B500">
        <v>5.7630000000000001E-2</v>
      </c>
      <c r="C500">
        <v>240</v>
      </c>
      <c r="D500" t="s">
        <v>1126</v>
      </c>
      <c r="E500">
        <v>240</v>
      </c>
      <c r="F500" s="1">
        <v>45166</v>
      </c>
      <c r="G500" s="7">
        <v>11.187499999999913</v>
      </c>
      <c r="H500" s="10">
        <v>4.1139999999999999</v>
      </c>
      <c r="I500" s="9">
        <f t="shared" si="18"/>
        <v>-4.1139999999999999</v>
      </c>
    </row>
    <row r="501" spans="1:9" x14ac:dyDescent="0.2">
      <c r="A501" t="s">
        <v>1127</v>
      </c>
      <c r="B501">
        <v>5.8110000000000002E-2</v>
      </c>
      <c r="C501">
        <v>240</v>
      </c>
      <c r="D501" t="s">
        <v>1127</v>
      </c>
      <c r="E501">
        <v>240</v>
      </c>
      <c r="F501" s="1">
        <v>45166</v>
      </c>
      <c r="G501" s="7">
        <v>11.197916666666579</v>
      </c>
      <c r="H501" s="10">
        <v>4.1485000000000003</v>
      </c>
      <c r="I501" s="9">
        <f t="shared" si="18"/>
        <v>-4.1485000000000003</v>
      </c>
    </row>
    <row r="502" spans="1:9" x14ac:dyDescent="0.2">
      <c r="A502" t="s">
        <v>1128</v>
      </c>
      <c r="B502">
        <v>5.8009999999999999E-2</v>
      </c>
      <c r="C502">
        <v>240</v>
      </c>
      <c r="D502" t="s">
        <v>1128</v>
      </c>
      <c r="E502">
        <v>240</v>
      </c>
      <c r="F502" s="1">
        <v>45166</v>
      </c>
      <c r="G502" s="7">
        <v>11.208333333333245</v>
      </c>
      <c r="H502" s="10">
        <v>4.1414999999999997</v>
      </c>
      <c r="I502" s="9">
        <f t="shared" si="18"/>
        <v>-4.1414999999999997</v>
      </c>
    </row>
    <row r="503" spans="1:9" x14ac:dyDescent="0.2">
      <c r="A503" t="s">
        <v>1129</v>
      </c>
      <c r="B503" t="s">
        <v>1130</v>
      </c>
      <c r="C503">
        <v>240</v>
      </c>
      <c r="D503" t="s">
        <v>1129</v>
      </c>
      <c r="E503">
        <v>240</v>
      </c>
      <c r="F503" s="1">
        <v>45166</v>
      </c>
      <c r="G503" s="7">
        <v>11.218749999999911</v>
      </c>
      <c r="H503" s="10">
        <v>4.1369999999999996</v>
      </c>
      <c r="I503" s="9">
        <f t="shared" si="18"/>
        <v>-4.1369999999999996</v>
      </c>
    </row>
    <row r="504" spans="1:9" x14ac:dyDescent="0.2">
      <c r="A504" t="s">
        <v>1131</v>
      </c>
      <c r="B504">
        <v>5.7970000000000001E-2</v>
      </c>
      <c r="C504">
        <v>240</v>
      </c>
      <c r="D504" t="s">
        <v>1131</v>
      </c>
      <c r="E504">
        <v>240</v>
      </c>
      <c r="F504" s="1">
        <v>45166</v>
      </c>
      <c r="G504" s="7">
        <v>11.229166666666577</v>
      </c>
      <c r="H504" s="10" t="s">
        <v>1132</v>
      </c>
      <c r="I504" s="9">
        <f t="shared" si="18"/>
        <v>-4.1384999999999996</v>
      </c>
    </row>
    <row r="505" spans="1:9" x14ac:dyDescent="0.2">
      <c r="A505" t="s">
        <v>1133</v>
      </c>
      <c r="B505" t="s">
        <v>1130</v>
      </c>
      <c r="C505">
        <v>240</v>
      </c>
      <c r="D505" t="s">
        <v>1133</v>
      </c>
      <c r="E505">
        <v>240</v>
      </c>
      <c r="F505" s="1">
        <v>45166</v>
      </c>
      <c r="G505" s="7">
        <v>11.239583333333243</v>
      </c>
      <c r="H505" s="10">
        <v>4.1375000000000002</v>
      </c>
      <c r="I505" s="9">
        <f t="shared" si="18"/>
        <v>-4.1375000000000002</v>
      </c>
    </row>
    <row r="506" spans="1:9" x14ac:dyDescent="0.2">
      <c r="A506" t="s">
        <v>1134</v>
      </c>
      <c r="B506">
        <v>5.7715000000000002E-2</v>
      </c>
      <c r="C506">
        <v>240</v>
      </c>
      <c r="D506" t="s">
        <v>1134</v>
      </c>
      <c r="E506">
        <v>240</v>
      </c>
      <c r="F506" s="1">
        <v>45166</v>
      </c>
      <c r="G506" s="7">
        <v>11.249999999999909</v>
      </c>
      <c r="H506" s="10">
        <v>4.12</v>
      </c>
      <c r="I506" s="9">
        <f t="shared" si="18"/>
        <v>-4.12</v>
      </c>
    </row>
    <row r="507" spans="1:9" x14ac:dyDescent="0.2">
      <c r="A507" t="s">
        <v>1135</v>
      </c>
      <c r="B507">
        <v>5.7974999999999999E-2</v>
      </c>
      <c r="C507">
        <v>240</v>
      </c>
      <c r="D507" t="s">
        <v>1135</v>
      </c>
      <c r="E507">
        <v>240</v>
      </c>
      <c r="F507" s="1">
        <v>45166</v>
      </c>
      <c r="G507" s="7">
        <v>11.260416666666575</v>
      </c>
      <c r="H507" s="10">
        <v>4.1395</v>
      </c>
      <c r="I507" s="9">
        <f t="shared" si="18"/>
        <v>-4.1395</v>
      </c>
    </row>
    <row r="508" spans="1:9" x14ac:dyDescent="0.2">
      <c r="A508" t="s">
        <v>1136</v>
      </c>
      <c r="B508">
        <v>5.8090000000000003E-2</v>
      </c>
      <c r="C508">
        <v>240</v>
      </c>
      <c r="D508" t="s">
        <v>1136</v>
      </c>
      <c r="E508">
        <v>240</v>
      </c>
      <c r="F508" s="1">
        <v>45166</v>
      </c>
      <c r="G508" s="7">
        <v>11.270833333333242</v>
      </c>
      <c r="H508" s="10">
        <v>4.1485000000000003</v>
      </c>
      <c r="I508" s="9">
        <f t="shared" si="18"/>
        <v>-4.1485000000000003</v>
      </c>
    </row>
    <row r="509" spans="1:9" x14ac:dyDescent="0.2">
      <c r="A509" t="s">
        <v>1137</v>
      </c>
      <c r="B509">
        <v>5.7919999999999999E-2</v>
      </c>
      <c r="C509">
        <v>240</v>
      </c>
      <c r="D509" t="s">
        <v>1137</v>
      </c>
      <c r="E509">
        <v>240</v>
      </c>
      <c r="F509" s="1">
        <v>45166</v>
      </c>
      <c r="G509" s="7">
        <v>11.281249999999908</v>
      </c>
      <c r="H509" s="10">
        <v>4.1364999999999998</v>
      </c>
      <c r="I509" s="9">
        <f t="shared" si="18"/>
        <v>-4.1364999999999998</v>
      </c>
    </row>
    <row r="510" spans="1:9" x14ac:dyDescent="0.2">
      <c r="A510" t="s">
        <v>1138</v>
      </c>
      <c r="B510">
        <v>5.7494999999999997E-2</v>
      </c>
      <c r="C510">
        <v>240</v>
      </c>
      <c r="D510" t="s">
        <v>1138</v>
      </c>
      <c r="E510">
        <v>240</v>
      </c>
      <c r="F510" s="1">
        <v>45166</v>
      </c>
      <c r="G510" s="7">
        <v>11.291666666666574</v>
      </c>
      <c r="H510" s="10">
        <v>4.1044999999999998</v>
      </c>
      <c r="I510" s="9">
        <f t="shared" si="18"/>
        <v>-4.1044999999999998</v>
      </c>
    </row>
    <row r="511" spans="1:9" x14ac:dyDescent="0.2">
      <c r="A511" t="s">
        <v>1139</v>
      </c>
      <c r="B511">
        <v>5.7540000000000001E-2</v>
      </c>
      <c r="C511">
        <v>240</v>
      </c>
      <c r="D511" t="s">
        <v>1139</v>
      </c>
      <c r="E511">
        <v>240</v>
      </c>
      <c r="F511" s="1">
        <v>45166</v>
      </c>
      <c r="G511" s="7">
        <v>11.30208333333324</v>
      </c>
      <c r="H511" s="10">
        <v>4.1079999999999997</v>
      </c>
      <c r="I511" s="9">
        <f t="shared" si="18"/>
        <v>-4.1079999999999997</v>
      </c>
    </row>
    <row r="512" spans="1:9" x14ac:dyDescent="0.2">
      <c r="A512" t="s">
        <v>1140</v>
      </c>
      <c r="B512">
        <v>5.7389999999999997E-2</v>
      </c>
      <c r="C512">
        <v>240</v>
      </c>
      <c r="D512" t="s">
        <v>1140</v>
      </c>
      <c r="E512">
        <v>240</v>
      </c>
      <c r="F512" s="1">
        <v>45166</v>
      </c>
      <c r="G512" s="7">
        <v>11.312499999999906</v>
      </c>
      <c r="H512" s="10">
        <v>4.0960000000000001</v>
      </c>
      <c r="I512" s="9">
        <f t="shared" si="18"/>
        <v>-4.0960000000000001</v>
      </c>
    </row>
    <row r="513" spans="1:9" x14ac:dyDescent="0.2">
      <c r="A513" t="s">
        <v>1141</v>
      </c>
      <c r="B513">
        <v>5.7244999999999997E-2</v>
      </c>
      <c r="C513">
        <v>240</v>
      </c>
      <c r="D513" t="s">
        <v>1141</v>
      </c>
      <c r="E513">
        <v>240</v>
      </c>
      <c r="F513" s="1">
        <v>45166</v>
      </c>
      <c r="G513" s="7">
        <v>11.322916666666572</v>
      </c>
      <c r="H513" s="10">
        <v>4.0880000000000001</v>
      </c>
      <c r="I513" s="9">
        <f t="shared" si="18"/>
        <v>-4.0880000000000001</v>
      </c>
    </row>
    <row r="514" spans="1:9" x14ac:dyDescent="0.2">
      <c r="A514" t="s">
        <v>1142</v>
      </c>
      <c r="B514">
        <v>5.7009999999999998E-2</v>
      </c>
      <c r="C514">
        <v>240</v>
      </c>
      <c r="D514" t="s">
        <v>1142</v>
      </c>
      <c r="E514">
        <v>240</v>
      </c>
      <c r="F514" s="1">
        <v>45166</v>
      </c>
      <c r="G514" s="7">
        <v>11.333333333333238</v>
      </c>
      <c r="H514" s="10">
        <v>4.0694999999999997</v>
      </c>
      <c r="I514" s="9">
        <f t="shared" si="18"/>
        <v>-4.0694999999999997</v>
      </c>
    </row>
    <row r="515" spans="1:9" x14ac:dyDescent="0.2">
      <c r="A515" t="s">
        <v>1143</v>
      </c>
      <c r="B515">
        <v>5.6845E-2</v>
      </c>
      <c r="C515">
        <v>240</v>
      </c>
      <c r="D515" t="s">
        <v>1143</v>
      </c>
      <c r="E515">
        <v>240</v>
      </c>
      <c r="F515" s="1">
        <v>45166</v>
      </c>
      <c r="G515" s="7">
        <v>11.343749999999904</v>
      </c>
      <c r="H515" s="10">
        <v>4.0575000000000001</v>
      </c>
      <c r="I515" s="9">
        <f t="shared" ref="I515:I578" si="19">-H515</f>
        <v>-4.0575000000000001</v>
      </c>
    </row>
    <row r="516" spans="1:9" x14ac:dyDescent="0.2">
      <c r="A516" t="s">
        <v>1144</v>
      </c>
      <c r="B516">
        <v>5.6640000000000003E-2</v>
      </c>
      <c r="C516">
        <v>240</v>
      </c>
      <c r="D516" t="s">
        <v>1144</v>
      </c>
      <c r="E516">
        <v>240</v>
      </c>
      <c r="F516" s="1">
        <v>45166</v>
      </c>
      <c r="G516" s="7">
        <v>11.35416666666657</v>
      </c>
      <c r="H516" s="10">
        <v>4.0439999999999996</v>
      </c>
      <c r="I516" s="9">
        <f t="shared" si="19"/>
        <v>-4.0439999999999996</v>
      </c>
    </row>
    <row r="517" spans="1:9" x14ac:dyDescent="0.2">
      <c r="A517" t="s">
        <v>1145</v>
      </c>
      <c r="B517">
        <v>5.5675000000000002E-2</v>
      </c>
      <c r="C517">
        <v>240</v>
      </c>
      <c r="D517" t="s">
        <v>1145</v>
      </c>
      <c r="E517">
        <v>240</v>
      </c>
      <c r="F517" s="1">
        <v>45166</v>
      </c>
      <c r="G517" s="7">
        <v>11.364583333333236</v>
      </c>
      <c r="H517" s="10">
        <v>3.9744999999999999</v>
      </c>
      <c r="I517" s="9">
        <f t="shared" si="19"/>
        <v>-3.9744999999999999</v>
      </c>
    </row>
    <row r="518" spans="1:9" x14ac:dyDescent="0.2">
      <c r="A518" t="s">
        <v>1146</v>
      </c>
      <c r="B518">
        <v>5.5590000000000001E-2</v>
      </c>
      <c r="C518">
        <v>240</v>
      </c>
      <c r="D518" t="s">
        <v>1146</v>
      </c>
      <c r="E518">
        <v>240</v>
      </c>
      <c r="F518" s="1">
        <v>45166</v>
      </c>
      <c r="G518" s="7">
        <v>11.374999999999902</v>
      </c>
      <c r="H518" s="10">
        <v>3.9710000000000001</v>
      </c>
      <c r="I518" s="9">
        <f t="shared" si="19"/>
        <v>-3.9710000000000001</v>
      </c>
    </row>
    <row r="519" spans="1:9" x14ac:dyDescent="0.2">
      <c r="A519" t="s">
        <v>1147</v>
      </c>
      <c r="B519">
        <v>5.5100000000000003E-2</v>
      </c>
      <c r="C519">
        <v>240</v>
      </c>
      <c r="D519" t="s">
        <v>1147</v>
      </c>
      <c r="E519">
        <v>240</v>
      </c>
      <c r="F519" s="1">
        <v>45166</v>
      </c>
      <c r="G519" s="7">
        <v>11.385416666666568</v>
      </c>
      <c r="H519" s="10">
        <v>3.9329999999999998</v>
      </c>
      <c r="I519" s="9">
        <f t="shared" si="19"/>
        <v>-3.9329999999999998</v>
      </c>
    </row>
    <row r="520" spans="1:9" x14ac:dyDescent="0.2">
      <c r="A520" t="s">
        <v>1148</v>
      </c>
      <c r="B520">
        <v>5.4129999999999998E-2</v>
      </c>
      <c r="C520">
        <v>240</v>
      </c>
      <c r="D520" t="s">
        <v>1148</v>
      </c>
      <c r="E520">
        <v>240</v>
      </c>
      <c r="F520" s="1">
        <v>45166</v>
      </c>
      <c r="G520" s="7">
        <v>11.395833333333234</v>
      </c>
      <c r="H520" s="10">
        <v>3.8635000000000002</v>
      </c>
      <c r="I520" s="9">
        <f t="shared" si="19"/>
        <v>-3.8635000000000002</v>
      </c>
    </row>
    <row r="521" spans="1:9" x14ac:dyDescent="0.2">
      <c r="A521" t="s">
        <v>1149</v>
      </c>
      <c r="B521">
        <v>5.3400000000000003E-2</v>
      </c>
      <c r="C521">
        <v>240</v>
      </c>
      <c r="D521" t="s">
        <v>1149</v>
      </c>
      <c r="E521">
        <v>240</v>
      </c>
      <c r="F521" s="1">
        <v>45166</v>
      </c>
      <c r="G521" s="7">
        <v>11.406249999999901</v>
      </c>
      <c r="H521" s="10">
        <v>3.8115000000000001</v>
      </c>
      <c r="I521" s="9">
        <f t="shared" si="19"/>
        <v>-3.8115000000000001</v>
      </c>
    </row>
    <row r="522" spans="1:9" x14ac:dyDescent="0.2">
      <c r="A522" t="s">
        <v>1150</v>
      </c>
      <c r="B522">
        <v>5.2290000000000003E-2</v>
      </c>
      <c r="C522">
        <v>240</v>
      </c>
      <c r="D522" t="s">
        <v>1150</v>
      </c>
      <c r="E522">
        <v>240</v>
      </c>
      <c r="F522" s="1">
        <v>45166</v>
      </c>
      <c r="G522" s="7">
        <v>11.416666666666567</v>
      </c>
      <c r="H522" s="10">
        <v>3.7324999999999999</v>
      </c>
      <c r="I522" s="9">
        <f t="shared" si="19"/>
        <v>-3.7324999999999999</v>
      </c>
    </row>
    <row r="523" spans="1:9" x14ac:dyDescent="0.2">
      <c r="A523" t="s">
        <v>1151</v>
      </c>
      <c r="B523" t="s">
        <v>1152</v>
      </c>
      <c r="C523">
        <v>240</v>
      </c>
      <c r="D523" t="s">
        <v>1151</v>
      </c>
      <c r="E523">
        <v>240</v>
      </c>
      <c r="F523" s="1">
        <v>45166</v>
      </c>
      <c r="G523" s="7">
        <v>11.427083333333233</v>
      </c>
      <c r="H523" s="10">
        <v>3.7170000000000001</v>
      </c>
      <c r="I523" s="9">
        <f t="shared" si="19"/>
        <v>-3.7170000000000001</v>
      </c>
    </row>
    <row r="524" spans="1:9" x14ac:dyDescent="0.2">
      <c r="A524" t="s">
        <v>1153</v>
      </c>
      <c r="B524" t="s">
        <v>1154</v>
      </c>
      <c r="C524">
        <v>240</v>
      </c>
      <c r="D524" t="s">
        <v>1153</v>
      </c>
      <c r="E524">
        <v>240</v>
      </c>
      <c r="F524" s="1">
        <v>45166</v>
      </c>
      <c r="G524" s="7">
        <v>11.437499999999899</v>
      </c>
      <c r="H524" s="10">
        <v>3.6629999999999998</v>
      </c>
      <c r="I524" s="9">
        <f t="shared" si="19"/>
        <v>-3.6629999999999998</v>
      </c>
    </row>
    <row r="525" spans="1:9" x14ac:dyDescent="0.2">
      <c r="A525" t="s">
        <v>1155</v>
      </c>
      <c r="B525">
        <v>5.0770000000000003E-2</v>
      </c>
      <c r="C525">
        <v>240</v>
      </c>
      <c r="D525" t="s">
        <v>1155</v>
      </c>
      <c r="E525">
        <v>240</v>
      </c>
      <c r="F525" s="1">
        <v>45166</v>
      </c>
      <c r="G525" s="7">
        <v>11.447916666666565</v>
      </c>
      <c r="H525" s="10">
        <v>3.625</v>
      </c>
      <c r="I525" s="9">
        <f t="shared" si="19"/>
        <v>-3.625</v>
      </c>
    </row>
    <row r="526" spans="1:9" x14ac:dyDescent="0.2">
      <c r="A526" t="s">
        <v>1156</v>
      </c>
      <c r="B526">
        <v>5.0404999999999998E-2</v>
      </c>
      <c r="C526">
        <v>240</v>
      </c>
      <c r="D526" t="s">
        <v>1156</v>
      </c>
      <c r="E526">
        <v>240</v>
      </c>
      <c r="F526" s="1">
        <v>45166</v>
      </c>
      <c r="G526" s="7">
        <v>11.458333333333231</v>
      </c>
      <c r="H526" s="10">
        <v>3.5994999999999999</v>
      </c>
      <c r="I526" s="9">
        <f t="shared" si="19"/>
        <v>-3.5994999999999999</v>
      </c>
    </row>
    <row r="527" spans="1:9" x14ac:dyDescent="0.2">
      <c r="A527" t="s">
        <v>1157</v>
      </c>
      <c r="B527">
        <v>4.9939999999999998E-2</v>
      </c>
      <c r="C527">
        <v>240</v>
      </c>
      <c r="D527" t="s">
        <v>1157</v>
      </c>
      <c r="E527">
        <v>240</v>
      </c>
      <c r="F527" s="1">
        <v>45166</v>
      </c>
      <c r="G527" s="7">
        <v>11.468749999999897</v>
      </c>
      <c r="H527" s="10">
        <v>3.5655000000000001</v>
      </c>
      <c r="I527" s="9">
        <f t="shared" si="19"/>
        <v>-3.5655000000000001</v>
      </c>
    </row>
    <row r="528" spans="1:9" x14ac:dyDescent="0.2">
      <c r="A528" t="s">
        <v>1158</v>
      </c>
      <c r="B528">
        <v>4.9410000000000003E-2</v>
      </c>
      <c r="C528">
        <v>240</v>
      </c>
      <c r="D528" t="s">
        <v>1158</v>
      </c>
      <c r="E528">
        <v>240</v>
      </c>
      <c r="F528" s="1">
        <v>45166</v>
      </c>
      <c r="G528" s="7">
        <v>11.479166666666563</v>
      </c>
      <c r="H528" s="10">
        <v>3.5289999999999999</v>
      </c>
      <c r="I528" s="9">
        <f t="shared" si="19"/>
        <v>-3.5289999999999999</v>
      </c>
    </row>
    <row r="529" spans="1:9" x14ac:dyDescent="0.2">
      <c r="A529" t="s">
        <v>1159</v>
      </c>
      <c r="B529">
        <v>4.9854999999999997E-2</v>
      </c>
      <c r="C529">
        <v>240</v>
      </c>
      <c r="D529" t="s">
        <v>1159</v>
      </c>
      <c r="E529">
        <v>240</v>
      </c>
      <c r="F529" s="1">
        <v>45166</v>
      </c>
      <c r="G529" s="7">
        <v>11.489583333333229</v>
      </c>
      <c r="H529" s="10">
        <v>3.56</v>
      </c>
      <c r="I529" s="9">
        <f t="shared" si="19"/>
        <v>-3.56</v>
      </c>
    </row>
    <row r="530" spans="1:9" x14ac:dyDescent="0.2">
      <c r="A530" t="s">
        <v>1160</v>
      </c>
      <c r="B530">
        <v>4.9149999999999999E-2</v>
      </c>
      <c r="C530">
        <v>240</v>
      </c>
      <c r="D530" t="s">
        <v>1160</v>
      </c>
      <c r="E530">
        <v>240</v>
      </c>
      <c r="F530" s="1">
        <v>45166</v>
      </c>
      <c r="G530" s="7">
        <v>11.499999999999895</v>
      </c>
      <c r="H530" s="10">
        <v>3.5095000000000001</v>
      </c>
      <c r="I530" s="9">
        <f t="shared" si="19"/>
        <v>-3.5095000000000001</v>
      </c>
    </row>
    <row r="531" spans="1:9" x14ac:dyDescent="0.2">
      <c r="A531" t="s">
        <v>1161</v>
      </c>
      <c r="B531">
        <v>4.9165E-2</v>
      </c>
      <c r="C531">
        <v>240</v>
      </c>
      <c r="D531" t="s">
        <v>1161</v>
      </c>
      <c r="E531">
        <v>240</v>
      </c>
      <c r="F531" s="1">
        <v>45166</v>
      </c>
      <c r="G531" s="7">
        <v>11.510416666666561</v>
      </c>
      <c r="H531" s="10">
        <v>3.51</v>
      </c>
      <c r="I531" s="9">
        <f t="shared" si="19"/>
        <v>-3.51</v>
      </c>
    </row>
    <row r="532" spans="1:9" x14ac:dyDescent="0.2">
      <c r="A532" t="s">
        <v>1162</v>
      </c>
      <c r="B532">
        <v>4.8939999999999997E-2</v>
      </c>
      <c r="C532">
        <v>240</v>
      </c>
      <c r="D532" t="s">
        <v>1162</v>
      </c>
      <c r="E532">
        <v>240</v>
      </c>
      <c r="F532" s="1">
        <v>45166</v>
      </c>
      <c r="G532" s="7">
        <v>11.520833333333227</v>
      </c>
      <c r="H532" s="10">
        <v>3.4925000000000002</v>
      </c>
      <c r="I532" s="9">
        <f t="shared" si="19"/>
        <v>-3.4925000000000002</v>
      </c>
    </row>
    <row r="533" spans="1:9" x14ac:dyDescent="0.2">
      <c r="A533" t="s">
        <v>1163</v>
      </c>
      <c r="B533">
        <v>4.861E-2</v>
      </c>
      <c r="C533">
        <v>240</v>
      </c>
      <c r="D533" t="s">
        <v>1163</v>
      </c>
      <c r="E533">
        <v>240</v>
      </c>
      <c r="F533" s="1">
        <v>45166</v>
      </c>
      <c r="G533" s="7">
        <v>11.531249999999893</v>
      </c>
      <c r="H533" s="10">
        <v>3.4704999999999999</v>
      </c>
      <c r="I533" s="9">
        <f t="shared" si="19"/>
        <v>-3.4704999999999999</v>
      </c>
    </row>
    <row r="534" spans="1:9" x14ac:dyDescent="0.2">
      <c r="A534" t="s">
        <v>1164</v>
      </c>
      <c r="B534">
        <v>4.8695000000000002E-2</v>
      </c>
      <c r="C534">
        <v>240</v>
      </c>
      <c r="D534" t="s">
        <v>1164</v>
      </c>
      <c r="E534">
        <v>240</v>
      </c>
      <c r="F534" s="1">
        <v>45166</v>
      </c>
      <c r="G534" s="7">
        <v>11.541666666666559</v>
      </c>
      <c r="H534" s="10">
        <v>3.4769999999999999</v>
      </c>
      <c r="I534" s="9">
        <f t="shared" si="19"/>
        <v>-3.4769999999999999</v>
      </c>
    </row>
    <row r="535" spans="1:9" x14ac:dyDescent="0.2">
      <c r="A535" t="s">
        <v>1165</v>
      </c>
      <c r="B535" t="s">
        <v>1166</v>
      </c>
      <c r="C535">
        <v>240</v>
      </c>
      <c r="D535" t="s">
        <v>1165</v>
      </c>
      <c r="E535">
        <v>240</v>
      </c>
      <c r="F535" s="1">
        <v>45166</v>
      </c>
      <c r="G535" s="7">
        <v>11.552083333333226</v>
      </c>
      <c r="H535" s="10">
        <v>3.4744999999999999</v>
      </c>
      <c r="I535" s="9">
        <f t="shared" si="19"/>
        <v>-3.4744999999999999</v>
      </c>
    </row>
    <row r="536" spans="1:9" x14ac:dyDescent="0.2">
      <c r="A536" t="s">
        <v>1167</v>
      </c>
      <c r="B536">
        <v>4.8149999999999998E-2</v>
      </c>
      <c r="C536">
        <v>240</v>
      </c>
      <c r="D536" t="s">
        <v>1167</v>
      </c>
      <c r="E536">
        <v>240</v>
      </c>
      <c r="F536" s="1">
        <v>45166</v>
      </c>
      <c r="G536" s="7">
        <v>11.562499999999892</v>
      </c>
      <c r="H536" s="10" t="s">
        <v>1168</v>
      </c>
      <c r="I536" s="9">
        <f t="shared" si="19"/>
        <v>-3.43799999999999</v>
      </c>
    </row>
    <row r="537" spans="1:9" x14ac:dyDescent="0.2">
      <c r="A537" t="s">
        <v>1169</v>
      </c>
      <c r="B537">
        <v>4.7350000000000003E-2</v>
      </c>
      <c r="C537">
        <v>240</v>
      </c>
      <c r="D537" t="s">
        <v>1169</v>
      </c>
      <c r="E537">
        <v>240</v>
      </c>
      <c r="F537" s="1">
        <v>45166</v>
      </c>
      <c r="G537" s="7">
        <v>11.572916666666558</v>
      </c>
      <c r="H537" s="10" t="s">
        <v>1170</v>
      </c>
      <c r="I537" s="9">
        <f t="shared" si="19"/>
        <v>-3.3809999999999998</v>
      </c>
    </row>
    <row r="538" spans="1:9" x14ac:dyDescent="0.2">
      <c r="A538" t="s">
        <v>1171</v>
      </c>
      <c r="B538">
        <v>4.7765000000000002E-2</v>
      </c>
      <c r="C538">
        <v>240</v>
      </c>
      <c r="D538" t="s">
        <v>1171</v>
      </c>
      <c r="E538">
        <v>240</v>
      </c>
      <c r="F538" s="1">
        <v>45166</v>
      </c>
      <c r="G538" s="7">
        <v>11.583333333333224</v>
      </c>
      <c r="H538" s="10">
        <v>3.4104999999999999</v>
      </c>
      <c r="I538" s="9">
        <f t="shared" si="19"/>
        <v>-3.4104999999999999</v>
      </c>
    </row>
    <row r="539" spans="1:9" x14ac:dyDescent="0.2">
      <c r="A539" t="s">
        <v>1172</v>
      </c>
      <c r="B539">
        <v>4.7364999999999997E-2</v>
      </c>
      <c r="C539">
        <v>240</v>
      </c>
      <c r="D539" t="s">
        <v>1172</v>
      </c>
      <c r="E539">
        <v>240</v>
      </c>
      <c r="F539" s="1">
        <v>45166</v>
      </c>
      <c r="G539" s="7">
        <v>11.59374999999989</v>
      </c>
      <c r="H539" s="10">
        <v>3.3820000000000001</v>
      </c>
      <c r="I539" s="9">
        <f t="shared" si="19"/>
        <v>-3.3820000000000001</v>
      </c>
    </row>
    <row r="540" spans="1:9" x14ac:dyDescent="0.2">
      <c r="A540" t="s">
        <v>1173</v>
      </c>
      <c r="B540">
        <v>4.7175000000000002E-2</v>
      </c>
      <c r="C540">
        <v>240</v>
      </c>
      <c r="D540" t="s">
        <v>1173</v>
      </c>
      <c r="E540">
        <v>240</v>
      </c>
      <c r="F540" s="1">
        <v>45166</v>
      </c>
      <c r="G540" s="7">
        <v>11.604166666666556</v>
      </c>
      <c r="H540" s="10">
        <v>3.367</v>
      </c>
      <c r="I540" s="9">
        <f t="shared" si="19"/>
        <v>-3.367</v>
      </c>
    </row>
    <row r="541" spans="1:9" x14ac:dyDescent="0.2">
      <c r="A541" t="s">
        <v>1174</v>
      </c>
      <c r="B541">
        <v>4.6715E-2</v>
      </c>
      <c r="C541">
        <v>240</v>
      </c>
      <c r="D541" t="s">
        <v>1174</v>
      </c>
      <c r="E541">
        <v>240</v>
      </c>
      <c r="F541" s="1">
        <v>45166</v>
      </c>
      <c r="G541" s="7">
        <v>11.614583333333222</v>
      </c>
      <c r="H541" s="10">
        <v>3.3344999999999998</v>
      </c>
      <c r="I541" s="9">
        <f t="shared" si="19"/>
        <v>-3.3344999999999998</v>
      </c>
    </row>
    <row r="542" spans="1:9" x14ac:dyDescent="0.2">
      <c r="A542" t="s">
        <v>1175</v>
      </c>
      <c r="B542">
        <v>4.6789999999999998E-2</v>
      </c>
      <c r="C542">
        <v>240</v>
      </c>
      <c r="D542" t="s">
        <v>1175</v>
      </c>
      <c r="E542">
        <v>240</v>
      </c>
      <c r="F542" s="1">
        <v>45166</v>
      </c>
      <c r="G542" s="7">
        <v>11.624999999999888</v>
      </c>
      <c r="H542" s="10">
        <v>3.3405</v>
      </c>
      <c r="I542" s="9">
        <f t="shared" si="19"/>
        <v>-3.3405</v>
      </c>
    </row>
    <row r="543" spans="1:9" x14ac:dyDescent="0.2">
      <c r="A543" t="s">
        <v>1176</v>
      </c>
      <c r="B543">
        <v>4.6335000000000001E-2</v>
      </c>
      <c r="C543">
        <v>240</v>
      </c>
      <c r="D543" t="s">
        <v>1176</v>
      </c>
      <c r="E543">
        <v>240</v>
      </c>
      <c r="F543" s="1">
        <v>45166</v>
      </c>
      <c r="G543" s="7">
        <v>11.635416666666554</v>
      </c>
      <c r="H543" s="10">
        <v>3.3075000000000001</v>
      </c>
      <c r="I543" s="9">
        <f t="shared" si="19"/>
        <v>-3.3075000000000001</v>
      </c>
    </row>
    <row r="544" spans="1:9" x14ac:dyDescent="0.2">
      <c r="A544" t="s">
        <v>1177</v>
      </c>
      <c r="B544">
        <v>4.6094999999999997E-2</v>
      </c>
      <c r="C544">
        <v>240</v>
      </c>
      <c r="D544" t="s">
        <v>1177</v>
      </c>
      <c r="E544">
        <v>240</v>
      </c>
      <c r="F544" s="1">
        <v>45166</v>
      </c>
      <c r="G544" s="7">
        <v>11.64583333333322</v>
      </c>
      <c r="H544" s="10">
        <v>3.2909999999999999</v>
      </c>
      <c r="I544" s="9">
        <f t="shared" si="19"/>
        <v>-3.2909999999999999</v>
      </c>
    </row>
    <row r="545" spans="1:9" x14ac:dyDescent="0.2">
      <c r="A545" t="s">
        <v>1178</v>
      </c>
      <c r="B545">
        <v>4.6254999999999998E-2</v>
      </c>
      <c r="C545">
        <v>240</v>
      </c>
      <c r="D545" t="s">
        <v>1178</v>
      </c>
      <c r="E545">
        <v>240</v>
      </c>
      <c r="F545" s="1">
        <v>45166</v>
      </c>
      <c r="G545" s="7">
        <v>11.656249999999886</v>
      </c>
      <c r="H545" s="10">
        <v>3.3025000000000002</v>
      </c>
      <c r="I545" s="9">
        <f t="shared" si="19"/>
        <v>-3.3025000000000002</v>
      </c>
    </row>
    <row r="546" spans="1:9" x14ac:dyDescent="0.2">
      <c r="A546" t="s">
        <v>1179</v>
      </c>
      <c r="B546">
        <v>4.5830000000000003E-2</v>
      </c>
      <c r="C546">
        <v>240</v>
      </c>
      <c r="D546" t="s">
        <v>1179</v>
      </c>
      <c r="E546">
        <v>240</v>
      </c>
      <c r="F546" s="1">
        <v>45166</v>
      </c>
      <c r="G546" s="7">
        <v>11.666666666666552</v>
      </c>
      <c r="H546" s="10">
        <v>3.2709999999999999</v>
      </c>
      <c r="I546" s="9">
        <f t="shared" si="19"/>
        <v>-3.2709999999999999</v>
      </c>
    </row>
    <row r="547" spans="1:9" x14ac:dyDescent="0.2">
      <c r="A547" t="s">
        <v>1180</v>
      </c>
      <c r="B547">
        <v>4.5995000000000001E-2</v>
      </c>
      <c r="C547">
        <v>240</v>
      </c>
      <c r="D547" t="s">
        <v>1180</v>
      </c>
      <c r="E547">
        <v>240</v>
      </c>
      <c r="F547" s="1">
        <v>45166</v>
      </c>
      <c r="G547" s="7">
        <v>11.677083333333218</v>
      </c>
      <c r="H547" s="10">
        <v>3.2835000000000001</v>
      </c>
      <c r="I547" s="9">
        <f t="shared" si="19"/>
        <v>-3.2835000000000001</v>
      </c>
    </row>
    <row r="548" spans="1:9" x14ac:dyDescent="0.2">
      <c r="A548" t="s">
        <v>1181</v>
      </c>
      <c r="B548">
        <v>4.6254999999999998E-2</v>
      </c>
      <c r="C548">
        <v>240</v>
      </c>
      <c r="D548" t="s">
        <v>1181</v>
      </c>
      <c r="E548">
        <v>240</v>
      </c>
      <c r="F548" s="1">
        <v>45166</v>
      </c>
      <c r="G548" s="7">
        <v>11.687499999999885</v>
      </c>
      <c r="H548" s="10">
        <v>3.3029999999999999</v>
      </c>
      <c r="I548" s="9">
        <f t="shared" si="19"/>
        <v>-3.3029999999999999</v>
      </c>
    </row>
    <row r="549" spans="1:9" x14ac:dyDescent="0.2">
      <c r="A549" t="s">
        <v>1182</v>
      </c>
      <c r="B549">
        <v>4.5925000000000001E-2</v>
      </c>
      <c r="C549">
        <v>240</v>
      </c>
      <c r="D549" t="s">
        <v>1182</v>
      </c>
      <c r="E549">
        <v>240</v>
      </c>
      <c r="F549" s="1">
        <v>45166</v>
      </c>
      <c r="G549" s="7">
        <v>11.697916666666551</v>
      </c>
      <c r="H549" s="10">
        <v>3.28</v>
      </c>
      <c r="I549" s="9">
        <f t="shared" si="19"/>
        <v>-3.28</v>
      </c>
    </row>
    <row r="550" spans="1:9" x14ac:dyDescent="0.2">
      <c r="A550" t="s">
        <v>1183</v>
      </c>
      <c r="B550">
        <v>4.6324999999999998E-2</v>
      </c>
      <c r="C550">
        <v>240</v>
      </c>
      <c r="D550" t="s">
        <v>1183</v>
      </c>
      <c r="E550">
        <v>240</v>
      </c>
      <c r="F550" s="1">
        <v>45166</v>
      </c>
      <c r="G550" s="7">
        <v>11.708333333333217</v>
      </c>
      <c r="H550" s="10">
        <v>3.3075000000000001</v>
      </c>
      <c r="I550" s="9">
        <f t="shared" si="19"/>
        <v>-3.3075000000000001</v>
      </c>
    </row>
    <row r="551" spans="1:9" x14ac:dyDescent="0.2">
      <c r="A551" t="s">
        <v>1184</v>
      </c>
      <c r="B551">
        <v>4.6844999999999998E-2</v>
      </c>
      <c r="C551">
        <v>240</v>
      </c>
      <c r="D551" t="s">
        <v>1184</v>
      </c>
      <c r="E551">
        <v>240</v>
      </c>
      <c r="F551" s="1">
        <v>45166</v>
      </c>
      <c r="G551" s="7">
        <v>11.718749999999883</v>
      </c>
      <c r="H551" s="10">
        <v>3.3460000000000001</v>
      </c>
      <c r="I551" s="9">
        <f t="shared" si="19"/>
        <v>-3.3460000000000001</v>
      </c>
    </row>
    <row r="552" spans="1:9" x14ac:dyDescent="0.2">
      <c r="A552" t="s">
        <v>1185</v>
      </c>
      <c r="B552">
        <v>4.6295000000000003E-2</v>
      </c>
      <c r="C552">
        <v>240</v>
      </c>
      <c r="D552" t="s">
        <v>1185</v>
      </c>
      <c r="E552">
        <v>240</v>
      </c>
      <c r="F552" s="1">
        <v>45166</v>
      </c>
      <c r="G552" s="7">
        <v>11.729166666666549</v>
      </c>
      <c r="H552" s="10" t="s">
        <v>1186</v>
      </c>
      <c r="I552" s="9">
        <f t="shared" si="19"/>
        <v>-3.30249999999999</v>
      </c>
    </row>
    <row r="553" spans="1:9" x14ac:dyDescent="0.2">
      <c r="A553" t="s">
        <v>1187</v>
      </c>
      <c r="B553">
        <v>4.648E-2</v>
      </c>
      <c r="C553">
        <v>240</v>
      </c>
      <c r="D553" t="s">
        <v>1187</v>
      </c>
      <c r="E553">
        <v>240</v>
      </c>
      <c r="F553" s="1">
        <v>45166</v>
      </c>
      <c r="G553" s="7">
        <v>11.739583333333215</v>
      </c>
      <c r="H553" s="10">
        <v>3.3180000000000001</v>
      </c>
      <c r="I553" s="9">
        <f t="shared" si="19"/>
        <v>-3.3180000000000001</v>
      </c>
    </row>
    <row r="554" spans="1:9" x14ac:dyDescent="0.2">
      <c r="A554" t="s">
        <v>1188</v>
      </c>
      <c r="B554">
        <v>4.6265000000000001E-2</v>
      </c>
      <c r="C554">
        <v>241</v>
      </c>
      <c r="D554" t="s">
        <v>1188</v>
      </c>
      <c r="E554">
        <v>240</v>
      </c>
      <c r="F554" s="1">
        <v>45166</v>
      </c>
      <c r="G554" s="7">
        <v>11.749999999999881</v>
      </c>
      <c r="H554" s="10">
        <v>3.302</v>
      </c>
      <c r="I554" s="9">
        <f t="shared" si="19"/>
        <v>-3.302</v>
      </c>
    </row>
    <row r="555" spans="1:9" x14ac:dyDescent="0.2">
      <c r="A555" t="s">
        <v>1189</v>
      </c>
      <c r="B555">
        <v>4.6300000000000001E-2</v>
      </c>
      <c r="C555">
        <v>241</v>
      </c>
      <c r="D555" t="s">
        <v>1189</v>
      </c>
      <c r="E555">
        <v>240</v>
      </c>
      <c r="F555" s="1">
        <v>45166</v>
      </c>
      <c r="G555" s="7">
        <v>11.760416666666547</v>
      </c>
      <c r="H555" s="10">
        <v>3.306</v>
      </c>
      <c r="I555" s="9">
        <f t="shared" si="19"/>
        <v>-3.306</v>
      </c>
    </row>
    <row r="556" spans="1:9" x14ac:dyDescent="0.2">
      <c r="A556" t="s">
        <v>1190</v>
      </c>
      <c r="B556">
        <v>4.6594999999999998E-2</v>
      </c>
      <c r="C556">
        <v>241</v>
      </c>
      <c r="D556" t="s">
        <v>1190</v>
      </c>
      <c r="E556">
        <v>240</v>
      </c>
      <c r="F556" s="1">
        <v>45166</v>
      </c>
      <c r="G556" s="7">
        <v>11.770833333333213</v>
      </c>
      <c r="H556" s="10">
        <v>3.327</v>
      </c>
      <c r="I556" s="9">
        <f t="shared" si="19"/>
        <v>-3.327</v>
      </c>
    </row>
    <row r="557" spans="1:9" x14ac:dyDescent="0.2">
      <c r="A557" t="s">
        <v>1191</v>
      </c>
      <c r="B557">
        <v>4.6675000000000001E-2</v>
      </c>
      <c r="C557">
        <v>241</v>
      </c>
      <c r="D557" t="s">
        <v>1191</v>
      </c>
      <c r="E557">
        <v>240</v>
      </c>
      <c r="F557" s="1">
        <v>45166</v>
      </c>
      <c r="G557" s="7">
        <v>11.781249999999879</v>
      </c>
      <c r="H557" s="10">
        <v>3.3334999999999999</v>
      </c>
      <c r="I557" s="9">
        <f t="shared" si="19"/>
        <v>-3.3334999999999999</v>
      </c>
    </row>
    <row r="558" spans="1:9" x14ac:dyDescent="0.2">
      <c r="A558" t="s">
        <v>1192</v>
      </c>
      <c r="B558">
        <v>4.6504999999999998E-2</v>
      </c>
      <c r="C558">
        <v>241</v>
      </c>
      <c r="D558" t="s">
        <v>1192</v>
      </c>
      <c r="E558">
        <v>240</v>
      </c>
      <c r="F558" s="1">
        <v>45166</v>
      </c>
      <c r="G558" s="7">
        <v>11.791666666666545</v>
      </c>
      <c r="H558" s="10">
        <v>3.3205</v>
      </c>
      <c r="I558" s="9">
        <f t="shared" si="19"/>
        <v>-3.3205</v>
      </c>
    </row>
    <row r="559" spans="1:9" x14ac:dyDescent="0.2">
      <c r="A559" t="s">
        <v>1193</v>
      </c>
      <c r="B559">
        <v>4.6905000000000002E-2</v>
      </c>
      <c r="C559">
        <v>241</v>
      </c>
      <c r="D559" t="s">
        <v>1193</v>
      </c>
      <c r="E559">
        <v>240</v>
      </c>
      <c r="F559" s="1">
        <v>45166</v>
      </c>
      <c r="G559" s="7">
        <v>11.802083333333211</v>
      </c>
      <c r="H559" s="10">
        <v>3.3479999999999999</v>
      </c>
      <c r="I559" s="9">
        <f t="shared" si="19"/>
        <v>-3.3479999999999999</v>
      </c>
    </row>
    <row r="560" spans="1:9" x14ac:dyDescent="0.2">
      <c r="A560" t="s">
        <v>1194</v>
      </c>
      <c r="B560">
        <v>4.6780000000000002E-2</v>
      </c>
      <c r="C560">
        <v>241</v>
      </c>
      <c r="D560" t="s">
        <v>1194</v>
      </c>
      <c r="E560">
        <v>240</v>
      </c>
      <c r="F560" s="1">
        <v>45166</v>
      </c>
      <c r="G560" s="7">
        <v>11.812499999999877</v>
      </c>
      <c r="H560" s="10">
        <v>3.339</v>
      </c>
      <c r="I560" s="9">
        <f t="shared" si="19"/>
        <v>-3.339</v>
      </c>
    </row>
    <row r="561" spans="1:9" x14ac:dyDescent="0.2">
      <c r="A561" t="s">
        <v>1195</v>
      </c>
      <c r="B561">
        <v>4.3479999999999998E-2</v>
      </c>
      <c r="C561">
        <v>241</v>
      </c>
      <c r="D561" t="s">
        <v>1195</v>
      </c>
      <c r="E561">
        <v>240</v>
      </c>
      <c r="F561" s="1">
        <v>45166</v>
      </c>
      <c r="G561" s="7">
        <v>11.822916666666544</v>
      </c>
      <c r="H561" s="10">
        <v>3.105</v>
      </c>
      <c r="I561" s="9">
        <f t="shared" si="19"/>
        <v>-3.105</v>
      </c>
    </row>
    <row r="562" spans="1:9" x14ac:dyDescent="0.2">
      <c r="A562" t="s">
        <v>1196</v>
      </c>
      <c r="B562">
        <v>4.7114999999999997E-2</v>
      </c>
      <c r="C562">
        <v>241</v>
      </c>
      <c r="D562" t="s">
        <v>1196</v>
      </c>
      <c r="E562">
        <v>240</v>
      </c>
      <c r="F562" s="1">
        <v>45166</v>
      </c>
      <c r="G562" s="7">
        <v>11.83333333333321</v>
      </c>
      <c r="H562" s="10">
        <v>3.363</v>
      </c>
      <c r="I562" s="9">
        <f t="shared" si="19"/>
        <v>-3.363</v>
      </c>
    </row>
    <row r="563" spans="1:9" x14ac:dyDescent="0.2">
      <c r="A563" t="s">
        <v>1197</v>
      </c>
      <c r="B563">
        <v>4.7305E-2</v>
      </c>
      <c r="C563">
        <v>241</v>
      </c>
      <c r="D563" t="s">
        <v>1197</v>
      </c>
      <c r="E563">
        <v>240</v>
      </c>
      <c r="F563" s="1">
        <v>45166</v>
      </c>
      <c r="G563" s="7">
        <v>11.843749999999876</v>
      </c>
      <c r="H563" s="10">
        <v>3.3780000000000001</v>
      </c>
      <c r="I563" s="9">
        <f t="shared" si="19"/>
        <v>-3.3780000000000001</v>
      </c>
    </row>
    <row r="564" spans="1:9" x14ac:dyDescent="0.2">
      <c r="A564" t="s">
        <v>1198</v>
      </c>
      <c r="B564">
        <v>4.7934999999999998E-2</v>
      </c>
      <c r="C564">
        <v>241</v>
      </c>
      <c r="D564" t="s">
        <v>1198</v>
      </c>
      <c r="E564">
        <v>240</v>
      </c>
      <c r="F564" s="1">
        <v>45166</v>
      </c>
      <c r="G564" s="7">
        <v>11.854166666666542</v>
      </c>
      <c r="H564" s="10">
        <v>3.4215</v>
      </c>
      <c r="I564" s="9">
        <f t="shared" si="19"/>
        <v>-3.4215</v>
      </c>
    </row>
    <row r="565" spans="1:9" x14ac:dyDescent="0.2">
      <c r="A565" t="s">
        <v>1199</v>
      </c>
      <c r="B565">
        <v>4.7835000000000003E-2</v>
      </c>
      <c r="C565">
        <v>241</v>
      </c>
      <c r="D565" t="s">
        <v>1199</v>
      </c>
      <c r="E565">
        <v>240</v>
      </c>
      <c r="F565" s="1">
        <v>45166</v>
      </c>
      <c r="G565" s="7">
        <v>11.864583333333208</v>
      </c>
      <c r="H565" s="10">
        <v>3.4155000000000002</v>
      </c>
      <c r="I565" s="9">
        <f t="shared" si="19"/>
        <v>-3.4155000000000002</v>
      </c>
    </row>
    <row r="566" spans="1:9" x14ac:dyDescent="0.2">
      <c r="A566" t="s">
        <v>1200</v>
      </c>
      <c r="B566">
        <v>4.8070000000000002E-2</v>
      </c>
      <c r="C566">
        <v>241</v>
      </c>
      <c r="D566" t="s">
        <v>1200</v>
      </c>
      <c r="E566">
        <v>240</v>
      </c>
      <c r="F566" s="1">
        <v>45166</v>
      </c>
      <c r="G566" s="7">
        <v>11.874999999999874</v>
      </c>
      <c r="H566" s="10">
        <v>3.4315000000000002</v>
      </c>
      <c r="I566" s="9">
        <f t="shared" si="19"/>
        <v>-3.4315000000000002</v>
      </c>
    </row>
    <row r="567" spans="1:9" x14ac:dyDescent="0.2">
      <c r="A567" t="s">
        <v>1201</v>
      </c>
      <c r="B567">
        <v>4.9015000000000003E-2</v>
      </c>
      <c r="C567">
        <v>241</v>
      </c>
      <c r="D567" t="s">
        <v>1201</v>
      </c>
      <c r="E567">
        <v>240</v>
      </c>
      <c r="F567" s="1">
        <v>45166</v>
      </c>
      <c r="G567" s="7">
        <v>11.88541666666654</v>
      </c>
      <c r="H567" s="10">
        <v>3.4994999999999998</v>
      </c>
      <c r="I567" s="9">
        <f t="shared" si="19"/>
        <v>-3.4994999999999998</v>
      </c>
    </row>
    <row r="568" spans="1:9" x14ac:dyDescent="0.2">
      <c r="A568" t="s">
        <v>1202</v>
      </c>
      <c r="B568">
        <v>4.929E-2</v>
      </c>
      <c r="C568">
        <v>241</v>
      </c>
      <c r="D568" t="s">
        <v>1202</v>
      </c>
      <c r="E568">
        <v>240</v>
      </c>
      <c r="F568" s="1">
        <v>45166</v>
      </c>
      <c r="G568" s="7">
        <v>11.895833333333206</v>
      </c>
      <c r="H568" s="10">
        <v>3.5185</v>
      </c>
      <c r="I568" s="9">
        <f t="shared" si="19"/>
        <v>-3.5185</v>
      </c>
    </row>
    <row r="569" spans="1:9" x14ac:dyDescent="0.2">
      <c r="A569" t="s">
        <v>1203</v>
      </c>
      <c r="B569">
        <v>4.9974999999999999E-2</v>
      </c>
      <c r="C569">
        <v>241</v>
      </c>
      <c r="D569" t="s">
        <v>1203</v>
      </c>
      <c r="E569">
        <v>240</v>
      </c>
      <c r="F569" s="1">
        <v>45166</v>
      </c>
      <c r="G569" s="7">
        <v>11.906249999999872</v>
      </c>
      <c r="H569" s="10">
        <v>3.5674999999999999</v>
      </c>
      <c r="I569" s="9">
        <f t="shared" si="19"/>
        <v>-3.5674999999999999</v>
      </c>
    </row>
    <row r="570" spans="1:9" x14ac:dyDescent="0.2">
      <c r="A570" t="s">
        <v>1204</v>
      </c>
      <c r="B570">
        <v>5.0285000000000003E-2</v>
      </c>
      <c r="C570">
        <v>241</v>
      </c>
      <c r="D570" t="s">
        <v>1204</v>
      </c>
      <c r="E570">
        <v>240</v>
      </c>
      <c r="F570" s="1">
        <v>45166</v>
      </c>
      <c r="G570" s="7">
        <v>11.916666666666538</v>
      </c>
      <c r="H570" s="10">
        <v>3.59</v>
      </c>
      <c r="I570" s="9">
        <f t="shared" si="19"/>
        <v>-3.59</v>
      </c>
    </row>
    <row r="571" spans="1:9" x14ac:dyDescent="0.2">
      <c r="A571" t="s">
        <v>1205</v>
      </c>
      <c r="B571">
        <v>5.1604999999999998E-2</v>
      </c>
      <c r="C571">
        <v>241</v>
      </c>
      <c r="D571" t="s">
        <v>1205</v>
      </c>
      <c r="E571">
        <v>240</v>
      </c>
      <c r="F571" s="1">
        <v>45166</v>
      </c>
      <c r="G571" s="7">
        <v>11.927083333333204</v>
      </c>
      <c r="H571" s="10">
        <v>3.6835</v>
      </c>
      <c r="I571" s="9">
        <f t="shared" si="19"/>
        <v>-3.6835</v>
      </c>
    </row>
    <row r="572" spans="1:9" x14ac:dyDescent="0.2">
      <c r="A572" t="s">
        <v>1206</v>
      </c>
      <c r="B572">
        <v>5.1764999999999999E-2</v>
      </c>
      <c r="C572">
        <v>241</v>
      </c>
      <c r="D572" t="s">
        <v>1206</v>
      </c>
      <c r="E572">
        <v>240</v>
      </c>
      <c r="F572" s="1">
        <v>45166</v>
      </c>
      <c r="G572" s="7">
        <v>11.93749999999987</v>
      </c>
      <c r="H572" s="10">
        <v>3.6955</v>
      </c>
      <c r="I572" s="9">
        <f t="shared" si="19"/>
        <v>-3.6955</v>
      </c>
    </row>
    <row r="573" spans="1:9" x14ac:dyDescent="0.2">
      <c r="A573" t="s">
        <v>1207</v>
      </c>
      <c r="B573">
        <v>5.2729999999999999E-2</v>
      </c>
      <c r="C573">
        <v>241</v>
      </c>
      <c r="D573" t="s">
        <v>1207</v>
      </c>
      <c r="E573">
        <v>240</v>
      </c>
      <c r="F573" s="1">
        <v>45166</v>
      </c>
      <c r="G573" s="7">
        <v>11.947916666666536</v>
      </c>
      <c r="H573" s="10">
        <v>3.766</v>
      </c>
      <c r="I573" s="9">
        <f t="shared" si="19"/>
        <v>-3.766</v>
      </c>
    </row>
    <row r="574" spans="1:9" x14ac:dyDescent="0.2">
      <c r="A574" t="s">
        <v>1208</v>
      </c>
      <c r="B574">
        <v>5.3609999999999998E-2</v>
      </c>
      <c r="C574">
        <v>241</v>
      </c>
      <c r="D574" t="s">
        <v>1208</v>
      </c>
      <c r="E574">
        <v>240</v>
      </c>
      <c r="F574" s="1">
        <v>45166</v>
      </c>
      <c r="G574" s="7">
        <v>11.958333333333202</v>
      </c>
      <c r="H574" s="10">
        <v>3.827</v>
      </c>
      <c r="I574" s="9">
        <f t="shared" si="19"/>
        <v>-3.827</v>
      </c>
    </row>
    <row r="575" spans="1:9" x14ac:dyDescent="0.2">
      <c r="A575" t="s">
        <v>1209</v>
      </c>
      <c r="B575" t="s">
        <v>1210</v>
      </c>
      <c r="C575">
        <v>241</v>
      </c>
      <c r="D575" t="s">
        <v>1209</v>
      </c>
      <c r="E575">
        <v>240</v>
      </c>
      <c r="F575" s="1">
        <v>45166</v>
      </c>
      <c r="G575" s="7">
        <v>11.968749999999869</v>
      </c>
      <c r="H575" s="10">
        <v>3.8570000000000002</v>
      </c>
      <c r="I575" s="9">
        <f t="shared" si="19"/>
        <v>-3.8570000000000002</v>
      </c>
    </row>
    <row r="576" spans="1:9" x14ac:dyDescent="0.2">
      <c r="A576" t="s">
        <v>1211</v>
      </c>
      <c r="B576">
        <v>5.5135000000000003E-2</v>
      </c>
      <c r="C576">
        <v>241</v>
      </c>
      <c r="D576" t="s">
        <v>1211</v>
      </c>
      <c r="E576">
        <v>240</v>
      </c>
      <c r="F576" s="1">
        <v>45166</v>
      </c>
      <c r="G576" s="7">
        <v>11.979166666666535</v>
      </c>
      <c r="H576" s="10">
        <v>3.9359999999999999</v>
      </c>
      <c r="I576" s="9">
        <f t="shared" si="19"/>
        <v>-3.9359999999999999</v>
      </c>
    </row>
    <row r="577" spans="1:9" x14ac:dyDescent="0.2">
      <c r="A577" t="s">
        <v>1212</v>
      </c>
      <c r="B577">
        <v>5.5825E-2</v>
      </c>
      <c r="C577">
        <v>241</v>
      </c>
      <c r="D577" t="s">
        <v>1212</v>
      </c>
      <c r="E577">
        <v>240</v>
      </c>
      <c r="F577" s="1">
        <v>45166</v>
      </c>
      <c r="G577" s="7">
        <v>11.989583333333201</v>
      </c>
      <c r="H577" s="10">
        <v>3.9845000000000002</v>
      </c>
      <c r="I577" s="9">
        <f t="shared" si="19"/>
        <v>-3.9845000000000002</v>
      </c>
    </row>
    <row r="578" spans="1:9" x14ac:dyDescent="0.2">
      <c r="A578" t="s">
        <v>1213</v>
      </c>
      <c r="B578" t="s">
        <v>1214</v>
      </c>
      <c r="C578">
        <v>241</v>
      </c>
      <c r="D578" t="s">
        <v>1213</v>
      </c>
      <c r="E578">
        <v>241</v>
      </c>
      <c r="F578" s="1">
        <v>45167</v>
      </c>
      <c r="G578" s="7">
        <v>11.999999999999867</v>
      </c>
      <c r="H578" s="10">
        <v>4.0209999999999999</v>
      </c>
      <c r="I578" s="9">
        <f t="shared" si="19"/>
        <v>-4.0209999999999999</v>
      </c>
    </row>
    <row r="579" spans="1:9" x14ac:dyDescent="0.2">
      <c r="A579" t="s">
        <v>1215</v>
      </c>
      <c r="B579" t="s">
        <v>1216</v>
      </c>
      <c r="C579">
        <v>241</v>
      </c>
      <c r="D579" t="s">
        <v>1215</v>
      </c>
      <c r="E579">
        <v>241</v>
      </c>
      <c r="F579" s="1">
        <v>45167</v>
      </c>
      <c r="G579" s="7">
        <v>12.010416666666533</v>
      </c>
      <c r="H579" s="10">
        <v>4.0445000000000002</v>
      </c>
      <c r="I579" s="9">
        <f t="shared" ref="I579:I642" si="20">-H579</f>
        <v>-4.0445000000000002</v>
      </c>
    </row>
    <row r="580" spans="1:9" x14ac:dyDescent="0.2">
      <c r="A580" t="s">
        <v>1217</v>
      </c>
      <c r="B580">
        <v>5.7049999999999997E-2</v>
      </c>
      <c r="C580">
        <v>241</v>
      </c>
      <c r="D580" t="s">
        <v>1217</v>
      </c>
      <c r="E580">
        <v>241</v>
      </c>
      <c r="F580" s="1">
        <v>45167</v>
      </c>
      <c r="G580" s="7">
        <v>12.020833333333199</v>
      </c>
      <c r="H580" s="10">
        <v>4.0735000000000001</v>
      </c>
      <c r="I580" s="9">
        <f t="shared" si="20"/>
        <v>-4.0735000000000001</v>
      </c>
    </row>
    <row r="581" spans="1:9" x14ac:dyDescent="0.2">
      <c r="A581" t="s">
        <v>1218</v>
      </c>
      <c r="B581">
        <v>5.7860000000000002E-2</v>
      </c>
      <c r="C581">
        <v>241</v>
      </c>
      <c r="D581" t="s">
        <v>1218</v>
      </c>
      <c r="E581">
        <v>241</v>
      </c>
      <c r="F581" s="1">
        <v>45167</v>
      </c>
      <c r="G581" s="7">
        <v>12.031249999999865</v>
      </c>
      <c r="H581" s="10">
        <v>4.1304999999999996</v>
      </c>
      <c r="I581" s="9">
        <f t="shared" si="20"/>
        <v>-4.1304999999999996</v>
      </c>
    </row>
    <row r="582" spans="1:9" x14ac:dyDescent="0.2">
      <c r="A582" t="s">
        <v>1219</v>
      </c>
      <c r="B582">
        <v>5.7599999999999998E-2</v>
      </c>
      <c r="C582">
        <v>241</v>
      </c>
      <c r="D582" t="s">
        <v>1219</v>
      </c>
      <c r="E582">
        <v>241</v>
      </c>
      <c r="F582" s="1">
        <v>45167</v>
      </c>
      <c r="G582" s="7">
        <v>12.041666666666531</v>
      </c>
      <c r="H582" s="10">
        <v>4.1124999999999998</v>
      </c>
      <c r="I582" s="9">
        <f t="shared" si="20"/>
        <v>-4.1124999999999998</v>
      </c>
    </row>
    <row r="583" spans="1:9" x14ac:dyDescent="0.2">
      <c r="A583" t="s">
        <v>1220</v>
      </c>
      <c r="B583">
        <v>5.7610000000000001E-2</v>
      </c>
      <c r="C583">
        <v>241</v>
      </c>
      <c r="D583" t="s">
        <v>1220</v>
      </c>
      <c r="E583">
        <v>241</v>
      </c>
      <c r="F583" s="1">
        <v>45167</v>
      </c>
      <c r="G583" s="7">
        <v>12.052083333333197</v>
      </c>
      <c r="H583" s="10">
        <v>4.1135000000000002</v>
      </c>
      <c r="I583" s="9">
        <f t="shared" si="20"/>
        <v>-4.1135000000000002</v>
      </c>
    </row>
    <row r="584" spans="1:9" x14ac:dyDescent="0.2">
      <c r="A584" t="s">
        <v>1221</v>
      </c>
      <c r="B584" t="s">
        <v>1222</v>
      </c>
      <c r="C584">
        <v>241</v>
      </c>
      <c r="D584" t="s">
        <v>1221</v>
      </c>
      <c r="E584">
        <v>241</v>
      </c>
      <c r="F584" s="1">
        <v>45167</v>
      </c>
      <c r="G584" s="7">
        <v>12.062499999999863</v>
      </c>
      <c r="H584" s="10">
        <v>4.1559999999999997</v>
      </c>
      <c r="I584" s="9">
        <f t="shared" si="20"/>
        <v>-4.1559999999999997</v>
      </c>
    </row>
    <row r="585" spans="1:9" x14ac:dyDescent="0.2">
      <c r="A585" t="s">
        <v>1223</v>
      </c>
      <c r="B585">
        <v>5.8040000000000001E-2</v>
      </c>
      <c r="C585">
        <v>241</v>
      </c>
      <c r="D585" t="s">
        <v>1223</v>
      </c>
      <c r="E585">
        <v>241</v>
      </c>
      <c r="F585" s="1">
        <v>45167</v>
      </c>
      <c r="G585" s="7">
        <v>12.072916666666529</v>
      </c>
      <c r="H585" s="10">
        <v>4.1440000000000001</v>
      </c>
      <c r="I585" s="9">
        <f t="shared" si="20"/>
        <v>-4.1440000000000001</v>
      </c>
    </row>
    <row r="586" spans="1:9" x14ac:dyDescent="0.2">
      <c r="A586" t="s">
        <v>1224</v>
      </c>
      <c r="B586">
        <v>5.7965000000000003E-2</v>
      </c>
      <c r="C586">
        <v>241</v>
      </c>
      <c r="D586" t="s">
        <v>1224</v>
      </c>
      <c r="E586">
        <v>241</v>
      </c>
      <c r="F586" s="1">
        <v>45167</v>
      </c>
      <c r="G586" s="7">
        <v>12.083333333333195</v>
      </c>
      <c r="H586" s="10">
        <v>4.1379999999999999</v>
      </c>
      <c r="I586" s="9">
        <f t="shared" si="20"/>
        <v>-4.1379999999999999</v>
      </c>
    </row>
    <row r="587" spans="1:9" x14ac:dyDescent="0.2">
      <c r="A587" t="s">
        <v>1225</v>
      </c>
      <c r="B587">
        <v>5.8009999999999999E-2</v>
      </c>
      <c r="C587">
        <v>241</v>
      </c>
      <c r="D587" t="s">
        <v>1225</v>
      </c>
      <c r="E587">
        <v>241</v>
      </c>
      <c r="F587" s="1">
        <v>45167</v>
      </c>
      <c r="G587" s="7">
        <v>12.093749999999861</v>
      </c>
      <c r="H587" s="10">
        <v>4.1420000000000003</v>
      </c>
      <c r="I587" s="9">
        <f t="shared" si="20"/>
        <v>-4.1420000000000003</v>
      </c>
    </row>
    <row r="588" spans="1:9" x14ac:dyDescent="0.2">
      <c r="A588" t="s">
        <v>1226</v>
      </c>
      <c r="B588">
        <v>5.7945000000000003E-2</v>
      </c>
      <c r="C588">
        <v>241</v>
      </c>
      <c r="D588" t="s">
        <v>1226</v>
      </c>
      <c r="E588">
        <v>241</v>
      </c>
      <c r="F588" s="1">
        <v>45167</v>
      </c>
      <c r="G588" s="7">
        <v>12.104166666666528</v>
      </c>
      <c r="H588" s="10">
        <v>4.1375000000000002</v>
      </c>
      <c r="I588" s="9">
        <f t="shared" si="20"/>
        <v>-4.1375000000000002</v>
      </c>
    </row>
    <row r="589" spans="1:9" x14ac:dyDescent="0.2">
      <c r="A589" t="s">
        <v>1227</v>
      </c>
      <c r="B589">
        <v>5.8205E-2</v>
      </c>
      <c r="C589">
        <v>241</v>
      </c>
      <c r="D589" t="s">
        <v>1227</v>
      </c>
      <c r="E589">
        <v>241</v>
      </c>
      <c r="F589" s="1">
        <v>45167</v>
      </c>
      <c r="G589" s="7">
        <v>12.114583333333194</v>
      </c>
      <c r="H589" s="10">
        <v>4.1550000000000002</v>
      </c>
      <c r="I589" s="9">
        <f t="shared" si="20"/>
        <v>-4.1550000000000002</v>
      </c>
    </row>
    <row r="590" spans="1:9" x14ac:dyDescent="0.2">
      <c r="A590" t="s">
        <v>1228</v>
      </c>
      <c r="B590">
        <v>5.815E-2</v>
      </c>
      <c r="C590">
        <v>241</v>
      </c>
      <c r="D590" t="s">
        <v>1228</v>
      </c>
      <c r="E590">
        <v>241</v>
      </c>
      <c r="F590" s="1">
        <v>45167</v>
      </c>
      <c r="G590" s="7">
        <v>12.12499999999986</v>
      </c>
      <c r="H590" s="10">
        <v>4.1520000000000001</v>
      </c>
      <c r="I590" s="9">
        <f t="shared" si="20"/>
        <v>-4.1520000000000001</v>
      </c>
    </row>
    <row r="591" spans="1:9" x14ac:dyDescent="0.2">
      <c r="A591" t="s">
        <v>1229</v>
      </c>
      <c r="B591">
        <v>5.7985000000000002E-2</v>
      </c>
      <c r="C591">
        <v>241</v>
      </c>
      <c r="D591" t="s">
        <v>1229</v>
      </c>
      <c r="E591">
        <v>241</v>
      </c>
      <c r="F591" s="1">
        <v>45167</v>
      </c>
      <c r="G591" s="7">
        <v>12.135416666666526</v>
      </c>
      <c r="H591" s="10">
        <v>4.1414999999999997</v>
      </c>
      <c r="I591" s="9">
        <f t="shared" si="20"/>
        <v>-4.1414999999999997</v>
      </c>
    </row>
    <row r="592" spans="1:9" x14ac:dyDescent="0.2">
      <c r="A592" t="s">
        <v>1230</v>
      </c>
      <c r="B592">
        <v>5.8180000000000003E-2</v>
      </c>
      <c r="C592">
        <v>241</v>
      </c>
      <c r="D592" t="s">
        <v>1230</v>
      </c>
      <c r="E592">
        <v>241</v>
      </c>
      <c r="F592" s="1">
        <v>45167</v>
      </c>
      <c r="G592" s="7">
        <v>12.145833333333192</v>
      </c>
      <c r="H592" s="10">
        <v>4.1544999999999996</v>
      </c>
      <c r="I592" s="9">
        <f t="shared" si="20"/>
        <v>-4.1544999999999996</v>
      </c>
    </row>
    <row r="593" spans="1:9" x14ac:dyDescent="0.2">
      <c r="A593" t="s">
        <v>1231</v>
      </c>
      <c r="B593">
        <v>5.8200000000000002E-2</v>
      </c>
      <c r="C593">
        <v>241</v>
      </c>
      <c r="D593" t="s">
        <v>1231</v>
      </c>
      <c r="E593">
        <v>241</v>
      </c>
      <c r="F593" s="1">
        <v>45167</v>
      </c>
      <c r="G593" s="7">
        <v>12.156249999999858</v>
      </c>
      <c r="H593" s="10">
        <v>4.1550000000000002</v>
      </c>
      <c r="I593" s="9">
        <f t="shared" si="20"/>
        <v>-4.1550000000000002</v>
      </c>
    </row>
    <row r="594" spans="1:9" x14ac:dyDescent="0.2">
      <c r="A594" t="s">
        <v>1232</v>
      </c>
      <c r="B594">
        <v>5.8145000000000002E-2</v>
      </c>
      <c r="C594">
        <v>241</v>
      </c>
      <c r="D594" t="s">
        <v>1232</v>
      </c>
      <c r="E594">
        <v>241</v>
      </c>
      <c r="F594" s="1">
        <v>45167</v>
      </c>
      <c r="G594" s="7">
        <v>12.166666666666524</v>
      </c>
      <c r="H594" s="10">
        <v>4.1509999999999998</v>
      </c>
      <c r="I594" s="9">
        <f t="shared" si="20"/>
        <v>-4.1509999999999998</v>
      </c>
    </row>
    <row r="595" spans="1:9" x14ac:dyDescent="0.2">
      <c r="A595" t="s">
        <v>1233</v>
      </c>
      <c r="B595" t="s">
        <v>1234</v>
      </c>
      <c r="C595">
        <v>241</v>
      </c>
      <c r="D595" t="s">
        <v>1233</v>
      </c>
      <c r="E595">
        <v>241</v>
      </c>
      <c r="F595" s="1">
        <v>45167</v>
      </c>
      <c r="G595" s="7">
        <v>12.17708333333319</v>
      </c>
      <c r="H595" s="10">
        <v>4.1555</v>
      </c>
      <c r="I595" s="9">
        <f t="shared" si="20"/>
        <v>-4.1555</v>
      </c>
    </row>
    <row r="596" spans="1:9" x14ac:dyDescent="0.2">
      <c r="A596" t="s">
        <v>1235</v>
      </c>
      <c r="B596">
        <v>5.8005000000000001E-2</v>
      </c>
      <c r="C596">
        <v>241</v>
      </c>
      <c r="D596" t="s">
        <v>1235</v>
      </c>
      <c r="E596">
        <v>241</v>
      </c>
      <c r="F596" s="1">
        <v>45167</v>
      </c>
      <c r="G596" s="7">
        <v>12.187499999999856</v>
      </c>
      <c r="H596" s="10">
        <v>4.141</v>
      </c>
      <c r="I596" s="9">
        <f t="shared" si="20"/>
        <v>-4.141</v>
      </c>
    </row>
    <row r="597" spans="1:9" x14ac:dyDescent="0.2">
      <c r="A597" t="s">
        <v>1236</v>
      </c>
      <c r="B597">
        <v>5.8084999999999998E-2</v>
      </c>
      <c r="C597">
        <v>241</v>
      </c>
      <c r="D597" t="s">
        <v>1236</v>
      </c>
      <c r="E597">
        <v>241</v>
      </c>
      <c r="F597" s="1">
        <v>45167</v>
      </c>
      <c r="G597" s="7">
        <v>12.197916666666522</v>
      </c>
      <c r="H597" s="10">
        <v>4.1479999999999997</v>
      </c>
      <c r="I597" s="9">
        <f t="shared" si="20"/>
        <v>-4.1479999999999997</v>
      </c>
    </row>
    <row r="598" spans="1:9" x14ac:dyDescent="0.2">
      <c r="A598" t="s">
        <v>1237</v>
      </c>
      <c r="B598">
        <v>5.7639999999999997E-2</v>
      </c>
      <c r="C598">
        <v>241</v>
      </c>
      <c r="D598" t="s">
        <v>1237</v>
      </c>
      <c r="E598">
        <v>241</v>
      </c>
      <c r="F598" s="1">
        <v>45167</v>
      </c>
      <c r="G598" s="7">
        <v>12.208333333333188</v>
      </c>
      <c r="H598" s="10">
        <v>4.1144999999999996</v>
      </c>
      <c r="I598" s="9">
        <f t="shared" si="20"/>
        <v>-4.1144999999999996</v>
      </c>
    </row>
    <row r="599" spans="1:9" x14ac:dyDescent="0.2">
      <c r="A599" t="s">
        <v>1238</v>
      </c>
      <c r="B599">
        <v>5.7669999999999999E-2</v>
      </c>
      <c r="C599">
        <v>241</v>
      </c>
      <c r="D599" t="s">
        <v>1238</v>
      </c>
      <c r="E599">
        <v>241</v>
      </c>
      <c r="F599" s="1">
        <v>45167</v>
      </c>
      <c r="G599" s="7">
        <v>12.218749999999854</v>
      </c>
      <c r="H599" s="10">
        <v>4.1180000000000003</v>
      </c>
      <c r="I599" s="9">
        <f t="shared" si="20"/>
        <v>-4.1180000000000003</v>
      </c>
    </row>
    <row r="600" spans="1:9" x14ac:dyDescent="0.2">
      <c r="A600" t="s">
        <v>1239</v>
      </c>
      <c r="B600">
        <v>5.7674999999999997E-2</v>
      </c>
      <c r="C600">
        <v>241</v>
      </c>
      <c r="D600" t="s">
        <v>1239</v>
      </c>
      <c r="E600">
        <v>241</v>
      </c>
      <c r="F600" s="1">
        <v>45167</v>
      </c>
      <c r="G600" s="7">
        <v>12.22916666666652</v>
      </c>
      <c r="H600" s="10">
        <v>4.1174999999999997</v>
      </c>
      <c r="I600" s="9">
        <f t="shared" si="20"/>
        <v>-4.1174999999999997</v>
      </c>
    </row>
    <row r="601" spans="1:9" x14ac:dyDescent="0.2">
      <c r="A601" t="s">
        <v>1240</v>
      </c>
      <c r="B601">
        <v>5.772E-2</v>
      </c>
      <c r="C601">
        <v>241</v>
      </c>
      <c r="D601" t="s">
        <v>1240</v>
      </c>
      <c r="E601">
        <v>241</v>
      </c>
      <c r="F601" s="1">
        <v>45167</v>
      </c>
      <c r="G601" s="7">
        <v>12.239583333333186</v>
      </c>
      <c r="H601" s="10">
        <v>4.12</v>
      </c>
      <c r="I601" s="9">
        <f t="shared" si="20"/>
        <v>-4.12</v>
      </c>
    </row>
    <row r="602" spans="1:9" x14ac:dyDescent="0.2">
      <c r="A602" t="s">
        <v>1241</v>
      </c>
      <c r="B602">
        <v>5.7669999999999999E-2</v>
      </c>
      <c r="C602">
        <v>241</v>
      </c>
      <c r="D602" t="s">
        <v>1241</v>
      </c>
      <c r="E602">
        <v>241</v>
      </c>
      <c r="F602" s="1">
        <v>45167</v>
      </c>
      <c r="G602" s="7">
        <v>12.249999999999853</v>
      </c>
      <c r="H602" s="10">
        <v>4.117</v>
      </c>
      <c r="I602" s="9">
        <f t="shared" si="20"/>
        <v>-4.117</v>
      </c>
    </row>
    <row r="603" spans="1:9" x14ac:dyDescent="0.2">
      <c r="A603" t="s">
        <v>1242</v>
      </c>
      <c r="B603">
        <v>5.7544999999999999E-2</v>
      </c>
      <c r="C603">
        <v>241</v>
      </c>
      <c r="D603" t="s">
        <v>1242</v>
      </c>
      <c r="E603">
        <v>241</v>
      </c>
      <c r="F603" s="1">
        <v>45167</v>
      </c>
      <c r="G603" s="7">
        <v>12.260416666666519</v>
      </c>
      <c r="H603" s="10">
        <v>4.1085000000000003</v>
      </c>
      <c r="I603" s="9">
        <f t="shared" si="20"/>
        <v>-4.1085000000000003</v>
      </c>
    </row>
    <row r="604" spans="1:9" x14ac:dyDescent="0.2">
      <c r="A604" t="s">
        <v>1243</v>
      </c>
      <c r="B604">
        <v>5.7654999999999998E-2</v>
      </c>
      <c r="C604">
        <v>241</v>
      </c>
      <c r="D604" t="s">
        <v>1243</v>
      </c>
      <c r="E604">
        <v>241</v>
      </c>
      <c r="F604" s="1">
        <v>45167</v>
      </c>
      <c r="G604" s="7">
        <v>12.270833333333185</v>
      </c>
      <c r="H604" s="10">
        <v>4.117</v>
      </c>
      <c r="I604" s="9">
        <f t="shared" si="20"/>
        <v>-4.117</v>
      </c>
    </row>
    <row r="605" spans="1:9" x14ac:dyDescent="0.2">
      <c r="A605" t="s">
        <v>1244</v>
      </c>
      <c r="B605">
        <v>5.7509999999999999E-2</v>
      </c>
      <c r="C605">
        <v>241</v>
      </c>
      <c r="D605" t="s">
        <v>1244</v>
      </c>
      <c r="E605">
        <v>241</v>
      </c>
      <c r="F605" s="1">
        <v>45167</v>
      </c>
      <c r="G605" s="7">
        <v>12.281249999999851</v>
      </c>
      <c r="H605" s="10">
        <v>4.1064999999999996</v>
      </c>
      <c r="I605" s="9">
        <f t="shared" si="20"/>
        <v>-4.1064999999999996</v>
      </c>
    </row>
    <row r="606" spans="1:9" x14ac:dyDescent="0.2">
      <c r="A606" t="s">
        <v>1245</v>
      </c>
      <c r="B606">
        <v>5.7224999999999998E-2</v>
      </c>
      <c r="C606">
        <v>241</v>
      </c>
      <c r="D606" t="s">
        <v>1245</v>
      </c>
      <c r="E606">
        <v>241</v>
      </c>
      <c r="F606" s="1">
        <v>45167</v>
      </c>
      <c r="G606" s="7">
        <v>12.291666666666517</v>
      </c>
      <c r="H606" s="10">
        <v>4.0845000000000002</v>
      </c>
      <c r="I606" s="9">
        <f t="shared" si="20"/>
        <v>-4.0845000000000002</v>
      </c>
    </row>
    <row r="607" spans="1:9" x14ac:dyDescent="0.2">
      <c r="A607" t="s">
        <v>1246</v>
      </c>
      <c r="B607">
        <v>5.7185E-2</v>
      </c>
      <c r="C607">
        <v>241</v>
      </c>
      <c r="D607" t="s">
        <v>1246</v>
      </c>
      <c r="E607">
        <v>241</v>
      </c>
      <c r="F607" s="1">
        <v>45167</v>
      </c>
      <c r="G607" s="7">
        <v>12.302083333333183</v>
      </c>
      <c r="H607" s="10">
        <v>4.0839999999999996</v>
      </c>
      <c r="I607" s="9">
        <f t="shared" si="20"/>
        <v>-4.0839999999999996</v>
      </c>
    </row>
    <row r="608" spans="1:9" x14ac:dyDescent="0.2">
      <c r="A608" t="s">
        <v>1247</v>
      </c>
      <c r="B608">
        <v>5.731E-2</v>
      </c>
      <c r="C608">
        <v>241</v>
      </c>
      <c r="D608" t="s">
        <v>1247</v>
      </c>
      <c r="E608">
        <v>241</v>
      </c>
      <c r="F608" s="1">
        <v>45167</v>
      </c>
      <c r="G608" s="7">
        <v>12.312499999999849</v>
      </c>
      <c r="H608" s="10">
        <v>4.0919999999999996</v>
      </c>
      <c r="I608" s="9">
        <f t="shared" si="20"/>
        <v>-4.0919999999999996</v>
      </c>
    </row>
    <row r="609" spans="1:9" x14ac:dyDescent="0.2">
      <c r="A609" t="s">
        <v>1248</v>
      </c>
      <c r="B609">
        <v>5.672E-2</v>
      </c>
      <c r="C609">
        <v>241</v>
      </c>
      <c r="D609" t="s">
        <v>1248</v>
      </c>
      <c r="E609">
        <v>241</v>
      </c>
      <c r="F609" s="1">
        <v>45167</v>
      </c>
      <c r="G609" s="7">
        <v>12.322916666666515</v>
      </c>
      <c r="H609" s="10">
        <v>4.0490000000000004</v>
      </c>
      <c r="I609" s="9">
        <f t="shared" si="20"/>
        <v>-4.0490000000000004</v>
      </c>
    </row>
    <row r="610" spans="1:9" x14ac:dyDescent="0.2">
      <c r="A610" t="s">
        <v>1249</v>
      </c>
      <c r="B610">
        <v>5.6654999999999997E-2</v>
      </c>
      <c r="C610">
        <v>241</v>
      </c>
      <c r="D610" t="s">
        <v>1249</v>
      </c>
      <c r="E610">
        <v>241</v>
      </c>
      <c r="F610" s="1">
        <v>45167</v>
      </c>
      <c r="G610" s="7">
        <v>12.333333333333181</v>
      </c>
      <c r="H610" s="10">
        <v>4.0439999999999996</v>
      </c>
      <c r="I610" s="9">
        <f t="shared" si="20"/>
        <v>-4.0439999999999996</v>
      </c>
    </row>
    <row r="611" spans="1:9" x14ac:dyDescent="0.2">
      <c r="A611" t="s">
        <v>1250</v>
      </c>
      <c r="B611">
        <v>5.6375000000000001E-2</v>
      </c>
      <c r="C611">
        <v>241</v>
      </c>
      <c r="D611" t="s">
        <v>1250</v>
      </c>
      <c r="E611">
        <v>241</v>
      </c>
      <c r="F611" s="1">
        <v>45167</v>
      </c>
      <c r="G611" s="7">
        <v>12.343749999999847</v>
      </c>
      <c r="H611" s="10">
        <v>4.0259999999999998</v>
      </c>
      <c r="I611" s="9">
        <f t="shared" si="20"/>
        <v>-4.0259999999999998</v>
      </c>
    </row>
    <row r="612" spans="1:9" x14ac:dyDescent="0.2">
      <c r="A612" t="s">
        <v>1251</v>
      </c>
      <c r="B612">
        <v>5.5969999999999999E-2</v>
      </c>
      <c r="C612">
        <v>241</v>
      </c>
      <c r="D612" t="s">
        <v>1251</v>
      </c>
      <c r="E612">
        <v>241</v>
      </c>
      <c r="F612" s="1">
        <v>45167</v>
      </c>
      <c r="G612" s="7">
        <v>12.354166666666513</v>
      </c>
      <c r="H612" s="10">
        <v>3.9969999999999999</v>
      </c>
      <c r="I612" s="9">
        <f t="shared" si="20"/>
        <v>-3.9969999999999999</v>
      </c>
    </row>
    <row r="613" spans="1:9" x14ac:dyDescent="0.2">
      <c r="A613" t="s">
        <v>1252</v>
      </c>
      <c r="B613">
        <v>5.5585000000000002E-2</v>
      </c>
      <c r="C613">
        <v>241</v>
      </c>
      <c r="D613" t="s">
        <v>1252</v>
      </c>
      <c r="E613">
        <v>241</v>
      </c>
      <c r="F613" s="1">
        <v>45167</v>
      </c>
      <c r="G613" s="7">
        <v>12.364583333333179</v>
      </c>
      <c r="H613" s="10">
        <v>3.9685000000000001</v>
      </c>
      <c r="I613" s="9">
        <f t="shared" si="20"/>
        <v>-3.9685000000000001</v>
      </c>
    </row>
    <row r="614" spans="1:9" x14ac:dyDescent="0.2">
      <c r="A614" t="s">
        <v>1253</v>
      </c>
      <c r="B614">
        <v>5.5399999999999998E-2</v>
      </c>
      <c r="C614">
        <v>241</v>
      </c>
      <c r="D614" t="s">
        <v>1253</v>
      </c>
      <c r="E614">
        <v>241</v>
      </c>
      <c r="F614" s="1">
        <v>45167</v>
      </c>
      <c r="G614" s="7">
        <v>12.374999999999845</v>
      </c>
      <c r="H614" s="10">
        <v>3.9550000000000001</v>
      </c>
      <c r="I614" s="9">
        <f t="shared" si="20"/>
        <v>-3.9550000000000001</v>
      </c>
    </row>
    <row r="615" spans="1:9" x14ac:dyDescent="0.2">
      <c r="A615" t="s">
        <v>1254</v>
      </c>
      <c r="B615">
        <v>5.4815000000000003E-2</v>
      </c>
      <c r="C615">
        <v>241</v>
      </c>
      <c r="D615" t="s">
        <v>1254</v>
      </c>
      <c r="E615">
        <v>241</v>
      </c>
      <c r="F615" s="1">
        <v>45167</v>
      </c>
      <c r="G615" s="7">
        <v>12.385416666666512</v>
      </c>
      <c r="H615" s="10">
        <v>3.9119999999999999</v>
      </c>
      <c r="I615" s="9">
        <f t="shared" si="20"/>
        <v>-3.9119999999999999</v>
      </c>
    </row>
    <row r="616" spans="1:9" x14ac:dyDescent="0.2">
      <c r="A616" t="s">
        <v>1255</v>
      </c>
      <c r="B616">
        <v>5.3644999999999998E-2</v>
      </c>
      <c r="C616">
        <v>241</v>
      </c>
      <c r="D616" t="s">
        <v>1255</v>
      </c>
      <c r="E616">
        <v>241</v>
      </c>
      <c r="F616" s="1">
        <v>45167</v>
      </c>
      <c r="G616" s="7">
        <v>12.395833333333178</v>
      </c>
      <c r="H616" s="10">
        <v>3.8294999999999999</v>
      </c>
      <c r="I616" s="9">
        <f t="shared" si="20"/>
        <v>-3.8294999999999999</v>
      </c>
    </row>
    <row r="617" spans="1:9" x14ac:dyDescent="0.2">
      <c r="A617" t="s">
        <v>1256</v>
      </c>
      <c r="B617">
        <v>5.321E-2</v>
      </c>
      <c r="C617">
        <v>241</v>
      </c>
      <c r="D617" t="s">
        <v>1256</v>
      </c>
      <c r="E617">
        <v>241</v>
      </c>
      <c r="F617" s="1">
        <v>45167</v>
      </c>
      <c r="G617" s="7">
        <v>12.406249999999844</v>
      </c>
      <c r="H617" s="10">
        <v>3.7995000000000001</v>
      </c>
      <c r="I617" s="9">
        <f t="shared" si="20"/>
        <v>-3.7995000000000001</v>
      </c>
    </row>
    <row r="618" spans="1:9" x14ac:dyDescent="0.2">
      <c r="A618" t="s">
        <v>1257</v>
      </c>
      <c r="B618">
        <v>5.2420000000000001E-2</v>
      </c>
      <c r="C618">
        <v>241</v>
      </c>
      <c r="D618" t="s">
        <v>1257</v>
      </c>
      <c r="E618">
        <v>241</v>
      </c>
      <c r="F618" s="1">
        <v>45167</v>
      </c>
      <c r="G618" s="7">
        <v>12.41666666666651</v>
      </c>
      <c r="H618" s="10">
        <v>3.742</v>
      </c>
      <c r="I618" s="9">
        <f t="shared" si="20"/>
        <v>-3.742</v>
      </c>
    </row>
    <row r="619" spans="1:9" x14ac:dyDescent="0.2">
      <c r="A619" t="s">
        <v>1258</v>
      </c>
      <c r="B619">
        <v>5.2104999999999999E-2</v>
      </c>
      <c r="C619">
        <v>241</v>
      </c>
      <c r="D619" t="s">
        <v>1258</v>
      </c>
      <c r="E619">
        <v>241</v>
      </c>
      <c r="F619" s="1">
        <v>45167</v>
      </c>
      <c r="G619" s="7">
        <v>12.427083333333176</v>
      </c>
      <c r="H619" s="10">
        <v>3.7189999999999999</v>
      </c>
      <c r="I619" s="9">
        <f t="shared" si="20"/>
        <v>-3.7189999999999999</v>
      </c>
    </row>
    <row r="620" spans="1:9" x14ac:dyDescent="0.2">
      <c r="A620" t="s">
        <v>1259</v>
      </c>
      <c r="B620">
        <v>5.135E-2</v>
      </c>
      <c r="C620">
        <v>241</v>
      </c>
      <c r="D620" t="s">
        <v>1259</v>
      </c>
      <c r="E620">
        <v>241</v>
      </c>
      <c r="F620" s="1">
        <v>45167</v>
      </c>
      <c r="G620" s="7">
        <v>12.437499999999842</v>
      </c>
      <c r="H620" s="10">
        <v>3.6669999999999998</v>
      </c>
      <c r="I620" s="9">
        <f t="shared" si="20"/>
        <v>-3.6669999999999998</v>
      </c>
    </row>
    <row r="621" spans="1:9" x14ac:dyDescent="0.2">
      <c r="A621" t="s">
        <v>1260</v>
      </c>
      <c r="B621">
        <v>5.0805000000000003E-2</v>
      </c>
      <c r="C621">
        <v>241</v>
      </c>
      <c r="D621" t="s">
        <v>1260</v>
      </c>
      <c r="E621">
        <v>241</v>
      </c>
      <c r="F621" s="1">
        <v>45167</v>
      </c>
      <c r="G621" s="7">
        <v>12.447916666666508</v>
      </c>
      <c r="H621" s="10">
        <v>3.6259999999999999</v>
      </c>
      <c r="I621" s="9">
        <f t="shared" si="20"/>
        <v>-3.6259999999999999</v>
      </c>
    </row>
    <row r="622" spans="1:9" x14ac:dyDescent="0.2">
      <c r="A622" t="s">
        <v>1261</v>
      </c>
      <c r="B622">
        <v>5.0130000000000001E-2</v>
      </c>
      <c r="C622">
        <v>241</v>
      </c>
      <c r="D622" t="s">
        <v>1261</v>
      </c>
      <c r="E622">
        <v>241</v>
      </c>
      <c r="F622" s="1">
        <v>45167</v>
      </c>
      <c r="G622" s="7">
        <v>12.458333333333174</v>
      </c>
      <c r="H622" s="10">
        <v>3.5790000000000002</v>
      </c>
      <c r="I622" s="9">
        <f t="shared" si="20"/>
        <v>-3.5790000000000002</v>
      </c>
    </row>
    <row r="623" spans="1:9" x14ac:dyDescent="0.2">
      <c r="A623" t="s">
        <v>1262</v>
      </c>
      <c r="B623" t="s">
        <v>1263</v>
      </c>
      <c r="C623">
        <v>241</v>
      </c>
      <c r="D623" t="s">
        <v>1262</v>
      </c>
      <c r="E623">
        <v>241</v>
      </c>
      <c r="F623" s="1">
        <v>45167</v>
      </c>
      <c r="G623" s="7">
        <v>12.46874999999984</v>
      </c>
      <c r="H623" s="10">
        <v>3.573</v>
      </c>
      <c r="I623" s="9">
        <f t="shared" si="20"/>
        <v>-3.573</v>
      </c>
    </row>
    <row r="624" spans="1:9" x14ac:dyDescent="0.2">
      <c r="A624" t="s">
        <v>1264</v>
      </c>
      <c r="B624">
        <v>4.9485000000000001E-2</v>
      </c>
      <c r="C624">
        <v>241</v>
      </c>
      <c r="D624" t="s">
        <v>1264</v>
      </c>
      <c r="E624">
        <v>241</v>
      </c>
      <c r="F624" s="1">
        <v>45167</v>
      </c>
      <c r="G624" s="7">
        <v>12.479166666666506</v>
      </c>
      <c r="H624" s="10">
        <v>3.532</v>
      </c>
      <c r="I624" s="9">
        <f t="shared" si="20"/>
        <v>-3.532</v>
      </c>
    </row>
    <row r="625" spans="1:9" x14ac:dyDescent="0.2">
      <c r="A625" t="s">
        <v>1265</v>
      </c>
      <c r="B625">
        <v>4.9189999999999998E-2</v>
      </c>
      <c r="C625">
        <v>241</v>
      </c>
      <c r="D625" t="s">
        <v>1265</v>
      </c>
      <c r="E625">
        <v>241</v>
      </c>
      <c r="F625" s="1">
        <v>45167</v>
      </c>
      <c r="G625" s="7">
        <v>12.489583333333172</v>
      </c>
      <c r="H625" s="10">
        <v>3.5114999999999998</v>
      </c>
      <c r="I625" s="9">
        <f t="shared" si="20"/>
        <v>-3.5114999999999998</v>
      </c>
    </row>
    <row r="626" spans="1:9" x14ac:dyDescent="0.2">
      <c r="A626" t="s">
        <v>1266</v>
      </c>
      <c r="B626">
        <v>4.9529999999999998E-2</v>
      </c>
      <c r="C626">
        <v>241</v>
      </c>
      <c r="D626" t="s">
        <v>1266</v>
      </c>
      <c r="E626">
        <v>241</v>
      </c>
      <c r="F626" s="1">
        <v>45167</v>
      </c>
      <c r="G626" s="7">
        <v>12.499999999999838</v>
      </c>
      <c r="H626" s="10">
        <v>3.5354999999999999</v>
      </c>
      <c r="I626" s="9">
        <f t="shared" si="20"/>
        <v>-3.5354999999999999</v>
      </c>
    </row>
    <row r="627" spans="1:9" x14ac:dyDescent="0.2">
      <c r="A627" t="s">
        <v>1267</v>
      </c>
      <c r="B627">
        <v>4.9224999999999998E-2</v>
      </c>
      <c r="C627">
        <v>241</v>
      </c>
      <c r="D627" t="s">
        <v>1267</v>
      </c>
      <c r="E627">
        <v>241</v>
      </c>
      <c r="F627" s="1">
        <v>45167</v>
      </c>
      <c r="G627" s="7">
        <v>12.510416666666504</v>
      </c>
      <c r="H627" s="10">
        <v>3.5145</v>
      </c>
      <c r="I627" s="9">
        <f t="shared" si="20"/>
        <v>-3.5145</v>
      </c>
    </row>
    <row r="628" spans="1:9" x14ac:dyDescent="0.2">
      <c r="A628" t="s">
        <v>1268</v>
      </c>
      <c r="B628">
        <v>4.9075000000000001E-2</v>
      </c>
      <c r="C628">
        <v>241</v>
      </c>
      <c r="D628" t="s">
        <v>1268</v>
      </c>
      <c r="E628">
        <v>241</v>
      </c>
      <c r="F628" s="1">
        <v>45167</v>
      </c>
      <c r="G628" s="7">
        <v>12.520833333333171</v>
      </c>
      <c r="H628" s="10">
        <v>3.504</v>
      </c>
      <c r="I628" s="9">
        <f t="shared" si="20"/>
        <v>-3.504</v>
      </c>
    </row>
    <row r="629" spans="1:9" x14ac:dyDescent="0.2">
      <c r="A629" t="s">
        <v>1269</v>
      </c>
      <c r="B629">
        <v>4.8899999999999999E-2</v>
      </c>
      <c r="C629">
        <v>241</v>
      </c>
      <c r="D629" t="s">
        <v>1269</v>
      </c>
      <c r="E629">
        <v>241</v>
      </c>
      <c r="F629" s="1">
        <v>45167</v>
      </c>
      <c r="G629" s="7">
        <v>12.531249999999837</v>
      </c>
      <c r="H629" s="10">
        <v>3.4904999999999999</v>
      </c>
      <c r="I629" s="9">
        <f t="shared" si="20"/>
        <v>-3.4904999999999999</v>
      </c>
    </row>
    <row r="630" spans="1:9" x14ac:dyDescent="0.2">
      <c r="A630" t="s">
        <v>1270</v>
      </c>
      <c r="B630">
        <v>4.8230000000000002E-2</v>
      </c>
      <c r="C630">
        <v>241</v>
      </c>
      <c r="D630" t="s">
        <v>1270</v>
      </c>
      <c r="E630">
        <v>241</v>
      </c>
      <c r="F630" s="1">
        <v>45167</v>
      </c>
      <c r="G630" s="7">
        <v>12.541666666666503</v>
      </c>
      <c r="H630" s="10">
        <v>3.4445000000000001</v>
      </c>
      <c r="I630" s="9">
        <f t="shared" si="20"/>
        <v>-3.4445000000000001</v>
      </c>
    </row>
    <row r="631" spans="1:9" x14ac:dyDescent="0.2">
      <c r="A631" t="s">
        <v>1271</v>
      </c>
      <c r="B631">
        <v>4.7934999999999998E-2</v>
      </c>
      <c r="C631">
        <v>241</v>
      </c>
      <c r="D631" t="s">
        <v>1271</v>
      </c>
      <c r="E631">
        <v>241</v>
      </c>
      <c r="F631" s="1">
        <v>45167</v>
      </c>
      <c r="G631" s="7">
        <v>12.552083333333169</v>
      </c>
      <c r="H631" s="10">
        <v>3.4220000000000002</v>
      </c>
      <c r="I631" s="9">
        <f t="shared" si="20"/>
        <v>-3.4220000000000002</v>
      </c>
    </row>
    <row r="632" spans="1:9" x14ac:dyDescent="0.2">
      <c r="A632" t="s">
        <v>1272</v>
      </c>
      <c r="B632">
        <v>4.8079999999999998E-2</v>
      </c>
      <c r="C632">
        <v>241</v>
      </c>
      <c r="D632" t="s">
        <v>1272</v>
      </c>
      <c r="E632">
        <v>241</v>
      </c>
      <c r="F632" s="1">
        <v>45167</v>
      </c>
      <c r="G632" s="7">
        <v>12.562499999999835</v>
      </c>
      <c r="H632" s="10">
        <v>3.4319999999999999</v>
      </c>
      <c r="I632" s="9">
        <f t="shared" si="20"/>
        <v>-3.4319999999999999</v>
      </c>
    </row>
    <row r="633" spans="1:9" x14ac:dyDescent="0.2">
      <c r="A633" t="s">
        <v>1273</v>
      </c>
      <c r="B633">
        <v>4.7335000000000002E-2</v>
      </c>
      <c r="C633">
        <v>241</v>
      </c>
      <c r="D633" t="s">
        <v>1273</v>
      </c>
      <c r="E633">
        <v>241</v>
      </c>
      <c r="F633" s="1">
        <v>45167</v>
      </c>
      <c r="G633" s="7">
        <v>12.572916666666501</v>
      </c>
      <c r="H633" s="10">
        <v>3.3795000000000002</v>
      </c>
      <c r="I633" s="9">
        <f t="shared" si="20"/>
        <v>-3.3795000000000002</v>
      </c>
    </row>
    <row r="634" spans="1:9" x14ac:dyDescent="0.2">
      <c r="A634" t="s">
        <v>1274</v>
      </c>
      <c r="B634">
        <v>4.743E-2</v>
      </c>
      <c r="C634">
        <v>241</v>
      </c>
      <c r="D634" t="s">
        <v>1274</v>
      </c>
      <c r="E634">
        <v>241</v>
      </c>
      <c r="F634" s="1">
        <v>45167</v>
      </c>
      <c r="G634" s="7">
        <v>12.583333333333167</v>
      </c>
      <c r="H634" s="10">
        <v>3.3860000000000001</v>
      </c>
      <c r="I634" s="9">
        <f t="shared" si="20"/>
        <v>-3.3860000000000001</v>
      </c>
    </row>
    <row r="635" spans="1:9" x14ac:dyDescent="0.2">
      <c r="A635" t="s">
        <v>1275</v>
      </c>
      <c r="B635">
        <v>4.7274999999999998E-2</v>
      </c>
      <c r="C635">
        <v>241</v>
      </c>
      <c r="D635" t="s">
        <v>1275</v>
      </c>
      <c r="E635">
        <v>241</v>
      </c>
      <c r="F635" s="1">
        <v>45167</v>
      </c>
      <c r="G635" s="7">
        <v>12.593749999999833</v>
      </c>
      <c r="H635" s="10">
        <v>3.3759999999999999</v>
      </c>
      <c r="I635" s="9">
        <f t="shared" si="20"/>
        <v>-3.3759999999999999</v>
      </c>
    </row>
    <row r="636" spans="1:9" x14ac:dyDescent="0.2">
      <c r="A636" t="s">
        <v>1276</v>
      </c>
      <c r="B636">
        <v>4.7309999999999998E-2</v>
      </c>
      <c r="C636">
        <v>241</v>
      </c>
      <c r="D636" t="s">
        <v>1276</v>
      </c>
      <c r="E636">
        <v>241</v>
      </c>
      <c r="F636" s="1">
        <v>45167</v>
      </c>
      <c r="G636" s="7">
        <v>12.604166666666499</v>
      </c>
      <c r="H636" s="10" t="s">
        <v>1277</v>
      </c>
      <c r="I636" s="9">
        <f t="shared" si="20"/>
        <v>-3.3769999999999998</v>
      </c>
    </row>
    <row r="637" spans="1:9" x14ac:dyDescent="0.2">
      <c r="A637" t="s">
        <v>1278</v>
      </c>
      <c r="B637">
        <v>4.7254999999999998E-2</v>
      </c>
      <c r="C637">
        <v>241</v>
      </c>
      <c r="D637" t="s">
        <v>1278</v>
      </c>
      <c r="E637">
        <v>241</v>
      </c>
      <c r="F637" s="1">
        <v>45167</v>
      </c>
      <c r="G637" s="7">
        <v>12.614583333333165</v>
      </c>
      <c r="H637" s="10">
        <v>3.3744999999999998</v>
      </c>
      <c r="I637" s="9">
        <f t="shared" si="20"/>
        <v>-3.3744999999999998</v>
      </c>
    </row>
    <row r="638" spans="1:9" x14ac:dyDescent="0.2">
      <c r="A638" t="s">
        <v>1279</v>
      </c>
      <c r="B638">
        <v>4.6554999999999999E-2</v>
      </c>
      <c r="C638">
        <v>241</v>
      </c>
      <c r="D638" t="s">
        <v>1279</v>
      </c>
      <c r="E638">
        <v>241</v>
      </c>
      <c r="F638" s="1">
        <v>45167</v>
      </c>
      <c r="G638" s="7">
        <v>12.624999999999831</v>
      </c>
      <c r="H638" s="10">
        <v>3.3245</v>
      </c>
      <c r="I638" s="9">
        <f t="shared" si="20"/>
        <v>-3.3245</v>
      </c>
    </row>
    <row r="639" spans="1:9" x14ac:dyDescent="0.2">
      <c r="A639" t="s">
        <v>1280</v>
      </c>
      <c r="B639">
        <v>4.6519999999999999E-2</v>
      </c>
      <c r="C639">
        <v>241</v>
      </c>
      <c r="D639" t="s">
        <v>1280</v>
      </c>
      <c r="E639">
        <v>241</v>
      </c>
      <c r="F639" s="1">
        <v>45167</v>
      </c>
      <c r="G639" s="7">
        <v>12.635416666666497</v>
      </c>
      <c r="H639" s="10">
        <v>3.3220000000000001</v>
      </c>
      <c r="I639" s="9">
        <f t="shared" si="20"/>
        <v>-3.3220000000000001</v>
      </c>
    </row>
    <row r="640" spans="1:9" x14ac:dyDescent="0.2">
      <c r="A640" t="s">
        <v>1281</v>
      </c>
      <c r="B640">
        <v>4.6274999999999997E-2</v>
      </c>
      <c r="C640">
        <v>241</v>
      </c>
      <c r="D640" t="s">
        <v>1281</v>
      </c>
      <c r="E640">
        <v>241</v>
      </c>
      <c r="F640" s="1">
        <v>45167</v>
      </c>
      <c r="G640" s="7">
        <v>12.645833333333163</v>
      </c>
      <c r="H640" s="10">
        <v>3.3045</v>
      </c>
      <c r="I640" s="9">
        <f t="shared" si="20"/>
        <v>-3.3045</v>
      </c>
    </row>
    <row r="641" spans="1:9" x14ac:dyDescent="0.2">
      <c r="A641" t="s">
        <v>1282</v>
      </c>
      <c r="B641">
        <v>4.6295000000000003E-2</v>
      </c>
      <c r="C641">
        <v>241</v>
      </c>
      <c r="D641" t="s">
        <v>1282</v>
      </c>
      <c r="E641">
        <v>241</v>
      </c>
      <c r="F641" s="1">
        <v>45167</v>
      </c>
      <c r="G641" s="7">
        <v>12.656249999999829</v>
      </c>
      <c r="H641" s="10">
        <v>3.3050000000000002</v>
      </c>
      <c r="I641" s="9">
        <f t="shared" si="20"/>
        <v>-3.3050000000000002</v>
      </c>
    </row>
    <row r="642" spans="1:9" x14ac:dyDescent="0.2">
      <c r="A642" t="s">
        <v>1283</v>
      </c>
      <c r="B642">
        <v>4.6484999999999999E-2</v>
      </c>
      <c r="C642">
        <v>241</v>
      </c>
      <c r="D642" t="s">
        <v>1283</v>
      </c>
      <c r="E642">
        <v>241</v>
      </c>
      <c r="F642" s="1">
        <v>45167</v>
      </c>
      <c r="G642" s="7">
        <v>12.666666666666496</v>
      </c>
      <c r="H642" s="10">
        <v>3.319</v>
      </c>
      <c r="I642" s="9">
        <f t="shared" si="20"/>
        <v>-3.319</v>
      </c>
    </row>
    <row r="643" spans="1:9" x14ac:dyDescent="0.2">
      <c r="A643" t="s">
        <v>1284</v>
      </c>
      <c r="B643">
        <v>4.589E-2</v>
      </c>
      <c r="C643">
        <v>241</v>
      </c>
      <c r="D643" t="s">
        <v>1284</v>
      </c>
      <c r="E643">
        <v>241</v>
      </c>
      <c r="F643" s="1">
        <v>45167</v>
      </c>
      <c r="G643" s="7">
        <v>12.677083333333162</v>
      </c>
      <c r="H643" s="10">
        <v>3.2755000000000001</v>
      </c>
      <c r="I643" s="9">
        <f t="shared" ref="I643:I706" si="21">-H643</f>
        <v>-3.2755000000000001</v>
      </c>
    </row>
    <row r="644" spans="1:9" x14ac:dyDescent="0.2">
      <c r="A644" t="s">
        <v>1285</v>
      </c>
      <c r="B644">
        <v>4.6635000000000003E-2</v>
      </c>
      <c r="C644">
        <v>241</v>
      </c>
      <c r="D644" t="s">
        <v>1285</v>
      </c>
      <c r="E644">
        <v>241</v>
      </c>
      <c r="F644" s="1">
        <v>45167</v>
      </c>
      <c r="G644" s="7">
        <v>12.687499999999828</v>
      </c>
      <c r="H644" s="10">
        <v>3.3290000000000002</v>
      </c>
      <c r="I644" s="9">
        <f t="shared" si="21"/>
        <v>-3.3290000000000002</v>
      </c>
    </row>
    <row r="645" spans="1:9" x14ac:dyDescent="0.2">
      <c r="A645" t="s">
        <v>1286</v>
      </c>
      <c r="B645">
        <v>4.6350000000000002E-2</v>
      </c>
      <c r="C645">
        <v>241</v>
      </c>
      <c r="D645" t="s">
        <v>1286</v>
      </c>
      <c r="E645">
        <v>241</v>
      </c>
      <c r="F645" s="1">
        <v>45167</v>
      </c>
      <c r="G645" s="7">
        <v>12.697916666666494</v>
      </c>
      <c r="H645" s="10">
        <v>3.31</v>
      </c>
      <c r="I645" s="9">
        <f t="shared" si="21"/>
        <v>-3.31</v>
      </c>
    </row>
    <row r="646" spans="1:9" x14ac:dyDescent="0.2">
      <c r="A646" t="s">
        <v>1287</v>
      </c>
      <c r="B646">
        <v>4.616E-2</v>
      </c>
      <c r="C646">
        <v>241</v>
      </c>
      <c r="D646" t="s">
        <v>1287</v>
      </c>
      <c r="E646">
        <v>241</v>
      </c>
      <c r="F646" s="1">
        <v>45167</v>
      </c>
      <c r="G646" s="7">
        <v>12.70833333333316</v>
      </c>
      <c r="H646" s="10">
        <v>3.2955000000000001</v>
      </c>
      <c r="I646" s="9">
        <f t="shared" si="21"/>
        <v>-3.2955000000000001</v>
      </c>
    </row>
    <row r="647" spans="1:9" x14ac:dyDescent="0.2">
      <c r="A647" t="s">
        <v>1288</v>
      </c>
      <c r="B647">
        <v>4.6774999999999997E-2</v>
      </c>
      <c r="C647">
        <v>241</v>
      </c>
      <c r="D647" t="s">
        <v>1288</v>
      </c>
      <c r="E647">
        <v>241</v>
      </c>
      <c r="F647" s="1">
        <v>45167</v>
      </c>
      <c r="G647" s="7">
        <v>12.718749999999826</v>
      </c>
      <c r="H647" s="10">
        <v>3.3414999999999999</v>
      </c>
      <c r="I647" s="9">
        <f t="shared" si="21"/>
        <v>-3.3414999999999999</v>
      </c>
    </row>
    <row r="648" spans="1:9" x14ac:dyDescent="0.2">
      <c r="A648" t="s">
        <v>1289</v>
      </c>
      <c r="B648">
        <v>4.6440000000000002E-2</v>
      </c>
      <c r="C648">
        <v>241</v>
      </c>
      <c r="D648" t="s">
        <v>1289</v>
      </c>
      <c r="E648">
        <v>241</v>
      </c>
      <c r="F648" s="1">
        <v>45167</v>
      </c>
      <c r="G648" s="7">
        <v>12.729166666666492</v>
      </c>
      <c r="H648" s="10">
        <v>3.3149999999999999</v>
      </c>
      <c r="I648" s="9">
        <f t="shared" si="21"/>
        <v>-3.3149999999999999</v>
      </c>
    </row>
    <row r="649" spans="1:9" x14ac:dyDescent="0.2">
      <c r="A649" t="s">
        <v>1290</v>
      </c>
      <c r="B649">
        <v>4.6995000000000002E-2</v>
      </c>
      <c r="C649">
        <v>241</v>
      </c>
      <c r="D649" t="s">
        <v>1290</v>
      </c>
      <c r="E649">
        <v>241</v>
      </c>
      <c r="F649" s="1">
        <v>45167</v>
      </c>
      <c r="G649" s="7">
        <v>12.739583333333158</v>
      </c>
      <c r="H649" s="10">
        <v>3.3544999999999998</v>
      </c>
      <c r="I649" s="9">
        <f t="shared" si="21"/>
        <v>-3.3544999999999998</v>
      </c>
    </row>
    <row r="650" spans="1:9" x14ac:dyDescent="0.2">
      <c r="A650" t="s">
        <v>1291</v>
      </c>
      <c r="B650">
        <v>4.6789999999999998E-2</v>
      </c>
      <c r="C650">
        <v>242</v>
      </c>
      <c r="D650" t="s">
        <v>1291</v>
      </c>
      <c r="E650">
        <v>241</v>
      </c>
      <c r="F650" s="1">
        <v>45167</v>
      </c>
      <c r="G650" s="7">
        <v>12.749999999999824</v>
      </c>
      <c r="H650" s="10">
        <v>3.3405</v>
      </c>
      <c r="I650" s="9">
        <f t="shared" si="21"/>
        <v>-3.3405</v>
      </c>
    </row>
    <row r="651" spans="1:9" x14ac:dyDescent="0.2">
      <c r="A651" t="s">
        <v>1292</v>
      </c>
      <c r="B651">
        <v>4.6795000000000003E-2</v>
      </c>
      <c r="C651">
        <v>242</v>
      </c>
      <c r="D651" t="s">
        <v>1292</v>
      </c>
      <c r="E651">
        <v>241</v>
      </c>
      <c r="F651" s="1">
        <v>45167</v>
      </c>
      <c r="G651" s="7">
        <v>12.76041666666649</v>
      </c>
      <c r="H651" s="10">
        <v>3.3424999999999998</v>
      </c>
      <c r="I651" s="9">
        <f t="shared" si="21"/>
        <v>-3.3424999999999998</v>
      </c>
    </row>
    <row r="652" spans="1:9" x14ac:dyDescent="0.2">
      <c r="A652" t="s">
        <v>1293</v>
      </c>
      <c r="B652">
        <v>4.6510000000000003E-2</v>
      </c>
      <c r="C652">
        <v>242</v>
      </c>
      <c r="D652" t="s">
        <v>1293</v>
      </c>
      <c r="E652">
        <v>241</v>
      </c>
      <c r="F652" s="1">
        <v>45167</v>
      </c>
      <c r="G652" s="7">
        <v>12.770833333333156</v>
      </c>
      <c r="H652" s="10">
        <v>3.3210000000000002</v>
      </c>
      <c r="I652" s="9">
        <f t="shared" si="21"/>
        <v>-3.3210000000000002</v>
      </c>
    </row>
    <row r="653" spans="1:9" x14ac:dyDescent="0.2">
      <c r="A653" t="s">
        <v>1294</v>
      </c>
      <c r="B653">
        <v>4.6730000000000001E-2</v>
      </c>
      <c r="C653">
        <v>242</v>
      </c>
      <c r="D653" t="s">
        <v>1294</v>
      </c>
      <c r="E653">
        <v>241</v>
      </c>
      <c r="F653" s="1">
        <v>45167</v>
      </c>
      <c r="G653" s="7">
        <v>12.781249999999822</v>
      </c>
      <c r="H653" s="10">
        <v>3.3359999999999999</v>
      </c>
      <c r="I653" s="9">
        <f t="shared" si="21"/>
        <v>-3.3359999999999999</v>
      </c>
    </row>
    <row r="654" spans="1:9" x14ac:dyDescent="0.2">
      <c r="A654" t="s">
        <v>1295</v>
      </c>
      <c r="B654" t="s">
        <v>1296</v>
      </c>
      <c r="C654">
        <v>242</v>
      </c>
      <c r="D654" t="s">
        <v>1295</v>
      </c>
      <c r="E654">
        <v>241</v>
      </c>
      <c r="F654" s="1">
        <v>45167</v>
      </c>
      <c r="G654" s="7">
        <v>12.791666666666488</v>
      </c>
      <c r="H654" s="10">
        <v>3.2974999999999999</v>
      </c>
      <c r="I654" s="9">
        <f t="shared" si="21"/>
        <v>-3.2974999999999999</v>
      </c>
    </row>
    <row r="655" spans="1:9" x14ac:dyDescent="0.2">
      <c r="A655" t="s">
        <v>1297</v>
      </c>
      <c r="B655">
        <v>4.6249999999999999E-2</v>
      </c>
      <c r="C655">
        <v>242</v>
      </c>
      <c r="D655" t="s">
        <v>1297</v>
      </c>
      <c r="E655">
        <v>241</v>
      </c>
      <c r="F655" s="1">
        <v>45167</v>
      </c>
      <c r="G655" s="7">
        <v>12.802083333333155</v>
      </c>
      <c r="H655" s="10">
        <v>3.302</v>
      </c>
      <c r="I655" s="9">
        <f t="shared" si="21"/>
        <v>-3.302</v>
      </c>
    </row>
    <row r="656" spans="1:9" x14ac:dyDescent="0.2">
      <c r="A656" t="s">
        <v>1298</v>
      </c>
      <c r="B656">
        <v>4.6769999999999999E-2</v>
      </c>
      <c r="C656">
        <v>242</v>
      </c>
      <c r="D656" t="s">
        <v>1298</v>
      </c>
      <c r="E656">
        <v>241</v>
      </c>
      <c r="F656" s="1">
        <v>45167</v>
      </c>
      <c r="G656" s="7">
        <v>12.812499999999821</v>
      </c>
      <c r="H656" s="10">
        <v>3.34</v>
      </c>
      <c r="I656" s="9">
        <f t="shared" si="21"/>
        <v>-3.34</v>
      </c>
    </row>
    <row r="657" spans="1:9" x14ac:dyDescent="0.2">
      <c r="A657" t="s">
        <v>1299</v>
      </c>
      <c r="B657">
        <v>4.657E-2</v>
      </c>
      <c r="C657">
        <v>242</v>
      </c>
      <c r="D657" t="s">
        <v>1299</v>
      </c>
      <c r="E657">
        <v>241</v>
      </c>
      <c r="F657" s="1">
        <v>45167</v>
      </c>
      <c r="G657" s="7">
        <v>12.822916666666487</v>
      </c>
      <c r="H657" s="10">
        <v>3.3239999999999998</v>
      </c>
      <c r="I657" s="9">
        <f t="shared" si="21"/>
        <v>-3.3239999999999998</v>
      </c>
    </row>
    <row r="658" spans="1:9" x14ac:dyDescent="0.2">
      <c r="A658" t="s">
        <v>1300</v>
      </c>
      <c r="B658">
        <v>4.6734999999999999E-2</v>
      </c>
      <c r="C658">
        <v>242</v>
      </c>
      <c r="D658" t="s">
        <v>1300</v>
      </c>
      <c r="E658">
        <v>241</v>
      </c>
      <c r="F658" s="1">
        <v>45167</v>
      </c>
      <c r="G658" s="7">
        <v>12.833333333333153</v>
      </c>
      <c r="H658" s="10">
        <v>3.3365</v>
      </c>
      <c r="I658" s="9">
        <f t="shared" si="21"/>
        <v>-3.3365</v>
      </c>
    </row>
    <row r="659" spans="1:9" x14ac:dyDescent="0.2">
      <c r="A659" t="s">
        <v>1301</v>
      </c>
      <c r="B659">
        <v>4.7155000000000002E-2</v>
      </c>
      <c r="C659">
        <v>242</v>
      </c>
      <c r="D659" t="s">
        <v>1301</v>
      </c>
      <c r="E659">
        <v>241</v>
      </c>
      <c r="F659" s="1">
        <v>45167</v>
      </c>
      <c r="G659" s="7">
        <v>12.843749999999819</v>
      </c>
      <c r="H659" s="10">
        <v>3.3664999999999998</v>
      </c>
      <c r="I659" s="9">
        <f t="shared" si="21"/>
        <v>-3.3664999999999998</v>
      </c>
    </row>
    <row r="660" spans="1:9" x14ac:dyDescent="0.2">
      <c r="A660" t="s">
        <v>1302</v>
      </c>
      <c r="B660">
        <v>4.7199999999999999E-2</v>
      </c>
      <c r="C660">
        <v>242</v>
      </c>
      <c r="D660" t="s">
        <v>1302</v>
      </c>
      <c r="E660">
        <v>241</v>
      </c>
      <c r="F660" s="1">
        <v>45167</v>
      </c>
      <c r="G660" s="7">
        <v>12.854166666666485</v>
      </c>
      <c r="H660" s="10">
        <v>3.371</v>
      </c>
      <c r="I660" s="9">
        <f t="shared" si="21"/>
        <v>-3.371</v>
      </c>
    </row>
    <row r="661" spans="1:9" x14ac:dyDescent="0.2">
      <c r="A661" t="s">
        <v>1303</v>
      </c>
      <c r="B661">
        <v>4.8230000000000002E-2</v>
      </c>
      <c r="C661">
        <v>242</v>
      </c>
      <c r="D661" t="s">
        <v>1303</v>
      </c>
      <c r="E661">
        <v>241</v>
      </c>
      <c r="F661" s="1">
        <v>45167</v>
      </c>
      <c r="G661" s="7">
        <v>12.864583333333151</v>
      </c>
      <c r="H661" s="10" t="s">
        <v>1304</v>
      </c>
      <c r="I661" s="9">
        <f t="shared" si="21"/>
        <v>-3.4434999999999998</v>
      </c>
    </row>
    <row r="662" spans="1:9" x14ac:dyDescent="0.2">
      <c r="A662" t="s">
        <v>1305</v>
      </c>
      <c r="B662">
        <v>4.8219999999999999E-2</v>
      </c>
      <c r="C662">
        <v>242</v>
      </c>
      <c r="D662" t="s">
        <v>1305</v>
      </c>
      <c r="E662">
        <v>241</v>
      </c>
      <c r="F662" s="1">
        <v>45167</v>
      </c>
      <c r="G662" s="7">
        <v>12.874999999999817</v>
      </c>
      <c r="H662" s="10">
        <v>3.4430000000000001</v>
      </c>
      <c r="I662" s="9">
        <f t="shared" si="21"/>
        <v>-3.4430000000000001</v>
      </c>
    </row>
    <row r="663" spans="1:9" x14ac:dyDescent="0.2">
      <c r="A663" t="s">
        <v>1306</v>
      </c>
      <c r="B663">
        <v>4.9185E-2</v>
      </c>
      <c r="C663">
        <v>242</v>
      </c>
      <c r="D663" t="s">
        <v>1306</v>
      </c>
      <c r="E663">
        <v>241</v>
      </c>
      <c r="F663" s="1">
        <v>45167</v>
      </c>
      <c r="G663" s="7">
        <v>12.885416666666483</v>
      </c>
      <c r="H663" s="10">
        <v>3.5105</v>
      </c>
      <c r="I663" s="9">
        <f t="shared" si="21"/>
        <v>-3.5105</v>
      </c>
    </row>
    <row r="664" spans="1:9" x14ac:dyDescent="0.2">
      <c r="A664" t="s">
        <v>1307</v>
      </c>
      <c r="B664">
        <v>5.0525E-2</v>
      </c>
      <c r="C664">
        <v>242</v>
      </c>
      <c r="D664" t="s">
        <v>1307</v>
      </c>
      <c r="E664">
        <v>241</v>
      </c>
      <c r="F664" s="1">
        <v>45167</v>
      </c>
      <c r="G664" s="7">
        <v>12.895833333333149</v>
      </c>
      <c r="H664" s="10">
        <v>3.6059999999999999</v>
      </c>
      <c r="I664" s="9">
        <f t="shared" si="21"/>
        <v>-3.6059999999999999</v>
      </c>
    </row>
    <row r="665" spans="1:9" x14ac:dyDescent="0.2">
      <c r="A665" t="s">
        <v>1308</v>
      </c>
      <c r="B665">
        <v>5.1069999999999997E-2</v>
      </c>
      <c r="C665">
        <v>242</v>
      </c>
      <c r="D665" t="s">
        <v>1308</v>
      </c>
      <c r="E665">
        <v>241</v>
      </c>
      <c r="F665" s="1">
        <v>45167</v>
      </c>
      <c r="G665" s="7">
        <v>12.906249999999815</v>
      </c>
      <c r="H665" s="10">
        <v>3.6455000000000002</v>
      </c>
      <c r="I665" s="9">
        <f t="shared" si="21"/>
        <v>-3.6455000000000002</v>
      </c>
    </row>
    <row r="666" spans="1:9" x14ac:dyDescent="0.2">
      <c r="A666" t="s">
        <v>1309</v>
      </c>
      <c r="B666">
        <v>5.2205000000000001E-2</v>
      </c>
      <c r="C666">
        <v>242</v>
      </c>
      <c r="D666" t="s">
        <v>1309</v>
      </c>
      <c r="E666">
        <v>241</v>
      </c>
      <c r="F666" s="1">
        <v>45167</v>
      </c>
      <c r="G666" s="7">
        <v>12.916666666666481</v>
      </c>
      <c r="H666" s="10">
        <v>3.7284999999999999</v>
      </c>
      <c r="I666" s="9">
        <f t="shared" si="21"/>
        <v>-3.7284999999999999</v>
      </c>
    </row>
    <row r="667" spans="1:9" x14ac:dyDescent="0.2">
      <c r="A667" t="s">
        <v>1310</v>
      </c>
      <c r="B667" t="s">
        <v>1311</v>
      </c>
      <c r="C667">
        <v>242</v>
      </c>
      <c r="D667" t="s">
        <v>1310</v>
      </c>
      <c r="E667">
        <v>241</v>
      </c>
      <c r="F667" s="1">
        <v>45167</v>
      </c>
      <c r="G667" s="7">
        <v>12.927083333333147</v>
      </c>
      <c r="H667" s="10">
        <v>3.8170000000000002</v>
      </c>
      <c r="I667" s="9">
        <f t="shared" si="21"/>
        <v>-3.8170000000000002</v>
      </c>
    </row>
    <row r="668" spans="1:9" x14ac:dyDescent="0.2">
      <c r="A668" t="s">
        <v>1312</v>
      </c>
      <c r="B668">
        <v>5.4800000000000001E-2</v>
      </c>
      <c r="C668">
        <v>242</v>
      </c>
      <c r="D668" t="s">
        <v>1312</v>
      </c>
      <c r="E668">
        <v>241</v>
      </c>
      <c r="F668" s="1">
        <v>45167</v>
      </c>
      <c r="G668" s="7">
        <v>12.937499999999813</v>
      </c>
      <c r="H668" s="10">
        <v>3.9125000000000001</v>
      </c>
      <c r="I668" s="9">
        <f t="shared" si="21"/>
        <v>-3.9125000000000001</v>
      </c>
    </row>
    <row r="669" spans="1:9" x14ac:dyDescent="0.2">
      <c r="A669" t="s">
        <v>1313</v>
      </c>
      <c r="B669">
        <v>5.5399999999999998E-2</v>
      </c>
      <c r="C669">
        <v>242</v>
      </c>
      <c r="D669" t="s">
        <v>1313</v>
      </c>
      <c r="E669">
        <v>241</v>
      </c>
      <c r="F669" s="1">
        <v>45167</v>
      </c>
      <c r="G669" s="7">
        <v>12.94791666666648</v>
      </c>
      <c r="H669" s="10">
        <v>3.956</v>
      </c>
      <c r="I669" s="9">
        <f t="shared" si="21"/>
        <v>-3.956</v>
      </c>
    </row>
    <row r="670" spans="1:9" x14ac:dyDescent="0.2">
      <c r="A670" t="s">
        <v>1314</v>
      </c>
      <c r="B670" t="s">
        <v>1315</v>
      </c>
      <c r="C670">
        <v>242</v>
      </c>
      <c r="D670" t="s">
        <v>1314</v>
      </c>
      <c r="E670">
        <v>241</v>
      </c>
      <c r="F670" s="1">
        <v>45167</v>
      </c>
      <c r="G670" s="7">
        <v>12.958333333333146</v>
      </c>
      <c r="H670" s="10">
        <v>4.0019999999999998</v>
      </c>
      <c r="I670" s="9">
        <f t="shared" si="21"/>
        <v>-4.0019999999999998</v>
      </c>
    </row>
    <row r="671" spans="1:9" x14ac:dyDescent="0.2">
      <c r="A671" t="s">
        <v>1316</v>
      </c>
      <c r="B671">
        <v>5.7645000000000002E-2</v>
      </c>
      <c r="C671">
        <v>242</v>
      </c>
      <c r="D671" t="s">
        <v>1316</v>
      </c>
      <c r="E671">
        <v>241</v>
      </c>
      <c r="F671" s="1">
        <v>45167</v>
      </c>
      <c r="G671" s="7">
        <v>12.968749999999812</v>
      </c>
      <c r="H671" s="10">
        <v>4.1165000000000003</v>
      </c>
      <c r="I671" s="9">
        <f t="shared" si="21"/>
        <v>-4.1165000000000003</v>
      </c>
    </row>
    <row r="672" spans="1:9" x14ac:dyDescent="0.2">
      <c r="A672" t="s">
        <v>1317</v>
      </c>
      <c r="B672">
        <v>5.7889999999999997E-2</v>
      </c>
      <c r="C672">
        <v>242</v>
      </c>
      <c r="D672" t="s">
        <v>1317</v>
      </c>
      <c r="E672">
        <v>241</v>
      </c>
      <c r="F672" s="1">
        <v>45167</v>
      </c>
      <c r="G672" s="7">
        <v>12.979166666666478</v>
      </c>
      <c r="H672" s="10">
        <v>4.1315</v>
      </c>
      <c r="I672" s="9">
        <f t="shared" si="21"/>
        <v>-4.1315</v>
      </c>
    </row>
    <row r="673" spans="1:9" x14ac:dyDescent="0.2">
      <c r="A673" t="s">
        <v>1318</v>
      </c>
      <c r="B673">
        <v>5.8334999999999998E-2</v>
      </c>
      <c r="C673">
        <v>242</v>
      </c>
      <c r="D673" t="s">
        <v>1318</v>
      </c>
      <c r="E673">
        <v>241</v>
      </c>
      <c r="F673" s="1">
        <v>45167</v>
      </c>
      <c r="G673" s="7">
        <v>12.989583333333144</v>
      </c>
      <c r="H673" s="10">
        <v>4.1635</v>
      </c>
      <c r="I673" s="9">
        <f t="shared" si="21"/>
        <v>-4.1635</v>
      </c>
    </row>
    <row r="674" spans="1:9" x14ac:dyDescent="0.2">
      <c r="A674" t="s">
        <v>1319</v>
      </c>
      <c r="B674">
        <v>5.8860000000000003E-2</v>
      </c>
      <c r="C674">
        <v>242</v>
      </c>
      <c r="D674" t="s">
        <v>1319</v>
      </c>
      <c r="E674">
        <v>242</v>
      </c>
      <c r="F674" s="1">
        <v>45168</v>
      </c>
      <c r="G674" s="7">
        <v>12.99999999999981</v>
      </c>
      <c r="H674" s="10">
        <v>4.2030000000000003</v>
      </c>
      <c r="I674" s="9">
        <f t="shared" si="21"/>
        <v>-4.2030000000000003</v>
      </c>
    </row>
    <row r="675" spans="1:9" x14ac:dyDescent="0.2">
      <c r="A675" t="s">
        <v>1320</v>
      </c>
      <c r="B675">
        <v>5.9334999999999999E-2</v>
      </c>
      <c r="C675">
        <v>242</v>
      </c>
      <c r="D675" t="s">
        <v>1320</v>
      </c>
      <c r="E675">
        <v>242</v>
      </c>
      <c r="F675" s="1">
        <v>45168</v>
      </c>
      <c r="G675" s="7">
        <v>13.010416666666476</v>
      </c>
      <c r="H675" s="10" t="s">
        <v>1321</v>
      </c>
      <c r="I675" s="9">
        <f t="shared" si="21"/>
        <v>-4.2364999999999897</v>
      </c>
    </row>
    <row r="676" spans="1:9" x14ac:dyDescent="0.2">
      <c r="A676" t="s">
        <v>1322</v>
      </c>
      <c r="B676">
        <v>5.9839999999999997E-2</v>
      </c>
      <c r="C676">
        <v>242</v>
      </c>
      <c r="D676" t="s">
        <v>1322</v>
      </c>
      <c r="E676">
        <v>242</v>
      </c>
      <c r="F676" s="1">
        <v>45168</v>
      </c>
      <c r="G676" s="7">
        <v>13.020833333333142</v>
      </c>
      <c r="H676" s="10">
        <v>4.2729999999999997</v>
      </c>
      <c r="I676" s="9">
        <f t="shared" si="21"/>
        <v>-4.2729999999999997</v>
      </c>
    </row>
    <row r="677" spans="1:9" x14ac:dyDescent="0.2">
      <c r="A677" t="s">
        <v>1323</v>
      </c>
      <c r="B677">
        <v>5.9604999999999998E-2</v>
      </c>
      <c r="C677">
        <v>242</v>
      </c>
      <c r="D677" t="s">
        <v>1323</v>
      </c>
      <c r="E677">
        <v>242</v>
      </c>
      <c r="F677" s="1">
        <v>45168</v>
      </c>
      <c r="G677" s="7">
        <v>13.031249999999808</v>
      </c>
      <c r="H677" s="10">
        <v>4.2554999999999996</v>
      </c>
      <c r="I677" s="9">
        <f t="shared" si="21"/>
        <v>-4.2554999999999996</v>
      </c>
    </row>
    <row r="678" spans="1:9" x14ac:dyDescent="0.2">
      <c r="A678" t="s">
        <v>1324</v>
      </c>
      <c r="B678">
        <v>5.9604999999999998E-2</v>
      </c>
      <c r="C678">
        <v>242</v>
      </c>
      <c r="D678" t="s">
        <v>1324</v>
      </c>
      <c r="E678">
        <v>242</v>
      </c>
      <c r="F678" s="1">
        <v>45168</v>
      </c>
      <c r="G678" s="7">
        <v>13.041666666666474</v>
      </c>
      <c r="H678" s="10">
        <v>4.2565</v>
      </c>
      <c r="I678" s="9">
        <f t="shared" si="21"/>
        <v>-4.2565</v>
      </c>
    </row>
    <row r="679" spans="1:9" x14ac:dyDescent="0.2">
      <c r="A679" t="s">
        <v>1325</v>
      </c>
      <c r="B679">
        <v>5.9694999999999998E-2</v>
      </c>
      <c r="C679">
        <v>242</v>
      </c>
      <c r="D679" t="s">
        <v>1325</v>
      </c>
      <c r="E679">
        <v>242</v>
      </c>
      <c r="F679" s="1">
        <v>45168</v>
      </c>
      <c r="G679" s="7">
        <v>13.05208333333314</v>
      </c>
      <c r="H679" s="10">
        <v>4.2625000000000002</v>
      </c>
      <c r="I679" s="9">
        <f t="shared" si="21"/>
        <v>-4.2625000000000002</v>
      </c>
    </row>
    <row r="680" spans="1:9" x14ac:dyDescent="0.2">
      <c r="A680" t="s">
        <v>1326</v>
      </c>
      <c r="B680">
        <v>5.9714999999999997E-2</v>
      </c>
      <c r="C680">
        <v>242</v>
      </c>
      <c r="D680" t="s">
        <v>1326</v>
      </c>
      <c r="E680">
        <v>242</v>
      </c>
      <c r="F680" s="1">
        <v>45168</v>
      </c>
      <c r="G680" s="7">
        <v>13.062499999999806</v>
      </c>
      <c r="H680" s="10">
        <v>4.2629999999999999</v>
      </c>
      <c r="I680" s="9">
        <f t="shared" si="21"/>
        <v>-4.2629999999999999</v>
      </c>
    </row>
    <row r="681" spans="1:9" x14ac:dyDescent="0.2">
      <c r="A681" t="s">
        <v>1327</v>
      </c>
      <c r="B681">
        <v>5.9700000000000003E-2</v>
      </c>
      <c r="C681">
        <v>242</v>
      </c>
      <c r="D681" t="s">
        <v>1327</v>
      </c>
      <c r="E681">
        <v>242</v>
      </c>
      <c r="F681" s="1">
        <v>45168</v>
      </c>
      <c r="G681" s="7">
        <v>13.072916666666472</v>
      </c>
      <c r="H681" s="10">
        <v>4.2614999999999998</v>
      </c>
      <c r="I681" s="9">
        <f t="shared" si="21"/>
        <v>-4.2614999999999998</v>
      </c>
    </row>
    <row r="682" spans="1:9" x14ac:dyDescent="0.2">
      <c r="A682" t="s">
        <v>1328</v>
      </c>
      <c r="B682">
        <v>5.9760000000000001E-2</v>
      </c>
      <c r="C682">
        <v>242</v>
      </c>
      <c r="D682" t="s">
        <v>1328</v>
      </c>
      <c r="E682">
        <v>242</v>
      </c>
      <c r="F682" s="1">
        <v>45168</v>
      </c>
      <c r="G682" s="7">
        <v>13.083333333333139</v>
      </c>
      <c r="H682" s="10">
        <v>4.266</v>
      </c>
      <c r="I682" s="9">
        <f t="shared" si="21"/>
        <v>-4.266</v>
      </c>
    </row>
    <row r="683" spans="1:9" x14ac:dyDescent="0.2">
      <c r="A683" t="s">
        <v>1329</v>
      </c>
      <c r="B683">
        <v>5.9409999999999998E-2</v>
      </c>
      <c r="C683">
        <v>242</v>
      </c>
      <c r="D683" t="s">
        <v>1329</v>
      </c>
      <c r="E683">
        <v>242</v>
      </c>
      <c r="F683" s="1">
        <v>45168</v>
      </c>
      <c r="G683" s="7">
        <v>13.093749999999805</v>
      </c>
      <c r="H683" s="10">
        <v>4.242</v>
      </c>
      <c r="I683" s="9">
        <f t="shared" si="21"/>
        <v>-4.242</v>
      </c>
    </row>
    <row r="684" spans="1:9" x14ac:dyDescent="0.2">
      <c r="A684" t="s">
        <v>1330</v>
      </c>
      <c r="B684">
        <v>5.9935000000000002E-2</v>
      </c>
      <c r="C684">
        <v>242</v>
      </c>
      <c r="D684" t="s">
        <v>1330</v>
      </c>
      <c r="E684">
        <v>242</v>
      </c>
      <c r="F684" s="1">
        <v>45168</v>
      </c>
      <c r="G684" s="7">
        <v>13.104166666666471</v>
      </c>
      <c r="H684" s="10">
        <v>4.2805</v>
      </c>
      <c r="I684" s="9">
        <f t="shared" si="21"/>
        <v>-4.2805</v>
      </c>
    </row>
    <row r="685" spans="1:9" x14ac:dyDescent="0.2">
      <c r="A685" t="s">
        <v>1331</v>
      </c>
      <c r="B685">
        <v>5.9554999999999997E-2</v>
      </c>
      <c r="C685">
        <v>242</v>
      </c>
      <c r="D685" t="s">
        <v>1331</v>
      </c>
      <c r="E685">
        <v>242</v>
      </c>
      <c r="F685" s="1">
        <v>45168</v>
      </c>
      <c r="G685" s="7">
        <v>13.114583333333137</v>
      </c>
      <c r="H685" s="10">
        <v>4.2515000000000001</v>
      </c>
      <c r="I685" s="9">
        <f t="shared" si="21"/>
        <v>-4.2515000000000001</v>
      </c>
    </row>
    <row r="686" spans="1:9" x14ac:dyDescent="0.2">
      <c r="A686" t="s">
        <v>1332</v>
      </c>
      <c r="B686">
        <v>5.9464999999999997E-2</v>
      </c>
      <c r="C686">
        <v>242</v>
      </c>
      <c r="D686" t="s">
        <v>1332</v>
      </c>
      <c r="E686">
        <v>242</v>
      </c>
      <c r="F686" s="1">
        <v>45168</v>
      </c>
      <c r="G686" s="7">
        <v>13.124999999999803</v>
      </c>
      <c r="H686" s="10">
        <v>4.2450000000000001</v>
      </c>
      <c r="I686" s="9">
        <f t="shared" si="21"/>
        <v>-4.2450000000000001</v>
      </c>
    </row>
    <row r="687" spans="1:9" x14ac:dyDescent="0.2">
      <c r="A687" t="s">
        <v>1333</v>
      </c>
      <c r="B687">
        <v>5.9450000000000003E-2</v>
      </c>
      <c r="C687">
        <v>242</v>
      </c>
      <c r="D687" t="s">
        <v>1333</v>
      </c>
      <c r="E687">
        <v>242</v>
      </c>
      <c r="F687" s="1">
        <v>45168</v>
      </c>
      <c r="G687" s="7">
        <v>13.135416666666469</v>
      </c>
      <c r="H687" s="10">
        <v>4.2439999999999998</v>
      </c>
      <c r="I687" s="9">
        <f t="shared" si="21"/>
        <v>-4.2439999999999998</v>
      </c>
    </row>
    <row r="688" spans="1:9" x14ac:dyDescent="0.2">
      <c r="A688" t="s">
        <v>1334</v>
      </c>
      <c r="B688">
        <v>5.9275000000000001E-2</v>
      </c>
      <c r="C688">
        <v>242</v>
      </c>
      <c r="D688" t="s">
        <v>1334</v>
      </c>
      <c r="E688">
        <v>242</v>
      </c>
      <c r="F688" s="1">
        <v>45168</v>
      </c>
      <c r="G688" s="7">
        <v>13.145833333333135</v>
      </c>
      <c r="H688" s="10">
        <v>4.2309999999999999</v>
      </c>
      <c r="I688" s="9">
        <f t="shared" si="21"/>
        <v>-4.2309999999999999</v>
      </c>
    </row>
    <row r="689" spans="1:9" x14ac:dyDescent="0.2">
      <c r="A689" t="s">
        <v>1335</v>
      </c>
      <c r="B689">
        <v>5.9029999999999999E-2</v>
      </c>
      <c r="C689">
        <v>242</v>
      </c>
      <c r="D689" t="s">
        <v>1335</v>
      </c>
      <c r="E689">
        <v>242</v>
      </c>
      <c r="F689" s="1">
        <v>45168</v>
      </c>
      <c r="G689" s="7">
        <v>13.156249999999801</v>
      </c>
      <c r="H689" s="10">
        <v>4.2145000000000001</v>
      </c>
      <c r="I689" s="9">
        <f t="shared" si="21"/>
        <v>-4.2145000000000001</v>
      </c>
    </row>
    <row r="690" spans="1:9" x14ac:dyDescent="0.2">
      <c r="A690" t="s">
        <v>1336</v>
      </c>
      <c r="B690">
        <v>5.8985000000000003E-2</v>
      </c>
      <c r="C690">
        <v>242</v>
      </c>
      <c r="D690" t="s">
        <v>1336</v>
      </c>
      <c r="E690">
        <v>242</v>
      </c>
      <c r="F690" s="1">
        <v>45168</v>
      </c>
      <c r="G690" s="7">
        <v>13.166666666666467</v>
      </c>
      <c r="H690" s="10">
        <v>4.2115</v>
      </c>
      <c r="I690" s="9">
        <f t="shared" si="21"/>
        <v>-4.2115</v>
      </c>
    </row>
    <row r="691" spans="1:9" x14ac:dyDescent="0.2">
      <c r="A691" t="s">
        <v>1337</v>
      </c>
      <c r="B691">
        <v>5.8564999999999999E-2</v>
      </c>
      <c r="C691">
        <v>242</v>
      </c>
      <c r="D691" t="s">
        <v>1337</v>
      </c>
      <c r="E691">
        <v>242</v>
      </c>
      <c r="F691" s="1">
        <v>45168</v>
      </c>
      <c r="G691" s="7">
        <v>13.177083333333133</v>
      </c>
      <c r="H691" s="10">
        <v>4.1820000000000004</v>
      </c>
      <c r="I691" s="9">
        <f t="shared" si="21"/>
        <v>-4.1820000000000004</v>
      </c>
    </row>
    <row r="692" spans="1:9" x14ac:dyDescent="0.2">
      <c r="A692" t="s">
        <v>1338</v>
      </c>
      <c r="B692">
        <v>5.8805000000000003E-2</v>
      </c>
      <c r="C692">
        <v>242</v>
      </c>
      <c r="D692" t="s">
        <v>1338</v>
      </c>
      <c r="E692">
        <v>242</v>
      </c>
      <c r="F692" s="1">
        <v>45168</v>
      </c>
      <c r="G692" s="7">
        <v>13.187499999999799</v>
      </c>
      <c r="H692" s="10">
        <v>4.1985000000000001</v>
      </c>
      <c r="I692" s="9">
        <f t="shared" si="21"/>
        <v>-4.1985000000000001</v>
      </c>
    </row>
    <row r="693" spans="1:9" x14ac:dyDescent="0.2">
      <c r="A693" t="s">
        <v>1339</v>
      </c>
      <c r="B693">
        <v>5.8869999999999999E-2</v>
      </c>
      <c r="C693">
        <v>242</v>
      </c>
      <c r="D693" t="s">
        <v>1339</v>
      </c>
      <c r="E693">
        <v>242</v>
      </c>
      <c r="F693" s="1">
        <v>45168</v>
      </c>
      <c r="G693" s="7">
        <v>13.197916666666465</v>
      </c>
      <c r="H693" s="10">
        <v>4.2024999999999997</v>
      </c>
      <c r="I693" s="9">
        <f t="shared" si="21"/>
        <v>-4.2024999999999997</v>
      </c>
    </row>
    <row r="694" spans="1:9" x14ac:dyDescent="0.2">
      <c r="A694" t="s">
        <v>1340</v>
      </c>
      <c r="B694">
        <v>5.849E-2</v>
      </c>
      <c r="C694">
        <v>242</v>
      </c>
      <c r="D694" t="s">
        <v>1340</v>
      </c>
      <c r="E694">
        <v>242</v>
      </c>
      <c r="F694" s="1">
        <v>45168</v>
      </c>
      <c r="G694" s="7">
        <v>13.208333333333131</v>
      </c>
      <c r="H694" s="10" t="s">
        <v>1341</v>
      </c>
      <c r="I694" s="9">
        <f t="shared" si="21"/>
        <v>-4.1754999999999898</v>
      </c>
    </row>
    <row r="695" spans="1:9" x14ac:dyDescent="0.2">
      <c r="A695" t="s">
        <v>1342</v>
      </c>
      <c r="B695">
        <v>5.8909999999999997E-2</v>
      </c>
      <c r="C695">
        <v>242</v>
      </c>
      <c r="D695" t="s">
        <v>1342</v>
      </c>
      <c r="E695">
        <v>242</v>
      </c>
      <c r="F695" s="1">
        <v>45168</v>
      </c>
      <c r="G695" s="7">
        <v>13.218749999999797</v>
      </c>
      <c r="H695" s="10">
        <v>4.2050000000000001</v>
      </c>
      <c r="I695" s="9">
        <f t="shared" si="21"/>
        <v>-4.2050000000000001</v>
      </c>
    </row>
    <row r="696" spans="1:9" x14ac:dyDescent="0.2">
      <c r="A696" t="s">
        <v>1343</v>
      </c>
      <c r="B696">
        <v>5.8505000000000001E-2</v>
      </c>
      <c r="C696">
        <v>242</v>
      </c>
      <c r="D696" t="s">
        <v>1343</v>
      </c>
      <c r="E696">
        <v>242</v>
      </c>
      <c r="F696" s="1">
        <v>45168</v>
      </c>
      <c r="G696" s="7">
        <v>13.229166666666464</v>
      </c>
      <c r="H696" s="10">
        <v>4.1769999999999996</v>
      </c>
      <c r="I696" s="9">
        <f t="shared" si="21"/>
        <v>-4.1769999999999996</v>
      </c>
    </row>
    <row r="697" spans="1:9" x14ac:dyDescent="0.2">
      <c r="A697" t="s">
        <v>1344</v>
      </c>
      <c r="B697">
        <v>5.8680000000000003E-2</v>
      </c>
      <c r="C697">
        <v>242</v>
      </c>
      <c r="D697" t="s">
        <v>1344</v>
      </c>
      <c r="E697">
        <v>242</v>
      </c>
      <c r="F697" s="1">
        <v>45168</v>
      </c>
      <c r="G697" s="7">
        <v>13.23958333333313</v>
      </c>
      <c r="H697" s="10">
        <v>4.1890000000000001</v>
      </c>
      <c r="I697" s="9">
        <f t="shared" si="21"/>
        <v>-4.1890000000000001</v>
      </c>
    </row>
    <row r="698" spans="1:9" x14ac:dyDescent="0.2">
      <c r="A698" t="s">
        <v>1345</v>
      </c>
      <c r="B698">
        <v>5.867E-2</v>
      </c>
      <c r="C698">
        <v>242</v>
      </c>
      <c r="D698" t="s">
        <v>1345</v>
      </c>
      <c r="E698">
        <v>242</v>
      </c>
      <c r="F698" s="1">
        <v>45168</v>
      </c>
      <c r="G698" s="7">
        <v>13.249999999999796</v>
      </c>
      <c r="H698" s="10">
        <v>4.1885000000000003</v>
      </c>
      <c r="I698" s="9">
        <f t="shared" si="21"/>
        <v>-4.1885000000000003</v>
      </c>
    </row>
    <row r="699" spans="1:9" x14ac:dyDescent="0.2">
      <c r="A699" t="s">
        <v>1346</v>
      </c>
      <c r="B699">
        <v>5.8095000000000001E-2</v>
      </c>
      <c r="C699">
        <v>242</v>
      </c>
      <c r="D699" t="s">
        <v>1346</v>
      </c>
      <c r="E699">
        <v>242</v>
      </c>
      <c r="F699" s="1">
        <v>45168</v>
      </c>
      <c r="G699" s="7">
        <v>13.260416666666462</v>
      </c>
      <c r="H699" s="10">
        <v>4.1464999999999996</v>
      </c>
      <c r="I699" s="9">
        <f t="shared" si="21"/>
        <v>-4.1464999999999996</v>
      </c>
    </row>
    <row r="700" spans="1:9" x14ac:dyDescent="0.2">
      <c r="A700" t="s">
        <v>1347</v>
      </c>
      <c r="B700">
        <v>5.8384999999999999E-2</v>
      </c>
      <c r="C700">
        <v>242</v>
      </c>
      <c r="D700" t="s">
        <v>1347</v>
      </c>
      <c r="E700">
        <v>242</v>
      </c>
      <c r="F700" s="1">
        <v>45168</v>
      </c>
      <c r="G700" s="7">
        <v>13.270833333333128</v>
      </c>
      <c r="H700" s="10">
        <v>4.1695000000000002</v>
      </c>
      <c r="I700" s="9">
        <f t="shared" si="21"/>
        <v>-4.1695000000000002</v>
      </c>
    </row>
    <row r="701" spans="1:9" x14ac:dyDescent="0.2">
      <c r="A701" t="s">
        <v>1348</v>
      </c>
      <c r="B701">
        <v>5.7994999999999998E-2</v>
      </c>
      <c r="C701">
        <v>242</v>
      </c>
      <c r="D701" t="s">
        <v>1348</v>
      </c>
      <c r="E701">
        <v>242</v>
      </c>
      <c r="F701" s="1">
        <v>45168</v>
      </c>
      <c r="G701" s="7">
        <v>13.281249999999794</v>
      </c>
      <c r="H701" s="10">
        <v>4.1405000000000003</v>
      </c>
      <c r="I701" s="9">
        <f t="shared" si="21"/>
        <v>-4.1405000000000003</v>
      </c>
    </row>
    <row r="702" spans="1:9" x14ac:dyDescent="0.2">
      <c r="A702" t="s">
        <v>1349</v>
      </c>
      <c r="B702">
        <v>5.8090000000000003E-2</v>
      </c>
      <c r="C702">
        <v>242</v>
      </c>
      <c r="D702" t="s">
        <v>1349</v>
      </c>
      <c r="E702">
        <v>242</v>
      </c>
      <c r="F702" s="1">
        <v>45168</v>
      </c>
      <c r="G702" s="7">
        <v>13.29166666666646</v>
      </c>
      <c r="H702" s="10">
        <v>4.1479999999999997</v>
      </c>
      <c r="I702" s="9">
        <f t="shared" si="21"/>
        <v>-4.1479999999999997</v>
      </c>
    </row>
    <row r="703" spans="1:9" x14ac:dyDescent="0.2">
      <c r="A703" t="s">
        <v>1350</v>
      </c>
      <c r="B703">
        <v>5.79E-2</v>
      </c>
      <c r="C703">
        <v>242</v>
      </c>
      <c r="D703" t="s">
        <v>1350</v>
      </c>
      <c r="E703">
        <v>242</v>
      </c>
      <c r="F703" s="1">
        <v>45168</v>
      </c>
      <c r="G703" s="7">
        <v>13.302083333333126</v>
      </c>
      <c r="H703" s="10">
        <v>4.1345000000000001</v>
      </c>
      <c r="I703" s="9">
        <f t="shared" si="21"/>
        <v>-4.1345000000000001</v>
      </c>
    </row>
    <row r="704" spans="1:9" x14ac:dyDescent="0.2">
      <c r="A704" t="s">
        <v>1351</v>
      </c>
      <c r="B704">
        <v>5.7584999999999997E-2</v>
      </c>
      <c r="C704">
        <v>242</v>
      </c>
      <c r="D704" t="s">
        <v>1351</v>
      </c>
      <c r="E704">
        <v>242</v>
      </c>
      <c r="F704" s="1">
        <v>45168</v>
      </c>
      <c r="G704" s="7">
        <v>13.312499999999792</v>
      </c>
      <c r="H704" s="10">
        <v>4.1120000000000001</v>
      </c>
      <c r="I704" s="9">
        <f t="shared" si="21"/>
        <v>-4.1120000000000001</v>
      </c>
    </row>
    <row r="705" spans="1:9" x14ac:dyDescent="0.2">
      <c r="A705" t="s">
        <v>1352</v>
      </c>
      <c r="B705">
        <v>5.7509999999999999E-2</v>
      </c>
      <c r="C705">
        <v>242</v>
      </c>
      <c r="D705" t="s">
        <v>1352</v>
      </c>
      <c r="E705">
        <v>242</v>
      </c>
      <c r="F705" s="1">
        <v>45168</v>
      </c>
      <c r="G705" s="7">
        <v>13.322916666666458</v>
      </c>
      <c r="H705" s="10">
        <v>4.1064999999999996</v>
      </c>
      <c r="I705" s="9">
        <f t="shared" si="21"/>
        <v>-4.1064999999999996</v>
      </c>
    </row>
    <row r="706" spans="1:9" x14ac:dyDescent="0.2">
      <c r="A706" t="s">
        <v>1353</v>
      </c>
      <c r="B706">
        <v>5.7465000000000002E-2</v>
      </c>
      <c r="C706">
        <v>242</v>
      </c>
      <c r="D706" t="s">
        <v>1353</v>
      </c>
      <c r="E706">
        <v>242</v>
      </c>
      <c r="F706" s="1">
        <v>45168</v>
      </c>
      <c r="G706" s="7">
        <v>13.333333333333124</v>
      </c>
      <c r="H706" s="10">
        <v>4.1014999999999997</v>
      </c>
      <c r="I706" s="9">
        <f t="shared" si="21"/>
        <v>-4.1014999999999997</v>
      </c>
    </row>
    <row r="707" spans="1:9" x14ac:dyDescent="0.2">
      <c r="A707" t="s">
        <v>1354</v>
      </c>
      <c r="B707">
        <v>5.6895000000000001E-2</v>
      </c>
      <c r="C707">
        <v>242</v>
      </c>
      <c r="D707" t="s">
        <v>1354</v>
      </c>
      <c r="E707">
        <v>242</v>
      </c>
      <c r="F707" s="1">
        <v>45168</v>
      </c>
      <c r="G707" s="7">
        <v>13.34374999999979</v>
      </c>
      <c r="H707" s="10">
        <v>4.0629999999999997</v>
      </c>
      <c r="I707" s="9">
        <f t="shared" ref="I707:I770" si="22">-H707</f>
        <v>-4.0629999999999997</v>
      </c>
    </row>
    <row r="708" spans="1:9" x14ac:dyDescent="0.2">
      <c r="A708" t="s">
        <v>1355</v>
      </c>
      <c r="B708">
        <v>5.7099999999999998E-2</v>
      </c>
      <c r="C708">
        <v>242</v>
      </c>
      <c r="D708" t="s">
        <v>1355</v>
      </c>
      <c r="E708">
        <v>242</v>
      </c>
      <c r="F708" s="1">
        <v>45168</v>
      </c>
      <c r="G708" s="7">
        <v>13.354166666666456</v>
      </c>
      <c r="H708" s="10">
        <v>4.0774999999999997</v>
      </c>
      <c r="I708" s="9">
        <f t="shared" si="22"/>
        <v>-4.0774999999999997</v>
      </c>
    </row>
    <row r="709" spans="1:9" x14ac:dyDescent="0.2">
      <c r="A709" t="s">
        <v>1356</v>
      </c>
      <c r="B709">
        <v>5.6814999999999997E-2</v>
      </c>
      <c r="C709">
        <v>242</v>
      </c>
      <c r="D709" t="s">
        <v>1356</v>
      </c>
      <c r="E709">
        <v>242</v>
      </c>
      <c r="F709" s="1">
        <v>45168</v>
      </c>
      <c r="G709" s="7">
        <v>13.364583333333123</v>
      </c>
      <c r="H709" s="10">
        <v>4.0575000000000001</v>
      </c>
      <c r="I709" s="9">
        <f t="shared" si="22"/>
        <v>-4.0575000000000001</v>
      </c>
    </row>
    <row r="710" spans="1:9" x14ac:dyDescent="0.2">
      <c r="A710" t="s">
        <v>1357</v>
      </c>
      <c r="B710">
        <v>5.7189999999999998E-2</v>
      </c>
      <c r="C710">
        <v>242</v>
      </c>
      <c r="D710" t="s">
        <v>1357</v>
      </c>
      <c r="E710">
        <v>242</v>
      </c>
      <c r="F710" s="1">
        <v>45168</v>
      </c>
      <c r="G710" s="7">
        <v>13.374999999999789</v>
      </c>
      <c r="H710" s="10">
        <v>4.0830000000000002</v>
      </c>
      <c r="I710" s="9">
        <f t="shared" si="22"/>
        <v>-4.0830000000000002</v>
      </c>
    </row>
    <row r="711" spans="1:9" x14ac:dyDescent="0.2">
      <c r="A711" t="s">
        <v>1358</v>
      </c>
      <c r="B711">
        <v>5.6599999999999998E-2</v>
      </c>
      <c r="C711">
        <v>242</v>
      </c>
      <c r="D711" t="s">
        <v>1358</v>
      </c>
      <c r="E711">
        <v>242</v>
      </c>
      <c r="F711" s="1">
        <v>45168</v>
      </c>
      <c r="G711" s="7">
        <v>13.385416666666455</v>
      </c>
      <c r="H711" s="10">
        <v>4.0415000000000001</v>
      </c>
      <c r="I711" s="9">
        <f t="shared" si="22"/>
        <v>-4.0415000000000001</v>
      </c>
    </row>
    <row r="712" spans="1:9" x14ac:dyDescent="0.2">
      <c r="A712" t="s">
        <v>1359</v>
      </c>
      <c r="B712">
        <v>5.6469999999999999E-2</v>
      </c>
      <c r="C712">
        <v>242</v>
      </c>
      <c r="D712" t="s">
        <v>1359</v>
      </c>
      <c r="E712">
        <v>242</v>
      </c>
      <c r="F712" s="1">
        <v>45168</v>
      </c>
      <c r="G712" s="7">
        <v>13.395833333333121</v>
      </c>
      <c r="H712" s="10">
        <v>4.0305</v>
      </c>
      <c r="I712" s="9">
        <f t="shared" si="22"/>
        <v>-4.0305</v>
      </c>
    </row>
    <row r="713" spans="1:9" x14ac:dyDescent="0.2">
      <c r="A713" t="s">
        <v>1360</v>
      </c>
      <c r="B713">
        <v>5.6215000000000001E-2</v>
      </c>
      <c r="C713">
        <v>242</v>
      </c>
      <c r="D713" t="s">
        <v>1360</v>
      </c>
      <c r="E713">
        <v>242</v>
      </c>
      <c r="F713" s="1">
        <v>45168</v>
      </c>
      <c r="G713" s="7">
        <v>13.406249999999787</v>
      </c>
      <c r="H713" s="10">
        <v>4.0129999999999999</v>
      </c>
      <c r="I713" s="9">
        <f t="shared" si="22"/>
        <v>-4.0129999999999999</v>
      </c>
    </row>
    <row r="714" spans="1:9" x14ac:dyDescent="0.2">
      <c r="A714" t="s">
        <v>1361</v>
      </c>
      <c r="B714">
        <v>5.6064999999999997E-2</v>
      </c>
      <c r="C714">
        <v>242</v>
      </c>
      <c r="D714" t="s">
        <v>1361</v>
      </c>
      <c r="E714">
        <v>242</v>
      </c>
      <c r="F714" s="1">
        <v>45168</v>
      </c>
      <c r="G714" s="7">
        <v>13.416666666666453</v>
      </c>
      <c r="H714" s="10">
        <v>4.0030000000000001</v>
      </c>
      <c r="I714" s="9">
        <f t="shared" si="22"/>
        <v>-4.0030000000000001</v>
      </c>
    </row>
    <row r="715" spans="1:9" x14ac:dyDescent="0.2">
      <c r="A715" t="s">
        <v>1362</v>
      </c>
      <c r="B715">
        <v>5.5985E-2</v>
      </c>
      <c r="C715">
        <v>242</v>
      </c>
      <c r="D715" t="s">
        <v>1362</v>
      </c>
      <c r="E715">
        <v>242</v>
      </c>
      <c r="F715" s="1">
        <v>45168</v>
      </c>
      <c r="G715" s="7">
        <v>13.427083333333119</v>
      </c>
      <c r="H715" s="10">
        <v>3.9975000000000001</v>
      </c>
      <c r="I715" s="9">
        <f t="shared" si="22"/>
        <v>-3.9975000000000001</v>
      </c>
    </row>
    <row r="716" spans="1:9" x14ac:dyDescent="0.2">
      <c r="A716" t="s">
        <v>1363</v>
      </c>
      <c r="B716">
        <v>5.5515000000000002E-2</v>
      </c>
      <c r="C716">
        <v>242</v>
      </c>
      <c r="D716" t="s">
        <v>1363</v>
      </c>
      <c r="E716">
        <v>242</v>
      </c>
      <c r="F716" s="1">
        <v>45168</v>
      </c>
      <c r="G716" s="7">
        <v>13.437499999999785</v>
      </c>
      <c r="H716" s="10">
        <v>3.9624999999999999</v>
      </c>
      <c r="I716" s="9">
        <f t="shared" si="22"/>
        <v>-3.9624999999999999</v>
      </c>
    </row>
    <row r="717" spans="1:9" x14ac:dyDescent="0.2">
      <c r="A717" t="s">
        <v>1364</v>
      </c>
      <c r="B717">
        <v>5.5120000000000002E-2</v>
      </c>
      <c r="C717">
        <v>242</v>
      </c>
      <c r="D717" t="s">
        <v>1364</v>
      </c>
      <c r="E717">
        <v>242</v>
      </c>
      <c r="F717" s="1">
        <v>45168</v>
      </c>
      <c r="G717" s="7">
        <v>13.447916666666451</v>
      </c>
      <c r="H717" s="10">
        <v>3.9344999999999999</v>
      </c>
      <c r="I717" s="9">
        <f t="shared" si="22"/>
        <v>-3.9344999999999999</v>
      </c>
    </row>
    <row r="718" spans="1:9" x14ac:dyDescent="0.2">
      <c r="A718" t="s">
        <v>1365</v>
      </c>
      <c r="B718">
        <v>5.493E-2</v>
      </c>
      <c r="C718">
        <v>242</v>
      </c>
      <c r="D718" t="s">
        <v>1365</v>
      </c>
      <c r="E718">
        <v>242</v>
      </c>
      <c r="F718" s="1">
        <v>45168</v>
      </c>
      <c r="G718" s="7">
        <v>13.458333333333117</v>
      </c>
      <c r="H718" s="10">
        <v>3.9220000000000002</v>
      </c>
      <c r="I718" s="9">
        <f t="shared" si="22"/>
        <v>-3.9220000000000002</v>
      </c>
    </row>
    <row r="719" spans="1:9" x14ac:dyDescent="0.2">
      <c r="A719" t="s">
        <v>1366</v>
      </c>
      <c r="B719">
        <v>5.4969999999999998E-2</v>
      </c>
      <c r="C719">
        <v>242</v>
      </c>
      <c r="D719" t="s">
        <v>1366</v>
      </c>
      <c r="E719">
        <v>242</v>
      </c>
      <c r="F719" s="1">
        <v>45168</v>
      </c>
      <c r="G719" s="7">
        <v>13.468749999999783</v>
      </c>
      <c r="H719" s="10" t="s">
        <v>1367</v>
      </c>
      <c r="I719" s="9">
        <f t="shared" si="22"/>
        <v>-3.9249999999999998</v>
      </c>
    </row>
    <row r="720" spans="1:9" x14ac:dyDescent="0.2">
      <c r="A720" t="s">
        <v>1368</v>
      </c>
      <c r="B720">
        <v>5.3560000000000003E-2</v>
      </c>
      <c r="C720">
        <v>242</v>
      </c>
      <c r="D720" t="s">
        <v>1368</v>
      </c>
      <c r="E720">
        <v>242</v>
      </c>
      <c r="F720" s="1">
        <v>45168</v>
      </c>
      <c r="G720" s="7">
        <v>13.479166666666449</v>
      </c>
      <c r="H720" s="10">
        <v>3.8235000000000001</v>
      </c>
      <c r="I720" s="9">
        <f t="shared" si="22"/>
        <v>-3.8235000000000001</v>
      </c>
    </row>
    <row r="721" spans="1:9" x14ac:dyDescent="0.2">
      <c r="A721" t="s">
        <v>1369</v>
      </c>
      <c r="B721">
        <v>5.4394999999999999E-2</v>
      </c>
      <c r="C721">
        <v>242</v>
      </c>
      <c r="D721" t="s">
        <v>1369</v>
      </c>
      <c r="E721">
        <v>242</v>
      </c>
      <c r="F721" s="1">
        <v>45168</v>
      </c>
      <c r="G721" s="7">
        <v>13.489583333333115</v>
      </c>
      <c r="H721" s="10">
        <v>3.883</v>
      </c>
      <c r="I721" s="9">
        <f t="shared" si="22"/>
        <v>-3.883</v>
      </c>
    </row>
    <row r="722" spans="1:9" x14ac:dyDescent="0.2">
      <c r="A722" t="s">
        <v>1370</v>
      </c>
      <c r="B722">
        <v>5.4350000000000002E-2</v>
      </c>
      <c r="C722">
        <v>242</v>
      </c>
      <c r="D722" t="s">
        <v>1370</v>
      </c>
      <c r="E722">
        <v>242</v>
      </c>
      <c r="F722" s="1">
        <v>45168</v>
      </c>
      <c r="G722" s="7">
        <v>13.499999999999782</v>
      </c>
      <c r="H722" s="10">
        <v>3.88</v>
      </c>
      <c r="I722" s="9">
        <f t="shared" si="22"/>
        <v>-3.88</v>
      </c>
    </row>
    <row r="723" spans="1:9" x14ac:dyDescent="0.2">
      <c r="A723" t="s">
        <v>1371</v>
      </c>
      <c r="B723">
        <v>5.4629999999999998E-2</v>
      </c>
      <c r="C723">
        <v>242</v>
      </c>
      <c r="D723" t="s">
        <v>1371</v>
      </c>
      <c r="E723">
        <v>242</v>
      </c>
      <c r="F723" s="1">
        <v>45168</v>
      </c>
      <c r="G723" s="7">
        <v>13.510416666666448</v>
      </c>
      <c r="H723" s="10">
        <v>3.9</v>
      </c>
      <c r="I723" s="9">
        <f t="shared" si="22"/>
        <v>-3.9</v>
      </c>
    </row>
    <row r="724" spans="1:9" x14ac:dyDescent="0.2">
      <c r="A724" t="s">
        <v>1372</v>
      </c>
      <c r="B724">
        <v>5.4265000000000001E-2</v>
      </c>
      <c r="C724">
        <v>242</v>
      </c>
      <c r="D724" t="s">
        <v>1372</v>
      </c>
      <c r="E724">
        <v>242</v>
      </c>
      <c r="F724" s="1">
        <v>45168</v>
      </c>
      <c r="G724" s="7">
        <v>13.520833333333114</v>
      </c>
      <c r="H724" s="10" t="s">
        <v>1373</v>
      </c>
      <c r="I724" s="9">
        <f t="shared" si="22"/>
        <v>-3.87299999999999</v>
      </c>
    </row>
    <row r="725" spans="1:9" x14ac:dyDescent="0.2">
      <c r="A725" t="s">
        <v>1374</v>
      </c>
      <c r="B725">
        <v>5.3644999999999998E-2</v>
      </c>
      <c r="C725">
        <v>242</v>
      </c>
      <c r="D725" t="s">
        <v>1374</v>
      </c>
      <c r="E725">
        <v>242</v>
      </c>
      <c r="F725" s="1">
        <v>45168</v>
      </c>
      <c r="G725" s="7">
        <v>13.53124999999978</v>
      </c>
      <c r="H725" s="10" t="s">
        <v>1375</v>
      </c>
      <c r="I725" s="9">
        <f t="shared" si="22"/>
        <v>-3.8304999999999998</v>
      </c>
    </row>
    <row r="726" spans="1:9" x14ac:dyDescent="0.2">
      <c r="A726" t="s">
        <v>1376</v>
      </c>
      <c r="B726">
        <v>5.364E-2</v>
      </c>
      <c r="C726">
        <v>242</v>
      </c>
      <c r="D726" t="s">
        <v>1376</v>
      </c>
      <c r="E726">
        <v>242</v>
      </c>
      <c r="F726" s="1">
        <v>45168</v>
      </c>
      <c r="G726" s="7">
        <v>13.541666666666446</v>
      </c>
      <c r="H726" s="10">
        <v>3.83</v>
      </c>
      <c r="I726" s="9">
        <f t="shared" si="22"/>
        <v>-3.83</v>
      </c>
    </row>
    <row r="727" spans="1:9" x14ac:dyDescent="0.2">
      <c r="A727" t="s">
        <v>1377</v>
      </c>
      <c r="B727">
        <v>5.305E-2</v>
      </c>
      <c r="C727">
        <v>242</v>
      </c>
      <c r="D727" t="s">
        <v>1377</v>
      </c>
      <c r="E727">
        <v>242</v>
      </c>
      <c r="F727" s="1">
        <v>45168</v>
      </c>
      <c r="G727" s="7">
        <v>13.552083333333112</v>
      </c>
      <c r="H727" s="10">
        <v>3.7879999999999998</v>
      </c>
      <c r="I727" s="9">
        <f t="shared" si="22"/>
        <v>-3.7879999999999998</v>
      </c>
    </row>
    <row r="728" spans="1:9" x14ac:dyDescent="0.2">
      <c r="A728" t="s">
        <v>1378</v>
      </c>
      <c r="B728">
        <v>5.2830000000000002E-2</v>
      </c>
      <c r="C728">
        <v>242</v>
      </c>
      <c r="D728" t="s">
        <v>1378</v>
      </c>
      <c r="E728">
        <v>242</v>
      </c>
      <c r="F728" s="1">
        <v>45168</v>
      </c>
      <c r="G728" s="7">
        <v>13.562499999999778</v>
      </c>
      <c r="H728" s="10">
        <v>3.7730000000000001</v>
      </c>
      <c r="I728" s="9">
        <f t="shared" si="22"/>
        <v>-3.7730000000000001</v>
      </c>
    </row>
    <row r="729" spans="1:9" x14ac:dyDescent="0.2">
      <c r="A729" t="s">
        <v>1379</v>
      </c>
      <c r="B729">
        <v>5.246E-2</v>
      </c>
      <c r="C729">
        <v>242</v>
      </c>
      <c r="D729" t="s">
        <v>1379</v>
      </c>
      <c r="E729">
        <v>242</v>
      </c>
      <c r="F729" s="1">
        <v>45168</v>
      </c>
      <c r="G729" s="7">
        <v>13.572916666666444</v>
      </c>
      <c r="H729" s="10">
        <v>3.7450000000000001</v>
      </c>
      <c r="I729" s="9">
        <f t="shared" si="22"/>
        <v>-3.7450000000000001</v>
      </c>
    </row>
    <row r="730" spans="1:9" x14ac:dyDescent="0.2">
      <c r="A730" t="s">
        <v>1380</v>
      </c>
      <c r="B730">
        <v>5.2385000000000001E-2</v>
      </c>
      <c r="C730">
        <v>242</v>
      </c>
      <c r="D730" t="s">
        <v>1380</v>
      </c>
      <c r="E730">
        <v>242</v>
      </c>
      <c r="F730" s="1">
        <v>45168</v>
      </c>
      <c r="G730" s="7">
        <v>13.58333333333311</v>
      </c>
      <c r="H730" s="10">
        <v>3.7395</v>
      </c>
      <c r="I730" s="9">
        <f t="shared" si="22"/>
        <v>-3.7395</v>
      </c>
    </row>
    <row r="731" spans="1:9" x14ac:dyDescent="0.2">
      <c r="A731" t="s">
        <v>1381</v>
      </c>
      <c r="B731">
        <v>5.1659999999999998E-2</v>
      </c>
      <c r="C731">
        <v>242</v>
      </c>
      <c r="D731" t="s">
        <v>1381</v>
      </c>
      <c r="E731">
        <v>242</v>
      </c>
      <c r="F731" s="1">
        <v>45168</v>
      </c>
      <c r="G731" s="7">
        <v>13.593749999999776</v>
      </c>
      <c r="H731" s="10">
        <v>3.6890000000000001</v>
      </c>
      <c r="I731" s="9">
        <f t="shared" si="22"/>
        <v>-3.6890000000000001</v>
      </c>
    </row>
    <row r="732" spans="1:9" x14ac:dyDescent="0.2">
      <c r="A732" t="s">
        <v>1382</v>
      </c>
      <c r="B732">
        <v>5.1694999999999998E-2</v>
      </c>
      <c r="C732">
        <v>242</v>
      </c>
      <c r="D732" t="s">
        <v>1382</v>
      </c>
      <c r="E732">
        <v>242</v>
      </c>
      <c r="F732" s="1">
        <v>45168</v>
      </c>
      <c r="G732" s="7">
        <v>13.604166666666442</v>
      </c>
      <c r="H732" s="10">
        <v>3.6909999999999998</v>
      </c>
      <c r="I732" s="9">
        <f t="shared" si="22"/>
        <v>-3.6909999999999998</v>
      </c>
    </row>
    <row r="733" spans="1:9" x14ac:dyDescent="0.2">
      <c r="A733" t="s">
        <v>1383</v>
      </c>
      <c r="B733">
        <v>5.1694999999999998E-2</v>
      </c>
      <c r="C733">
        <v>242</v>
      </c>
      <c r="D733" t="s">
        <v>1383</v>
      </c>
      <c r="E733">
        <v>242</v>
      </c>
      <c r="F733" s="1">
        <v>45168</v>
      </c>
      <c r="G733" s="7">
        <v>13.614583333333108</v>
      </c>
      <c r="H733" s="10">
        <v>3.69</v>
      </c>
      <c r="I733" s="9">
        <f t="shared" si="22"/>
        <v>-3.69</v>
      </c>
    </row>
    <row r="734" spans="1:9" x14ac:dyDescent="0.2">
      <c r="A734" t="s">
        <v>1384</v>
      </c>
      <c r="B734">
        <v>5.1630000000000002E-2</v>
      </c>
      <c r="C734">
        <v>242</v>
      </c>
      <c r="D734" t="s">
        <v>1384</v>
      </c>
      <c r="E734">
        <v>242</v>
      </c>
      <c r="F734" s="1">
        <v>45168</v>
      </c>
      <c r="G734" s="7">
        <v>13.624999999999774</v>
      </c>
      <c r="H734" s="10">
        <v>3.6859999999999999</v>
      </c>
      <c r="I734" s="9">
        <f t="shared" si="22"/>
        <v>-3.6859999999999999</v>
      </c>
    </row>
    <row r="735" spans="1:9" x14ac:dyDescent="0.2">
      <c r="A735" t="s">
        <v>1385</v>
      </c>
      <c r="B735">
        <v>5.1889999999999999E-2</v>
      </c>
      <c r="C735">
        <v>242</v>
      </c>
      <c r="D735" t="s">
        <v>1385</v>
      </c>
      <c r="E735">
        <v>242</v>
      </c>
      <c r="F735" s="1">
        <v>45168</v>
      </c>
      <c r="G735" s="7">
        <v>13.63541666666644</v>
      </c>
      <c r="H735" s="10">
        <v>3.7044999999999999</v>
      </c>
      <c r="I735" s="9">
        <f t="shared" si="22"/>
        <v>-3.7044999999999999</v>
      </c>
    </row>
    <row r="736" spans="1:9" x14ac:dyDescent="0.2">
      <c r="A736" t="s">
        <v>1386</v>
      </c>
      <c r="B736" t="s">
        <v>1387</v>
      </c>
      <c r="C736">
        <v>242</v>
      </c>
      <c r="D736" t="s">
        <v>1386</v>
      </c>
      <c r="E736">
        <v>242</v>
      </c>
      <c r="F736" s="1">
        <v>45168</v>
      </c>
      <c r="G736" s="7">
        <v>13.645833333333107</v>
      </c>
      <c r="H736" s="10">
        <v>3.6795</v>
      </c>
      <c r="I736" s="9">
        <f t="shared" si="22"/>
        <v>-3.6795</v>
      </c>
    </row>
    <row r="737" spans="1:9" x14ac:dyDescent="0.2">
      <c r="A737" t="s">
        <v>1388</v>
      </c>
      <c r="B737">
        <v>5.1860000000000003E-2</v>
      </c>
      <c r="C737">
        <v>242</v>
      </c>
      <c r="D737" t="s">
        <v>1388</v>
      </c>
      <c r="E737">
        <v>242</v>
      </c>
      <c r="F737" s="1">
        <v>45168</v>
      </c>
      <c r="G737" s="7">
        <v>13.656249999999773</v>
      </c>
      <c r="H737" s="10" t="s">
        <v>1389</v>
      </c>
      <c r="I737" s="9">
        <f t="shared" si="22"/>
        <v>-3.7014999999999998</v>
      </c>
    </row>
    <row r="738" spans="1:9" x14ac:dyDescent="0.2">
      <c r="A738" t="s">
        <v>1390</v>
      </c>
      <c r="B738">
        <v>5.2045000000000001E-2</v>
      </c>
      <c r="C738">
        <v>242</v>
      </c>
      <c r="D738" t="s">
        <v>1390</v>
      </c>
      <c r="E738">
        <v>242</v>
      </c>
      <c r="F738" s="1">
        <v>45168</v>
      </c>
      <c r="G738" s="7">
        <v>13.666666666666439</v>
      </c>
      <c r="H738" s="10">
        <v>3.7160000000000002</v>
      </c>
      <c r="I738" s="9">
        <f t="shared" si="22"/>
        <v>-3.7160000000000002</v>
      </c>
    </row>
    <row r="739" spans="1:9" x14ac:dyDescent="0.2">
      <c r="A739" t="s">
        <v>1391</v>
      </c>
      <c r="B739">
        <v>5.2165000000000003E-2</v>
      </c>
      <c r="C739">
        <v>242</v>
      </c>
      <c r="D739" t="s">
        <v>1391</v>
      </c>
      <c r="E739">
        <v>242</v>
      </c>
      <c r="F739" s="1">
        <v>45168</v>
      </c>
      <c r="G739" s="7">
        <v>13.677083333333105</v>
      </c>
      <c r="H739" s="10">
        <v>3.7250000000000001</v>
      </c>
      <c r="I739" s="9">
        <f t="shared" si="22"/>
        <v>-3.7250000000000001</v>
      </c>
    </row>
    <row r="740" spans="1:9" x14ac:dyDescent="0.2">
      <c r="A740" t="s">
        <v>1392</v>
      </c>
      <c r="B740">
        <v>5.2299999999999999E-2</v>
      </c>
      <c r="C740">
        <v>242</v>
      </c>
      <c r="D740" t="s">
        <v>1392</v>
      </c>
      <c r="E740">
        <v>242</v>
      </c>
      <c r="F740" s="1">
        <v>45168</v>
      </c>
      <c r="G740" s="7">
        <v>13.687499999999771</v>
      </c>
      <c r="H740" s="10">
        <v>3.7330000000000001</v>
      </c>
      <c r="I740" s="9">
        <f t="shared" si="22"/>
        <v>-3.7330000000000001</v>
      </c>
    </row>
    <row r="741" spans="1:9" x14ac:dyDescent="0.2">
      <c r="A741" t="s">
        <v>1393</v>
      </c>
      <c r="B741">
        <v>5.2949999999999997E-2</v>
      </c>
      <c r="C741">
        <v>242</v>
      </c>
      <c r="D741" t="s">
        <v>1393</v>
      </c>
      <c r="E741">
        <v>242</v>
      </c>
      <c r="F741" s="1">
        <v>45168</v>
      </c>
      <c r="G741" s="7">
        <v>13.697916666666437</v>
      </c>
      <c r="H741" s="10">
        <v>3.782</v>
      </c>
      <c r="I741" s="9">
        <f t="shared" si="22"/>
        <v>-3.782</v>
      </c>
    </row>
    <row r="742" spans="1:9" x14ac:dyDescent="0.2">
      <c r="A742" t="s">
        <v>1394</v>
      </c>
      <c r="B742">
        <v>5.2734999999999997E-2</v>
      </c>
      <c r="C742">
        <v>242</v>
      </c>
      <c r="D742" t="s">
        <v>1394</v>
      </c>
      <c r="E742">
        <v>242</v>
      </c>
      <c r="F742" s="1">
        <v>45168</v>
      </c>
      <c r="G742" s="7">
        <v>13.708333333333103</v>
      </c>
      <c r="H742" s="10" t="s">
        <v>1395</v>
      </c>
      <c r="I742" s="9">
        <f t="shared" si="22"/>
        <v>-3.7639999999999998</v>
      </c>
    </row>
    <row r="743" spans="1:9" x14ac:dyDescent="0.2">
      <c r="A743" t="s">
        <v>1396</v>
      </c>
      <c r="B743">
        <v>5.2970000000000003E-2</v>
      </c>
      <c r="C743">
        <v>242</v>
      </c>
      <c r="D743" t="s">
        <v>1396</v>
      </c>
      <c r="E743">
        <v>242</v>
      </c>
      <c r="F743" s="1">
        <v>45168</v>
      </c>
      <c r="G743" s="7">
        <v>13.718749999999769</v>
      </c>
      <c r="H743" s="10">
        <v>3.7810000000000001</v>
      </c>
      <c r="I743" s="9">
        <f t="shared" si="22"/>
        <v>-3.7810000000000001</v>
      </c>
    </row>
    <row r="744" spans="1:9" x14ac:dyDescent="0.2">
      <c r="A744" t="s">
        <v>1397</v>
      </c>
      <c r="B744">
        <v>5.2549999999999999E-2</v>
      </c>
      <c r="C744">
        <v>242</v>
      </c>
      <c r="D744" t="s">
        <v>1397</v>
      </c>
      <c r="E744">
        <v>242</v>
      </c>
      <c r="F744" s="1">
        <v>45168</v>
      </c>
      <c r="G744" s="7">
        <v>13.729166666666435</v>
      </c>
      <c r="H744" s="10">
        <v>3.7524999999999999</v>
      </c>
      <c r="I744" s="9">
        <f t="shared" si="22"/>
        <v>-3.7524999999999999</v>
      </c>
    </row>
    <row r="745" spans="1:9" x14ac:dyDescent="0.2">
      <c r="A745" t="s">
        <v>1398</v>
      </c>
      <c r="B745">
        <v>5.2409999999999998E-2</v>
      </c>
      <c r="C745">
        <v>242</v>
      </c>
      <c r="D745" t="s">
        <v>1398</v>
      </c>
      <c r="E745">
        <v>242</v>
      </c>
      <c r="F745" s="1">
        <v>45168</v>
      </c>
      <c r="G745" s="7">
        <v>13.739583333333101</v>
      </c>
      <c r="H745" s="10">
        <v>3.7425000000000002</v>
      </c>
      <c r="I745" s="9">
        <f t="shared" si="22"/>
        <v>-3.7425000000000002</v>
      </c>
    </row>
    <row r="746" spans="1:9" x14ac:dyDescent="0.2">
      <c r="A746" t="s">
        <v>1399</v>
      </c>
      <c r="B746">
        <v>5.1624999999999997E-2</v>
      </c>
      <c r="C746">
        <v>243</v>
      </c>
      <c r="D746" t="s">
        <v>1399</v>
      </c>
      <c r="E746">
        <v>242</v>
      </c>
      <c r="F746" s="1">
        <v>45168</v>
      </c>
      <c r="G746" s="7">
        <v>13.749999999999767</v>
      </c>
      <c r="H746" s="10">
        <v>3.6865000000000001</v>
      </c>
      <c r="I746" s="9">
        <f t="shared" si="22"/>
        <v>-3.6865000000000001</v>
      </c>
    </row>
    <row r="747" spans="1:9" x14ac:dyDescent="0.2">
      <c r="A747" t="s">
        <v>1400</v>
      </c>
      <c r="B747">
        <v>5.2600000000000001E-2</v>
      </c>
      <c r="C747">
        <v>243</v>
      </c>
      <c r="D747" t="s">
        <v>1400</v>
      </c>
      <c r="E747">
        <v>242</v>
      </c>
      <c r="F747" s="1">
        <v>45168</v>
      </c>
      <c r="G747" s="7">
        <v>13.760416666666433</v>
      </c>
      <c r="H747" s="10">
        <v>3.7545000000000002</v>
      </c>
      <c r="I747" s="9">
        <f t="shared" si="22"/>
        <v>-3.7545000000000002</v>
      </c>
    </row>
    <row r="748" spans="1:9" x14ac:dyDescent="0.2">
      <c r="A748" t="s">
        <v>1401</v>
      </c>
      <c r="B748">
        <v>5.2574999999999997E-2</v>
      </c>
      <c r="C748">
        <v>243</v>
      </c>
      <c r="D748" t="s">
        <v>1401</v>
      </c>
      <c r="E748">
        <v>242</v>
      </c>
      <c r="F748" s="1">
        <v>45168</v>
      </c>
      <c r="G748" s="7">
        <v>13.770833333333099</v>
      </c>
      <c r="H748" s="10">
        <v>3.7534999999999998</v>
      </c>
      <c r="I748" s="9">
        <f t="shared" si="22"/>
        <v>-3.7534999999999998</v>
      </c>
    </row>
    <row r="749" spans="1:9" x14ac:dyDescent="0.2">
      <c r="A749" t="s">
        <v>1402</v>
      </c>
      <c r="B749">
        <v>5.2675E-2</v>
      </c>
      <c r="C749">
        <v>243</v>
      </c>
      <c r="D749" t="s">
        <v>1402</v>
      </c>
      <c r="E749">
        <v>242</v>
      </c>
      <c r="F749" s="1">
        <v>45168</v>
      </c>
      <c r="G749" s="7">
        <v>13.781249999999766</v>
      </c>
      <c r="H749" s="10">
        <v>3.7614999999999998</v>
      </c>
      <c r="I749" s="9">
        <f t="shared" si="22"/>
        <v>-3.7614999999999998</v>
      </c>
    </row>
    <row r="750" spans="1:9" x14ac:dyDescent="0.2">
      <c r="A750" t="s">
        <v>1403</v>
      </c>
      <c r="B750">
        <v>5.28E-2</v>
      </c>
      <c r="C750">
        <v>243</v>
      </c>
      <c r="D750" t="s">
        <v>1403</v>
      </c>
      <c r="E750">
        <v>242</v>
      </c>
      <c r="F750" s="1">
        <v>45168</v>
      </c>
      <c r="G750" s="7">
        <v>13.791666666666432</v>
      </c>
      <c r="H750" s="10">
        <v>3.7685</v>
      </c>
      <c r="I750" s="9">
        <f t="shared" si="22"/>
        <v>-3.7685</v>
      </c>
    </row>
    <row r="751" spans="1:9" x14ac:dyDescent="0.2">
      <c r="A751" t="s">
        <v>1404</v>
      </c>
      <c r="B751">
        <v>5.2569999999999999E-2</v>
      </c>
      <c r="C751">
        <v>243</v>
      </c>
      <c r="D751" t="s">
        <v>1404</v>
      </c>
      <c r="E751">
        <v>242</v>
      </c>
      <c r="F751" s="1">
        <v>45168</v>
      </c>
      <c r="G751" s="7">
        <v>13.802083333333098</v>
      </c>
      <c r="H751" s="10">
        <v>3.7534999999999998</v>
      </c>
      <c r="I751" s="9">
        <f t="shared" si="22"/>
        <v>-3.7534999999999998</v>
      </c>
    </row>
    <row r="752" spans="1:9" x14ac:dyDescent="0.2">
      <c r="A752" t="s">
        <v>1405</v>
      </c>
      <c r="B752">
        <v>5.3205000000000002E-2</v>
      </c>
      <c r="C752">
        <v>243</v>
      </c>
      <c r="D752" t="s">
        <v>1405</v>
      </c>
      <c r="E752">
        <v>242</v>
      </c>
      <c r="F752" s="1">
        <v>45168</v>
      </c>
      <c r="G752" s="7">
        <v>13.812499999999764</v>
      </c>
      <c r="H752" s="10">
        <v>3.7989999999999999</v>
      </c>
      <c r="I752" s="9">
        <f t="shared" si="22"/>
        <v>-3.7989999999999999</v>
      </c>
    </row>
    <row r="753" spans="1:9" x14ac:dyDescent="0.2">
      <c r="A753" t="s">
        <v>1406</v>
      </c>
      <c r="B753">
        <v>5.3310000000000003E-2</v>
      </c>
      <c r="C753">
        <v>243</v>
      </c>
      <c r="D753" t="s">
        <v>1406</v>
      </c>
      <c r="E753">
        <v>242</v>
      </c>
      <c r="F753" s="1">
        <v>45168</v>
      </c>
      <c r="G753" s="7">
        <v>13.82291666666643</v>
      </c>
      <c r="H753" s="10">
        <v>3.806</v>
      </c>
      <c r="I753" s="9">
        <f t="shared" si="22"/>
        <v>-3.806</v>
      </c>
    </row>
    <row r="754" spans="1:9" x14ac:dyDescent="0.2">
      <c r="A754" t="s">
        <v>1407</v>
      </c>
      <c r="B754">
        <v>5.3499999999999999E-2</v>
      </c>
      <c r="C754">
        <v>243</v>
      </c>
      <c r="D754" t="s">
        <v>1407</v>
      </c>
      <c r="E754">
        <v>242</v>
      </c>
      <c r="F754" s="1">
        <v>45168</v>
      </c>
      <c r="G754" s="7">
        <v>13.833333333333096</v>
      </c>
      <c r="H754" s="10">
        <v>3.8195000000000001</v>
      </c>
      <c r="I754" s="9">
        <f t="shared" si="22"/>
        <v>-3.8195000000000001</v>
      </c>
    </row>
    <row r="755" spans="1:9" x14ac:dyDescent="0.2">
      <c r="A755" t="s">
        <v>1408</v>
      </c>
      <c r="B755">
        <v>5.3800000000000001E-2</v>
      </c>
      <c r="C755">
        <v>243</v>
      </c>
      <c r="D755" t="s">
        <v>1408</v>
      </c>
      <c r="E755">
        <v>242</v>
      </c>
      <c r="F755" s="1">
        <v>45168</v>
      </c>
      <c r="G755" s="7">
        <v>13.843749999999762</v>
      </c>
      <c r="H755" s="10">
        <v>3.8410000000000002</v>
      </c>
      <c r="I755" s="9">
        <f t="shared" si="22"/>
        <v>-3.8410000000000002</v>
      </c>
    </row>
    <row r="756" spans="1:9" x14ac:dyDescent="0.2">
      <c r="A756" t="s">
        <v>1409</v>
      </c>
      <c r="B756">
        <v>5.4629999999999998E-2</v>
      </c>
      <c r="C756">
        <v>243</v>
      </c>
      <c r="D756" t="s">
        <v>1409</v>
      </c>
      <c r="E756">
        <v>242</v>
      </c>
      <c r="F756" s="1">
        <v>45168</v>
      </c>
      <c r="G756" s="7">
        <v>13.854166666666428</v>
      </c>
      <c r="H756" s="10">
        <v>3.9005000000000001</v>
      </c>
      <c r="I756" s="9">
        <f t="shared" si="22"/>
        <v>-3.9005000000000001</v>
      </c>
    </row>
    <row r="757" spans="1:9" x14ac:dyDescent="0.2">
      <c r="A757" t="s">
        <v>1410</v>
      </c>
      <c r="B757">
        <v>5.5169999999999997E-2</v>
      </c>
      <c r="C757">
        <v>243</v>
      </c>
      <c r="D757" t="s">
        <v>1410</v>
      </c>
      <c r="E757">
        <v>242</v>
      </c>
      <c r="F757" s="1">
        <v>45168</v>
      </c>
      <c r="G757" s="7">
        <v>13.864583333333094</v>
      </c>
      <c r="H757" s="10">
        <v>3.9390000000000001</v>
      </c>
      <c r="I757" s="9">
        <f t="shared" si="22"/>
        <v>-3.9390000000000001</v>
      </c>
    </row>
    <row r="758" spans="1:9" x14ac:dyDescent="0.2">
      <c r="A758" t="s">
        <v>1411</v>
      </c>
      <c r="B758">
        <v>5.6274999999999999E-2</v>
      </c>
      <c r="C758">
        <v>243</v>
      </c>
      <c r="D758" t="s">
        <v>1411</v>
      </c>
      <c r="E758">
        <v>242</v>
      </c>
      <c r="F758" s="1">
        <v>45168</v>
      </c>
      <c r="G758" s="7">
        <v>13.87499999999976</v>
      </c>
      <c r="H758" s="10">
        <v>4.0190000000000001</v>
      </c>
      <c r="I758" s="9">
        <f t="shared" si="22"/>
        <v>-4.0190000000000001</v>
      </c>
    </row>
    <row r="759" spans="1:9" x14ac:dyDescent="0.2">
      <c r="A759" t="s">
        <v>1412</v>
      </c>
      <c r="B759">
        <v>5.6980000000000003E-2</v>
      </c>
      <c r="C759">
        <v>243</v>
      </c>
      <c r="D759" t="s">
        <v>1412</v>
      </c>
      <c r="E759">
        <v>242</v>
      </c>
      <c r="F759" s="1">
        <v>45168</v>
      </c>
      <c r="G759" s="7">
        <v>13.885416666666426</v>
      </c>
      <c r="H759" s="10">
        <v>4.0679999999999996</v>
      </c>
      <c r="I759" s="9">
        <f t="shared" si="22"/>
        <v>-4.0679999999999996</v>
      </c>
    </row>
    <row r="760" spans="1:9" x14ac:dyDescent="0.2">
      <c r="A760" t="s">
        <v>1413</v>
      </c>
      <c r="B760">
        <v>5.7904999999999998E-2</v>
      </c>
      <c r="C760">
        <v>243</v>
      </c>
      <c r="D760" t="s">
        <v>1413</v>
      </c>
      <c r="E760">
        <v>242</v>
      </c>
      <c r="F760" s="1">
        <v>45168</v>
      </c>
      <c r="G760" s="7">
        <v>13.895833333333092</v>
      </c>
      <c r="H760" s="10">
        <v>4.133</v>
      </c>
      <c r="I760" s="9">
        <f t="shared" si="22"/>
        <v>-4.133</v>
      </c>
    </row>
    <row r="761" spans="1:9" x14ac:dyDescent="0.2">
      <c r="A761" t="s">
        <v>1414</v>
      </c>
      <c r="B761">
        <v>5.885E-2</v>
      </c>
      <c r="C761">
        <v>243</v>
      </c>
      <c r="D761" t="s">
        <v>1414</v>
      </c>
      <c r="E761">
        <v>242</v>
      </c>
      <c r="F761" s="1">
        <v>45168</v>
      </c>
      <c r="G761" s="7">
        <v>13.906249999999758</v>
      </c>
      <c r="H761" s="10">
        <v>4.2015000000000002</v>
      </c>
      <c r="I761" s="9">
        <f t="shared" si="22"/>
        <v>-4.2015000000000002</v>
      </c>
    </row>
    <row r="762" spans="1:9" x14ac:dyDescent="0.2">
      <c r="A762" t="s">
        <v>1415</v>
      </c>
      <c r="B762">
        <v>5.9764999999999999E-2</v>
      </c>
      <c r="C762">
        <v>243</v>
      </c>
      <c r="D762" t="s">
        <v>1415</v>
      </c>
      <c r="E762">
        <v>242</v>
      </c>
      <c r="F762" s="1">
        <v>45168</v>
      </c>
      <c r="G762" s="7">
        <v>13.916666666666424</v>
      </c>
      <c r="H762" s="10">
        <v>4.266</v>
      </c>
      <c r="I762" s="9">
        <f t="shared" si="22"/>
        <v>-4.266</v>
      </c>
    </row>
    <row r="763" spans="1:9" x14ac:dyDescent="0.2">
      <c r="A763" t="s">
        <v>1416</v>
      </c>
      <c r="B763">
        <v>6.0565000000000001E-2</v>
      </c>
      <c r="C763">
        <v>243</v>
      </c>
      <c r="D763" t="s">
        <v>1416</v>
      </c>
      <c r="E763">
        <v>242</v>
      </c>
      <c r="F763" s="1">
        <v>45168</v>
      </c>
      <c r="G763" s="7">
        <v>13.927083333333091</v>
      </c>
      <c r="H763" s="10">
        <v>4.3239999999999998</v>
      </c>
      <c r="I763" s="9">
        <f t="shared" si="22"/>
        <v>-4.3239999999999998</v>
      </c>
    </row>
    <row r="764" spans="1:9" x14ac:dyDescent="0.2">
      <c r="A764" t="s">
        <v>1417</v>
      </c>
      <c r="B764">
        <v>6.1769999999999999E-2</v>
      </c>
      <c r="C764">
        <v>243</v>
      </c>
      <c r="D764" t="s">
        <v>1417</v>
      </c>
      <c r="E764">
        <v>242</v>
      </c>
      <c r="F764" s="1">
        <v>45168</v>
      </c>
      <c r="G764" s="7">
        <v>13.937499999999757</v>
      </c>
      <c r="H764" s="10">
        <v>4.4115000000000002</v>
      </c>
      <c r="I764" s="9">
        <f t="shared" si="22"/>
        <v>-4.4115000000000002</v>
      </c>
    </row>
    <row r="765" spans="1:9" x14ac:dyDescent="0.2">
      <c r="A765" t="s">
        <v>1418</v>
      </c>
      <c r="B765">
        <v>6.1929999999999999E-2</v>
      </c>
      <c r="C765">
        <v>243</v>
      </c>
      <c r="D765" t="s">
        <v>1418</v>
      </c>
      <c r="E765">
        <v>242</v>
      </c>
      <c r="F765" s="1">
        <v>45168</v>
      </c>
      <c r="G765" s="7">
        <v>13.947916666666423</v>
      </c>
      <c r="H765" s="10">
        <v>4.423</v>
      </c>
      <c r="I765" s="9">
        <f t="shared" si="22"/>
        <v>-4.423</v>
      </c>
    </row>
    <row r="766" spans="1:9" x14ac:dyDescent="0.2">
      <c r="A766" t="s">
        <v>1419</v>
      </c>
      <c r="B766">
        <v>6.2710000000000002E-2</v>
      </c>
      <c r="C766">
        <v>243</v>
      </c>
      <c r="D766" t="s">
        <v>1419</v>
      </c>
      <c r="E766">
        <v>242</v>
      </c>
      <c r="F766" s="1">
        <v>45168</v>
      </c>
      <c r="G766" s="7">
        <v>13.958333333333089</v>
      </c>
      <c r="H766" s="10">
        <v>4.4779999999999998</v>
      </c>
      <c r="I766" s="9">
        <f t="shared" si="22"/>
        <v>-4.4779999999999998</v>
      </c>
    </row>
    <row r="767" spans="1:9" x14ac:dyDescent="0.2">
      <c r="A767" t="s">
        <v>1420</v>
      </c>
      <c r="B767">
        <v>6.3199999999999895E-2</v>
      </c>
      <c r="C767">
        <v>243</v>
      </c>
      <c r="D767" t="s">
        <v>1420</v>
      </c>
      <c r="E767">
        <v>242</v>
      </c>
      <c r="F767" s="1">
        <v>45168</v>
      </c>
      <c r="G767" s="7">
        <v>13.968749999999755</v>
      </c>
      <c r="H767" s="10" t="s">
        <v>1421</v>
      </c>
      <c r="I767" s="9">
        <f t="shared" si="22"/>
        <v>-4.5119999999999996</v>
      </c>
    </row>
    <row r="768" spans="1:9" x14ac:dyDescent="0.2">
      <c r="A768" t="s">
        <v>1422</v>
      </c>
      <c r="B768">
        <v>6.3200000000000006E-2</v>
      </c>
      <c r="C768">
        <v>243</v>
      </c>
      <c r="D768" t="s">
        <v>1422</v>
      </c>
      <c r="E768">
        <v>242</v>
      </c>
      <c r="F768" s="1">
        <v>45168</v>
      </c>
      <c r="G768" s="7">
        <v>13.979166666666421</v>
      </c>
      <c r="H768" s="10">
        <v>4.5129999999999999</v>
      </c>
      <c r="I768" s="9">
        <f t="shared" si="22"/>
        <v>-4.5129999999999999</v>
      </c>
    </row>
    <row r="769" spans="1:9" x14ac:dyDescent="0.2">
      <c r="A769" t="s">
        <v>1423</v>
      </c>
      <c r="B769">
        <v>6.3409999999999994E-2</v>
      </c>
      <c r="C769">
        <v>243</v>
      </c>
      <c r="D769" t="s">
        <v>1423</v>
      </c>
      <c r="E769">
        <v>242</v>
      </c>
      <c r="F769" s="1">
        <v>45168</v>
      </c>
      <c r="G769" s="7">
        <v>13.989583333333087</v>
      </c>
      <c r="H769" s="10">
        <v>4.5274999999999999</v>
      </c>
      <c r="I769" s="9">
        <f t="shared" si="22"/>
        <v>-4.5274999999999999</v>
      </c>
    </row>
    <row r="770" spans="1:9" x14ac:dyDescent="0.2">
      <c r="A770" t="s">
        <v>1424</v>
      </c>
      <c r="B770">
        <v>6.3534999999999994E-2</v>
      </c>
      <c r="C770">
        <v>243</v>
      </c>
      <c r="D770" t="s">
        <v>1424</v>
      </c>
      <c r="E770">
        <v>243</v>
      </c>
      <c r="F770" s="1">
        <v>45169</v>
      </c>
      <c r="G770" s="7">
        <v>13.999999999999753</v>
      </c>
      <c r="H770" s="10">
        <v>4.5350000000000001</v>
      </c>
      <c r="I770" s="9">
        <f t="shared" si="22"/>
        <v>-4.5350000000000001</v>
      </c>
    </row>
    <row r="771" spans="1:9" x14ac:dyDescent="0.2">
      <c r="A771" t="s">
        <v>1425</v>
      </c>
      <c r="B771">
        <v>6.3664999999999999E-2</v>
      </c>
      <c r="C771">
        <v>243</v>
      </c>
      <c r="D771" t="s">
        <v>1425</v>
      </c>
      <c r="E771">
        <v>243</v>
      </c>
      <c r="F771" s="1">
        <v>45169</v>
      </c>
      <c r="G771" s="7">
        <v>14.010416666666419</v>
      </c>
      <c r="H771" s="10">
        <v>4.5465</v>
      </c>
      <c r="I771" s="9">
        <f t="shared" ref="I771:I798" si="23">-H771</f>
        <v>-4.5465</v>
      </c>
    </row>
    <row r="772" spans="1:9" x14ac:dyDescent="0.2">
      <c r="A772" t="s">
        <v>1426</v>
      </c>
      <c r="B772">
        <v>6.3945000000000002E-2</v>
      </c>
      <c r="C772">
        <v>243</v>
      </c>
      <c r="D772" t="s">
        <v>1426</v>
      </c>
      <c r="E772">
        <v>243</v>
      </c>
      <c r="F772" s="1">
        <v>45169</v>
      </c>
      <c r="G772" s="7">
        <v>14.020833333333085</v>
      </c>
      <c r="H772" s="10">
        <v>4.5644999999999998</v>
      </c>
      <c r="I772" s="9">
        <f t="shared" si="23"/>
        <v>-4.5644999999999998</v>
      </c>
    </row>
    <row r="773" spans="1:9" x14ac:dyDescent="0.2">
      <c r="A773" t="s">
        <v>1427</v>
      </c>
      <c r="B773">
        <v>6.3875000000000001E-2</v>
      </c>
      <c r="C773">
        <v>243</v>
      </c>
      <c r="D773" t="s">
        <v>1427</v>
      </c>
      <c r="E773">
        <v>243</v>
      </c>
      <c r="F773" s="1">
        <v>45169</v>
      </c>
      <c r="G773" s="7">
        <v>14.031249999999751</v>
      </c>
      <c r="H773" s="10">
        <v>4.5605000000000002</v>
      </c>
      <c r="I773" s="9">
        <f t="shared" si="23"/>
        <v>-4.5605000000000002</v>
      </c>
    </row>
    <row r="774" spans="1:9" x14ac:dyDescent="0.2">
      <c r="A774" t="s">
        <v>1428</v>
      </c>
      <c r="B774">
        <v>6.3850000000000004E-2</v>
      </c>
      <c r="C774">
        <v>243</v>
      </c>
      <c r="D774" t="s">
        <v>1428</v>
      </c>
      <c r="E774">
        <v>243</v>
      </c>
      <c r="F774" s="1">
        <v>45169</v>
      </c>
      <c r="G774" s="7">
        <v>14.041666666666417</v>
      </c>
      <c r="H774" s="10">
        <v>4.5590000000000002</v>
      </c>
      <c r="I774" s="9">
        <f t="shared" si="23"/>
        <v>-4.5590000000000002</v>
      </c>
    </row>
    <row r="775" spans="1:9" x14ac:dyDescent="0.2">
      <c r="A775" t="s">
        <v>1429</v>
      </c>
      <c r="B775">
        <v>6.3820000000000002E-2</v>
      </c>
      <c r="C775">
        <v>243</v>
      </c>
      <c r="D775" t="s">
        <v>1429</v>
      </c>
      <c r="E775">
        <v>243</v>
      </c>
      <c r="F775" s="1">
        <v>45169</v>
      </c>
      <c r="G775" s="7">
        <v>14.052083333333083</v>
      </c>
      <c r="H775" s="10">
        <v>4.5555000000000003</v>
      </c>
      <c r="I775" s="9">
        <f t="shared" si="23"/>
        <v>-4.5555000000000003</v>
      </c>
    </row>
    <row r="776" spans="1:9" x14ac:dyDescent="0.2">
      <c r="A776" t="s">
        <v>1430</v>
      </c>
      <c r="B776">
        <v>6.4219999999999999E-2</v>
      </c>
      <c r="C776">
        <v>243</v>
      </c>
      <c r="D776" t="s">
        <v>1430</v>
      </c>
      <c r="E776">
        <v>243</v>
      </c>
      <c r="F776" s="1">
        <v>45169</v>
      </c>
      <c r="G776" s="7">
        <v>14.06249999999975</v>
      </c>
      <c r="H776" s="10">
        <v>4.585</v>
      </c>
      <c r="I776" s="9">
        <f t="shared" si="23"/>
        <v>-4.585</v>
      </c>
    </row>
    <row r="777" spans="1:9" x14ac:dyDescent="0.2">
      <c r="A777" t="s">
        <v>1431</v>
      </c>
      <c r="B777">
        <v>6.3744999999999996E-2</v>
      </c>
      <c r="C777">
        <v>243</v>
      </c>
      <c r="D777" t="s">
        <v>1431</v>
      </c>
      <c r="E777">
        <v>243</v>
      </c>
      <c r="F777" s="1">
        <v>45169</v>
      </c>
      <c r="G777" s="7">
        <v>14.072916666666416</v>
      </c>
      <c r="H777" s="10">
        <v>4.5514999999999999</v>
      </c>
      <c r="I777" s="9">
        <f t="shared" si="23"/>
        <v>-4.5514999999999999</v>
      </c>
    </row>
    <row r="778" spans="1:9" x14ac:dyDescent="0.2">
      <c r="A778" t="s">
        <v>1432</v>
      </c>
      <c r="B778">
        <v>6.4074999999999993E-2</v>
      </c>
      <c r="C778">
        <v>243</v>
      </c>
      <c r="D778" t="s">
        <v>1432</v>
      </c>
      <c r="E778">
        <v>243</v>
      </c>
      <c r="F778" s="1">
        <v>45169</v>
      </c>
      <c r="G778" s="7">
        <v>14.083333333333082</v>
      </c>
      <c r="H778" s="10">
        <v>4.5750000000000002</v>
      </c>
      <c r="I778" s="9">
        <f t="shared" si="23"/>
        <v>-4.5750000000000002</v>
      </c>
    </row>
    <row r="779" spans="1:9" x14ac:dyDescent="0.2">
      <c r="A779" t="s">
        <v>1433</v>
      </c>
      <c r="B779">
        <v>6.3884999999999997E-2</v>
      </c>
      <c r="C779">
        <v>243</v>
      </c>
      <c r="D779" t="s">
        <v>1433</v>
      </c>
      <c r="E779">
        <v>243</v>
      </c>
      <c r="F779" s="1">
        <v>45169</v>
      </c>
      <c r="G779" s="7">
        <v>14.093749999999748</v>
      </c>
      <c r="H779" s="10">
        <v>4.5609999999999999</v>
      </c>
      <c r="I779" s="9">
        <f t="shared" si="23"/>
        <v>-4.5609999999999999</v>
      </c>
    </row>
    <row r="780" spans="1:9" x14ac:dyDescent="0.2">
      <c r="A780" t="s">
        <v>1434</v>
      </c>
      <c r="B780">
        <v>6.3814999999999997E-2</v>
      </c>
      <c r="C780">
        <v>243</v>
      </c>
      <c r="D780" t="s">
        <v>1434</v>
      </c>
      <c r="E780">
        <v>243</v>
      </c>
      <c r="F780" s="1">
        <v>45169</v>
      </c>
      <c r="G780" s="7">
        <v>14.104166666666414</v>
      </c>
      <c r="H780" s="10">
        <v>4.5555000000000003</v>
      </c>
      <c r="I780" s="9">
        <f t="shared" si="23"/>
        <v>-4.5555000000000003</v>
      </c>
    </row>
    <row r="781" spans="1:9" x14ac:dyDescent="0.2">
      <c r="A781" t="s">
        <v>1435</v>
      </c>
      <c r="B781">
        <v>6.3780000000000003E-2</v>
      </c>
      <c r="C781">
        <v>243</v>
      </c>
      <c r="D781" t="s">
        <v>1435</v>
      </c>
      <c r="E781">
        <v>243</v>
      </c>
      <c r="F781" s="1">
        <v>45169</v>
      </c>
      <c r="G781" s="7">
        <v>14.11458333333308</v>
      </c>
      <c r="H781" s="10">
        <v>4.5529999999999999</v>
      </c>
      <c r="I781" s="9">
        <f t="shared" si="23"/>
        <v>-4.5529999999999999</v>
      </c>
    </row>
    <row r="782" spans="1:9" x14ac:dyDescent="0.2">
      <c r="A782" t="s">
        <v>1436</v>
      </c>
      <c r="B782">
        <v>6.4125000000000001E-2</v>
      </c>
      <c r="C782">
        <v>243</v>
      </c>
      <c r="D782" t="s">
        <v>1436</v>
      </c>
      <c r="E782">
        <v>243</v>
      </c>
      <c r="F782" s="1">
        <v>45169</v>
      </c>
      <c r="G782" s="7">
        <v>14.124999999999746</v>
      </c>
      <c r="H782" s="10">
        <v>4.5774999999999997</v>
      </c>
      <c r="I782" s="9">
        <f t="shared" si="23"/>
        <v>-4.5774999999999997</v>
      </c>
    </row>
    <row r="783" spans="1:9" x14ac:dyDescent="0.2">
      <c r="A783" t="s">
        <v>1437</v>
      </c>
      <c r="B783">
        <v>6.3435000000000005E-2</v>
      </c>
      <c r="C783">
        <v>243</v>
      </c>
      <c r="D783" t="s">
        <v>1437</v>
      </c>
      <c r="E783">
        <v>243</v>
      </c>
      <c r="F783" s="1">
        <v>45169</v>
      </c>
      <c r="G783" s="7">
        <v>14.135416666666412</v>
      </c>
      <c r="H783" s="10">
        <v>4.5294999999999996</v>
      </c>
      <c r="I783" s="9">
        <f t="shared" si="23"/>
        <v>-4.5294999999999996</v>
      </c>
    </row>
    <row r="784" spans="1:9" x14ac:dyDescent="0.2">
      <c r="A784" t="s">
        <v>1438</v>
      </c>
      <c r="B784">
        <v>6.3600000000000004E-2</v>
      </c>
      <c r="C784">
        <v>243</v>
      </c>
      <c r="D784" t="s">
        <v>1438</v>
      </c>
      <c r="E784">
        <v>243</v>
      </c>
      <c r="F784" s="1">
        <v>45169</v>
      </c>
      <c r="G784" s="7">
        <v>14.145833333333078</v>
      </c>
      <c r="H784" s="10">
        <v>4.5415000000000001</v>
      </c>
      <c r="I784" s="9">
        <f t="shared" si="23"/>
        <v>-4.5415000000000001</v>
      </c>
    </row>
    <row r="785" spans="1:9" x14ac:dyDescent="0.2">
      <c r="A785" t="s">
        <v>1439</v>
      </c>
      <c r="B785">
        <v>6.3685000000000005E-2</v>
      </c>
      <c r="C785">
        <v>243</v>
      </c>
      <c r="D785" t="s">
        <v>1439</v>
      </c>
      <c r="E785">
        <v>243</v>
      </c>
      <c r="F785" s="1">
        <v>45169</v>
      </c>
      <c r="G785" s="7">
        <v>14.156249999999744</v>
      </c>
      <c r="H785" s="10">
        <v>4.5475000000000003</v>
      </c>
      <c r="I785" s="9">
        <f t="shared" si="23"/>
        <v>-4.5475000000000003</v>
      </c>
    </row>
    <row r="786" spans="1:9" x14ac:dyDescent="0.2">
      <c r="A786" t="s">
        <v>1440</v>
      </c>
      <c r="B786">
        <v>6.3954999999999998E-2</v>
      </c>
      <c r="C786">
        <v>243</v>
      </c>
      <c r="D786" t="s">
        <v>1440</v>
      </c>
      <c r="E786">
        <v>243</v>
      </c>
      <c r="F786" s="1">
        <v>45169</v>
      </c>
      <c r="G786" s="7">
        <v>14.16666666666641</v>
      </c>
      <c r="H786" s="10">
        <v>4.5674999999999999</v>
      </c>
      <c r="I786" s="9">
        <f t="shared" si="23"/>
        <v>-4.5674999999999999</v>
      </c>
    </row>
    <row r="787" spans="1:9" x14ac:dyDescent="0.2">
      <c r="A787" t="s">
        <v>1441</v>
      </c>
      <c r="B787">
        <v>6.3519999999999993E-2</v>
      </c>
      <c r="C787">
        <v>243</v>
      </c>
      <c r="D787" t="s">
        <v>1441</v>
      </c>
      <c r="E787">
        <v>243</v>
      </c>
      <c r="F787" s="1">
        <v>45169</v>
      </c>
      <c r="G787" s="7">
        <v>14.177083333333076</v>
      </c>
      <c r="H787" s="10">
        <v>4.5354999999999999</v>
      </c>
      <c r="I787" s="9">
        <f t="shared" si="23"/>
        <v>-4.5354999999999999</v>
      </c>
    </row>
    <row r="788" spans="1:9" x14ac:dyDescent="0.2">
      <c r="A788" t="s">
        <v>1442</v>
      </c>
      <c r="B788">
        <v>6.3369999999999996E-2</v>
      </c>
      <c r="C788">
        <v>243</v>
      </c>
      <c r="D788" t="s">
        <v>1442</v>
      </c>
      <c r="E788">
        <v>243</v>
      </c>
      <c r="F788" s="1">
        <v>45169</v>
      </c>
      <c r="G788" s="7">
        <v>14.187499999999742</v>
      </c>
      <c r="H788" s="10">
        <v>4.5244999999999997</v>
      </c>
      <c r="I788" s="9">
        <f t="shared" si="23"/>
        <v>-4.5244999999999997</v>
      </c>
    </row>
    <row r="789" spans="1:9" x14ac:dyDescent="0.2">
      <c r="A789" t="s">
        <v>1443</v>
      </c>
      <c r="B789">
        <v>6.3549999999999995E-2</v>
      </c>
      <c r="C789">
        <v>243</v>
      </c>
      <c r="D789" t="s">
        <v>1443</v>
      </c>
      <c r="E789">
        <v>243</v>
      </c>
      <c r="F789" s="1">
        <v>45169</v>
      </c>
      <c r="G789" s="7">
        <v>14.197916666666409</v>
      </c>
      <c r="H789" s="10">
        <v>4.5380000000000003</v>
      </c>
      <c r="I789" s="9">
        <f t="shared" si="23"/>
        <v>-4.5380000000000003</v>
      </c>
    </row>
    <row r="790" spans="1:9" x14ac:dyDescent="0.2">
      <c r="A790" t="s">
        <v>1444</v>
      </c>
      <c r="B790">
        <v>6.3280000000000003E-2</v>
      </c>
      <c r="C790">
        <v>243</v>
      </c>
      <c r="D790" t="s">
        <v>1444</v>
      </c>
      <c r="E790">
        <v>243</v>
      </c>
      <c r="F790" s="1">
        <v>45169</v>
      </c>
      <c r="G790" s="7">
        <v>14.208333333333075</v>
      </c>
      <c r="H790" s="10">
        <v>4.5179999999999998</v>
      </c>
      <c r="I790" s="9">
        <f t="shared" si="23"/>
        <v>-4.5179999999999998</v>
      </c>
    </row>
    <row r="791" spans="1:9" x14ac:dyDescent="0.2">
      <c r="A791" t="s">
        <v>1445</v>
      </c>
      <c r="B791">
        <v>6.2950000000000006E-2</v>
      </c>
      <c r="C791">
        <v>243</v>
      </c>
      <c r="D791" t="s">
        <v>1445</v>
      </c>
      <c r="E791">
        <v>243</v>
      </c>
      <c r="F791" s="1">
        <v>45169</v>
      </c>
      <c r="G791" s="7">
        <v>14.218749999999741</v>
      </c>
      <c r="H791" s="10">
        <v>4.4945000000000004</v>
      </c>
      <c r="I791" s="9">
        <f t="shared" si="23"/>
        <v>-4.4945000000000004</v>
      </c>
    </row>
    <row r="792" spans="1:9" x14ac:dyDescent="0.2">
      <c r="A792" t="s">
        <v>1446</v>
      </c>
      <c r="B792">
        <v>6.3174999999999995E-2</v>
      </c>
      <c r="C792">
        <v>243</v>
      </c>
      <c r="D792" t="s">
        <v>1446</v>
      </c>
      <c r="E792">
        <v>243</v>
      </c>
      <c r="F792" s="1">
        <v>45169</v>
      </c>
      <c r="G792" s="7">
        <v>14.229166666666407</v>
      </c>
      <c r="H792" s="10">
        <v>4.5105000000000004</v>
      </c>
      <c r="I792" s="9">
        <f t="shared" si="23"/>
        <v>-4.5105000000000004</v>
      </c>
    </row>
    <row r="793" spans="1:9" x14ac:dyDescent="0.2">
      <c r="A793" t="s">
        <v>1447</v>
      </c>
      <c r="B793">
        <v>6.3500000000000001E-2</v>
      </c>
      <c r="C793">
        <v>243</v>
      </c>
      <c r="D793" t="s">
        <v>1447</v>
      </c>
      <c r="E793">
        <v>243</v>
      </c>
      <c r="F793" s="1">
        <v>45169</v>
      </c>
      <c r="G793" s="7">
        <v>14.239583333333073</v>
      </c>
      <c r="H793" s="10">
        <v>4.5339999999999998</v>
      </c>
      <c r="I793" s="9">
        <f t="shared" si="23"/>
        <v>-4.5339999999999998</v>
      </c>
    </row>
    <row r="794" spans="1:9" x14ac:dyDescent="0.2">
      <c r="A794" t="s">
        <v>1448</v>
      </c>
      <c r="B794">
        <v>6.3354999999999995E-2</v>
      </c>
      <c r="C794">
        <v>243</v>
      </c>
      <c r="D794" t="s">
        <v>1448</v>
      </c>
      <c r="E794">
        <v>243</v>
      </c>
      <c r="F794" s="1">
        <v>45169</v>
      </c>
      <c r="G794" s="7">
        <v>14.249999999999739</v>
      </c>
      <c r="H794" s="10">
        <v>4.5229999999999997</v>
      </c>
      <c r="I794" s="9">
        <f t="shared" si="23"/>
        <v>-4.5229999999999997</v>
      </c>
    </row>
    <row r="795" spans="1:9" x14ac:dyDescent="0.2">
      <c r="A795" t="s">
        <v>1449</v>
      </c>
      <c r="B795">
        <v>6.3509999999999997E-2</v>
      </c>
      <c r="C795">
        <v>243</v>
      </c>
      <c r="D795" t="s">
        <v>1449</v>
      </c>
      <c r="E795">
        <v>243</v>
      </c>
      <c r="F795" s="1">
        <v>45169</v>
      </c>
      <c r="G795" s="7">
        <v>14.260416666666405</v>
      </c>
      <c r="H795" s="10">
        <v>4.5350000000000001</v>
      </c>
      <c r="I795" s="9">
        <f t="shared" si="23"/>
        <v>-4.5350000000000001</v>
      </c>
    </row>
    <row r="796" spans="1:9" x14ac:dyDescent="0.2">
      <c r="A796" t="s">
        <v>1450</v>
      </c>
      <c r="B796">
        <v>6.3255000000000006E-2</v>
      </c>
      <c r="C796">
        <v>243</v>
      </c>
      <c r="D796" t="s">
        <v>1450</v>
      </c>
      <c r="E796">
        <v>243</v>
      </c>
      <c r="F796" s="1">
        <v>45169</v>
      </c>
      <c r="G796" s="7">
        <v>14.270833333333071</v>
      </c>
      <c r="H796" s="10">
        <v>4.5175000000000001</v>
      </c>
      <c r="I796" s="9">
        <f t="shared" si="23"/>
        <v>-4.5175000000000001</v>
      </c>
    </row>
    <row r="797" spans="1:9" x14ac:dyDescent="0.2">
      <c r="A797" t="s">
        <v>1451</v>
      </c>
      <c r="B797">
        <v>6.3159999999999994E-2</v>
      </c>
      <c r="C797">
        <v>243</v>
      </c>
      <c r="D797" t="s">
        <v>1451</v>
      </c>
      <c r="E797">
        <v>243</v>
      </c>
      <c r="F797" s="1">
        <v>45169</v>
      </c>
      <c r="G797" s="7">
        <v>14.281249999999737</v>
      </c>
      <c r="H797" s="10">
        <v>4.51</v>
      </c>
      <c r="I797" s="9">
        <f t="shared" si="23"/>
        <v>-4.51</v>
      </c>
    </row>
    <row r="798" spans="1:9" x14ac:dyDescent="0.2">
      <c r="A798" t="s">
        <v>1452</v>
      </c>
      <c r="B798">
        <v>6.3305E-2</v>
      </c>
      <c r="C798">
        <v>243</v>
      </c>
      <c r="D798" t="s">
        <v>1452</v>
      </c>
      <c r="E798">
        <v>243</v>
      </c>
      <c r="F798" s="1">
        <v>45169</v>
      </c>
      <c r="G798" s="7">
        <v>14.291666666666403</v>
      </c>
      <c r="H798" s="10">
        <v>4.5194999999999999</v>
      </c>
      <c r="I798" s="9">
        <f t="shared" si="23"/>
        <v>-4.5194999999999999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07"/>
  <sheetViews>
    <sheetView topLeftCell="E22" workbookViewId="0">
      <selection activeCell="M113" sqref="M113"/>
    </sheetView>
  </sheetViews>
  <sheetFormatPr baseColWidth="10" defaultRowHeight="16" x14ac:dyDescent="0.2"/>
  <cols>
    <col min="1" max="1" width="0" hidden="1" customWidth="1"/>
    <col min="2" max="4" width="10.83203125" hidden="1" customWidth="1"/>
    <col min="5" max="5" width="10.83203125" customWidth="1"/>
    <col min="7" max="7" width="0" hidden="1" customWidth="1"/>
    <col min="9" max="9" width="10.83203125" style="26"/>
    <col min="10" max="10" width="16" customWidth="1"/>
  </cols>
  <sheetData>
    <row r="1" spans="1:19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6416</v>
      </c>
      <c r="H1" s="7" t="s">
        <v>6415</v>
      </c>
      <c r="I1" s="26" t="s">
        <v>1</v>
      </c>
      <c r="J1" s="9" t="s">
        <v>6419</v>
      </c>
      <c r="K1" s="9" t="s">
        <v>6431</v>
      </c>
      <c r="L1" s="6" t="s">
        <v>6418</v>
      </c>
      <c r="M1">
        <f>1/96</f>
        <v>1.0416666666666666E-2</v>
      </c>
      <c r="O1" t="s">
        <v>6432</v>
      </c>
      <c r="P1" s="6">
        <f>(M111+M209+M302+M400)/4</f>
        <v>0.37014714391796089</v>
      </c>
      <c r="Q1" t="s">
        <v>6433</v>
      </c>
      <c r="R1" t="s">
        <v>6451</v>
      </c>
      <c r="S1" s="33">
        <v>0.3125</v>
      </c>
    </row>
    <row r="2" spans="1:19" x14ac:dyDescent="0.2">
      <c r="A2" t="s">
        <v>4332</v>
      </c>
      <c r="B2">
        <v>8.0064999999999997E-2</v>
      </c>
      <c r="C2">
        <v>274</v>
      </c>
      <c r="D2" t="s">
        <v>4332</v>
      </c>
      <c r="E2">
        <v>273</v>
      </c>
      <c r="F2" s="1">
        <v>45199</v>
      </c>
      <c r="G2" s="6">
        <v>18.843749999999961</v>
      </c>
      <c r="H2" s="7">
        <v>18.843749999999961</v>
      </c>
      <c r="I2" s="26">
        <v>5.7164999999999999</v>
      </c>
      <c r="J2" s="26">
        <f>-I2</f>
        <v>-5.7164999999999999</v>
      </c>
      <c r="R2" t="s">
        <v>6452</v>
      </c>
      <c r="S2" s="33">
        <v>0.875</v>
      </c>
    </row>
    <row r="3" spans="1:19" x14ac:dyDescent="0.2">
      <c r="A3" t="s">
        <v>4333</v>
      </c>
      <c r="B3">
        <v>8.0509999999999998E-2</v>
      </c>
      <c r="C3">
        <v>274</v>
      </c>
      <c r="D3" t="s">
        <v>4333</v>
      </c>
      <c r="E3">
        <v>273</v>
      </c>
      <c r="F3" s="1">
        <v>45199</v>
      </c>
      <c r="G3" s="6">
        <v>18.854166666666629</v>
      </c>
      <c r="H3" s="7">
        <v>18.854166666666629</v>
      </c>
      <c r="I3" s="26">
        <v>5.7480000000000002</v>
      </c>
      <c r="J3" s="26">
        <f t="shared" ref="J3:J66" si="0">-I3</f>
        <v>-5.7480000000000002</v>
      </c>
    </row>
    <row r="4" spans="1:19" x14ac:dyDescent="0.2">
      <c r="A4" t="s">
        <v>4334</v>
      </c>
      <c r="B4">
        <v>8.0759999999999998E-2</v>
      </c>
      <c r="C4">
        <v>274</v>
      </c>
      <c r="D4" t="s">
        <v>4334</v>
      </c>
      <c r="E4">
        <v>274</v>
      </c>
      <c r="F4" s="1">
        <v>45200</v>
      </c>
      <c r="G4" s="6">
        <v>18.864583333333297</v>
      </c>
      <c r="H4" s="7">
        <v>18.864583333333297</v>
      </c>
      <c r="I4" s="26">
        <v>5.7649999999999997</v>
      </c>
      <c r="J4" s="26">
        <f t="shared" si="0"/>
        <v>-5.7649999999999997</v>
      </c>
    </row>
    <row r="5" spans="1:19" x14ac:dyDescent="0.2">
      <c r="A5" t="s">
        <v>4335</v>
      </c>
      <c r="B5">
        <v>8.0049999999999996E-2</v>
      </c>
      <c r="C5">
        <v>274</v>
      </c>
      <c r="D5" t="s">
        <v>4335</v>
      </c>
      <c r="E5">
        <v>274</v>
      </c>
      <c r="F5" s="1">
        <v>45200</v>
      </c>
      <c r="G5" s="6">
        <v>18.874999999999964</v>
      </c>
      <c r="H5" s="7">
        <v>18.874999999999964</v>
      </c>
      <c r="I5" s="26">
        <v>5.7164999999999999</v>
      </c>
      <c r="J5" s="26">
        <f t="shared" si="0"/>
        <v>-5.7164999999999999</v>
      </c>
    </row>
    <row r="6" spans="1:19" x14ac:dyDescent="0.2">
      <c r="A6" t="s">
        <v>4336</v>
      </c>
      <c r="B6">
        <v>8.0045000000000005E-2</v>
      </c>
      <c r="C6">
        <v>274</v>
      </c>
      <c r="D6" t="s">
        <v>4336</v>
      </c>
      <c r="E6">
        <v>274</v>
      </c>
      <c r="F6" s="1">
        <v>45200</v>
      </c>
      <c r="G6" s="6">
        <v>18.885416666666632</v>
      </c>
      <c r="H6" s="7">
        <v>18.885416666666632</v>
      </c>
      <c r="I6" s="26">
        <v>5.7145000000000001</v>
      </c>
      <c r="J6" s="26">
        <f t="shared" si="0"/>
        <v>-5.7145000000000001</v>
      </c>
    </row>
    <row r="7" spans="1:19" x14ac:dyDescent="0.2">
      <c r="A7" t="s">
        <v>4337</v>
      </c>
      <c r="B7">
        <v>7.9985000000000001E-2</v>
      </c>
      <c r="C7">
        <v>274</v>
      </c>
      <c r="D7" t="s">
        <v>4337</v>
      </c>
      <c r="E7">
        <v>274</v>
      </c>
      <c r="F7" s="1">
        <v>45200</v>
      </c>
      <c r="G7" s="6">
        <v>18.8958333333333</v>
      </c>
      <c r="H7" s="7">
        <v>18.8958333333333</v>
      </c>
      <c r="I7" s="26">
        <v>5.7104999999999997</v>
      </c>
      <c r="J7" s="26">
        <f t="shared" si="0"/>
        <v>-5.7104999999999997</v>
      </c>
    </row>
    <row r="8" spans="1:19" x14ac:dyDescent="0.2">
      <c r="A8" t="s">
        <v>4338</v>
      </c>
      <c r="B8">
        <v>7.9930000000000001E-2</v>
      </c>
      <c r="C8">
        <v>274</v>
      </c>
      <c r="D8" t="s">
        <v>4338</v>
      </c>
      <c r="E8">
        <v>274</v>
      </c>
      <c r="F8" s="1">
        <v>45200</v>
      </c>
      <c r="G8" s="6">
        <v>18.906249999999968</v>
      </c>
      <c r="H8" s="7">
        <v>18.906249999999968</v>
      </c>
      <c r="I8" s="26">
        <v>5.7065000000000001</v>
      </c>
      <c r="J8" s="26">
        <f t="shared" si="0"/>
        <v>-5.7065000000000001</v>
      </c>
    </row>
    <row r="9" spans="1:19" x14ac:dyDescent="0.2">
      <c r="A9" t="s">
        <v>4339</v>
      </c>
      <c r="B9">
        <v>7.9975000000000004E-2</v>
      </c>
      <c r="C9">
        <v>274</v>
      </c>
      <c r="D9" t="s">
        <v>4339</v>
      </c>
      <c r="E9">
        <v>274</v>
      </c>
      <c r="F9" s="1">
        <v>45200</v>
      </c>
      <c r="G9" s="6">
        <v>18.916666666666636</v>
      </c>
      <c r="H9" s="7">
        <v>18.916666666666636</v>
      </c>
      <c r="I9" s="26">
        <v>5.7095000000000002</v>
      </c>
      <c r="J9" s="26">
        <f t="shared" si="0"/>
        <v>-5.7095000000000002</v>
      </c>
    </row>
    <row r="10" spans="1:19" x14ac:dyDescent="0.2">
      <c r="A10" t="s">
        <v>4340</v>
      </c>
      <c r="B10">
        <v>7.9880000000000007E-2</v>
      </c>
      <c r="C10">
        <v>274</v>
      </c>
      <c r="D10" t="s">
        <v>4340</v>
      </c>
      <c r="E10">
        <v>274</v>
      </c>
      <c r="F10" s="1">
        <v>45200</v>
      </c>
      <c r="G10" s="6">
        <v>18.927083333333304</v>
      </c>
      <c r="H10" s="7">
        <v>18.927083333333304</v>
      </c>
      <c r="I10" s="26">
        <v>5.7030000000000003</v>
      </c>
      <c r="J10" s="26">
        <f t="shared" si="0"/>
        <v>-5.7030000000000003</v>
      </c>
    </row>
    <row r="11" spans="1:19" x14ac:dyDescent="0.2">
      <c r="A11" t="s">
        <v>4341</v>
      </c>
      <c r="B11">
        <v>8.0320000000000003E-2</v>
      </c>
      <c r="C11">
        <v>274</v>
      </c>
      <c r="D11" t="s">
        <v>4341</v>
      </c>
      <c r="E11">
        <v>274</v>
      </c>
      <c r="F11" s="1">
        <v>45200</v>
      </c>
      <c r="G11" s="6">
        <v>18.937499999999972</v>
      </c>
      <c r="H11" s="7">
        <v>18.937499999999972</v>
      </c>
      <c r="I11" s="26">
        <v>5.734</v>
      </c>
      <c r="J11" s="26">
        <f t="shared" si="0"/>
        <v>-5.734</v>
      </c>
    </row>
    <row r="12" spans="1:19" x14ac:dyDescent="0.2">
      <c r="A12" t="s">
        <v>4342</v>
      </c>
      <c r="B12">
        <v>7.9765000000000003E-2</v>
      </c>
      <c r="C12">
        <v>274</v>
      </c>
      <c r="D12" t="s">
        <v>4342</v>
      </c>
      <c r="E12">
        <v>274</v>
      </c>
      <c r="F12" s="1">
        <v>45200</v>
      </c>
      <c r="G12" s="6">
        <v>18.947916666666639</v>
      </c>
      <c r="H12" s="7">
        <v>18.947916666666639</v>
      </c>
      <c r="I12" s="26">
        <v>5.6944999999999997</v>
      </c>
      <c r="J12" s="26">
        <f t="shared" si="0"/>
        <v>-5.6944999999999997</v>
      </c>
    </row>
    <row r="13" spans="1:19" x14ac:dyDescent="0.2">
      <c r="A13" t="s">
        <v>4343</v>
      </c>
      <c r="B13">
        <v>7.9445000000000002E-2</v>
      </c>
      <c r="C13">
        <v>274</v>
      </c>
      <c r="D13" t="s">
        <v>4343</v>
      </c>
      <c r="E13">
        <v>274</v>
      </c>
      <c r="F13" s="1">
        <v>45200</v>
      </c>
      <c r="G13" s="6">
        <v>18.958333333333307</v>
      </c>
      <c r="H13" s="7">
        <v>18.958333333333307</v>
      </c>
      <c r="I13" s="26">
        <v>5.6715</v>
      </c>
      <c r="J13" s="26">
        <f t="shared" si="0"/>
        <v>-5.6715</v>
      </c>
    </row>
    <row r="14" spans="1:19" x14ac:dyDescent="0.2">
      <c r="A14" t="s">
        <v>4344</v>
      </c>
      <c r="B14">
        <v>7.9854999999999995E-2</v>
      </c>
      <c r="C14">
        <v>274</v>
      </c>
      <c r="D14" t="s">
        <v>4344</v>
      </c>
      <c r="E14">
        <v>274</v>
      </c>
      <c r="F14" s="1">
        <v>45200</v>
      </c>
      <c r="G14" s="6">
        <v>18.968749999999975</v>
      </c>
      <c r="H14" s="7">
        <v>18.968749999999975</v>
      </c>
      <c r="I14" s="26">
        <v>5.7015000000000002</v>
      </c>
      <c r="J14" s="26">
        <f t="shared" si="0"/>
        <v>-5.7015000000000002</v>
      </c>
    </row>
    <row r="15" spans="1:19" x14ac:dyDescent="0.2">
      <c r="A15" t="s">
        <v>4345</v>
      </c>
      <c r="B15">
        <v>7.9490000000000005E-2</v>
      </c>
      <c r="C15">
        <v>274</v>
      </c>
      <c r="D15" t="s">
        <v>4345</v>
      </c>
      <c r="E15">
        <v>274</v>
      </c>
      <c r="F15" s="1">
        <v>45200</v>
      </c>
      <c r="G15" s="6">
        <v>18.979166666666643</v>
      </c>
      <c r="H15" s="7">
        <v>18.979166666666643</v>
      </c>
      <c r="I15" s="26">
        <v>5.6754999999999898</v>
      </c>
      <c r="J15" s="26">
        <f t="shared" si="0"/>
        <v>-5.6754999999999898</v>
      </c>
    </row>
    <row r="16" spans="1:19" x14ac:dyDescent="0.2">
      <c r="A16" t="s">
        <v>4347</v>
      </c>
      <c r="B16">
        <v>7.9579999999999998E-2</v>
      </c>
      <c r="C16">
        <v>274</v>
      </c>
      <c r="D16" t="s">
        <v>4347</v>
      </c>
      <c r="E16">
        <v>274</v>
      </c>
      <c r="F16" s="1">
        <v>45200</v>
      </c>
      <c r="G16" s="6">
        <v>18.989583333333311</v>
      </c>
      <c r="H16" s="7">
        <v>18.989583333333311</v>
      </c>
      <c r="I16" s="26">
        <v>5.681</v>
      </c>
      <c r="J16" s="26">
        <f t="shared" si="0"/>
        <v>-5.681</v>
      </c>
    </row>
    <row r="17" spans="1:12" x14ac:dyDescent="0.2">
      <c r="A17" t="s">
        <v>4348</v>
      </c>
      <c r="B17">
        <v>7.9945000000000002E-2</v>
      </c>
      <c r="C17">
        <v>274</v>
      </c>
      <c r="D17" t="s">
        <v>4348</v>
      </c>
      <c r="E17">
        <v>274</v>
      </c>
      <c r="F17" s="1">
        <v>45200</v>
      </c>
      <c r="G17" s="6">
        <v>18.999999999999979</v>
      </c>
      <c r="H17" s="7">
        <v>18.999999999999979</v>
      </c>
      <c r="I17" s="26">
        <v>5.7095000000000002</v>
      </c>
      <c r="J17" s="26">
        <f t="shared" si="0"/>
        <v>-5.7095000000000002</v>
      </c>
    </row>
    <row r="18" spans="1:12" x14ac:dyDescent="0.2">
      <c r="A18" t="s">
        <v>4349</v>
      </c>
      <c r="B18">
        <v>7.9784999999999995E-2</v>
      </c>
      <c r="C18">
        <v>274</v>
      </c>
      <c r="D18" t="s">
        <v>4349</v>
      </c>
      <c r="E18">
        <v>274</v>
      </c>
      <c r="F18" s="1">
        <v>45200</v>
      </c>
      <c r="G18" s="6">
        <v>19.010416666666647</v>
      </c>
      <c r="H18" s="7">
        <v>19.010416666666647</v>
      </c>
      <c r="I18" s="26">
        <v>5.6959999999999997</v>
      </c>
      <c r="J18" s="26">
        <f t="shared" si="0"/>
        <v>-5.6959999999999997</v>
      </c>
    </row>
    <row r="19" spans="1:12" x14ac:dyDescent="0.2">
      <c r="A19" s="12" t="s">
        <v>4350</v>
      </c>
      <c r="B19" s="12">
        <v>8.0235000000000001E-2</v>
      </c>
      <c r="C19" s="12">
        <v>274</v>
      </c>
      <c r="D19" s="12" t="s">
        <v>4350</v>
      </c>
      <c r="E19" s="12">
        <v>274</v>
      </c>
      <c r="F19" s="13">
        <v>45200</v>
      </c>
      <c r="G19" s="28">
        <v>19.020833333333314</v>
      </c>
      <c r="H19" s="14">
        <v>19.020833333333314</v>
      </c>
      <c r="I19" s="27">
        <v>5.7290000000000001</v>
      </c>
      <c r="J19" s="27">
        <f t="shared" si="0"/>
        <v>-5.7290000000000001</v>
      </c>
      <c r="K19" s="26">
        <f>J19+5.729</f>
        <v>0</v>
      </c>
    </row>
    <row r="20" spans="1:12" x14ac:dyDescent="0.2">
      <c r="A20" t="s">
        <v>4351</v>
      </c>
      <c r="B20">
        <v>7.9149999999999998E-2</v>
      </c>
      <c r="C20">
        <v>274</v>
      </c>
      <c r="D20" t="s">
        <v>4351</v>
      </c>
      <c r="E20">
        <v>274</v>
      </c>
      <c r="F20" s="1">
        <v>45200</v>
      </c>
      <c r="G20" s="6">
        <v>19.031249999999982</v>
      </c>
      <c r="H20" s="7">
        <v>19.031249999999982</v>
      </c>
      <c r="I20" s="26">
        <v>5.6515000000000004</v>
      </c>
      <c r="J20" s="26">
        <f t="shared" si="0"/>
        <v>-5.6515000000000004</v>
      </c>
      <c r="K20" s="26">
        <f t="shared" ref="K20:K83" si="1">J20+5.729</f>
        <v>7.749999999999968E-2</v>
      </c>
      <c r="L20">
        <f>(K19+K20)/2</f>
        <v>3.874999999999984E-2</v>
      </c>
    </row>
    <row r="21" spans="1:12" x14ac:dyDescent="0.2">
      <c r="A21" t="s">
        <v>4352</v>
      </c>
      <c r="B21">
        <v>7.9475000000000004E-2</v>
      </c>
      <c r="C21">
        <v>274</v>
      </c>
      <c r="D21" t="s">
        <v>4352</v>
      </c>
      <c r="E21">
        <v>274</v>
      </c>
      <c r="F21" s="1">
        <v>45200</v>
      </c>
      <c r="G21" s="6">
        <v>19.04166666666665</v>
      </c>
      <c r="H21" s="7">
        <v>19.04166666666665</v>
      </c>
      <c r="I21" s="26">
        <v>5.6740000000000004</v>
      </c>
      <c r="J21" s="26">
        <f t="shared" si="0"/>
        <v>-5.6740000000000004</v>
      </c>
      <c r="K21" s="26">
        <f t="shared" si="1"/>
        <v>5.4999999999999716E-2</v>
      </c>
      <c r="L21">
        <f t="shared" ref="L21:L84" si="2">(K20+K21)/2</f>
        <v>6.6249999999999698E-2</v>
      </c>
    </row>
    <row r="22" spans="1:12" x14ac:dyDescent="0.2">
      <c r="A22" t="s">
        <v>4353</v>
      </c>
      <c r="B22">
        <v>7.9560000000000006E-2</v>
      </c>
      <c r="C22">
        <v>274</v>
      </c>
      <c r="D22" t="s">
        <v>4353</v>
      </c>
      <c r="E22">
        <v>274</v>
      </c>
      <c r="F22" s="1">
        <v>45200</v>
      </c>
      <c r="G22" s="6">
        <v>19.052083333333318</v>
      </c>
      <c r="H22" s="7">
        <v>19.052083333333318</v>
      </c>
      <c r="I22" s="26">
        <v>5.68</v>
      </c>
      <c r="J22" s="26">
        <f t="shared" si="0"/>
        <v>-5.68</v>
      </c>
      <c r="K22" s="26">
        <f t="shared" si="1"/>
        <v>4.9000000000000377E-2</v>
      </c>
      <c r="L22">
        <f t="shared" si="2"/>
        <v>5.2000000000000046E-2</v>
      </c>
    </row>
    <row r="23" spans="1:12" x14ac:dyDescent="0.2">
      <c r="A23" t="s">
        <v>4354</v>
      </c>
      <c r="B23">
        <v>7.9189999999999997E-2</v>
      </c>
      <c r="C23">
        <v>274</v>
      </c>
      <c r="D23" t="s">
        <v>4354</v>
      </c>
      <c r="E23">
        <v>274</v>
      </c>
      <c r="F23" s="1">
        <v>45200</v>
      </c>
      <c r="G23" s="6">
        <v>19.062499999999986</v>
      </c>
      <c r="H23" s="7">
        <v>19.062499999999986</v>
      </c>
      <c r="I23" s="26">
        <v>5.6555</v>
      </c>
      <c r="J23" s="26">
        <f t="shared" si="0"/>
        <v>-5.6555</v>
      </c>
      <c r="K23" s="26">
        <f t="shared" si="1"/>
        <v>7.3500000000000121E-2</v>
      </c>
      <c r="L23">
        <f t="shared" si="2"/>
        <v>6.1250000000000249E-2</v>
      </c>
    </row>
    <row r="24" spans="1:12" x14ac:dyDescent="0.2">
      <c r="A24" t="s">
        <v>4355</v>
      </c>
      <c r="B24">
        <v>7.9100000000000004E-2</v>
      </c>
      <c r="C24">
        <v>274</v>
      </c>
      <c r="D24" t="s">
        <v>4355</v>
      </c>
      <c r="E24">
        <v>274</v>
      </c>
      <c r="F24" s="1">
        <v>45200</v>
      </c>
      <c r="G24" s="6">
        <v>19.072916666666654</v>
      </c>
      <c r="H24" s="7">
        <v>19.072916666666654</v>
      </c>
      <c r="I24" s="26">
        <v>5.6479999999999997</v>
      </c>
      <c r="J24" s="26">
        <f t="shared" si="0"/>
        <v>-5.6479999999999997</v>
      </c>
      <c r="K24" s="26">
        <f t="shared" si="1"/>
        <v>8.1000000000000405E-2</v>
      </c>
      <c r="L24">
        <f t="shared" si="2"/>
        <v>7.7250000000000263E-2</v>
      </c>
    </row>
    <row r="25" spans="1:12" x14ac:dyDescent="0.2">
      <c r="A25" t="s">
        <v>4356</v>
      </c>
      <c r="B25">
        <v>7.9015000000000002E-2</v>
      </c>
      <c r="C25">
        <v>274</v>
      </c>
      <c r="D25" t="s">
        <v>4356</v>
      </c>
      <c r="E25">
        <v>274</v>
      </c>
      <c r="F25" s="1">
        <v>45200</v>
      </c>
      <c r="G25" s="6">
        <v>19.083333333333321</v>
      </c>
      <c r="H25" s="7">
        <v>19.083333333333321</v>
      </c>
      <c r="I25" s="26">
        <v>5.64</v>
      </c>
      <c r="J25" s="26">
        <f t="shared" si="0"/>
        <v>-5.64</v>
      </c>
      <c r="K25" s="26">
        <f t="shared" si="1"/>
        <v>8.9000000000000412E-2</v>
      </c>
      <c r="L25">
        <f t="shared" si="2"/>
        <v>8.5000000000000409E-2</v>
      </c>
    </row>
    <row r="26" spans="1:12" x14ac:dyDescent="0.2">
      <c r="A26" t="s">
        <v>4357</v>
      </c>
      <c r="B26">
        <v>7.9295000000000004E-2</v>
      </c>
      <c r="C26">
        <v>274</v>
      </c>
      <c r="D26" t="s">
        <v>4357</v>
      </c>
      <c r="E26">
        <v>274</v>
      </c>
      <c r="F26" s="1">
        <v>45200</v>
      </c>
      <c r="G26" s="6">
        <v>19.093749999999989</v>
      </c>
      <c r="H26" s="7">
        <v>19.093749999999989</v>
      </c>
      <c r="I26" s="26">
        <v>5.6604999999999999</v>
      </c>
      <c r="J26" s="26">
        <f t="shared" si="0"/>
        <v>-5.6604999999999999</v>
      </c>
      <c r="K26" s="26">
        <f t="shared" si="1"/>
        <v>6.8500000000000227E-2</v>
      </c>
      <c r="L26">
        <f t="shared" si="2"/>
        <v>7.875000000000032E-2</v>
      </c>
    </row>
    <row r="27" spans="1:12" x14ac:dyDescent="0.2">
      <c r="A27" t="s">
        <v>4358</v>
      </c>
      <c r="B27">
        <v>7.8914999999999999E-2</v>
      </c>
      <c r="C27">
        <v>274</v>
      </c>
      <c r="D27" t="s">
        <v>4358</v>
      </c>
      <c r="E27">
        <v>274</v>
      </c>
      <c r="F27" s="1">
        <v>45200</v>
      </c>
      <c r="G27" s="6">
        <v>19.104166666666657</v>
      </c>
      <c r="H27" s="7">
        <v>19.104166666666657</v>
      </c>
      <c r="I27" s="26">
        <v>5.6334999999999997</v>
      </c>
      <c r="J27" s="26">
        <f t="shared" si="0"/>
        <v>-5.6334999999999997</v>
      </c>
      <c r="K27" s="26">
        <f t="shared" si="1"/>
        <v>9.5500000000000362E-2</v>
      </c>
      <c r="L27">
        <f t="shared" si="2"/>
        <v>8.2000000000000295E-2</v>
      </c>
    </row>
    <row r="28" spans="1:12" x14ac:dyDescent="0.2">
      <c r="A28" t="s">
        <v>4359</v>
      </c>
      <c r="B28">
        <v>7.936E-2</v>
      </c>
      <c r="C28">
        <v>274</v>
      </c>
      <c r="D28" t="s">
        <v>4359</v>
      </c>
      <c r="E28">
        <v>274</v>
      </c>
      <c r="F28" s="1">
        <v>45200</v>
      </c>
      <c r="G28" s="6">
        <v>19.114583333333325</v>
      </c>
      <c r="H28" s="7">
        <v>19.114583333333325</v>
      </c>
      <c r="I28" s="26">
        <v>5.6665000000000001</v>
      </c>
      <c r="J28" s="26">
        <f t="shared" si="0"/>
        <v>-5.6665000000000001</v>
      </c>
      <c r="K28" s="26">
        <f t="shared" si="1"/>
        <v>6.25E-2</v>
      </c>
      <c r="L28">
        <f t="shared" si="2"/>
        <v>7.9000000000000181E-2</v>
      </c>
    </row>
    <row r="29" spans="1:12" x14ac:dyDescent="0.2">
      <c r="A29" t="s">
        <v>4360</v>
      </c>
      <c r="B29">
        <v>7.9625000000000001E-2</v>
      </c>
      <c r="C29">
        <v>274</v>
      </c>
      <c r="D29" t="s">
        <v>4360</v>
      </c>
      <c r="E29">
        <v>274</v>
      </c>
      <c r="F29" s="1">
        <v>45200</v>
      </c>
      <c r="G29" s="6">
        <v>19.124999999999993</v>
      </c>
      <c r="H29" s="7">
        <v>19.124999999999993</v>
      </c>
      <c r="I29" s="26">
        <v>5.6840000000000002</v>
      </c>
      <c r="J29" s="26">
        <f t="shared" si="0"/>
        <v>-5.6840000000000002</v>
      </c>
      <c r="K29" s="26">
        <f t="shared" si="1"/>
        <v>4.4999999999999929E-2</v>
      </c>
      <c r="L29">
        <f t="shared" si="2"/>
        <v>5.3749999999999964E-2</v>
      </c>
    </row>
    <row r="30" spans="1:12" x14ac:dyDescent="0.2">
      <c r="A30" t="s">
        <v>4361</v>
      </c>
      <c r="B30">
        <v>7.8964999999999994E-2</v>
      </c>
      <c r="C30">
        <v>274</v>
      </c>
      <c r="D30" t="s">
        <v>4361</v>
      </c>
      <c r="E30">
        <v>274</v>
      </c>
      <c r="F30" s="1">
        <v>45200</v>
      </c>
      <c r="G30" s="6">
        <v>19.135416666666661</v>
      </c>
      <c r="H30" s="7">
        <v>19.135416666666661</v>
      </c>
      <c r="I30" s="26">
        <v>5.6369999999999996</v>
      </c>
      <c r="J30" s="26">
        <f t="shared" si="0"/>
        <v>-5.6369999999999996</v>
      </c>
      <c r="K30" s="26">
        <f t="shared" si="1"/>
        <v>9.2000000000000526E-2</v>
      </c>
      <c r="L30">
        <f t="shared" si="2"/>
        <v>6.8500000000000227E-2</v>
      </c>
    </row>
    <row r="31" spans="1:12" x14ac:dyDescent="0.2">
      <c r="A31" t="s">
        <v>4362</v>
      </c>
      <c r="B31">
        <v>7.9155000000000003E-2</v>
      </c>
      <c r="C31">
        <v>274</v>
      </c>
      <c r="D31" t="s">
        <v>4362</v>
      </c>
      <c r="E31">
        <v>274</v>
      </c>
      <c r="F31" s="1">
        <v>45200</v>
      </c>
      <c r="G31" s="6">
        <v>19.145833333333329</v>
      </c>
      <c r="H31" s="7">
        <v>19.145833333333329</v>
      </c>
      <c r="I31" s="26">
        <v>5.6520000000000001</v>
      </c>
      <c r="J31" s="26">
        <f t="shared" si="0"/>
        <v>-5.6520000000000001</v>
      </c>
      <c r="K31" s="26">
        <f t="shared" si="1"/>
        <v>7.6999999999999957E-2</v>
      </c>
      <c r="L31">
        <f t="shared" si="2"/>
        <v>8.4500000000000242E-2</v>
      </c>
    </row>
    <row r="32" spans="1:12" x14ac:dyDescent="0.2">
      <c r="A32" t="s">
        <v>4363</v>
      </c>
      <c r="B32">
        <v>7.9075000000000006E-2</v>
      </c>
      <c r="C32">
        <v>274</v>
      </c>
      <c r="D32" t="s">
        <v>4363</v>
      </c>
      <c r="E32">
        <v>274</v>
      </c>
      <c r="F32" s="1">
        <v>45200</v>
      </c>
      <c r="G32" s="6">
        <v>19.156249999999996</v>
      </c>
      <c r="H32" s="7">
        <v>19.156249999999996</v>
      </c>
      <c r="I32" s="26">
        <v>5.6444999999999999</v>
      </c>
      <c r="J32" s="26">
        <f t="shared" si="0"/>
        <v>-5.6444999999999999</v>
      </c>
      <c r="K32" s="26">
        <f t="shared" si="1"/>
        <v>8.4500000000000242E-2</v>
      </c>
      <c r="L32">
        <f t="shared" si="2"/>
        <v>8.0750000000000099E-2</v>
      </c>
    </row>
    <row r="33" spans="1:12" x14ac:dyDescent="0.2">
      <c r="A33" t="s">
        <v>4364</v>
      </c>
      <c r="B33">
        <v>7.9564999999999997E-2</v>
      </c>
      <c r="C33">
        <v>274</v>
      </c>
      <c r="D33" t="s">
        <v>4364</v>
      </c>
      <c r="E33">
        <v>274</v>
      </c>
      <c r="F33" s="1">
        <v>45200</v>
      </c>
      <c r="G33" s="6">
        <v>19.166666666666664</v>
      </c>
      <c r="H33" s="7">
        <v>19.166666666666664</v>
      </c>
      <c r="I33" s="26">
        <v>5.6795</v>
      </c>
      <c r="J33" s="26">
        <f t="shared" si="0"/>
        <v>-5.6795</v>
      </c>
      <c r="K33" s="26">
        <f t="shared" si="1"/>
        <v>4.9500000000000099E-2</v>
      </c>
      <c r="L33">
        <f t="shared" si="2"/>
        <v>6.7000000000000171E-2</v>
      </c>
    </row>
    <row r="34" spans="1:12" x14ac:dyDescent="0.2">
      <c r="A34" t="s">
        <v>4365</v>
      </c>
      <c r="B34">
        <v>7.9945000000000002E-2</v>
      </c>
      <c r="C34">
        <v>274</v>
      </c>
      <c r="D34" t="s">
        <v>4365</v>
      </c>
      <c r="E34">
        <v>274</v>
      </c>
      <c r="F34" s="1">
        <v>45200</v>
      </c>
      <c r="G34" s="6">
        <v>19.177083333333332</v>
      </c>
      <c r="H34" s="7">
        <v>19.177083333333332</v>
      </c>
      <c r="I34" s="26">
        <v>5.7065000000000001</v>
      </c>
      <c r="J34" s="26">
        <f t="shared" si="0"/>
        <v>-5.7065000000000001</v>
      </c>
      <c r="K34" s="26">
        <f t="shared" si="1"/>
        <v>2.2499999999999964E-2</v>
      </c>
      <c r="L34">
        <f t="shared" si="2"/>
        <v>3.6000000000000032E-2</v>
      </c>
    </row>
    <row r="35" spans="1:12" x14ac:dyDescent="0.2">
      <c r="A35" t="s">
        <v>4366</v>
      </c>
      <c r="B35">
        <v>7.9475000000000004E-2</v>
      </c>
      <c r="C35">
        <v>274</v>
      </c>
      <c r="D35" t="s">
        <v>4366</v>
      </c>
      <c r="E35">
        <v>274</v>
      </c>
      <c r="F35" s="1">
        <v>45200</v>
      </c>
      <c r="G35" s="6">
        <v>19.1875</v>
      </c>
      <c r="H35" s="7">
        <v>19.1875</v>
      </c>
      <c r="I35" s="26">
        <v>5.6734999999999998</v>
      </c>
      <c r="J35" s="26">
        <f t="shared" si="0"/>
        <v>-5.6734999999999998</v>
      </c>
      <c r="K35" s="26">
        <f t="shared" si="1"/>
        <v>5.5500000000000327E-2</v>
      </c>
      <c r="L35">
        <f t="shared" si="2"/>
        <v>3.9000000000000146E-2</v>
      </c>
    </row>
    <row r="36" spans="1:12" x14ac:dyDescent="0.2">
      <c r="A36" t="s">
        <v>4367</v>
      </c>
      <c r="B36">
        <v>7.9439999999999997E-2</v>
      </c>
      <c r="C36">
        <v>274</v>
      </c>
      <c r="D36" t="s">
        <v>4367</v>
      </c>
      <c r="E36">
        <v>274</v>
      </c>
      <c r="F36" s="1">
        <v>45200</v>
      </c>
      <c r="G36" s="6">
        <v>19.197916666666668</v>
      </c>
      <c r="H36" s="7">
        <v>19.197916666666668</v>
      </c>
      <c r="I36" s="26">
        <v>5.6704999999999997</v>
      </c>
      <c r="J36" s="26">
        <f t="shared" si="0"/>
        <v>-5.6704999999999997</v>
      </c>
      <c r="K36" s="26">
        <f t="shared" si="1"/>
        <v>5.8500000000000441E-2</v>
      </c>
      <c r="L36">
        <f t="shared" si="2"/>
        <v>5.7000000000000384E-2</v>
      </c>
    </row>
    <row r="37" spans="1:12" x14ac:dyDescent="0.2">
      <c r="A37" t="s">
        <v>4368</v>
      </c>
      <c r="B37">
        <v>7.9619999999999996E-2</v>
      </c>
      <c r="C37">
        <v>274</v>
      </c>
      <c r="D37" t="s">
        <v>4368</v>
      </c>
      <c r="E37">
        <v>274</v>
      </c>
      <c r="F37" s="1">
        <v>45200</v>
      </c>
      <c r="G37" s="6">
        <v>19.208333333333336</v>
      </c>
      <c r="H37" s="7">
        <v>19.208333333333336</v>
      </c>
      <c r="I37" s="26">
        <v>5.6844999999999999</v>
      </c>
      <c r="J37" s="26">
        <f t="shared" si="0"/>
        <v>-5.6844999999999999</v>
      </c>
      <c r="K37" s="26">
        <f t="shared" si="1"/>
        <v>4.4500000000000206E-2</v>
      </c>
      <c r="L37">
        <f t="shared" si="2"/>
        <v>5.1500000000000323E-2</v>
      </c>
    </row>
    <row r="38" spans="1:12" x14ac:dyDescent="0.2">
      <c r="A38" t="s">
        <v>4369</v>
      </c>
      <c r="B38">
        <v>7.8670000000000004E-2</v>
      </c>
      <c r="C38">
        <v>274</v>
      </c>
      <c r="D38" t="s">
        <v>4369</v>
      </c>
      <c r="E38">
        <v>274</v>
      </c>
      <c r="F38" s="1">
        <v>45200</v>
      </c>
      <c r="G38" s="6">
        <v>19.218750000000004</v>
      </c>
      <c r="H38" s="7">
        <v>19.218750000000004</v>
      </c>
      <c r="I38" s="26">
        <v>5.6165000000000003</v>
      </c>
      <c r="J38" s="26">
        <f t="shared" si="0"/>
        <v>-5.6165000000000003</v>
      </c>
      <c r="K38" s="26">
        <f t="shared" si="1"/>
        <v>0.11249999999999982</v>
      </c>
      <c r="L38">
        <f t="shared" si="2"/>
        <v>7.8500000000000014E-2</v>
      </c>
    </row>
    <row r="39" spans="1:12" x14ac:dyDescent="0.2">
      <c r="A39" t="s">
        <v>4370</v>
      </c>
      <c r="B39">
        <v>7.8479999999999994E-2</v>
      </c>
      <c r="C39">
        <v>274</v>
      </c>
      <c r="D39" t="s">
        <v>4370</v>
      </c>
      <c r="E39">
        <v>274</v>
      </c>
      <c r="F39" s="1">
        <v>45200</v>
      </c>
      <c r="G39" s="6">
        <v>19.229166666666671</v>
      </c>
      <c r="H39" s="7">
        <v>19.229166666666671</v>
      </c>
      <c r="I39" s="26">
        <v>5.6029999999999998</v>
      </c>
      <c r="J39" s="26">
        <f t="shared" si="0"/>
        <v>-5.6029999999999998</v>
      </c>
      <c r="K39" s="26">
        <f t="shared" si="1"/>
        <v>0.12600000000000033</v>
      </c>
      <c r="L39">
        <f t="shared" si="2"/>
        <v>0.11925000000000008</v>
      </c>
    </row>
    <row r="40" spans="1:12" x14ac:dyDescent="0.2">
      <c r="A40" t="s">
        <v>4371</v>
      </c>
      <c r="B40">
        <v>7.8409999999999994E-2</v>
      </c>
      <c r="C40">
        <v>274</v>
      </c>
      <c r="D40" t="s">
        <v>4371</v>
      </c>
      <c r="E40">
        <v>274</v>
      </c>
      <c r="F40" s="1">
        <v>45200</v>
      </c>
      <c r="G40" s="6">
        <v>19.239583333333339</v>
      </c>
      <c r="H40" s="7">
        <v>19.239583333333339</v>
      </c>
      <c r="I40" s="26">
        <v>5.5984999999999996</v>
      </c>
      <c r="J40" s="26">
        <f t="shared" si="0"/>
        <v>-5.5984999999999996</v>
      </c>
      <c r="K40" s="26">
        <f t="shared" si="1"/>
        <v>0.1305000000000005</v>
      </c>
      <c r="L40">
        <f t="shared" si="2"/>
        <v>0.12825000000000042</v>
      </c>
    </row>
    <row r="41" spans="1:12" x14ac:dyDescent="0.2">
      <c r="A41" t="s">
        <v>4372</v>
      </c>
      <c r="B41">
        <v>7.7939999999999995E-2</v>
      </c>
      <c r="C41">
        <v>274</v>
      </c>
      <c r="D41" t="s">
        <v>4372</v>
      </c>
      <c r="E41">
        <v>274</v>
      </c>
      <c r="F41" s="1">
        <v>45200</v>
      </c>
      <c r="G41" s="6">
        <v>19.250000000000007</v>
      </c>
      <c r="H41" s="7">
        <v>19.250000000000007</v>
      </c>
      <c r="I41" s="26">
        <v>5.5649999999999897</v>
      </c>
      <c r="J41" s="26">
        <f t="shared" si="0"/>
        <v>-5.5649999999999897</v>
      </c>
      <c r="K41" s="26">
        <f t="shared" si="1"/>
        <v>0.16400000000001036</v>
      </c>
      <c r="L41">
        <f t="shared" si="2"/>
        <v>0.14725000000000543</v>
      </c>
    </row>
    <row r="42" spans="1:12" x14ac:dyDescent="0.2">
      <c r="A42" t="s">
        <v>4374</v>
      </c>
      <c r="B42">
        <v>7.7314999999999995E-2</v>
      </c>
      <c r="C42">
        <v>274</v>
      </c>
      <c r="D42" t="s">
        <v>4374</v>
      </c>
      <c r="E42">
        <v>274</v>
      </c>
      <c r="F42" s="1">
        <v>45200</v>
      </c>
      <c r="G42" s="6">
        <v>19.260416666666675</v>
      </c>
      <c r="H42" s="7">
        <v>19.260416666666675</v>
      </c>
      <c r="I42" s="26">
        <v>5.52</v>
      </c>
      <c r="J42" s="26">
        <f t="shared" si="0"/>
        <v>-5.52</v>
      </c>
      <c r="K42" s="26">
        <f t="shared" si="1"/>
        <v>0.20900000000000052</v>
      </c>
      <c r="L42">
        <f t="shared" si="2"/>
        <v>0.18650000000000544</v>
      </c>
    </row>
    <row r="43" spans="1:12" x14ac:dyDescent="0.2">
      <c r="A43" t="s">
        <v>4375</v>
      </c>
      <c r="B43">
        <v>7.7215000000000006E-2</v>
      </c>
      <c r="C43">
        <v>274</v>
      </c>
      <c r="D43" t="s">
        <v>4375</v>
      </c>
      <c r="E43">
        <v>274</v>
      </c>
      <c r="F43" s="1">
        <v>45200</v>
      </c>
      <c r="G43" s="6">
        <v>19.270833333333343</v>
      </c>
      <c r="H43" s="7">
        <v>19.270833333333343</v>
      </c>
      <c r="I43" s="26">
        <v>5.5134999999999996</v>
      </c>
      <c r="J43" s="26">
        <f t="shared" si="0"/>
        <v>-5.5134999999999996</v>
      </c>
      <c r="K43" s="26">
        <f t="shared" si="1"/>
        <v>0.21550000000000047</v>
      </c>
      <c r="L43">
        <f t="shared" si="2"/>
        <v>0.21225000000000049</v>
      </c>
    </row>
    <row r="44" spans="1:12" x14ac:dyDescent="0.2">
      <c r="A44" t="s">
        <v>4376</v>
      </c>
      <c r="B44">
        <v>7.6479999999999895E-2</v>
      </c>
      <c r="C44">
        <v>274</v>
      </c>
      <c r="D44" t="s">
        <v>4376</v>
      </c>
      <c r="E44">
        <v>274</v>
      </c>
      <c r="F44" s="1">
        <v>45200</v>
      </c>
      <c r="G44" s="6">
        <v>19.281250000000011</v>
      </c>
      <c r="H44" s="7">
        <v>19.281250000000011</v>
      </c>
      <c r="I44" s="26">
        <v>5.4595000000000002</v>
      </c>
      <c r="J44" s="26">
        <f t="shared" si="0"/>
        <v>-5.4595000000000002</v>
      </c>
      <c r="K44" s="26">
        <f t="shared" si="1"/>
        <v>0.26949999999999985</v>
      </c>
      <c r="L44">
        <f t="shared" si="2"/>
        <v>0.24250000000000016</v>
      </c>
    </row>
    <row r="45" spans="1:12" x14ac:dyDescent="0.2">
      <c r="A45" t="s">
        <v>4377</v>
      </c>
      <c r="B45">
        <v>7.5399999999999995E-2</v>
      </c>
      <c r="C45">
        <v>274</v>
      </c>
      <c r="D45" t="s">
        <v>4377</v>
      </c>
      <c r="E45">
        <v>274</v>
      </c>
      <c r="F45" s="1">
        <v>45200</v>
      </c>
      <c r="G45" s="6">
        <v>19.291666666666679</v>
      </c>
      <c r="H45" s="7">
        <v>19.291666666666679</v>
      </c>
      <c r="I45" s="26">
        <v>5.3819999999999997</v>
      </c>
      <c r="J45" s="26">
        <f t="shared" si="0"/>
        <v>-5.3819999999999997</v>
      </c>
      <c r="K45" s="26">
        <f t="shared" si="1"/>
        <v>0.34700000000000042</v>
      </c>
      <c r="L45">
        <f t="shared" si="2"/>
        <v>0.30825000000000014</v>
      </c>
    </row>
    <row r="46" spans="1:12" x14ac:dyDescent="0.2">
      <c r="A46" t="s">
        <v>4378</v>
      </c>
      <c r="B46">
        <v>7.5094999999999995E-2</v>
      </c>
      <c r="C46">
        <v>274</v>
      </c>
      <c r="D46" t="s">
        <v>4378</v>
      </c>
      <c r="E46">
        <v>274</v>
      </c>
      <c r="F46" s="1">
        <v>45200</v>
      </c>
      <c r="G46" s="6">
        <v>19.302083333333346</v>
      </c>
      <c r="H46" s="7">
        <v>19.302083333333346</v>
      </c>
      <c r="I46" s="26">
        <v>5.3624999999999998</v>
      </c>
      <c r="J46" s="26">
        <f t="shared" si="0"/>
        <v>-5.3624999999999998</v>
      </c>
      <c r="K46" s="26">
        <f t="shared" si="1"/>
        <v>0.36650000000000027</v>
      </c>
      <c r="L46">
        <f t="shared" si="2"/>
        <v>0.35675000000000034</v>
      </c>
    </row>
    <row r="47" spans="1:12" x14ac:dyDescent="0.2">
      <c r="A47" t="s">
        <v>4379</v>
      </c>
      <c r="B47">
        <v>7.3615E-2</v>
      </c>
      <c r="C47">
        <v>274</v>
      </c>
      <c r="D47" t="s">
        <v>4379</v>
      </c>
      <c r="E47">
        <v>274</v>
      </c>
      <c r="F47" s="1">
        <v>45200</v>
      </c>
      <c r="G47" s="6">
        <v>19.312500000000014</v>
      </c>
      <c r="H47" s="7">
        <v>19.312500000000014</v>
      </c>
      <c r="I47" s="26">
        <v>5.2549999999999999</v>
      </c>
      <c r="J47" s="26">
        <f t="shared" si="0"/>
        <v>-5.2549999999999999</v>
      </c>
      <c r="K47" s="26">
        <f t="shared" si="1"/>
        <v>0.4740000000000002</v>
      </c>
      <c r="L47">
        <f t="shared" si="2"/>
        <v>0.42025000000000023</v>
      </c>
    </row>
    <row r="48" spans="1:12" x14ac:dyDescent="0.2">
      <c r="A48" t="s">
        <v>4380</v>
      </c>
      <c r="B48">
        <v>7.3285000000000003E-2</v>
      </c>
      <c r="C48">
        <v>274</v>
      </c>
      <c r="D48" t="s">
        <v>4380</v>
      </c>
      <c r="E48">
        <v>274</v>
      </c>
      <c r="F48" s="1">
        <v>45200</v>
      </c>
      <c r="G48" s="6">
        <v>19.322916666666682</v>
      </c>
      <c r="H48" s="7">
        <v>19.322916666666682</v>
      </c>
      <c r="I48" s="26">
        <v>5.2320000000000002</v>
      </c>
      <c r="J48" s="26">
        <f t="shared" si="0"/>
        <v>-5.2320000000000002</v>
      </c>
      <c r="K48" s="26">
        <f t="shared" si="1"/>
        <v>0.49699999999999989</v>
      </c>
      <c r="L48">
        <f t="shared" si="2"/>
        <v>0.48550000000000004</v>
      </c>
    </row>
    <row r="49" spans="1:12" x14ac:dyDescent="0.2">
      <c r="A49" t="s">
        <v>4381</v>
      </c>
      <c r="B49">
        <v>7.3469999999999994E-2</v>
      </c>
      <c r="C49">
        <v>274</v>
      </c>
      <c r="D49" t="s">
        <v>4381</v>
      </c>
      <c r="E49">
        <v>274</v>
      </c>
      <c r="F49" s="1">
        <v>45200</v>
      </c>
      <c r="G49" s="6">
        <v>19.33333333333335</v>
      </c>
      <c r="H49" s="7">
        <v>19.33333333333335</v>
      </c>
      <c r="I49" s="26">
        <v>5.2445000000000004</v>
      </c>
      <c r="J49" s="26">
        <f t="shared" si="0"/>
        <v>-5.2445000000000004</v>
      </c>
      <c r="K49" s="26">
        <f t="shared" si="1"/>
        <v>0.48449999999999971</v>
      </c>
      <c r="L49">
        <f t="shared" si="2"/>
        <v>0.4907499999999998</v>
      </c>
    </row>
    <row r="50" spans="1:12" x14ac:dyDescent="0.2">
      <c r="A50" t="s">
        <v>4382</v>
      </c>
      <c r="B50">
        <v>7.2270000000000001E-2</v>
      </c>
      <c r="C50">
        <v>274</v>
      </c>
      <c r="D50" t="s">
        <v>4382</v>
      </c>
      <c r="E50">
        <v>274</v>
      </c>
      <c r="F50" s="1">
        <v>45200</v>
      </c>
      <c r="G50" s="6">
        <v>19.343750000000018</v>
      </c>
      <c r="H50" s="7">
        <v>19.343750000000018</v>
      </c>
      <c r="I50" s="26">
        <v>5.1615000000000002</v>
      </c>
      <c r="J50" s="26">
        <f t="shared" si="0"/>
        <v>-5.1615000000000002</v>
      </c>
      <c r="K50" s="26">
        <f t="shared" si="1"/>
        <v>0.56749999999999989</v>
      </c>
      <c r="L50">
        <f t="shared" si="2"/>
        <v>0.5259999999999998</v>
      </c>
    </row>
    <row r="51" spans="1:12" x14ac:dyDescent="0.2">
      <c r="A51" t="s">
        <v>4383</v>
      </c>
      <c r="B51">
        <v>7.1925000000000003E-2</v>
      </c>
      <c r="C51">
        <v>274</v>
      </c>
      <c r="D51" t="s">
        <v>4383</v>
      </c>
      <c r="E51">
        <v>274</v>
      </c>
      <c r="F51" s="1">
        <v>45200</v>
      </c>
      <c r="G51" s="6">
        <v>19.354166666666686</v>
      </c>
      <c r="H51" s="7">
        <v>19.354166666666686</v>
      </c>
      <c r="I51" s="26">
        <v>5.1355000000000004</v>
      </c>
      <c r="J51" s="26">
        <f t="shared" si="0"/>
        <v>-5.1355000000000004</v>
      </c>
      <c r="K51" s="26">
        <f t="shared" si="1"/>
        <v>0.59349999999999969</v>
      </c>
      <c r="L51">
        <f t="shared" si="2"/>
        <v>0.58049999999999979</v>
      </c>
    </row>
    <row r="52" spans="1:12" x14ac:dyDescent="0.2">
      <c r="A52" t="s">
        <v>4384</v>
      </c>
      <c r="B52">
        <v>7.1690000000000004E-2</v>
      </c>
      <c r="C52">
        <v>274</v>
      </c>
      <c r="D52" t="s">
        <v>4384</v>
      </c>
      <c r="E52">
        <v>274</v>
      </c>
      <c r="F52" s="1">
        <v>45200</v>
      </c>
      <c r="G52" s="6">
        <v>19.364583333333353</v>
      </c>
      <c r="H52" s="7">
        <v>19.364583333333353</v>
      </c>
      <c r="I52" s="26">
        <v>5.1185</v>
      </c>
      <c r="J52" s="26">
        <f t="shared" si="0"/>
        <v>-5.1185</v>
      </c>
      <c r="K52" s="26">
        <f t="shared" si="1"/>
        <v>0.61050000000000004</v>
      </c>
      <c r="L52">
        <f t="shared" si="2"/>
        <v>0.60199999999999987</v>
      </c>
    </row>
    <row r="53" spans="1:12" x14ac:dyDescent="0.2">
      <c r="A53" t="s">
        <v>4385</v>
      </c>
      <c r="B53">
        <v>7.1215000000000001E-2</v>
      </c>
      <c r="C53">
        <v>274</v>
      </c>
      <c r="D53" t="s">
        <v>4385</v>
      </c>
      <c r="E53">
        <v>274</v>
      </c>
      <c r="F53" s="1">
        <v>45200</v>
      </c>
      <c r="G53" s="6">
        <v>19.375000000000021</v>
      </c>
      <c r="H53" s="7">
        <v>19.375000000000021</v>
      </c>
      <c r="I53" s="26">
        <v>5.0860000000000003</v>
      </c>
      <c r="J53" s="26">
        <f t="shared" si="0"/>
        <v>-5.0860000000000003</v>
      </c>
      <c r="K53" s="26">
        <f t="shared" si="1"/>
        <v>0.64299999999999979</v>
      </c>
      <c r="L53">
        <f t="shared" si="2"/>
        <v>0.62674999999999992</v>
      </c>
    </row>
    <row r="54" spans="1:12" x14ac:dyDescent="0.2">
      <c r="A54" t="s">
        <v>4386</v>
      </c>
      <c r="B54">
        <v>7.0400000000000004E-2</v>
      </c>
      <c r="C54">
        <v>274</v>
      </c>
      <c r="D54" t="s">
        <v>4386</v>
      </c>
      <c r="E54">
        <v>274</v>
      </c>
      <c r="F54" s="1">
        <v>45200</v>
      </c>
      <c r="G54" s="6">
        <v>19.385416666666689</v>
      </c>
      <c r="H54" s="7">
        <v>19.385416666666689</v>
      </c>
      <c r="I54" s="26">
        <v>5.0274999999999999</v>
      </c>
      <c r="J54" s="26">
        <f t="shared" si="0"/>
        <v>-5.0274999999999999</v>
      </c>
      <c r="K54" s="26">
        <f t="shared" si="1"/>
        <v>0.70150000000000023</v>
      </c>
      <c r="L54">
        <f t="shared" si="2"/>
        <v>0.67225000000000001</v>
      </c>
    </row>
    <row r="55" spans="1:12" x14ac:dyDescent="0.2">
      <c r="A55" t="s">
        <v>4387</v>
      </c>
      <c r="B55">
        <v>7.0294999999999996E-2</v>
      </c>
      <c r="C55">
        <v>274</v>
      </c>
      <c r="D55" t="s">
        <v>4387</v>
      </c>
      <c r="E55">
        <v>274</v>
      </c>
      <c r="F55" s="1">
        <v>45200</v>
      </c>
      <c r="G55" s="6">
        <v>19.395833333333357</v>
      </c>
      <c r="H55" s="7">
        <v>19.395833333333357</v>
      </c>
      <c r="I55" s="26">
        <v>5.0190000000000001</v>
      </c>
      <c r="J55" s="26">
        <f t="shared" si="0"/>
        <v>-5.0190000000000001</v>
      </c>
      <c r="K55" s="26">
        <f t="shared" si="1"/>
        <v>0.71</v>
      </c>
      <c r="L55">
        <f t="shared" si="2"/>
        <v>0.7057500000000001</v>
      </c>
    </row>
    <row r="56" spans="1:12" x14ac:dyDescent="0.2">
      <c r="A56" t="s">
        <v>4388</v>
      </c>
      <c r="B56">
        <v>6.9779999999999995E-2</v>
      </c>
      <c r="C56">
        <v>274</v>
      </c>
      <c r="D56" t="s">
        <v>4388</v>
      </c>
      <c r="E56">
        <v>274</v>
      </c>
      <c r="F56" s="1">
        <v>45200</v>
      </c>
      <c r="G56" s="6">
        <v>19.406250000000025</v>
      </c>
      <c r="H56" s="7">
        <v>19.406250000000025</v>
      </c>
      <c r="I56" s="26">
        <v>4.9824999999999999</v>
      </c>
      <c r="J56" s="26">
        <f t="shared" si="0"/>
        <v>-4.9824999999999999</v>
      </c>
      <c r="K56" s="26">
        <f t="shared" si="1"/>
        <v>0.74650000000000016</v>
      </c>
      <c r="L56">
        <f t="shared" si="2"/>
        <v>0.72825000000000006</v>
      </c>
    </row>
    <row r="57" spans="1:12" x14ac:dyDescent="0.2">
      <c r="A57" t="s">
        <v>4389</v>
      </c>
      <c r="B57">
        <v>6.9319999999999896E-2</v>
      </c>
      <c r="C57">
        <v>274</v>
      </c>
      <c r="D57" t="s">
        <v>4389</v>
      </c>
      <c r="E57">
        <v>274</v>
      </c>
      <c r="F57" s="1">
        <v>45200</v>
      </c>
      <c r="G57" s="6">
        <v>19.416666666666693</v>
      </c>
      <c r="H57" s="7">
        <v>19.416666666666693</v>
      </c>
      <c r="I57" s="26">
        <v>4.9485000000000001</v>
      </c>
      <c r="J57" s="26">
        <f t="shared" si="0"/>
        <v>-4.9485000000000001</v>
      </c>
      <c r="K57" s="26">
        <f t="shared" si="1"/>
        <v>0.78049999999999997</v>
      </c>
      <c r="L57">
        <f t="shared" si="2"/>
        <v>0.76350000000000007</v>
      </c>
    </row>
    <row r="58" spans="1:12" x14ac:dyDescent="0.2">
      <c r="A58" t="s">
        <v>4390</v>
      </c>
      <c r="B58">
        <v>6.9440000000000002E-2</v>
      </c>
      <c r="C58">
        <v>274</v>
      </c>
      <c r="D58" t="s">
        <v>4390</v>
      </c>
      <c r="E58">
        <v>274</v>
      </c>
      <c r="F58" s="1">
        <v>45200</v>
      </c>
      <c r="G58" s="6">
        <v>19.427083333333361</v>
      </c>
      <c r="H58" s="7">
        <v>19.427083333333361</v>
      </c>
      <c r="I58" s="26">
        <v>4.9580000000000002</v>
      </c>
      <c r="J58" s="26">
        <f t="shared" si="0"/>
        <v>-4.9580000000000002</v>
      </c>
      <c r="K58" s="26">
        <f t="shared" si="1"/>
        <v>0.77099999999999991</v>
      </c>
      <c r="L58">
        <f t="shared" si="2"/>
        <v>0.77574999999999994</v>
      </c>
    </row>
    <row r="59" spans="1:12" x14ac:dyDescent="0.2">
      <c r="A59" t="s">
        <v>4391</v>
      </c>
      <c r="B59">
        <v>6.8669999999999995E-2</v>
      </c>
      <c r="C59">
        <v>274</v>
      </c>
      <c r="D59" t="s">
        <v>4391</v>
      </c>
      <c r="E59">
        <v>274</v>
      </c>
      <c r="F59" s="1">
        <v>45200</v>
      </c>
      <c r="G59" s="6">
        <v>19.437500000000028</v>
      </c>
      <c r="H59" s="7">
        <v>19.437500000000028</v>
      </c>
      <c r="I59" s="26">
        <v>4.9020000000000001</v>
      </c>
      <c r="J59" s="26">
        <f t="shared" si="0"/>
        <v>-4.9020000000000001</v>
      </c>
      <c r="K59" s="26">
        <f t="shared" si="1"/>
        <v>0.82699999999999996</v>
      </c>
      <c r="L59">
        <f t="shared" si="2"/>
        <v>0.79899999999999993</v>
      </c>
    </row>
    <row r="60" spans="1:12" x14ac:dyDescent="0.2">
      <c r="A60" t="s">
        <v>4392</v>
      </c>
      <c r="B60">
        <v>6.9644999999999999E-2</v>
      </c>
      <c r="C60">
        <v>274</v>
      </c>
      <c r="D60" t="s">
        <v>4392</v>
      </c>
      <c r="E60">
        <v>274</v>
      </c>
      <c r="F60" s="1">
        <v>45200</v>
      </c>
      <c r="G60" s="6">
        <v>19.447916666666696</v>
      </c>
      <c r="H60" s="7">
        <v>19.447916666666696</v>
      </c>
      <c r="I60" s="26">
        <v>4.9734999999999996</v>
      </c>
      <c r="J60" s="26">
        <f t="shared" si="0"/>
        <v>-4.9734999999999996</v>
      </c>
      <c r="K60" s="26">
        <f t="shared" si="1"/>
        <v>0.7555000000000005</v>
      </c>
      <c r="L60">
        <f t="shared" si="2"/>
        <v>0.79125000000000023</v>
      </c>
    </row>
    <row r="61" spans="1:12" x14ac:dyDescent="0.2">
      <c r="A61" t="s">
        <v>4393</v>
      </c>
      <c r="B61">
        <v>6.8544999999999995E-2</v>
      </c>
      <c r="C61">
        <v>274</v>
      </c>
      <c r="D61" t="s">
        <v>4393</v>
      </c>
      <c r="E61">
        <v>274</v>
      </c>
      <c r="F61" s="1">
        <v>45200</v>
      </c>
      <c r="G61" s="6">
        <v>19.458333333333364</v>
      </c>
      <c r="H61" s="7">
        <v>19.458333333333364</v>
      </c>
      <c r="I61" s="26">
        <v>4.8944999999999999</v>
      </c>
      <c r="J61" s="26">
        <f t="shared" si="0"/>
        <v>-4.8944999999999999</v>
      </c>
      <c r="K61" s="26">
        <f t="shared" si="1"/>
        <v>0.83450000000000024</v>
      </c>
      <c r="L61">
        <f t="shared" si="2"/>
        <v>0.79500000000000037</v>
      </c>
    </row>
    <row r="62" spans="1:12" x14ac:dyDescent="0.2">
      <c r="A62" t="s">
        <v>4394</v>
      </c>
      <c r="B62">
        <v>6.8815000000000001E-2</v>
      </c>
      <c r="C62">
        <v>274</v>
      </c>
      <c r="D62" t="s">
        <v>4394</v>
      </c>
      <c r="E62">
        <v>274</v>
      </c>
      <c r="F62" s="1">
        <v>45200</v>
      </c>
      <c r="G62" s="6">
        <v>19.468750000000032</v>
      </c>
      <c r="H62" s="7">
        <v>19.468750000000032</v>
      </c>
      <c r="I62" s="26">
        <v>4.9130000000000003</v>
      </c>
      <c r="J62" s="26">
        <f t="shared" si="0"/>
        <v>-4.9130000000000003</v>
      </c>
      <c r="K62" s="26">
        <f t="shared" si="1"/>
        <v>0.81599999999999984</v>
      </c>
      <c r="L62">
        <f t="shared" si="2"/>
        <v>0.82525000000000004</v>
      </c>
    </row>
    <row r="63" spans="1:12" x14ac:dyDescent="0.2">
      <c r="A63" t="s">
        <v>4395</v>
      </c>
      <c r="B63">
        <v>6.8735000000000004E-2</v>
      </c>
      <c r="C63">
        <v>274</v>
      </c>
      <c r="D63" t="s">
        <v>4395</v>
      </c>
      <c r="E63">
        <v>274</v>
      </c>
      <c r="F63" s="1">
        <v>45200</v>
      </c>
      <c r="G63" s="6">
        <v>19.4791666666667</v>
      </c>
      <c r="H63" s="7">
        <v>19.4791666666667</v>
      </c>
      <c r="I63" s="26">
        <v>4.9085000000000001</v>
      </c>
      <c r="J63" s="26">
        <f t="shared" si="0"/>
        <v>-4.9085000000000001</v>
      </c>
      <c r="K63" s="26">
        <f t="shared" si="1"/>
        <v>0.82050000000000001</v>
      </c>
      <c r="L63">
        <f t="shared" si="2"/>
        <v>0.81824999999999992</v>
      </c>
    </row>
    <row r="64" spans="1:12" x14ac:dyDescent="0.2">
      <c r="A64" t="s">
        <v>4396</v>
      </c>
      <c r="B64">
        <v>6.8080000000000002E-2</v>
      </c>
      <c r="C64">
        <v>274</v>
      </c>
      <c r="D64" t="s">
        <v>4396</v>
      </c>
      <c r="E64">
        <v>274</v>
      </c>
      <c r="F64" s="1">
        <v>45200</v>
      </c>
      <c r="G64" s="6">
        <v>19.489583333333368</v>
      </c>
      <c r="H64" s="7">
        <v>19.489583333333368</v>
      </c>
      <c r="I64" s="26">
        <v>4.8609999999999998</v>
      </c>
      <c r="J64" s="26">
        <f t="shared" si="0"/>
        <v>-4.8609999999999998</v>
      </c>
      <c r="K64" s="26">
        <f t="shared" si="1"/>
        <v>0.86800000000000033</v>
      </c>
      <c r="L64">
        <f t="shared" si="2"/>
        <v>0.84425000000000017</v>
      </c>
    </row>
    <row r="65" spans="1:12" x14ac:dyDescent="0.2">
      <c r="A65" t="s">
        <v>4397</v>
      </c>
      <c r="B65">
        <v>6.8379999999999996E-2</v>
      </c>
      <c r="C65">
        <v>274</v>
      </c>
      <c r="D65" t="s">
        <v>4397</v>
      </c>
      <c r="E65">
        <v>274</v>
      </c>
      <c r="F65" s="1">
        <v>45200</v>
      </c>
      <c r="G65" s="6">
        <v>19.500000000000036</v>
      </c>
      <c r="H65" s="7">
        <v>19.500000000000036</v>
      </c>
      <c r="I65" s="26">
        <v>4.8815</v>
      </c>
      <c r="J65" s="26">
        <f t="shared" si="0"/>
        <v>-4.8815</v>
      </c>
      <c r="K65" s="26">
        <f t="shared" si="1"/>
        <v>0.84750000000000014</v>
      </c>
      <c r="L65">
        <f t="shared" si="2"/>
        <v>0.85775000000000023</v>
      </c>
    </row>
    <row r="66" spans="1:12" x14ac:dyDescent="0.2">
      <c r="A66" t="s">
        <v>4398</v>
      </c>
      <c r="B66">
        <v>6.8354999999999999E-2</v>
      </c>
      <c r="C66">
        <v>274</v>
      </c>
      <c r="D66" t="s">
        <v>4398</v>
      </c>
      <c r="E66">
        <v>274</v>
      </c>
      <c r="F66" s="1">
        <v>45200</v>
      </c>
      <c r="G66" s="6">
        <v>19.510416666666703</v>
      </c>
      <c r="H66" s="7">
        <v>19.510416666666703</v>
      </c>
      <c r="I66" s="26">
        <v>4.88</v>
      </c>
      <c r="J66" s="26">
        <f t="shared" si="0"/>
        <v>-4.88</v>
      </c>
      <c r="K66" s="26">
        <f t="shared" si="1"/>
        <v>0.8490000000000002</v>
      </c>
      <c r="L66">
        <f t="shared" si="2"/>
        <v>0.84825000000000017</v>
      </c>
    </row>
    <row r="67" spans="1:12" x14ac:dyDescent="0.2">
      <c r="A67" t="s">
        <v>4399</v>
      </c>
      <c r="B67">
        <v>6.9235000000000005E-2</v>
      </c>
      <c r="C67">
        <v>274</v>
      </c>
      <c r="D67" t="s">
        <v>4399</v>
      </c>
      <c r="E67">
        <v>274</v>
      </c>
      <c r="F67" s="1">
        <v>45200</v>
      </c>
      <c r="G67" s="6">
        <v>19.520833333333371</v>
      </c>
      <c r="H67" s="7">
        <v>19.520833333333371</v>
      </c>
      <c r="I67" s="26">
        <v>4.9435000000000002</v>
      </c>
      <c r="J67" s="26">
        <f t="shared" ref="J67:J130" si="3">-I67</f>
        <v>-4.9435000000000002</v>
      </c>
      <c r="K67" s="26">
        <f t="shared" si="1"/>
        <v>0.78549999999999986</v>
      </c>
      <c r="L67">
        <f t="shared" si="2"/>
        <v>0.81725000000000003</v>
      </c>
    </row>
    <row r="68" spans="1:12" x14ac:dyDescent="0.2">
      <c r="A68" t="s">
        <v>4400</v>
      </c>
      <c r="B68">
        <v>6.8519999999999998E-2</v>
      </c>
      <c r="C68">
        <v>274</v>
      </c>
      <c r="D68" t="s">
        <v>4400</v>
      </c>
      <c r="E68">
        <v>274</v>
      </c>
      <c r="F68" s="1">
        <v>45200</v>
      </c>
      <c r="G68" s="6">
        <v>19.531250000000039</v>
      </c>
      <c r="H68" s="7">
        <v>19.531250000000039</v>
      </c>
      <c r="I68" s="26">
        <v>4.8920000000000003</v>
      </c>
      <c r="J68" s="26">
        <f t="shared" si="3"/>
        <v>-4.8920000000000003</v>
      </c>
      <c r="K68" s="26">
        <f t="shared" si="1"/>
        <v>0.83699999999999974</v>
      </c>
      <c r="L68">
        <f t="shared" si="2"/>
        <v>0.8112499999999998</v>
      </c>
    </row>
    <row r="69" spans="1:12" x14ac:dyDescent="0.2">
      <c r="A69" t="s">
        <v>4401</v>
      </c>
      <c r="B69">
        <v>6.8485000000000004E-2</v>
      </c>
      <c r="C69">
        <v>274</v>
      </c>
      <c r="D69" t="s">
        <v>4401</v>
      </c>
      <c r="E69">
        <v>274</v>
      </c>
      <c r="F69" s="1">
        <v>45200</v>
      </c>
      <c r="G69" s="6">
        <v>19.541666666666707</v>
      </c>
      <c r="H69" s="7">
        <v>19.541666666666707</v>
      </c>
      <c r="I69" s="26">
        <v>4.8895</v>
      </c>
      <c r="J69" s="26">
        <f t="shared" si="3"/>
        <v>-4.8895</v>
      </c>
      <c r="K69" s="26">
        <f t="shared" si="1"/>
        <v>0.83950000000000014</v>
      </c>
      <c r="L69">
        <f t="shared" si="2"/>
        <v>0.83824999999999994</v>
      </c>
    </row>
    <row r="70" spans="1:12" x14ac:dyDescent="0.2">
      <c r="A70" t="s">
        <v>4402</v>
      </c>
      <c r="B70">
        <v>6.9360000000000005E-2</v>
      </c>
      <c r="C70">
        <v>274</v>
      </c>
      <c r="D70" t="s">
        <v>4402</v>
      </c>
      <c r="E70">
        <v>274</v>
      </c>
      <c r="F70" s="1">
        <v>45200</v>
      </c>
      <c r="G70" s="6">
        <v>19.552083333333375</v>
      </c>
      <c r="H70" s="7">
        <v>19.552083333333375</v>
      </c>
      <c r="I70" s="26">
        <v>4.952</v>
      </c>
      <c r="J70" s="26">
        <f t="shared" si="3"/>
        <v>-4.952</v>
      </c>
      <c r="K70" s="26">
        <f t="shared" si="1"/>
        <v>0.77700000000000014</v>
      </c>
      <c r="L70">
        <f t="shared" si="2"/>
        <v>0.80825000000000014</v>
      </c>
    </row>
    <row r="71" spans="1:12" x14ac:dyDescent="0.2">
      <c r="A71" t="s">
        <v>4403</v>
      </c>
      <c r="B71">
        <v>6.855E-2</v>
      </c>
      <c r="C71">
        <v>274</v>
      </c>
      <c r="D71" t="s">
        <v>4403</v>
      </c>
      <c r="E71">
        <v>274</v>
      </c>
      <c r="F71" s="1">
        <v>45200</v>
      </c>
      <c r="G71" s="6">
        <v>19.562500000000043</v>
      </c>
      <c r="H71" s="7">
        <v>19.562500000000043</v>
      </c>
      <c r="I71" s="26">
        <v>4.8940000000000001</v>
      </c>
      <c r="J71" s="26">
        <f t="shared" si="3"/>
        <v>-4.8940000000000001</v>
      </c>
      <c r="K71" s="26">
        <f t="shared" si="1"/>
        <v>0.83499999999999996</v>
      </c>
      <c r="L71">
        <f t="shared" si="2"/>
        <v>0.80600000000000005</v>
      </c>
    </row>
    <row r="72" spans="1:12" x14ac:dyDescent="0.2">
      <c r="A72" t="s">
        <v>4404</v>
      </c>
      <c r="B72">
        <v>6.8894999999999998E-2</v>
      </c>
      <c r="C72">
        <v>274</v>
      </c>
      <c r="D72" t="s">
        <v>4404</v>
      </c>
      <c r="E72">
        <v>274</v>
      </c>
      <c r="F72" s="1">
        <v>45200</v>
      </c>
      <c r="G72" s="6">
        <v>19.57291666666671</v>
      </c>
      <c r="H72" s="7">
        <v>19.57291666666671</v>
      </c>
      <c r="I72" s="26">
        <v>4.9204999999999997</v>
      </c>
      <c r="J72" s="26">
        <f t="shared" si="3"/>
        <v>-4.9204999999999997</v>
      </c>
      <c r="K72" s="26">
        <f t="shared" si="1"/>
        <v>0.80850000000000044</v>
      </c>
      <c r="L72">
        <f t="shared" si="2"/>
        <v>0.8217500000000002</v>
      </c>
    </row>
    <row r="73" spans="1:12" x14ac:dyDescent="0.2">
      <c r="A73" t="s">
        <v>4405</v>
      </c>
      <c r="B73">
        <v>6.8610000000000004E-2</v>
      </c>
      <c r="C73">
        <v>274</v>
      </c>
      <c r="D73" t="s">
        <v>4405</v>
      </c>
      <c r="E73">
        <v>274</v>
      </c>
      <c r="F73" s="1">
        <v>45200</v>
      </c>
      <c r="G73" s="6">
        <v>19.583333333333378</v>
      </c>
      <c r="H73" s="7">
        <v>19.583333333333378</v>
      </c>
      <c r="I73" s="26">
        <v>4.8970000000000002</v>
      </c>
      <c r="J73" s="26">
        <f t="shared" si="3"/>
        <v>-4.8970000000000002</v>
      </c>
      <c r="K73" s="26">
        <f t="shared" si="1"/>
        <v>0.83199999999999985</v>
      </c>
      <c r="L73">
        <f t="shared" si="2"/>
        <v>0.82025000000000015</v>
      </c>
    </row>
    <row r="74" spans="1:12" x14ac:dyDescent="0.2">
      <c r="A74" t="s">
        <v>4406</v>
      </c>
      <c r="B74">
        <v>6.7835000000000006E-2</v>
      </c>
      <c r="C74">
        <v>274</v>
      </c>
      <c r="D74" t="s">
        <v>4406</v>
      </c>
      <c r="E74">
        <v>274</v>
      </c>
      <c r="F74" s="18">
        <v>45200</v>
      </c>
      <c r="G74" s="29">
        <v>19.593750000000046</v>
      </c>
      <c r="H74" s="19">
        <v>19.593750000000046</v>
      </c>
      <c r="I74" s="30">
        <v>4.8434999999999997</v>
      </c>
      <c r="J74" s="30">
        <f t="shared" si="3"/>
        <v>-4.8434999999999997</v>
      </c>
      <c r="K74" s="26">
        <f t="shared" si="1"/>
        <v>0.8855000000000004</v>
      </c>
      <c r="L74">
        <f t="shared" si="2"/>
        <v>0.85875000000000012</v>
      </c>
    </row>
    <row r="75" spans="1:12" x14ac:dyDescent="0.2">
      <c r="A75" t="s">
        <v>4407</v>
      </c>
      <c r="B75">
        <v>6.8174999999999999E-2</v>
      </c>
      <c r="C75">
        <v>274</v>
      </c>
      <c r="D75" t="s">
        <v>4407</v>
      </c>
      <c r="E75">
        <v>274</v>
      </c>
      <c r="F75" s="1">
        <v>45200</v>
      </c>
      <c r="G75" s="6">
        <v>19.604166666666714</v>
      </c>
      <c r="H75" s="7">
        <v>19.604166666666714</v>
      </c>
      <c r="I75" s="26">
        <v>4.8674999999999997</v>
      </c>
      <c r="J75" s="26">
        <f t="shared" si="3"/>
        <v>-4.8674999999999997</v>
      </c>
      <c r="K75" s="26">
        <f t="shared" si="1"/>
        <v>0.86150000000000038</v>
      </c>
      <c r="L75">
        <f t="shared" si="2"/>
        <v>0.87350000000000039</v>
      </c>
    </row>
    <row r="76" spans="1:12" x14ac:dyDescent="0.2">
      <c r="A76" t="s">
        <v>4408</v>
      </c>
      <c r="B76">
        <v>6.8309999999999996E-2</v>
      </c>
      <c r="C76">
        <v>275</v>
      </c>
      <c r="D76" t="s">
        <v>4408</v>
      </c>
      <c r="E76">
        <v>274</v>
      </c>
      <c r="F76" s="1">
        <v>45200</v>
      </c>
      <c r="G76" s="6">
        <v>19.614583333333382</v>
      </c>
      <c r="H76" s="7">
        <v>19.614583333333382</v>
      </c>
      <c r="I76" s="26">
        <v>4.8769999999999998</v>
      </c>
      <c r="J76" s="26">
        <f t="shared" si="3"/>
        <v>-4.8769999999999998</v>
      </c>
      <c r="K76" s="26">
        <f t="shared" si="1"/>
        <v>0.85200000000000031</v>
      </c>
      <c r="L76">
        <f t="shared" si="2"/>
        <v>0.85675000000000034</v>
      </c>
    </row>
    <row r="77" spans="1:12" x14ac:dyDescent="0.2">
      <c r="A77" t="s">
        <v>4409</v>
      </c>
      <c r="B77">
        <v>6.8425E-2</v>
      </c>
      <c r="C77">
        <v>275</v>
      </c>
      <c r="D77" t="s">
        <v>4409</v>
      </c>
      <c r="E77">
        <v>274</v>
      </c>
      <c r="F77" s="1">
        <v>45200</v>
      </c>
      <c r="G77" s="6">
        <v>19.62500000000005</v>
      </c>
      <c r="H77" s="7">
        <v>19.62500000000005</v>
      </c>
      <c r="I77" s="26">
        <v>4.8860000000000001</v>
      </c>
      <c r="J77" s="26">
        <f t="shared" si="3"/>
        <v>-4.8860000000000001</v>
      </c>
      <c r="K77" s="26">
        <f t="shared" si="1"/>
        <v>0.84299999999999997</v>
      </c>
      <c r="L77">
        <f t="shared" si="2"/>
        <v>0.84750000000000014</v>
      </c>
    </row>
    <row r="78" spans="1:12" x14ac:dyDescent="0.2">
      <c r="A78" t="s">
        <v>4410</v>
      </c>
      <c r="B78">
        <v>6.7934999999999995E-2</v>
      </c>
      <c r="C78">
        <v>275</v>
      </c>
      <c r="D78" t="s">
        <v>4410</v>
      </c>
      <c r="E78">
        <v>274</v>
      </c>
      <c r="F78" s="1">
        <v>45200</v>
      </c>
      <c r="G78" s="6">
        <v>19.635416666666718</v>
      </c>
      <c r="H78" s="7">
        <v>19.635416666666718</v>
      </c>
      <c r="I78" s="26">
        <v>4.8490000000000002</v>
      </c>
      <c r="J78" s="26">
        <f t="shared" si="3"/>
        <v>-4.8490000000000002</v>
      </c>
      <c r="K78" s="26">
        <f t="shared" si="1"/>
        <v>0.87999999999999989</v>
      </c>
      <c r="L78">
        <f t="shared" si="2"/>
        <v>0.86149999999999993</v>
      </c>
    </row>
    <row r="79" spans="1:12" x14ac:dyDescent="0.2">
      <c r="A79" t="s">
        <v>4411</v>
      </c>
      <c r="B79">
        <v>6.8129999999999996E-2</v>
      </c>
      <c r="C79">
        <v>275</v>
      </c>
      <c r="D79" t="s">
        <v>4411</v>
      </c>
      <c r="E79">
        <v>274</v>
      </c>
      <c r="F79" s="1">
        <v>45200</v>
      </c>
      <c r="G79" s="6">
        <v>19.645833333333385</v>
      </c>
      <c r="H79" s="7">
        <v>19.645833333333385</v>
      </c>
      <c r="I79" s="26">
        <v>4.8635000000000002</v>
      </c>
      <c r="J79" s="26">
        <f t="shared" si="3"/>
        <v>-4.8635000000000002</v>
      </c>
      <c r="K79" s="26">
        <f t="shared" si="1"/>
        <v>0.86549999999999994</v>
      </c>
      <c r="L79">
        <f t="shared" si="2"/>
        <v>0.87274999999999991</v>
      </c>
    </row>
    <row r="80" spans="1:12" x14ac:dyDescent="0.2">
      <c r="A80" t="s">
        <v>4412</v>
      </c>
      <c r="B80">
        <v>6.8699999999999997E-2</v>
      </c>
      <c r="C80">
        <v>275</v>
      </c>
      <c r="D80" t="s">
        <v>4412</v>
      </c>
      <c r="E80">
        <v>274</v>
      </c>
      <c r="F80" s="1">
        <v>45200</v>
      </c>
      <c r="G80" s="6">
        <v>19.656250000000053</v>
      </c>
      <c r="H80" s="7">
        <v>19.656250000000053</v>
      </c>
      <c r="I80" s="26">
        <v>4.9035000000000002</v>
      </c>
      <c r="J80" s="26">
        <f t="shared" si="3"/>
        <v>-4.9035000000000002</v>
      </c>
      <c r="K80" s="26">
        <f t="shared" si="1"/>
        <v>0.8254999999999999</v>
      </c>
      <c r="L80">
        <f t="shared" si="2"/>
        <v>0.84549999999999992</v>
      </c>
    </row>
    <row r="81" spans="1:12" x14ac:dyDescent="0.2">
      <c r="A81" t="s">
        <v>4413</v>
      </c>
      <c r="B81">
        <v>6.8379999999999996E-2</v>
      </c>
      <c r="C81">
        <v>275</v>
      </c>
      <c r="D81" t="s">
        <v>4413</v>
      </c>
      <c r="E81">
        <v>274</v>
      </c>
      <c r="F81" s="1">
        <v>45200</v>
      </c>
      <c r="G81" s="6">
        <v>19.666666666666721</v>
      </c>
      <c r="H81" s="7">
        <v>19.666666666666721</v>
      </c>
      <c r="I81" s="26">
        <v>4.8825000000000003</v>
      </c>
      <c r="J81" s="26">
        <f t="shared" si="3"/>
        <v>-4.8825000000000003</v>
      </c>
      <c r="K81" s="26">
        <f t="shared" si="1"/>
        <v>0.84649999999999981</v>
      </c>
      <c r="L81">
        <f t="shared" si="2"/>
        <v>0.83599999999999985</v>
      </c>
    </row>
    <row r="82" spans="1:12" x14ac:dyDescent="0.2">
      <c r="A82" t="s">
        <v>4414</v>
      </c>
      <c r="B82">
        <v>6.8044999999999994E-2</v>
      </c>
      <c r="C82">
        <v>275</v>
      </c>
      <c r="D82" t="s">
        <v>4414</v>
      </c>
      <c r="E82">
        <v>274</v>
      </c>
      <c r="F82" s="1">
        <v>45200</v>
      </c>
      <c r="G82" s="6">
        <v>19.677083333333389</v>
      </c>
      <c r="H82" s="7">
        <v>19.677083333333389</v>
      </c>
      <c r="I82" s="26">
        <v>4.8574999999999999</v>
      </c>
      <c r="J82" s="26">
        <f t="shared" si="3"/>
        <v>-4.8574999999999999</v>
      </c>
      <c r="K82" s="26">
        <f t="shared" si="1"/>
        <v>0.87150000000000016</v>
      </c>
      <c r="L82">
        <f t="shared" si="2"/>
        <v>0.85899999999999999</v>
      </c>
    </row>
    <row r="83" spans="1:12" x14ac:dyDescent="0.2">
      <c r="A83" t="s">
        <v>4415</v>
      </c>
      <c r="B83">
        <v>6.9014999999999896E-2</v>
      </c>
      <c r="C83">
        <v>275</v>
      </c>
      <c r="D83" t="s">
        <v>4415</v>
      </c>
      <c r="E83">
        <v>274</v>
      </c>
      <c r="F83" s="1">
        <v>45200</v>
      </c>
      <c r="G83" s="6">
        <v>19.687500000000057</v>
      </c>
      <c r="H83" s="7">
        <v>19.687500000000057</v>
      </c>
      <c r="I83" s="26">
        <v>4.9284999999999997</v>
      </c>
      <c r="J83" s="26">
        <f t="shared" si="3"/>
        <v>-4.9284999999999997</v>
      </c>
      <c r="K83" s="26">
        <f t="shared" si="1"/>
        <v>0.80050000000000043</v>
      </c>
      <c r="L83">
        <f t="shared" si="2"/>
        <v>0.8360000000000003</v>
      </c>
    </row>
    <row r="84" spans="1:12" x14ac:dyDescent="0.2">
      <c r="A84" t="s">
        <v>4416</v>
      </c>
      <c r="B84">
        <v>6.8775000000000003E-2</v>
      </c>
      <c r="C84">
        <v>275</v>
      </c>
      <c r="D84" t="s">
        <v>4416</v>
      </c>
      <c r="E84">
        <v>274</v>
      </c>
      <c r="F84" s="1">
        <v>45200</v>
      </c>
      <c r="G84" s="6">
        <v>19.697916666666725</v>
      </c>
      <c r="H84" s="7">
        <v>19.697916666666725</v>
      </c>
      <c r="I84" s="26">
        <v>4.9080000000000004</v>
      </c>
      <c r="J84" s="26">
        <f t="shared" si="3"/>
        <v>-4.9080000000000004</v>
      </c>
      <c r="K84" s="26">
        <f t="shared" ref="K84:K111" si="4">J84+5.729</f>
        <v>0.82099999999999973</v>
      </c>
      <c r="L84">
        <f t="shared" si="2"/>
        <v>0.81075000000000008</v>
      </c>
    </row>
    <row r="85" spans="1:12" x14ac:dyDescent="0.2">
      <c r="A85" t="s">
        <v>4417</v>
      </c>
      <c r="B85">
        <v>6.9004999999999997E-2</v>
      </c>
      <c r="C85">
        <v>275</v>
      </c>
      <c r="D85" t="s">
        <v>4417</v>
      </c>
      <c r="E85">
        <v>274</v>
      </c>
      <c r="F85" s="1">
        <v>45200</v>
      </c>
      <c r="G85" s="6">
        <v>19.708333333333393</v>
      </c>
      <c r="H85" s="7">
        <v>19.708333333333393</v>
      </c>
      <c r="I85" s="26">
        <v>4.9264999999999999</v>
      </c>
      <c r="J85" s="26">
        <f t="shared" si="3"/>
        <v>-4.9264999999999999</v>
      </c>
      <c r="K85" s="26">
        <f t="shared" si="4"/>
        <v>0.80250000000000021</v>
      </c>
      <c r="L85">
        <f t="shared" ref="L85:L111" si="5">(K84+K85)/2</f>
        <v>0.81174999999999997</v>
      </c>
    </row>
    <row r="86" spans="1:12" x14ac:dyDescent="0.2">
      <c r="A86" t="s">
        <v>4418</v>
      </c>
      <c r="B86">
        <v>6.9544999999999996E-2</v>
      </c>
      <c r="C86">
        <v>275</v>
      </c>
      <c r="D86" t="s">
        <v>4418</v>
      </c>
      <c r="E86">
        <v>274</v>
      </c>
      <c r="F86" s="1">
        <v>45200</v>
      </c>
      <c r="G86" s="6">
        <v>19.71875000000006</v>
      </c>
      <c r="H86" s="7">
        <v>19.71875000000006</v>
      </c>
      <c r="I86" s="26">
        <v>4.9634999999999998</v>
      </c>
      <c r="J86" s="26">
        <f t="shared" si="3"/>
        <v>-4.9634999999999998</v>
      </c>
      <c r="K86" s="26">
        <f t="shared" si="4"/>
        <v>0.76550000000000029</v>
      </c>
      <c r="L86">
        <f t="shared" si="5"/>
        <v>0.78400000000000025</v>
      </c>
    </row>
    <row r="87" spans="1:12" x14ac:dyDescent="0.2">
      <c r="A87" t="s">
        <v>4419</v>
      </c>
      <c r="B87">
        <v>6.9220000000000004E-2</v>
      </c>
      <c r="C87">
        <v>275</v>
      </c>
      <c r="D87" t="s">
        <v>4419</v>
      </c>
      <c r="E87">
        <v>274</v>
      </c>
      <c r="F87" s="1">
        <v>45200</v>
      </c>
      <c r="G87" s="6">
        <v>19.729166666666728</v>
      </c>
      <c r="H87" s="7">
        <v>19.729166666666728</v>
      </c>
      <c r="I87" s="26">
        <v>4.944</v>
      </c>
      <c r="J87" s="26">
        <f t="shared" si="3"/>
        <v>-4.944</v>
      </c>
      <c r="K87" s="26">
        <f t="shared" si="4"/>
        <v>0.78500000000000014</v>
      </c>
      <c r="L87">
        <f t="shared" si="5"/>
        <v>0.77525000000000022</v>
      </c>
    </row>
    <row r="88" spans="1:12" x14ac:dyDescent="0.2">
      <c r="A88" t="s">
        <v>4420</v>
      </c>
      <c r="B88">
        <v>7.0184999999999997E-2</v>
      </c>
      <c r="C88">
        <v>275</v>
      </c>
      <c r="D88" t="s">
        <v>4420</v>
      </c>
      <c r="E88">
        <v>274</v>
      </c>
      <c r="F88" s="1">
        <v>45200</v>
      </c>
      <c r="G88" s="6">
        <v>19.739583333333396</v>
      </c>
      <c r="H88" s="7">
        <v>19.739583333333396</v>
      </c>
      <c r="I88" s="26">
        <v>5.0119999999999996</v>
      </c>
      <c r="J88" s="26">
        <f t="shared" si="3"/>
        <v>-5.0119999999999996</v>
      </c>
      <c r="K88" s="26">
        <f t="shared" si="4"/>
        <v>0.71700000000000053</v>
      </c>
      <c r="L88">
        <f t="shared" si="5"/>
        <v>0.75100000000000033</v>
      </c>
    </row>
    <row r="89" spans="1:12" x14ac:dyDescent="0.2">
      <c r="A89" t="s">
        <v>4422</v>
      </c>
      <c r="B89">
        <v>7.0485000000000006E-2</v>
      </c>
      <c r="C89">
        <v>275</v>
      </c>
      <c r="D89" t="s">
        <v>4422</v>
      </c>
      <c r="E89">
        <v>274</v>
      </c>
      <c r="F89" s="1">
        <v>45200</v>
      </c>
      <c r="G89" s="6">
        <v>19.750000000000064</v>
      </c>
      <c r="H89" s="7">
        <v>19.750000000000064</v>
      </c>
      <c r="I89" s="26">
        <v>5.032</v>
      </c>
      <c r="J89" s="26">
        <f t="shared" si="3"/>
        <v>-5.032</v>
      </c>
      <c r="K89" s="26">
        <f t="shared" si="4"/>
        <v>0.69700000000000006</v>
      </c>
      <c r="L89">
        <f t="shared" si="5"/>
        <v>0.70700000000000029</v>
      </c>
    </row>
    <row r="90" spans="1:12" x14ac:dyDescent="0.2">
      <c r="A90" t="s">
        <v>4423</v>
      </c>
      <c r="B90">
        <v>7.1410000000000001E-2</v>
      </c>
      <c r="C90">
        <v>275</v>
      </c>
      <c r="D90" t="s">
        <v>4423</v>
      </c>
      <c r="E90">
        <v>274</v>
      </c>
      <c r="F90" s="1">
        <v>45200</v>
      </c>
      <c r="G90" s="6">
        <v>19.760416666666732</v>
      </c>
      <c r="H90" s="7">
        <v>19.760416666666732</v>
      </c>
      <c r="I90" s="26">
        <v>5.0979999999999999</v>
      </c>
      <c r="J90" s="26">
        <f t="shared" si="3"/>
        <v>-5.0979999999999999</v>
      </c>
      <c r="K90" s="26">
        <f t="shared" si="4"/>
        <v>0.63100000000000023</v>
      </c>
      <c r="L90">
        <f t="shared" si="5"/>
        <v>0.66400000000000015</v>
      </c>
    </row>
    <row r="91" spans="1:12" x14ac:dyDescent="0.2">
      <c r="A91" t="s">
        <v>4424</v>
      </c>
      <c r="B91">
        <v>7.1705000000000005E-2</v>
      </c>
      <c r="C91">
        <v>275</v>
      </c>
      <c r="D91" t="s">
        <v>4424</v>
      </c>
      <c r="E91">
        <v>274</v>
      </c>
      <c r="F91" s="1">
        <v>45200</v>
      </c>
      <c r="G91" s="6">
        <v>19.7708333333334</v>
      </c>
      <c r="H91" s="7">
        <v>19.7708333333334</v>
      </c>
      <c r="I91" s="26">
        <v>5.1204999999999998</v>
      </c>
      <c r="J91" s="26">
        <f t="shared" si="3"/>
        <v>-5.1204999999999998</v>
      </c>
      <c r="K91" s="26">
        <f t="shared" si="4"/>
        <v>0.60850000000000026</v>
      </c>
      <c r="L91">
        <f t="shared" si="5"/>
        <v>0.61975000000000025</v>
      </c>
    </row>
    <row r="92" spans="1:12" x14ac:dyDescent="0.2">
      <c r="A92" t="s">
        <v>4425</v>
      </c>
      <c r="B92">
        <v>7.2429999999999994E-2</v>
      </c>
      <c r="C92">
        <v>275</v>
      </c>
      <c r="D92" t="s">
        <v>4425</v>
      </c>
      <c r="E92">
        <v>274</v>
      </c>
      <c r="F92" s="1">
        <v>45200</v>
      </c>
      <c r="G92" s="6">
        <v>19.781250000000068</v>
      </c>
      <c r="H92" s="7">
        <v>19.781250000000068</v>
      </c>
      <c r="I92" s="26">
        <v>5.1710000000000003</v>
      </c>
      <c r="J92" s="26">
        <f t="shared" si="3"/>
        <v>-5.1710000000000003</v>
      </c>
      <c r="K92" s="26">
        <f t="shared" si="4"/>
        <v>0.55799999999999983</v>
      </c>
      <c r="L92">
        <f t="shared" si="5"/>
        <v>0.58325000000000005</v>
      </c>
    </row>
    <row r="93" spans="1:12" x14ac:dyDescent="0.2">
      <c r="A93" t="s">
        <v>4426</v>
      </c>
      <c r="B93">
        <v>7.331E-2</v>
      </c>
      <c r="C93">
        <v>275</v>
      </c>
      <c r="D93" t="s">
        <v>4426</v>
      </c>
      <c r="E93">
        <v>274</v>
      </c>
      <c r="F93" s="1">
        <v>45200</v>
      </c>
      <c r="G93" s="6">
        <v>19.791666666666735</v>
      </c>
      <c r="H93" s="7">
        <v>19.791666666666735</v>
      </c>
      <c r="I93" s="26">
        <v>5.2335000000000003</v>
      </c>
      <c r="J93" s="26">
        <f t="shared" si="3"/>
        <v>-5.2335000000000003</v>
      </c>
      <c r="K93" s="26">
        <f t="shared" si="4"/>
        <v>0.49549999999999983</v>
      </c>
      <c r="L93">
        <f t="shared" si="5"/>
        <v>0.52674999999999983</v>
      </c>
    </row>
    <row r="94" spans="1:12" x14ac:dyDescent="0.2">
      <c r="A94" t="s">
        <v>4427</v>
      </c>
      <c r="B94">
        <v>7.3895000000000002E-2</v>
      </c>
      <c r="C94">
        <v>275</v>
      </c>
      <c r="D94" t="s">
        <v>4427</v>
      </c>
      <c r="E94">
        <v>274</v>
      </c>
      <c r="F94" s="1">
        <v>45200</v>
      </c>
      <c r="G94" s="6">
        <v>19.802083333333403</v>
      </c>
      <c r="H94" s="7">
        <v>19.802083333333403</v>
      </c>
      <c r="I94" s="26">
        <v>5.2764999999999898</v>
      </c>
      <c r="J94" s="26">
        <f t="shared" si="3"/>
        <v>-5.2764999999999898</v>
      </c>
      <c r="K94" s="26">
        <f t="shared" si="4"/>
        <v>0.45250000000001034</v>
      </c>
      <c r="L94">
        <f t="shared" si="5"/>
        <v>0.47400000000000508</v>
      </c>
    </row>
    <row r="95" spans="1:12" x14ac:dyDescent="0.2">
      <c r="A95" t="s">
        <v>4429</v>
      </c>
      <c r="B95">
        <v>7.4325000000000002E-2</v>
      </c>
      <c r="C95">
        <v>275</v>
      </c>
      <c r="D95" t="s">
        <v>4429</v>
      </c>
      <c r="E95">
        <v>274</v>
      </c>
      <c r="F95" s="1">
        <v>45200</v>
      </c>
      <c r="G95" s="6">
        <v>19.812500000000071</v>
      </c>
      <c r="H95" s="7">
        <v>19.812500000000071</v>
      </c>
      <c r="I95" s="26">
        <v>5.3075000000000001</v>
      </c>
      <c r="J95" s="26">
        <f t="shared" si="3"/>
        <v>-5.3075000000000001</v>
      </c>
      <c r="K95" s="26">
        <f t="shared" si="4"/>
        <v>0.42149999999999999</v>
      </c>
      <c r="L95">
        <f t="shared" si="5"/>
        <v>0.43700000000000516</v>
      </c>
    </row>
    <row r="96" spans="1:12" x14ac:dyDescent="0.2">
      <c r="A96" t="s">
        <v>4430</v>
      </c>
      <c r="B96">
        <v>7.3785000000000003E-2</v>
      </c>
      <c r="C96">
        <v>275</v>
      </c>
      <c r="D96" t="s">
        <v>4430</v>
      </c>
      <c r="E96">
        <v>274</v>
      </c>
      <c r="F96" s="1">
        <v>45200</v>
      </c>
      <c r="G96" s="6">
        <v>19.822916666666739</v>
      </c>
      <c r="H96" s="7">
        <v>19.822916666666739</v>
      </c>
      <c r="I96" s="26">
        <v>5.2685000000000004</v>
      </c>
      <c r="J96" s="26">
        <f t="shared" si="3"/>
        <v>-5.2685000000000004</v>
      </c>
      <c r="K96" s="26">
        <f t="shared" si="4"/>
        <v>0.46049999999999969</v>
      </c>
      <c r="L96">
        <f t="shared" si="5"/>
        <v>0.44099999999999984</v>
      </c>
    </row>
    <row r="97" spans="1:14" x14ac:dyDescent="0.2">
      <c r="A97" t="s">
        <v>4431</v>
      </c>
      <c r="B97">
        <v>7.2489999999999999E-2</v>
      </c>
      <c r="C97">
        <v>275</v>
      </c>
      <c r="D97" t="s">
        <v>4431</v>
      </c>
      <c r="E97">
        <v>274</v>
      </c>
      <c r="F97" s="1">
        <v>45200</v>
      </c>
      <c r="G97" s="6">
        <v>19.833333333333407</v>
      </c>
      <c r="H97" s="7">
        <v>19.833333333333407</v>
      </c>
      <c r="I97" s="26">
        <v>5.1749999999999998</v>
      </c>
      <c r="J97" s="26">
        <f t="shared" si="3"/>
        <v>-5.1749999999999998</v>
      </c>
      <c r="K97" s="26">
        <f t="shared" si="4"/>
        <v>0.55400000000000027</v>
      </c>
      <c r="L97">
        <f t="shared" si="5"/>
        <v>0.50724999999999998</v>
      </c>
    </row>
    <row r="98" spans="1:14" x14ac:dyDescent="0.2">
      <c r="A98" t="s">
        <v>4432</v>
      </c>
      <c r="B98">
        <v>7.4149999999999994E-2</v>
      </c>
      <c r="C98">
        <v>275</v>
      </c>
      <c r="D98" t="s">
        <v>4432</v>
      </c>
      <c r="E98">
        <v>274</v>
      </c>
      <c r="F98" s="1">
        <v>45200</v>
      </c>
      <c r="G98" s="6">
        <v>19.843750000000075</v>
      </c>
      <c r="H98" s="7">
        <v>19.843750000000075</v>
      </c>
      <c r="I98" s="26">
        <v>5.2930000000000001</v>
      </c>
      <c r="J98" s="26">
        <f t="shared" si="3"/>
        <v>-5.2930000000000001</v>
      </c>
      <c r="K98" s="26">
        <f t="shared" si="4"/>
        <v>0.43599999999999994</v>
      </c>
      <c r="L98">
        <f t="shared" si="5"/>
        <v>0.49500000000000011</v>
      </c>
    </row>
    <row r="99" spans="1:14" x14ac:dyDescent="0.2">
      <c r="A99" t="s">
        <v>4433</v>
      </c>
      <c r="B99">
        <v>7.4514999999999998E-2</v>
      </c>
      <c r="C99">
        <v>275</v>
      </c>
      <c r="D99" t="s">
        <v>4433</v>
      </c>
      <c r="E99">
        <v>274</v>
      </c>
      <c r="F99" s="1">
        <v>45200</v>
      </c>
      <c r="G99" s="6">
        <v>19.854166666666742</v>
      </c>
      <c r="H99" s="7">
        <v>19.854166666666742</v>
      </c>
      <c r="I99" s="26">
        <v>5.3205</v>
      </c>
      <c r="J99" s="26">
        <f t="shared" si="3"/>
        <v>-5.3205</v>
      </c>
      <c r="K99" s="26">
        <f t="shared" si="4"/>
        <v>0.40850000000000009</v>
      </c>
      <c r="L99">
        <f t="shared" si="5"/>
        <v>0.42225000000000001</v>
      </c>
    </row>
    <row r="100" spans="1:14" x14ac:dyDescent="0.2">
      <c r="A100" t="s">
        <v>4434</v>
      </c>
      <c r="B100">
        <v>7.4755000000000002E-2</v>
      </c>
      <c r="C100">
        <v>275</v>
      </c>
      <c r="D100" t="s">
        <v>4434</v>
      </c>
      <c r="E100">
        <v>275</v>
      </c>
      <c r="F100" s="1">
        <v>45201</v>
      </c>
      <c r="G100" s="6">
        <v>19.86458333333341</v>
      </c>
      <c r="H100" s="7">
        <v>19.86458333333341</v>
      </c>
      <c r="I100" s="26">
        <v>5.3380000000000001</v>
      </c>
      <c r="J100" s="26">
        <f t="shared" si="3"/>
        <v>-5.3380000000000001</v>
      </c>
      <c r="K100" s="26">
        <f t="shared" si="4"/>
        <v>0.39100000000000001</v>
      </c>
      <c r="L100">
        <f t="shared" si="5"/>
        <v>0.39975000000000005</v>
      </c>
    </row>
    <row r="101" spans="1:14" x14ac:dyDescent="0.2">
      <c r="A101" t="s">
        <v>4435</v>
      </c>
      <c r="B101">
        <v>7.5264999999999999E-2</v>
      </c>
      <c r="C101">
        <v>275</v>
      </c>
      <c r="D101" t="s">
        <v>4435</v>
      </c>
      <c r="E101">
        <v>275</v>
      </c>
      <c r="F101" s="1">
        <v>45201</v>
      </c>
      <c r="G101" s="6">
        <v>19.875000000000078</v>
      </c>
      <c r="H101" s="7">
        <v>19.875000000000078</v>
      </c>
      <c r="I101" s="26">
        <v>5.3754999999999997</v>
      </c>
      <c r="J101" s="26">
        <f t="shared" si="3"/>
        <v>-5.3754999999999997</v>
      </c>
      <c r="K101" s="26">
        <f t="shared" si="4"/>
        <v>0.35350000000000037</v>
      </c>
      <c r="L101">
        <f t="shared" si="5"/>
        <v>0.37225000000000019</v>
      </c>
    </row>
    <row r="102" spans="1:14" x14ac:dyDescent="0.2">
      <c r="A102" t="s">
        <v>4436</v>
      </c>
      <c r="B102">
        <v>7.5475E-2</v>
      </c>
      <c r="C102">
        <v>275</v>
      </c>
      <c r="D102" t="s">
        <v>4436</v>
      </c>
      <c r="E102">
        <v>275</v>
      </c>
      <c r="F102" s="1">
        <v>45201</v>
      </c>
      <c r="G102" s="6">
        <v>19.885416666666746</v>
      </c>
      <c r="H102" s="7">
        <v>19.885416666666746</v>
      </c>
      <c r="I102" s="26">
        <v>5.3879999999999999</v>
      </c>
      <c r="J102" s="26">
        <f t="shared" si="3"/>
        <v>-5.3879999999999999</v>
      </c>
      <c r="K102" s="26">
        <f t="shared" si="4"/>
        <v>0.34100000000000019</v>
      </c>
      <c r="L102">
        <f t="shared" si="5"/>
        <v>0.34725000000000028</v>
      </c>
    </row>
    <row r="103" spans="1:14" x14ac:dyDescent="0.2">
      <c r="A103" t="s">
        <v>4437</v>
      </c>
      <c r="B103">
        <v>7.5545000000000001E-2</v>
      </c>
      <c r="C103">
        <v>275</v>
      </c>
      <c r="D103" t="s">
        <v>4437</v>
      </c>
      <c r="E103">
        <v>275</v>
      </c>
      <c r="F103" s="1">
        <v>45201</v>
      </c>
      <c r="G103" s="6">
        <v>19.895833333333414</v>
      </c>
      <c r="H103" s="7">
        <v>19.895833333333414</v>
      </c>
      <c r="I103" s="26">
        <v>5.3935000000000004</v>
      </c>
      <c r="J103" s="26">
        <f t="shared" si="3"/>
        <v>-5.3935000000000004</v>
      </c>
      <c r="K103" s="26">
        <f t="shared" si="4"/>
        <v>0.33549999999999969</v>
      </c>
      <c r="L103">
        <f t="shared" si="5"/>
        <v>0.33824999999999994</v>
      </c>
    </row>
    <row r="104" spans="1:14" x14ac:dyDescent="0.2">
      <c r="A104" t="s">
        <v>4438</v>
      </c>
      <c r="B104">
        <v>7.5810000000000002E-2</v>
      </c>
      <c r="C104">
        <v>275</v>
      </c>
      <c r="D104" t="s">
        <v>4438</v>
      </c>
      <c r="E104">
        <v>275</v>
      </c>
      <c r="F104" s="1">
        <v>45201</v>
      </c>
      <c r="G104" s="6">
        <v>19.906250000000082</v>
      </c>
      <c r="H104" s="7">
        <v>19.906250000000082</v>
      </c>
      <c r="I104" s="26">
        <v>5.4130000000000003</v>
      </c>
      <c r="J104" s="26">
        <f t="shared" si="3"/>
        <v>-5.4130000000000003</v>
      </c>
      <c r="K104" s="26">
        <f t="shared" si="4"/>
        <v>0.31599999999999984</v>
      </c>
      <c r="L104">
        <f t="shared" si="5"/>
        <v>0.32574999999999976</v>
      </c>
    </row>
    <row r="105" spans="1:14" x14ac:dyDescent="0.2">
      <c r="A105" t="s">
        <v>4439</v>
      </c>
      <c r="B105">
        <v>7.5634999999999994E-2</v>
      </c>
      <c r="C105">
        <v>275</v>
      </c>
      <c r="D105" t="s">
        <v>4439</v>
      </c>
      <c r="E105">
        <v>275</v>
      </c>
      <c r="F105" s="1">
        <v>45201</v>
      </c>
      <c r="G105" s="6">
        <v>19.91666666666675</v>
      </c>
      <c r="H105" s="7">
        <v>19.91666666666675</v>
      </c>
      <c r="I105" s="26">
        <v>5.4</v>
      </c>
      <c r="J105" s="26">
        <f t="shared" si="3"/>
        <v>-5.4</v>
      </c>
      <c r="K105" s="26">
        <f t="shared" si="4"/>
        <v>0.32899999999999974</v>
      </c>
      <c r="L105">
        <f t="shared" si="5"/>
        <v>0.32249999999999979</v>
      </c>
    </row>
    <row r="106" spans="1:14" x14ac:dyDescent="0.2">
      <c r="A106" t="s">
        <v>4440</v>
      </c>
      <c r="B106">
        <v>7.5910000000000005E-2</v>
      </c>
      <c r="C106">
        <v>275</v>
      </c>
      <c r="D106" t="s">
        <v>4440</v>
      </c>
      <c r="E106">
        <v>275</v>
      </c>
      <c r="F106" s="1">
        <v>45201</v>
      </c>
      <c r="G106" s="6">
        <v>19.927083333333417</v>
      </c>
      <c r="H106" s="7">
        <v>19.927083333333417</v>
      </c>
      <c r="I106" s="26">
        <v>5.4189999999999996</v>
      </c>
      <c r="J106" s="26">
        <f t="shared" si="3"/>
        <v>-5.4189999999999996</v>
      </c>
      <c r="K106" s="26">
        <f t="shared" si="4"/>
        <v>0.3100000000000005</v>
      </c>
      <c r="L106">
        <f t="shared" si="5"/>
        <v>0.31950000000000012</v>
      </c>
    </row>
    <row r="107" spans="1:14" x14ac:dyDescent="0.2">
      <c r="A107" t="s">
        <v>4442</v>
      </c>
      <c r="B107">
        <v>7.5810000000000002E-2</v>
      </c>
      <c r="C107">
        <v>275</v>
      </c>
      <c r="D107" t="s">
        <v>4442</v>
      </c>
      <c r="E107">
        <v>275</v>
      </c>
      <c r="F107" s="1">
        <v>45201</v>
      </c>
      <c r="G107" s="6">
        <v>19.937500000000085</v>
      </c>
      <c r="H107" s="7">
        <v>19.937500000000085</v>
      </c>
      <c r="I107" s="26">
        <v>5.4124999999999996</v>
      </c>
      <c r="J107" s="26">
        <f t="shared" si="3"/>
        <v>-5.4124999999999996</v>
      </c>
      <c r="K107" s="26">
        <f t="shared" si="4"/>
        <v>0.31650000000000045</v>
      </c>
      <c r="L107">
        <f t="shared" si="5"/>
        <v>0.31325000000000047</v>
      </c>
    </row>
    <row r="108" spans="1:14" x14ac:dyDescent="0.2">
      <c r="A108" t="s">
        <v>4443</v>
      </c>
      <c r="B108">
        <v>7.6024999999999995E-2</v>
      </c>
      <c r="C108">
        <v>275</v>
      </c>
      <c r="D108" t="s">
        <v>4443</v>
      </c>
      <c r="E108">
        <v>275</v>
      </c>
      <c r="F108" s="1">
        <v>45201</v>
      </c>
      <c r="G108" s="6">
        <v>19.947916666666753</v>
      </c>
      <c r="H108" s="7">
        <v>19.947916666666753</v>
      </c>
      <c r="I108" s="26">
        <v>5.4290000000000003</v>
      </c>
      <c r="J108" s="26">
        <f t="shared" si="3"/>
        <v>-5.4290000000000003</v>
      </c>
      <c r="K108" s="26">
        <f t="shared" si="4"/>
        <v>0.29999999999999982</v>
      </c>
      <c r="L108">
        <f t="shared" si="5"/>
        <v>0.30825000000000014</v>
      </c>
    </row>
    <row r="109" spans="1:14" x14ac:dyDescent="0.2">
      <c r="A109" t="s">
        <v>4444</v>
      </c>
      <c r="B109">
        <v>7.5484999999999997E-2</v>
      </c>
      <c r="C109">
        <v>275</v>
      </c>
      <c r="D109" t="s">
        <v>4444</v>
      </c>
      <c r="E109">
        <v>275</v>
      </c>
      <c r="F109" s="1">
        <v>45201</v>
      </c>
      <c r="G109" s="6">
        <v>19.958333333333421</v>
      </c>
      <c r="H109" s="7">
        <v>19.958333333333421</v>
      </c>
      <c r="I109" s="26">
        <v>5.3890000000000002</v>
      </c>
      <c r="J109" s="26">
        <f t="shared" si="3"/>
        <v>-5.3890000000000002</v>
      </c>
      <c r="K109" s="26">
        <f t="shared" si="4"/>
        <v>0.33999999999999986</v>
      </c>
      <c r="L109">
        <f t="shared" si="5"/>
        <v>0.31999999999999984</v>
      </c>
    </row>
    <row r="110" spans="1:14" x14ac:dyDescent="0.2">
      <c r="A110" t="s">
        <v>4445</v>
      </c>
      <c r="B110">
        <v>7.5649999999999995E-2</v>
      </c>
      <c r="C110">
        <v>275</v>
      </c>
      <c r="D110" t="s">
        <v>4445</v>
      </c>
      <c r="E110">
        <v>275</v>
      </c>
      <c r="F110" s="1">
        <v>45201</v>
      </c>
      <c r="G110" s="6">
        <v>19.968750000000089</v>
      </c>
      <c r="H110" s="7">
        <v>19.968750000000089</v>
      </c>
      <c r="I110" s="26">
        <v>5.399</v>
      </c>
      <c r="J110" s="26">
        <f t="shared" si="3"/>
        <v>-5.399</v>
      </c>
      <c r="K110" s="26">
        <f t="shared" si="4"/>
        <v>0.33000000000000007</v>
      </c>
      <c r="L110">
        <f t="shared" si="5"/>
        <v>0.33499999999999996</v>
      </c>
    </row>
    <row r="111" spans="1:14" x14ac:dyDescent="0.2">
      <c r="A111" t="s">
        <v>4446</v>
      </c>
      <c r="B111">
        <v>7.6244999999999993E-2</v>
      </c>
      <c r="C111">
        <v>275</v>
      </c>
      <c r="D111" t="s">
        <v>4446</v>
      </c>
      <c r="E111" s="3">
        <v>275</v>
      </c>
      <c r="F111" s="5">
        <v>45201</v>
      </c>
      <c r="G111" s="31">
        <v>19.979166666666757</v>
      </c>
      <c r="H111" s="8">
        <v>19.979166666666757</v>
      </c>
      <c r="I111" s="32">
        <v>5.4424999999999999</v>
      </c>
      <c r="J111" s="32">
        <f t="shared" si="3"/>
        <v>-5.4424999999999999</v>
      </c>
      <c r="K111" s="26">
        <f t="shared" si="4"/>
        <v>0.2865000000000002</v>
      </c>
      <c r="L111">
        <f t="shared" si="5"/>
        <v>0.30825000000000014</v>
      </c>
      <c r="M111">
        <f>SUM(L20:L111)/93</f>
        <v>0.48370161290322622</v>
      </c>
      <c r="N111">
        <v>93</v>
      </c>
    </row>
    <row r="112" spans="1:14" x14ac:dyDescent="0.2">
      <c r="A112" t="s">
        <v>4447</v>
      </c>
      <c r="B112">
        <v>7.5969999999999996E-2</v>
      </c>
      <c r="C112">
        <v>275</v>
      </c>
      <c r="D112" t="s">
        <v>4447</v>
      </c>
      <c r="E112">
        <v>275</v>
      </c>
      <c r="F112" s="1">
        <v>45201</v>
      </c>
      <c r="G112" s="6">
        <v>19.989583333333425</v>
      </c>
      <c r="H112" s="7">
        <v>19.989583333333425</v>
      </c>
      <c r="I112" s="26">
        <v>5.4245000000000001</v>
      </c>
      <c r="J112" s="26">
        <f t="shared" si="3"/>
        <v>-5.4245000000000001</v>
      </c>
      <c r="M112">
        <f>SUM(L47:L101)/46</f>
        <v>0.84366304347826104</v>
      </c>
      <c r="N112">
        <f>11.5*4</f>
        <v>46</v>
      </c>
    </row>
    <row r="113" spans="1:12" x14ac:dyDescent="0.2">
      <c r="A113" t="s">
        <v>4448</v>
      </c>
      <c r="B113">
        <v>7.5929999999999997E-2</v>
      </c>
      <c r="C113">
        <v>275</v>
      </c>
      <c r="D113" t="s">
        <v>4448</v>
      </c>
      <c r="E113">
        <v>275</v>
      </c>
      <c r="F113" s="1">
        <v>45201</v>
      </c>
      <c r="G113" s="6">
        <v>20.000000000000092</v>
      </c>
      <c r="H113" s="7">
        <v>20.000000000000092</v>
      </c>
      <c r="I113" s="26">
        <v>5.4215</v>
      </c>
      <c r="J113" s="26">
        <f t="shared" si="3"/>
        <v>-5.4215</v>
      </c>
    </row>
    <row r="114" spans="1:12" x14ac:dyDescent="0.2">
      <c r="A114" t="s">
        <v>4449</v>
      </c>
      <c r="B114">
        <v>7.5950000000000004E-2</v>
      </c>
      <c r="C114">
        <v>275</v>
      </c>
      <c r="D114" t="s">
        <v>4449</v>
      </c>
      <c r="E114">
        <v>275</v>
      </c>
      <c r="F114" s="1">
        <v>45201</v>
      </c>
      <c r="G114" s="6">
        <v>20.01041666666676</v>
      </c>
      <c r="H114" s="7">
        <v>20.01041666666676</v>
      </c>
      <c r="I114" s="26">
        <v>5.4215</v>
      </c>
      <c r="J114" s="26">
        <f t="shared" si="3"/>
        <v>-5.4215</v>
      </c>
    </row>
    <row r="115" spans="1:12" x14ac:dyDescent="0.2">
      <c r="A115" t="s">
        <v>4450</v>
      </c>
      <c r="B115">
        <v>7.6075000000000004E-2</v>
      </c>
      <c r="C115">
        <v>275</v>
      </c>
      <c r="D115" t="s">
        <v>4450</v>
      </c>
      <c r="E115">
        <v>275</v>
      </c>
      <c r="F115" s="1">
        <v>45201</v>
      </c>
      <c r="G115" s="6">
        <v>20.020833333333428</v>
      </c>
      <c r="H115" s="7">
        <v>20.020833333333428</v>
      </c>
      <c r="I115" s="26">
        <v>5.4314999999999998</v>
      </c>
      <c r="J115" s="26">
        <f t="shared" si="3"/>
        <v>-5.4314999999999998</v>
      </c>
    </row>
    <row r="116" spans="1:12" x14ac:dyDescent="0.2">
      <c r="A116" t="s">
        <v>4451</v>
      </c>
      <c r="B116">
        <v>7.5859999999999997E-2</v>
      </c>
      <c r="C116">
        <v>275</v>
      </c>
      <c r="D116" t="s">
        <v>4451</v>
      </c>
      <c r="E116">
        <v>275</v>
      </c>
      <c r="F116" s="1">
        <v>45201</v>
      </c>
      <c r="G116" s="6">
        <v>20.031250000000096</v>
      </c>
      <c r="H116" s="7">
        <v>20.031250000000096</v>
      </c>
      <c r="I116" s="26">
        <v>5.4169999999999998</v>
      </c>
      <c r="J116" s="26">
        <f t="shared" si="3"/>
        <v>-5.4169999999999998</v>
      </c>
    </row>
    <row r="117" spans="1:12" x14ac:dyDescent="0.2">
      <c r="A117" t="s">
        <v>4452</v>
      </c>
      <c r="B117">
        <v>7.6145000000000004E-2</v>
      </c>
      <c r="C117">
        <v>275</v>
      </c>
      <c r="D117" t="s">
        <v>4452</v>
      </c>
      <c r="E117" s="12">
        <v>275</v>
      </c>
      <c r="F117" s="13">
        <v>45201</v>
      </c>
      <c r="G117" s="28">
        <v>20.041666666666764</v>
      </c>
      <c r="H117" s="14">
        <v>20.041666666666764</v>
      </c>
      <c r="I117" s="27">
        <v>5.4355000000000002</v>
      </c>
      <c r="J117" s="27">
        <f t="shared" si="3"/>
        <v>-5.4355000000000002</v>
      </c>
      <c r="K117" s="26">
        <f>J117+5.436</f>
        <v>4.9999999999972289E-4</v>
      </c>
    </row>
    <row r="118" spans="1:12" x14ac:dyDescent="0.2">
      <c r="A118" t="s">
        <v>4453</v>
      </c>
      <c r="B118">
        <v>7.5895000000000004E-2</v>
      </c>
      <c r="C118">
        <v>275</v>
      </c>
      <c r="D118" t="s">
        <v>4453</v>
      </c>
      <c r="E118">
        <v>275</v>
      </c>
      <c r="F118" s="1">
        <v>45201</v>
      </c>
      <c r="G118" s="6">
        <v>20.052083333333432</v>
      </c>
      <c r="H118" s="7">
        <v>20.052083333333432</v>
      </c>
      <c r="I118" s="26">
        <v>5.4184999999999999</v>
      </c>
      <c r="J118" s="26">
        <f t="shared" si="3"/>
        <v>-5.4184999999999999</v>
      </c>
      <c r="K118" s="26">
        <f t="shared" ref="K118:K181" si="6">J118+5.436</f>
        <v>1.7500000000000071E-2</v>
      </c>
      <c r="L118">
        <f t="shared" ref="L118:L181" si="7">(K117+K118)/2</f>
        <v>8.999999999999897E-3</v>
      </c>
    </row>
    <row r="119" spans="1:12" x14ac:dyDescent="0.2">
      <c r="A119" t="s">
        <v>4454</v>
      </c>
      <c r="B119">
        <v>7.6124999999999998E-2</v>
      </c>
      <c r="C119">
        <v>275</v>
      </c>
      <c r="D119" t="s">
        <v>4454</v>
      </c>
      <c r="E119">
        <v>275</v>
      </c>
      <c r="F119" s="1">
        <v>45201</v>
      </c>
      <c r="G119" s="6">
        <v>20.062500000000099</v>
      </c>
      <c r="H119" s="7">
        <v>20.062500000000099</v>
      </c>
      <c r="I119" s="26">
        <v>5.4340000000000002</v>
      </c>
      <c r="J119" s="26">
        <f t="shared" si="3"/>
        <v>-5.4340000000000002</v>
      </c>
      <c r="K119" s="26">
        <f t="shared" si="6"/>
        <v>1.9999999999997797E-3</v>
      </c>
      <c r="L119">
        <f t="shared" si="7"/>
        <v>9.7499999999999254E-3</v>
      </c>
    </row>
    <row r="120" spans="1:12" x14ac:dyDescent="0.2">
      <c r="A120" t="s">
        <v>4455</v>
      </c>
      <c r="B120">
        <v>7.5965000000000005E-2</v>
      </c>
      <c r="C120">
        <v>275</v>
      </c>
      <c r="D120" t="s">
        <v>4455</v>
      </c>
      <c r="E120">
        <v>275</v>
      </c>
      <c r="F120" s="1">
        <v>45201</v>
      </c>
      <c r="G120" s="6">
        <v>20.072916666666767</v>
      </c>
      <c r="H120" s="7">
        <v>20.072916666666767</v>
      </c>
      <c r="I120" s="26">
        <v>5.4240000000000004</v>
      </c>
      <c r="J120" s="26">
        <f t="shared" si="3"/>
        <v>-5.4240000000000004</v>
      </c>
      <c r="K120" s="26">
        <f t="shared" si="6"/>
        <v>1.1999999999999567E-2</v>
      </c>
      <c r="L120">
        <f t="shared" si="7"/>
        <v>6.9999999999996732E-3</v>
      </c>
    </row>
    <row r="121" spans="1:12" x14ac:dyDescent="0.2">
      <c r="A121" t="s">
        <v>4456</v>
      </c>
      <c r="B121">
        <v>7.5435000000000002E-2</v>
      </c>
      <c r="C121">
        <v>275</v>
      </c>
      <c r="D121" t="s">
        <v>4456</v>
      </c>
      <c r="E121">
        <v>275</v>
      </c>
      <c r="F121" s="1">
        <v>45201</v>
      </c>
      <c r="G121" s="6">
        <v>20.083333333333435</v>
      </c>
      <c r="H121" s="7">
        <v>20.083333333333435</v>
      </c>
      <c r="I121" s="26">
        <v>5.3855000000000004</v>
      </c>
      <c r="J121" s="26">
        <f t="shared" si="3"/>
        <v>-5.3855000000000004</v>
      </c>
      <c r="K121" s="26">
        <f t="shared" si="6"/>
        <v>5.0499999999999545E-2</v>
      </c>
      <c r="L121">
        <f t="shared" si="7"/>
        <v>3.1249999999999556E-2</v>
      </c>
    </row>
    <row r="122" spans="1:12" x14ac:dyDescent="0.2">
      <c r="A122" t="s">
        <v>4457</v>
      </c>
      <c r="B122">
        <v>7.5660000000000005E-2</v>
      </c>
      <c r="C122">
        <v>275</v>
      </c>
      <c r="D122" t="s">
        <v>4457</v>
      </c>
      <c r="E122">
        <v>275</v>
      </c>
      <c r="F122" s="1">
        <v>45201</v>
      </c>
      <c r="G122" s="6">
        <v>20.093750000000103</v>
      </c>
      <c r="H122" s="7">
        <v>20.093750000000103</v>
      </c>
      <c r="I122" s="26">
        <v>5.4015000000000004</v>
      </c>
      <c r="J122" s="26">
        <f t="shared" si="3"/>
        <v>-5.4015000000000004</v>
      </c>
      <c r="K122" s="26">
        <f t="shared" si="6"/>
        <v>3.4499999999999531E-2</v>
      </c>
      <c r="L122">
        <f t="shared" si="7"/>
        <v>4.2499999999999538E-2</v>
      </c>
    </row>
    <row r="123" spans="1:12" x14ac:dyDescent="0.2">
      <c r="A123" t="s">
        <v>4458</v>
      </c>
      <c r="B123">
        <v>7.5804999999999997E-2</v>
      </c>
      <c r="C123">
        <v>275</v>
      </c>
      <c r="D123" t="s">
        <v>4458</v>
      </c>
      <c r="E123">
        <v>275</v>
      </c>
      <c r="F123" s="1">
        <v>45201</v>
      </c>
      <c r="G123" s="6">
        <v>20.104166666666771</v>
      </c>
      <c r="H123" s="7">
        <v>20.104166666666771</v>
      </c>
      <c r="I123" s="26">
        <v>5.4119999999999999</v>
      </c>
      <c r="J123" s="26">
        <f t="shared" si="3"/>
        <v>-5.4119999999999999</v>
      </c>
      <c r="K123" s="26">
        <f t="shared" si="6"/>
        <v>2.4000000000000021E-2</v>
      </c>
      <c r="L123">
        <f t="shared" si="7"/>
        <v>2.9249999999999776E-2</v>
      </c>
    </row>
    <row r="124" spans="1:12" x14ac:dyDescent="0.2">
      <c r="A124" t="s">
        <v>4459</v>
      </c>
      <c r="B124">
        <v>7.5634999999999994E-2</v>
      </c>
      <c r="C124">
        <v>275</v>
      </c>
      <c r="D124" t="s">
        <v>4459</v>
      </c>
      <c r="E124">
        <v>275</v>
      </c>
      <c r="F124" s="1">
        <v>45201</v>
      </c>
      <c r="G124" s="6">
        <v>20.114583333333439</v>
      </c>
      <c r="H124" s="7">
        <v>20.114583333333439</v>
      </c>
      <c r="I124" s="26">
        <v>5.3994999999999997</v>
      </c>
      <c r="J124" s="26">
        <f t="shared" si="3"/>
        <v>-5.3994999999999997</v>
      </c>
      <c r="K124" s="26">
        <f t="shared" si="6"/>
        <v>3.6500000000000199E-2</v>
      </c>
      <c r="L124">
        <f t="shared" si="7"/>
        <v>3.025000000000011E-2</v>
      </c>
    </row>
    <row r="125" spans="1:12" x14ac:dyDescent="0.2">
      <c r="A125" t="s">
        <v>4460</v>
      </c>
      <c r="B125">
        <v>7.6289999999999997E-2</v>
      </c>
      <c r="C125">
        <v>275</v>
      </c>
      <c r="D125" t="s">
        <v>4460</v>
      </c>
      <c r="E125">
        <v>275</v>
      </c>
      <c r="F125" s="1">
        <v>45201</v>
      </c>
      <c r="G125" s="6">
        <v>20.125000000000107</v>
      </c>
      <c r="H125" s="7">
        <v>20.125000000000107</v>
      </c>
      <c r="I125" s="26">
        <v>5.4474999999999998</v>
      </c>
      <c r="J125" s="26">
        <f t="shared" si="3"/>
        <v>-5.4474999999999998</v>
      </c>
      <c r="K125" s="26">
        <f t="shared" si="6"/>
        <v>-1.1499999999999844E-2</v>
      </c>
      <c r="L125">
        <f t="shared" si="7"/>
        <v>1.2500000000000178E-2</v>
      </c>
    </row>
    <row r="126" spans="1:12" x14ac:dyDescent="0.2">
      <c r="A126" t="s">
        <v>4461</v>
      </c>
      <c r="B126">
        <v>7.5605000000000006E-2</v>
      </c>
      <c r="C126">
        <v>275</v>
      </c>
      <c r="D126" t="s">
        <v>4461</v>
      </c>
      <c r="E126">
        <v>275</v>
      </c>
      <c r="F126" s="1">
        <v>45201</v>
      </c>
      <c r="G126" s="6">
        <v>20.135416666666774</v>
      </c>
      <c r="H126" s="7">
        <v>20.135416666666774</v>
      </c>
      <c r="I126" s="26">
        <v>5.3964999999999996</v>
      </c>
      <c r="J126" s="26">
        <f t="shared" si="3"/>
        <v>-5.3964999999999996</v>
      </c>
      <c r="K126" s="26">
        <f t="shared" si="6"/>
        <v>3.9500000000000313E-2</v>
      </c>
      <c r="L126">
        <f t="shared" si="7"/>
        <v>1.4000000000000234E-2</v>
      </c>
    </row>
    <row r="127" spans="1:12" x14ac:dyDescent="0.2">
      <c r="A127" t="s">
        <v>4462</v>
      </c>
      <c r="B127">
        <v>7.6035000000000005E-2</v>
      </c>
      <c r="C127">
        <v>275</v>
      </c>
      <c r="D127" t="s">
        <v>4462</v>
      </c>
      <c r="E127">
        <v>275</v>
      </c>
      <c r="F127" s="1">
        <v>45201</v>
      </c>
      <c r="G127" s="6">
        <v>20.145833333333442</v>
      </c>
      <c r="H127" s="7">
        <v>20.145833333333442</v>
      </c>
      <c r="I127" s="26">
        <v>5.4284999999999997</v>
      </c>
      <c r="J127" s="26">
        <f t="shared" si="3"/>
        <v>-5.4284999999999997</v>
      </c>
      <c r="K127" s="26">
        <f t="shared" si="6"/>
        <v>7.5000000000002842E-3</v>
      </c>
      <c r="L127">
        <f t="shared" si="7"/>
        <v>2.3500000000000298E-2</v>
      </c>
    </row>
    <row r="128" spans="1:12" x14ac:dyDescent="0.2">
      <c r="A128" t="s">
        <v>4463</v>
      </c>
      <c r="B128">
        <v>7.5615000000000002E-2</v>
      </c>
      <c r="C128">
        <v>275</v>
      </c>
      <c r="D128" t="s">
        <v>4463</v>
      </c>
      <c r="E128">
        <v>275</v>
      </c>
      <c r="F128" s="1">
        <v>45201</v>
      </c>
      <c r="G128" s="6">
        <v>20.15625000000011</v>
      </c>
      <c r="H128" s="7">
        <v>20.15625000000011</v>
      </c>
      <c r="I128" s="26">
        <v>5.3975</v>
      </c>
      <c r="J128" s="26">
        <f t="shared" si="3"/>
        <v>-5.3975</v>
      </c>
      <c r="K128" s="26">
        <f t="shared" si="6"/>
        <v>3.8499999999999979E-2</v>
      </c>
      <c r="L128">
        <f t="shared" si="7"/>
        <v>2.3000000000000131E-2</v>
      </c>
    </row>
    <row r="129" spans="1:12" x14ac:dyDescent="0.2">
      <c r="A129" t="s">
        <v>4464</v>
      </c>
      <c r="B129">
        <v>7.603E-2</v>
      </c>
      <c r="C129">
        <v>275</v>
      </c>
      <c r="D129" t="s">
        <v>4464</v>
      </c>
      <c r="E129">
        <v>275</v>
      </c>
      <c r="F129" s="1">
        <v>45201</v>
      </c>
      <c r="G129" s="6">
        <v>20.166666666666778</v>
      </c>
      <c r="H129" s="7">
        <v>20.166666666666778</v>
      </c>
      <c r="I129" s="26">
        <v>5.4295</v>
      </c>
      <c r="J129" s="26">
        <f t="shared" si="3"/>
        <v>-5.4295</v>
      </c>
      <c r="K129" s="26">
        <f t="shared" si="6"/>
        <v>6.4999999999999503E-3</v>
      </c>
      <c r="L129">
        <f t="shared" si="7"/>
        <v>2.2499999999999964E-2</v>
      </c>
    </row>
    <row r="130" spans="1:12" x14ac:dyDescent="0.2">
      <c r="A130" t="s">
        <v>4465</v>
      </c>
      <c r="B130">
        <v>7.5545000000000001E-2</v>
      </c>
      <c r="C130">
        <v>275</v>
      </c>
      <c r="D130" t="s">
        <v>4465</v>
      </c>
      <c r="E130">
        <v>275</v>
      </c>
      <c r="F130" s="1">
        <v>45201</v>
      </c>
      <c r="G130" s="6">
        <v>20.177083333333446</v>
      </c>
      <c r="H130" s="7">
        <v>20.177083333333446</v>
      </c>
      <c r="I130" s="26">
        <v>5.3929999999999998</v>
      </c>
      <c r="J130" s="26">
        <f t="shared" si="3"/>
        <v>-5.3929999999999998</v>
      </c>
      <c r="K130" s="26">
        <f t="shared" si="6"/>
        <v>4.3000000000000149E-2</v>
      </c>
      <c r="L130">
        <f t="shared" si="7"/>
        <v>2.475000000000005E-2</v>
      </c>
    </row>
    <row r="131" spans="1:12" x14ac:dyDescent="0.2">
      <c r="A131" t="s">
        <v>4466</v>
      </c>
      <c r="B131">
        <v>7.5575000000000003E-2</v>
      </c>
      <c r="C131">
        <v>275</v>
      </c>
      <c r="D131" t="s">
        <v>4466</v>
      </c>
      <c r="E131">
        <v>275</v>
      </c>
      <c r="F131" s="1">
        <v>45201</v>
      </c>
      <c r="G131" s="6">
        <v>20.187500000000114</v>
      </c>
      <c r="H131" s="7">
        <v>20.187500000000114</v>
      </c>
      <c r="I131" s="26">
        <v>5.3955000000000002</v>
      </c>
      <c r="J131" s="26">
        <f t="shared" ref="J131:J194" si="8">-I131</f>
        <v>-5.3955000000000002</v>
      </c>
      <c r="K131" s="26">
        <f t="shared" si="6"/>
        <v>4.0499999999999758E-2</v>
      </c>
      <c r="L131">
        <f t="shared" si="7"/>
        <v>4.1749999999999954E-2</v>
      </c>
    </row>
    <row r="132" spans="1:12" x14ac:dyDescent="0.2">
      <c r="A132" t="s">
        <v>4467</v>
      </c>
      <c r="B132">
        <v>7.5514999999999999E-2</v>
      </c>
      <c r="C132">
        <v>275</v>
      </c>
      <c r="D132" t="s">
        <v>4467</v>
      </c>
      <c r="E132">
        <v>275</v>
      </c>
      <c r="F132" s="1">
        <v>45201</v>
      </c>
      <c r="G132" s="6">
        <v>20.197916666666782</v>
      </c>
      <c r="H132" s="7">
        <v>20.197916666666782</v>
      </c>
      <c r="I132" s="26">
        <v>5.39</v>
      </c>
      <c r="J132" s="26">
        <f t="shared" si="8"/>
        <v>-5.39</v>
      </c>
      <c r="K132" s="26">
        <f t="shared" si="6"/>
        <v>4.6000000000000263E-2</v>
      </c>
      <c r="L132">
        <f t="shared" si="7"/>
        <v>4.3250000000000011E-2</v>
      </c>
    </row>
    <row r="133" spans="1:12" x14ac:dyDescent="0.2">
      <c r="A133" t="s">
        <v>4468</v>
      </c>
      <c r="B133">
        <v>7.5425000000000006E-2</v>
      </c>
      <c r="C133">
        <v>275</v>
      </c>
      <c r="D133" t="s">
        <v>4468</v>
      </c>
      <c r="E133">
        <v>275</v>
      </c>
      <c r="F133" s="1">
        <v>45201</v>
      </c>
      <c r="G133" s="6">
        <v>20.208333333333449</v>
      </c>
      <c r="H133" s="7">
        <v>20.208333333333449</v>
      </c>
      <c r="I133" s="26">
        <v>5.3849999999999998</v>
      </c>
      <c r="J133" s="26">
        <f t="shared" si="8"/>
        <v>-5.3849999999999998</v>
      </c>
      <c r="K133" s="26">
        <f t="shared" si="6"/>
        <v>5.1000000000000156E-2</v>
      </c>
      <c r="L133">
        <f t="shared" si="7"/>
        <v>4.850000000000021E-2</v>
      </c>
    </row>
    <row r="134" spans="1:12" x14ac:dyDescent="0.2">
      <c r="A134" t="s">
        <v>4469</v>
      </c>
      <c r="B134">
        <v>7.51E-2</v>
      </c>
      <c r="C134">
        <v>275</v>
      </c>
      <c r="D134" t="s">
        <v>4469</v>
      </c>
      <c r="E134">
        <v>275</v>
      </c>
      <c r="F134" s="1">
        <v>45201</v>
      </c>
      <c r="G134" s="6">
        <v>20.218750000000117</v>
      </c>
      <c r="H134" s="7">
        <v>20.218750000000117</v>
      </c>
      <c r="I134" s="26">
        <v>5.3620000000000001</v>
      </c>
      <c r="J134" s="26">
        <f t="shared" si="8"/>
        <v>-5.3620000000000001</v>
      </c>
      <c r="K134" s="26">
        <f t="shared" si="6"/>
        <v>7.3999999999999844E-2</v>
      </c>
      <c r="L134">
        <f t="shared" si="7"/>
        <v>6.25E-2</v>
      </c>
    </row>
    <row r="135" spans="1:12" x14ac:dyDescent="0.2">
      <c r="A135" t="s">
        <v>4470</v>
      </c>
      <c r="B135">
        <v>7.5185000000000002E-2</v>
      </c>
      <c r="C135">
        <v>275</v>
      </c>
      <c r="D135" t="s">
        <v>4470</v>
      </c>
      <c r="E135">
        <v>275</v>
      </c>
      <c r="F135" s="1">
        <v>45201</v>
      </c>
      <c r="G135" s="6">
        <v>20.229166666666785</v>
      </c>
      <c r="H135" s="7">
        <v>20.229166666666785</v>
      </c>
      <c r="I135" s="26">
        <v>5.3680000000000003</v>
      </c>
      <c r="J135" s="26">
        <f t="shared" si="8"/>
        <v>-5.3680000000000003</v>
      </c>
      <c r="K135" s="26">
        <f t="shared" si="6"/>
        <v>6.7999999999999616E-2</v>
      </c>
      <c r="L135">
        <f t="shared" si="7"/>
        <v>7.099999999999973E-2</v>
      </c>
    </row>
    <row r="136" spans="1:12" x14ac:dyDescent="0.2">
      <c r="A136" t="s">
        <v>4471</v>
      </c>
      <c r="B136">
        <v>7.5200000000000003E-2</v>
      </c>
      <c r="C136">
        <v>275</v>
      </c>
      <c r="D136" t="s">
        <v>4471</v>
      </c>
      <c r="E136">
        <v>275</v>
      </c>
      <c r="F136" s="1">
        <v>45201</v>
      </c>
      <c r="G136" s="6">
        <v>20.239583333333453</v>
      </c>
      <c r="H136" s="7">
        <v>20.239583333333453</v>
      </c>
      <c r="I136" s="26">
        <v>5.3674999999999997</v>
      </c>
      <c r="J136" s="26">
        <f t="shared" si="8"/>
        <v>-5.3674999999999997</v>
      </c>
      <c r="K136" s="26">
        <f t="shared" si="6"/>
        <v>6.8500000000000227E-2</v>
      </c>
      <c r="L136">
        <f t="shared" si="7"/>
        <v>6.8249999999999922E-2</v>
      </c>
    </row>
    <row r="137" spans="1:12" x14ac:dyDescent="0.2">
      <c r="A137" t="s">
        <v>4472</v>
      </c>
      <c r="B137">
        <v>7.4694999999999998E-2</v>
      </c>
      <c r="C137">
        <v>275</v>
      </c>
      <c r="D137" t="s">
        <v>4472</v>
      </c>
      <c r="E137">
        <v>275</v>
      </c>
      <c r="F137" s="1">
        <v>45201</v>
      </c>
      <c r="G137" s="6">
        <v>20.250000000000121</v>
      </c>
      <c r="H137" s="7">
        <v>20.250000000000121</v>
      </c>
      <c r="I137" s="26">
        <v>5.3324999999999996</v>
      </c>
      <c r="J137" s="26">
        <f t="shared" si="8"/>
        <v>-5.3324999999999996</v>
      </c>
      <c r="K137" s="26">
        <f t="shared" si="6"/>
        <v>0.10350000000000037</v>
      </c>
      <c r="L137">
        <f t="shared" si="7"/>
        <v>8.6000000000000298E-2</v>
      </c>
    </row>
    <row r="138" spans="1:12" x14ac:dyDescent="0.2">
      <c r="A138" t="s">
        <v>4474</v>
      </c>
      <c r="B138">
        <v>7.3734999999999995E-2</v>
      </c>
      <c r="C138">
        <v>275</v>
      </c>
      <c r="D138" t="s">
        <v>4474</v>
      </c>
      <c r="E138">
        <v>275</v>
      </c>
      <c r="F138" s="1">
        <v>45201</v>
      </c>
      <c r="G138" s="6">
        <v>20.260416666666789</v>
      </c>
      <c r="H138" s="7">
        <v>20.260416666666789</v>
      </c>
      <c r="I138" s="26">
        <v>5.2649999999999997</v>
      </c>
      <c r="J138" s="26">
        <f t="shared" si="8"/>
        <v>-5.2649999999999997</v>
      </c>
      <c r="K138" s="26">
        <f t="shared" si="6"/>
        <v>0.17100000000000026</v>
      </c>
      <c r="L138">
        <f t="shared" si="7"/>
        <v>0.13725000000000032</v>
      </c>
    </row>
    <row r="139" spans="1:12" x14ac:dyDescent="0.2">
      <c r="A139" t="s">
        <v>4475</v>
      </c>
      <c r="B139">
        <v>7.4099999999999999E-2</v>
      </c>
      <c r="C139">
        <v>275</v>
      </c>
      <c r="D139" t="s">
        <v>4475</v>
      </c>
      <c r="E139">
        <v>275</v>
      </c>
      <c r="F139" s="1">
        <v>45201</v>
      </c>
      <c r="G139" s="6">
        <v>20.270833333333456</v>
      </c>
      <c r="H139" s="7">
        <v>20.270833333333456</v>
      </c>
      <c r="I139" s="26">
        <v>5.2919999999999998</v>
      </c>
      <c r="J139" s="26">
        <f t="shared" si="8"/>
        <v>-5.2919999999999998</v>
      </c>
      <c r="K139" s="26">
        <f t="shared" si="6"/>
        <v>0.14400000000000013</v>
      </c>
      <c r="L139">
        <f t="shared" si="7"/>
        <v>0.1575000000000002</v>
      </c>
    </row>
    <row r="140" spans="1:12" x14ac:dyDescent="0.2">
      <c r="A140" t="s">
        <v>4476</v>
      </c>
      <c r="B140">
        <v>7.3120000000000004E-2</v>
      </c>
      <c r="C140">
        <v>275</v>
      </c>
      <c r="D140" t="s">
        <v>4476</v>
      </c>
      <c r="E140">
        <v>275</v>
      </c>
      <c r="F140" s="1">
        <v>45201</v>
      </c>
      <c r="G140" s="6">
        <v>20.281250000000124</v>
      </c>
      <c r="H140" s="7">
        <v>20.281250000000124</v>
      </c>
      <c r="I140" s="26">
        <v>5.2210000000000001</v>
      </c>
      <c r="J140" s="26">
        <f t="shared" si="8"/>
        <v>-5.2210000000000001</v>
      </c>
      <c r="K140" s="26">
        <f t="shared" si="6"/>
        <v>0.21499999999999986</v>
      </c>
      <c r="L140">
        <f t="shared" si="7"/>
        <v>0.17949999999999999</v>
      </c>
    </row>
    <row r="141" spans="1:12" x14ac:dyDescent="0.2">
      <c r="A141" t="s">
        <v>4477</v>
      </c>
      <c r="B141">
        <v>7.2385000000000005E-2</v>
      </c>
      <c r="C141">
        <v>275</v>
      </c>
      <c r="D141" t="s">
        <v>4477</v>
      </c>
      <c r="E141">
        <v>275</v>
      </c>
      <c r="F141" s="1">
        <v>45201</v>
      </c>
      <c r="G141" s="6">
        <v>20.291666666666792</v>
      </c>
      <c r="H141" s="7">
        <v>20.291666666666792</v>
      </c>
      <c r="I141" s="26">
        <v>5.1674999999999898</v>
      </c>
      <c r="J141" s="26">
        <f t="shared" si="8"/>
        <v>-5.1674999999999898</v>
      </c>
      <c r="K141" s="26">
        <f t="shared" si="6"/>
        <v>0.26850000000001017</v>
      </c>
      <c r="L141">
        <f t="shared" si="7"/>
        <v>0.24175000000000502</v>
      </c>
    </row>
    <row r="142" spans="1:12" x14ac:dyDescent="0.2">
      <c r="A142" t="s">
        <v>4479</v>
      </c>
      <c r="B142">
        <v>7.1959999999999996E-2</v>
      </c>
      <c r="C142">
        <v>275</v>
      </c>
      <c r="D142" t="s">
        <v>4479</v>
      </c>
      <c r="E142">
        <v>275</v>
      </c>
      <c r="F142" s="1">
        <v>45201</v>
      </c>
      <c r="G142" s="6">
        <v>20.30208333333346</v>
      </c>
      <c r="H142" s="7">
        <v>20.30208333333346</v>
      </c>
      <c r="I142" s="26">
        <v>5.1375000000000002</v>
      </c>
      <c r="J142" s="26">
        <f t="shared" si="8"/>
        <v>-5.1375000000000002</v>
      </c>
      <c r="K142" s="26">
        <f t="shared" si="6"/>
        <v>0.29849999999999977</v>
      </c>
      <c r="L142">
        <f t="shared" si="7"/>
        <v>0.28350000000000497</v>
      </c>
    </row>
    <row r="143" spans="1:12" x14ac:dyDescent="0.2">
      <c r="A143" t="s">
        <v>4480</v>
      </c>
      <c r="B143">
        <v>7.1124999999999994E-2</v>
      </c>
      <c r="C143">
        <v>275</v>
      </c>
      <c r="D143" t="s">
        <v>4480</v>
      </c>
      <c r="E143">
        <v>275</v>
      </c>
      <c r="F143" s="1">
        <v>45201</v>
      </c>
      <c r="G143" s="6">
        <v>20.312500000000128</v>
      </c>
      <c r="H143" s="7">
        <v>20.312500000000128</v>
      </c>
      <c r="I143" s="26">
        <v>5.0765000000000002</v>
      </c>
      <c r="J143" s="26">
        <f t="shared" si="8"/>
        <v>-5.0765000000000002</v>
      </c>
      <c r="K143" s="26">
        <f t="shared" si="6"/>
        <v>0.35949999999999971</v>
      </c>
      <c r="L143">
        <f t="shared" si="7"/>
        <v>0.32899999999999974</v>
      </c>
    </row>
    <row r="144" spans="1:12" x14ac:dyDescent="0.2">
      <c r="A144" t="s">
        <v>4481</v>
      </c>
      <c r="B144">
        <v>7.0120000000000002E-2</v>
      </c>
      <c r="C144">
        <v>275</v>
      </c>
      <c r="D144" t="s">
        <v>4481</v>
      </c>
      <c r="E144">
        <v>275</v>
      </c>
      <c r="F144" s="1">
        <v>45201</v>
      </c>
      <c r="G144" s="6">
        <v>20.322916666666796</v>
      </c>
      <c r="H144" s="7">
        <v>20.322916666666796</v>
      </c>
      <c r="I144" s="26">
        <v>5.0060000000000002</v>
      </c>
      <c r="J144" s="26">
        <f t="shared" si="8"/>
        <v>-5.0060000000000002</v>
      </c>
      <c r="K144" s="26">
        <f t="shared" si="6"/>
        <v>0.42999999999999972</v>
      </c>
      <c r="L144">
        <f t="shared" si="7"/>
        <v>0.39474999999999971</v>
      </c>
    </row>
    <row r="145" spans="1:12" x14ac:dyDescent="0.2">
      <c r="A145" t="s">
        <v>4482</v>
      </c>
      <c r="B145">
        <v>6.9839999999999999E-2</v>
      </c>
      <c r="C145">
        <v>275</v>
      </c>
      <c r="D145" t="s">
        <v>4482</v>
      </c>
      <c r="E145">
        <v>275</v>
      </c>
      <c r="F145" s="1">
        <v>45201</v>
      </c>
      <c r="G145" s="6">
        <v>20.333333333333464</v>
      </c>
      <c r="H145" s="7">
        <v>20.333333333333464</v>
      </c>
      <c r="I145" s="26">
        <v>4.9864999999999897</v>
      </c>
      <c r="J145" s="26">
        <f t="shared" si="8"/>
        <v>-4.9864999999999897</v>
      </c>
      <c r="K145" s="26">
        <f t="shared" si="6"/>
        <v>0.44950000000001022</v>
      </c>
      <c r="L145">
        <f t="shared" si="7"/>
        <v>0.43975000000000497</v>
      </c>
    </row>
    <row r="146" spans="1:12" x14ac:dyDescent="0.2">
      <c r="A146" t="s">
        <v>4484</v>
      </c>
      <c r="B146">
        <v>6.9015000000000007E-2</v>
      </c>
      <c r="C146">
        <v>275</v>
      </c>
      <c r="D146" t="s">
        <v>4484</v>
      </c>
      <c r="E146">
        <v>275</v>
      </c>
      <c r="F146" s="1">
        <v>45201</v>
      </c>
      <c r="G146" s="6">
        <v>20.343750000000131</v>
      </c>
      <c r="H146" s="7">
        <v>20.343750000000131</v>
      </c>
      <c r="I146" s="26">
        <v>4.9290000000000003</v>
      </c>
      <c r="J146" s="26">
        <f t="shared" si="8"/>
        <v>-4.9290000000000003</v>
      </c>
      <c r="K146" s="26">
        <f t="shared" si="6"/>
        <v>0.50699999999999967</v>
      </c>
      <c r="L146">
        <f t="shared" si="7"/>
        <v>0.47825000000000495</v>
      </c>
    </row>
    <row r="147" spans="1:12" x14ac:dyDescent="0.2">
      <c r="A147" t="s">
        <v>4485</v>
      </c>
      <c r="B147">
        <v>6.9074999999999998E-2</v>
      </c>
      <c r="C147">
        <v>275</v>
      </c>
      <c r="D147" t="s">
        <v>4485</v>
      </c>
      <c r="E147">
        <v>275</v>
      </c>
      <c r="F147" s="1">
        <v>45201</v>
      </c>
      <c r="G147" s="6">
        <v>20.354166666666799</v>
      </c>
      <c r="H147" s="7">
        <v>20.354166666666799</v>
      </c>
      <c r="I147" s="26">
        <v>4.9325000000000001</v>
      </c>
      <c r="J147" s="26">
        <f t="shared" si="8"/>
        <v>-4.9325000000000001</v>
      </c>
      <c r="K147" s="26">
        <f t="shared" si="6"/>
        <v>0.50349999999999984</v>
      </c>
      <c r="L147">
        <f t="shared" si="7"/>
        <v>0.50524999999999975</v>
      </c>
    </row>
    <row r="148" spans="1:12" x14ac:dyDescent="0.2">
      <c r="A148" t="s">
        <v>4486</v>
      </c>
      <c r="B148">
        <v>6.8565000000000001E-2</v>
      </c>
      <c r="C148">
        <v>275</v>
      </c>
      <c r="D148" t="s">
        <v>4486</v>
      </c>
      <c r="E148">
        <v>275</v>
      </c>
      <c r="F148" s="1">
        <v>45201</v>
      </c>
      <c r="G148" s="6">
        <v>20.364583333333467</v>
      </c>
      <c r="H148" s="7">
        <v>20.364583333333467</v>
      </c>
      <c r="I148" s="26">
        <v>4.8959999999999999</v>
      </c>
      <c r="J148" s="26">
        <f t="shared" si="8"/>
        <v>-4.8959999999999999</v>
      </c>
      <c r="K148" s="26">
        <f t="shared" si="6"/>
        <v>0.54</v>
      </c>
      <c r="L148">
        <f t="shared" si="7"/>
        <v>0.52174999999999994</v>
      </c>
    </row>
    <row r="149" spans="1:12" x14ac:dyDescent="0.2">
      <c r="A149" t="s">
        <v>4487</v>
      </c>
      <c r="B149">
        <v>6.8464999999999998E-2</v>
      </c>
      <c r="C149">
        <v>275</v>
      </c>
      <c r="D149" t="s">
        <v>4487</v>
      </c>
      <c r="E149">
        <v>275</v>
      </c>
      <c r="F149" s="1">
        <v>45201</v>
      </c>
      <c r="G149" s="6">
        <v>20.375000000000135</v>
      </c>
      <c r="H149" s="7">
        <v>20.375000000000135</v>
      </c>
      <c r="I149" s="26">
        <v>4.8875000000000002</v>
      </c>
      <c r="J149" s="26">
        <f t="shared" si="8"/>
        <v>-4.8875000000000002</v>
      </c>
      <c r="K149" s="26">
        <f t="shared" si="6"/>
        <v>0.54849999999999977</v>
      </c>
      <c r="L149">
        <f t="shared" si="7"/>
        <v>0.5442499999999999</v>
      </c>
    </row>
    <row r="150" spans="1:12" x14ac:dyDescent="0.2">
      <c r="A150" t="s">
        <v>4488</v>
      </c>
      <c r="B150">
        <v>6.8180000000000004E-2</v>
      </c>
      <c r="C150">
        <v>275</v>
      </c>
      <c r="D150" t="s">
        <v>4488</v>
      </c>
      <c r="E150">
        <v>275</v>
      </c>
      <c r="F150" s="1">
        <v>45201</v>
      </c>
      <c r="G150" s="6">
        <v>20.385416666666803</v>
      </c>
      <c r="H150" s="7">
        <v>20.385416666666803</v>
      </c>
      <c r="I150" s="26">
        <v>4.8680000000000003</v>
      </c>
      <c r="J150" s="26">
        <f t="shared" si="8"/>
        <v>-4.8680000000000003</v>
      </c>
      <c r="K150" s="26">
        <f t="shared" si="6"/>
        <v>0.56799999999999962</v>
      </c>
      <c r="L150">
        <f t="shared" si="7"/>
        <v>0.55824999999999969</v>
      </c>
    </row>
    <row r="151" spans="1:12" x14ac:dyDescent="0.2">
      <c r="A151" t="s">
        <v>4489</v>
      </c>
      <c r="B151">
        <v>6.7760000000000001E-2</v>
      </c>
      <c r="C151">
        <v>275</v>
      </c>
      <c r="D151" t="s">
        <v>4489</v>
      </c>
      <c r="E151">
        <v>275</v>
      </c>
      <c r="F151" s="1">
        <v>45201</v>
      </c>
      <c r="G151" s="6">
        <v>20.395833333333471</v>
      </c>
      <c r="H151" s="7">
        <v>20.395833333333471</v>
      </c>
      <c r="I151" s="26">
        <v>4.8390000000000004</v>
      </c>
      <c r="J151" s="26">
        <f t="shared" si="8"/>
        <v>-4.8390000000000004</v>
      </c>
      <c r="K151" s="26">
        <f t="shared" si="6"/>
        <v>0.59699999999999953</v>
      </c>
      <c r="L151">
        <f t="shared" si="7"/>
        <v>0.58249999999999957</v>
      </c>
    </row>
    <row r="152" spans="1:12" x14ac:dyDescent="0.2">
      <c r="A152" t="s">
        <v>4490</v>
      </c>
      <c r="B152">
        <v>6.7375000000000004E-2</v>
      </c>
      <c r="C152">
        <v>275</v>
      </c>
      <c r="D152" t="s">
        <v>4490</v>
      </c>
      <c r="E152">
        <v>275</v>
      </c>
      <c r="F152" s="1">
        <v>45201</v>
      </c>
      <c r="G152" s="6">
        <v>20.406250000000139</v>
      </c>
      <c r="H152" s="7">
        <v>20.406250000000139</v>
      </c>
      <c r="I152" s="26">
        <v>4.8099999999999996</v>
      </c>
      <c r="J152" s="26">
        <f t="shared" si="8"/>
        <v>-4.8099999999999996</v>
      </c>
      <c r="K152" s="26">
        <f t="shared" si="6"/>
        <v>0.62600000000000033</v>
      </c>
      <c r="L152">
        <f t="shared" si="7"/>
        <v>0.61149999999999993</v>
      </c>
    </row>
    <row r="153" spans="1:12" x14ac:dyDescent="0.2">
      <c r="A153" t="s">
        <v>4491</v>
      </c>
      <c r="B153">
        <v>6.7530000000000007E-2</v>
      </c>
      <c r="C153">
        <v>275</v>
      </c>
      <c r="D153" t="s">
        <v>4491</v>
      </c>
      <c r="E153">
        <v>275</v>
      </c>
      <c r="F153" s="1">
        <v>45201</v>
      </c>
      <c r="G153" s="6">
        <v>20.416666666666806</v>
      </c>
      <c r="H153" s="7">
        <v>20.416666666666806</v>
      </c>
      <c r="I153" s="26">
        <v>4.8194999999999997</v>
      </c>
      <c r="J153" s="26">
        <f t="shared" si="8"/>
        <v>-4.8194999999999997</v>
      </c>
      <c r="K153" s="26">
        <f t="shared" si="6"/>
        <v>0.61650000000000027</v>
      </c>
      <c r="L153">
        <f t="shared" si="7"/>
        <v>0.6212500000000003</v>
      </c>
    </row>
    <row r="154" spans="1:12" x14ac:dyDescent="0.2">
      <c r="A154" t="s">
        <v>4492</v>
      </c>
      <c r="B154">
        <v>6.719E-2</v>
      </c>
      <c r="C154">
        <v>275</v>
      </c>
      <c r="D154" t="s">
        <v>4492</v>
      </c>
      <c r="E154">
        <v>275</v>
      </c>
      <c r="F154" s="1">
        <v>45201</v>
      </c>
      <c r="G154" s="6">
        <v>20.427083333333474</v>
      </c>
      <c r="H154" s="7">
        <v>20.427083333333474</v>
      </c>
      <c r="I154" s="26">
        <v>4.7984999999999998</v>
      </c>
      <c r="J154" s="26">
        <f t="shared" si="8"/>
        <v>-4.7984999999999998</v>
      </c>
      <c r="K154" s="26">
        <f t="shared" si="6"/>
        <v>0.63750000000000018</v>
      </c>
      <c r="L154">
        <f t="shared" si="7"/>
        <v>0.62700000000000022</v>
      </c>
    </row>
    <row r="155" spans="1:12" x14ac:dyDescent="0.2">
      <c r="A155" t="s">
        <v>4493</v>
      </c>
      <c r="B155">
        <v>6.7224999999999993E-2</v>
      </c>
      <c r="C155">
        <v>275</v>
      </c>
      <c r="D155" t="s">
        <v>4493</v>
      </c>
      <c r="E155">
        <v>275</v>
      </c>
      <c r="F155" s="1">
        <v>45201</v>
      </c>
      <c r="G155" s="6">
        <v>20.437500000000142</v>
      </c>
      <c r="H155" s="7">
        <v>20.437500000000142</v>
      </c>
      <c r="I155" s="26">
        <v>4.7990000000000004</v>
      </c>
      <c r="J155" s="26">
        <f t="shared" si="8"/>
        <v>-4.7990000000000004</v>
      </c>
      <c r="K155" s="26">
        <f t="shared" si="6"/>
        <v>0.63699999999999957</v>
      </c>
      <c r="L155">
        <f t="shared" si="7"/>
        <v>0.63724999999999987</v>
      </c>
    </row>
    <row r="156" spans="1:12" x14ac:dyDescent="0.2">
      <c r="A156" t="s">
        <v>4494</v>
      </c>
      <c r="B156">
        <v>6.6544999999999896E-2</v>
      </c>
      <c r="C156">
        <v>275</v>
      </c>
      <c r="D156" t="s">
        <v>4494</v>
      </c>
      <c r="E156">
        <v>275</v>
      </c>
      <c r="F156" s="1">
        <v>45201</v>
      </c>
      <c r="G156" s="6">
        <v>20.44791666666681</v>
      </c>
      <c r="H156" s="7">
        <v>20.44791666666681</v>
      </c>
      <c r="I156" s="26">
        <v>4.7515000000000001</v>
      </c>
      <c r="J156" s="26">
        <f t="shared" si="8"/>
        <v>-4.7515000000000001</v>
      </c>
      <c r="K156" s="26">
        <f t="shared" si="6"/>
        <v>0.68449999999999989</v>
      </c>
      <c r="L156">
        <f t="shared" si="7"/>
        <v>0.66074999999999973</v>
      </c>
    </row>
    <row r="157" spans="1:12" x14ac:dyDescent="0.2">
      <c r="A157" t="s">
        <v>4495</v>
      </c>
      <c r="B157">
        <v>6.6729999999999998E-2</v>
      </c>
      <c r="C157">
        <v>275</v>
      </c>
      <c r="D157" t="s">
        <v>4495</v>
      </c>
      <c r="E157">
        <v>275</v>
      </c>
      <c r="F157" s="1">
        <v>45201</v>
      </c>
      <c r="G157" s="6">
        <v>20.458333333333478</v>
      </c>
      <c r="H157" s="7">
        <v>20.458333333333478</v>
      </c>
      <c r="I157" s="26">
        <v>4.7634999999999996</v>
      </c>
      <c r="J157" s="26">
        <f t="shared" si="8"/>
        <v>-4.7634999999999996</v>
      </c>
      <c r="K157" s="26">
        <f t="shared" si="6"/>
        <v>0.67250000000000032</v>
      </c>
      <c r="L157">
        <f t="shared" si="7"/>
        <v>0.6785000000000001</v>
      </c>
    </row>
    <row r="158" spans="1:12" x14ac:dyDescent="0.2">
      <c r="A158" t="s">
        <v>4496</v>
      </c>
      <c r="B158">
        <v>6.6324999999999995E-2</v>
      </c>
      <c r="C158">
        <v>275</v>
      </c>
      <c r="D158" t="s">
        <v>4496</v>
      </c>
      <c r="E158">
        <v>275</v>
      </c>
      <c r="F158" s="1">
        <v>45201</v>
      </c>
      <c r="G158" s="6">
        <v>20.468750000000146</v>
      </c>
      <c r="H158" s="7">
        <v>20.468750000000146</v>
      </c>
      <c r="I158" s="26">
        <v>4.7344999999999997</v>
      </c>
      <c r="J158" s="26">
        <f t="shared" si="8"/>
        <v>-4.7344999999999997</v>
      </c>
      <c r="K158" s="26">
        <f t="shared" si="6"/>
        <v>0.70150000000000023</v>
      </c>
      <c r="L158">
        <f t="shared" si="7"/>
        <v>0.68700000000000028</v>
      </c>
    </row>
    <row r="159" spans="1:12" x14ac:dyDescent="0.2">
      <c r="A159" t="s">
        <v>4497</v>
      </c>
      <c r="B159">
        <v>6.6564999999999999E-2</v>
      </c>
      <c r="C159">
        <v>275</v>
      </c>
      <c r="D159" t="s">
        <v>4497</v>
      </c>
      <c r="E159">
        <v>275</v>
      </c>
      <c r="F159" s="1">
        <v>45201</v>
      </c>
      <c r="G159" s="6">
        <v>20.479166666666814</v>
      </c>
      <c r="H159" s="7">
        <v>20.479166666666814</v>
      </c>
      <c r="I159" s="26">
        <v>4.7519999999999998</v>
      </c>
      <c r="J159" s="26">
        <f t="shared" si="8"/>
        <v>-4.7519999999999998</v>
      </c>
      <c r="K159" s="26">
        <f t="shared" si="6"/>
        <v>0.68400000000000016</v>
      </c>
      <c r="L159">
        <f t="shared" si="7"/>
        <v>0.6927500000000002</v>
      </c>
    </row>
    <row r="160" spans="1:12" x14ac:dyDescent="0.2">
      <c r="A160" t="s">
        <v>4498</v>
      </c>
      <c r="B160">
        <v>6.6650000000000001E-2</v>
      </c>
      <c r="C160">
        <v>275</v>
      </c>
      <c r="D160" t="s">
        <v>4498</v>
      </c>
      <c r="E160">
        <v>275</v>
      </c>
      <c r="F160" s="1">
        <v>45201</v>
      </c>
      <c r="G160" s="6">
        <v>20.489583333333481</v>
      </c>
      <c r="H160" s="7">
        <v>20.489583333333481</v>
      </c>
      <c r="I160" s="26">
        <v>4.7595000000000001</v>
      </c>
      <c r="J160" s="26">
        <f t="shared" si="8"/>
        <v>-4.7595000000000001</v>
      </c>
      <c r="K160" s="26">
        <f t="shared" si="6"/>
        <v>0.67649999999999988</v>
      </c>
      <c r="L160">
        <f t="shared" si="7"/>
        <v>0.68025000000000002</v>
      </c>
    </row>
    <row r="161" spans="1:12" x14ac:dyDescent="0.2">
      <c r="A161" t="s">
        <v>4499</v>
      </c>
      <c r="B161">
        <v>6.6640000000000005E-2</v>
      </c>
      <c r="C161">
        <v>275</v>
      </c>
      <c r="D161" t="s">
        <v>4499</v>
      </c>
      <c r="E161">
        <v>275</v>
      </c>
      <c r="F161" s="1">
        <v>45201</v>
      </c>
      <c r="G161" s="6">
        <v>20.500000000000149</v>
      </c>
      <c r="H161" s="7">
        <v>20.500000000000149</v>
      </c>
      <c r="I161" s="26">
        <v>4.7569999999999997</v>
      </c>
      <c r="J161" s="26">
        <f t="shared" si="8"/>
        <v>-4.7569999999999997</v>
      </c>
      <c r="K161" s="26">
        <f t="shared" si="6"/>
        <v>0.67900000000000027</v>
      </c>
      <c r="L161">
        <f t="shared" si="7"/>
        <v>0.67775000000000007</v>
      </c>
    </row>
    <row r="162" spans="1:12" x14ac:dyDescent="0.2">
      <c r="A162" t="s">
        <v>4500</v>
      </c>
      <c r="B162">
        <v>6.6805000000000003E-2</v>
      </c>
      <c r="C162">
        <v>275</v>
      </c>
      <c r="D162" t="s">
        <v>4500</v>
      </c>
      <c r="E162">
        <v>275</v>
      </c>
      <c r="F162" s="1">
        <v>45201</v>
      </c>
      <c r="G162" s="6">
        <v>20.510416666666817</v>
      </c>
      <c r="H162" s="7">
        <v>20.510416666666817</v>
      </c>
      <c r="I162" s="26">
        <v>4.7699999999999996</v>
      </c>
      <c r="J162" s="26">
        <f t="shared" si="8"/>
        <v>-4.7699999999999996</v>
      </c>
      <c r="K162" s="26">
        <f t="shared" si="6"/>
        <v>0.66600000000000037</v>
      </c>
      <c r="L162">
        <f t="shared" si="7"/>
        <v>0.67250000000000032</v>
      </c>
    </row>
    <row r="163" spans="1:12" x14ac:dyDescent="0.2">
      <c r="A163" t="s">
        <v>4502</v>
      </c>
      <c r="B163">
        <v>6.6254999999999994E-2</v>
      </c>
      <c r="C163">
        <v>275</v>
      </c>
      <c r="D163" t="s">
        <v>4502</v>
      </c>
      <c r="E163">
        <v>275</v>
      </c>
      <c r="F163" s="1">
        <v>45201</v>
      </c>
      <c r="G163" s="6">
        <v>20.520833333333485</v>
      </c>
      <c r="H163" s="7">
        <v>20.520833333333485</v>
      </c>
      <c r="I163" s="26">
        <v>4.7305000000000001</v>
      </c>
      <c r="J163" s="26">
        <f t="shared" si="8"/>
        <v>-4.7305000000000001</v>
      </c>
      <c r="K163" s="26">
        <f t="shared" si="6"/>
        <v>0.70549999999999979</v>
      </c>
      <c r="L163">
        <f t="shared" si="7"/>
        <v>0.68575000000000008</v>
      </c>
    </row>
    <row r="164" spans="1:12" x14ac:dyDescent="0.2">
      <c r="A164" t="s">
        <v>4503</v>
      </c>
      <c r="B164">
        <v>6.6034999999999996E-2</v>
      </c>
      <c r="C164">
        <v>275</v>
      </c>
      <c r="D164" t="s">
        <v>4503</v>
      </c>
      <c r="E164">
        <v>275</v>
      </c>
      <c r="F164" s="1">
        <v>45201</v>
      </c>
      <c r="G164" s="6">
        <v>20.531250000000153</v>
      </c>
      <c r="H164" s="7">
        <v>20.531250000000153</v>
      </c>
      <c r="I164" s="26">
        <v>4.7145000000000001</v>
      </c>
      <c r="J164" s="26">
        <f t="shared" si="8"/>
        <v>-4.7145000000000001</v>
      </c>
      <c r="K164" s="26">
        <f t="shared" si="6"/>
        <v>0.72149999999999981</v>
      </c>
      <c r="L164">
        <f t="shared" si="7"/>
        <v>0.7134999999999998</v>
      </c>
    </row>
    <row r="165" spans="1:12" x14ac:dyDescent="0.2">
      <c r="A165" t="s">
        <v>4504</v>
      </c>
      <c r="B165">
        <v>6.6489999999999994E-2</v>
      </c>
      <c r="C165">
        <v>275</v>
      </c>
      <c r="D165" t="s">
        <v>4504</v>
      </c>
      <c r="E165">
        <v>275</v>
      </c>
      <c r="F165" s="1">
        <v>45201</v>
      </c>
      <c r="G165" s="6">
        <v>20.541666666666821</v>
      </c>
      <c r="H165" s="7">
        <v>20.541666666666821</v>
      </c>
      <c r="I165" s="26">
        <v>4.7474999999999996</v>
      </c>
      <c r="J165" s="26">
        <f t="shared" si="8"/>
        <v>-4.7474999999999996</v>
      </c>
      <c r="K165" s="26">
        <f t="shared" si="6"/>
        <v>0.68850000000000033</v>
      </c>
      <c r="L165">
        <f t="shared" si="7"/>
        <v>0.70500000000000007</v>
      </c>
    </row>
    <row r="166" spans="1:12" x14ac:dyDescent="0.2">
      <c r="A166" t="s">
        <v>4505</v>
      </c>
      <c r="B166">
        <v>6.6280000000000006E-2</v>
      </c>
      <c r="C166">
        <v>275</v>
      </c>
      <c r="D166" t="s">
        <v>4505</v>
      </c>
      <c r="E166">
        <v>275</v>
      </c>
      <c r="F166" s="1">
        <v>45201</v>
      </c>
      <c r="G166" s="6">
        <v>20.552083333333488</v>
      </c>
      <c r="H166" s="7">
        <v>20.552083333333488</v>
      </c>
      <c r="I166" s="26">
        <v>4.7329999999999997</v>
      </c>
      <c r="J166" s="26">
        <f t="shared" si="8"/>
        <v>-4.7329999999999997</v>
      </c>
      <c r="K166" s="26">
        <f t="shared" si="6"/>
        <v>0.70300000000000029</v>
      </c>
      <c r="L166">
        <f t="shared" si="7"/>
        <v>0.69575000000000031</v>
      </c>
    </row>
    <row r="167" spans="1:12" x14ac:dyDescent="0.2">
      <c r="A167" t="s">
        <v>4506</v>
      </c>
      <c r="B167">
        <v>6.6540000000000002E-2</v>
      </c>
      <c r="C167">
        <v>275</v>
      </c>
      <c r="D167" t="s">
        <v>4506</v>
      </c>
      <c r="E167">
        <v>275</v>
      </c>
      <c r="F167" s="1">
        <v>45201</v>
      </c>
      <c r="G167" s="6">
        <v>20.562500000000156</v>
      </c>
      <c r="H167" s="7">
        <v>20.562500000000156</v>
      </c>
      <c r="I167" s="26">
        <v>4.7515000000000001</v>
      </c>
      <c r="J167" s="26">
        <f t="shared" si="8"/>
        <v>-4.7515000000000001</v>
      </c>
      <c r="K167" s="26">
        <f t="shared" si="6"/>
        <v>0.68449999999999989</v>
      </c>
      <c r="L167">
        <f t="shared" si="7"/>
        <v>0.69375000000000009</v>
      </c>
    </row>
    <row r="168" spans="1:12" x14ac:dyDescent="0.2">
      <c r="A168" t="s">
        <v>4507</v>
      </c>
      <c r="B168">
        <v>6.6839999999999997E-2</v>
      </c>
      <c r="C168">
        <v>275</v>
      </c>
      <c r="D168" t="s">
        <v>4507</v>
      </c>
      <c r="E168">
        <v>275</v>
      </c>
      <c r="F168" s="1">
        <v>45201</v>
      </c>
      <c r="G168" s="6">
        <v>20.572916666666824</v>
      </c>
      <c r="H168" s="7">
        <v>20.572916666666824</v>
      </c>
      <c r="I168" s="26">
        <v>4.7735000000000003</v>
      </c>
      <c r="J168" s="26">
        <f t="shared" si="8"/>
        <v>-4.7735000000000003</v>
      </c>
      <c r="K168" s="26">
        <f t="shared" si="6"/>
        <v>0.66249999999999964</v>
      </c>
      <c r="L168">
        <f t="shared" si="7"/>
        <v>0.67349999999999977</v>
      </c>
    </row>
    <row r="169" spans="1:12" x14ac:dyDescent="0.2">
      <c r="A169" t="s">
        <v>4508</v>
      </c>
      <c r="B169">
        <v>6.6239999999999993E-2</v>
      </c>
      <c r="C169">
        <v>275</v>
      </c>
      <c r="D169" t="s">
        <v>4508</v>
      </c>
      <c r="E169" s="17">
        <v>275</v>
      </c>
      <c r="F169" s="18">
        <v>45201</v>
      </c>
      <c r="G169" s="29">
        <v>20.583333333333492</v>
      </c>
      <c r="H169" s="19">
        <v>20.583333333333492</v>
      </c>
      <c r="I169" s="30">
        <v>4.7305000000000001</v>
      </c>
      <c r="J169" s="30">
        <f t="shared" si="8"/>
        <v>-4.7305000000000001</v>
      </c>
      <c r="K169" s="26">
        <f t="shared" si="6"/>
        <v>0.70549999999999979</v>
      </c>
      <c r="L169">
        <f t="shared" si="7"/>
        <v>0.68399999999999972</v>
      </c>
    </row>
    <row r="170" spans="1:12" x14ac:dyDescent="0.2">
      <c r="A170" t="s">
        <v>4509</v>
      </c>
      <c r="B170">
        <v>6.6475000000000006E-2</v>
      </c>
      <c r="C170">
        <v>275</v>
      </c>
      <c r="D170" t="s">
        <v>4509</v>
      </c>
      <c r="E170">
        <v>275</v>
      </c>
      <c r="F170" s="1">
        <v>45201</v>
      </c>
      <c r="G170" s="6">
        <v>20.59375000000016</v>
      </c>
      <c r="H170" s="7">
        <v>20.59375000000016</v>
      </c>
      <c r="I170" s="26">
        <v>4.7480000000000002</v>
      </c>
      <c r="J170" s="26">
        <f t="shared" si="8"/>
        <v>-4.7480000000000002</v>
      </c>
      <c r="K170" s="26">
        <f t="shared" si="6"/>
        <v>0.68799999999999972</v>
      </c>
      <c r="L170">
        <f t="shared" si="7"/>
        <v>0.69674999999999976</v>
      </c>
    </row>
    <row r="171" spans="1:12" x14ac:dyDescent="0.2">
      <c r="A171" t="s">
        <v>4510</v>
      </c>
      <c r="B171">
        <v>6.7059999999999995E-2</v>
      </c>
      <c r="C171">
        <v>275</v>
      </c>
      <c r="D171" t="s">
        <v>4510</v>
      </c>
      <c r="E171">
        <v>275</v>
      </c>
      <c r="F171" s="1">
        <v>45201</v>
      </c>
      <c r="G171" s="6">
        <v>20.604166666666828</v>
      </c>
      <c r="H171" s="7">
        <v>20.604166666666828</v>
      </c>
      <c r="I171" s="26">
        <v>4.7880000000000003</v>
      </c>
      <c r="J171" s="26">
        <f t="shared" si="8"/>
        <v>-4.7880000000000003</v>
      </c>
      <c r="K171" s="26">
        <f t="shared" si="6"/>
        <v>0.64799999999999969</v>
      </c>
      <c r="L171">
        <f t="shared" si="7"/>
        <v>0.66799999999999971</v>
      </c>
    </row>
    <row r="172" spans="1:12" x14ac:dyDescent="0.2">
      <c r="A172" t="s">
        <v>4511</v>
      </c>
      <c r="B172">
        <v>6.6379999999999995E-2</v>
      </c>
      <c r="C172">
        <v>276</v>
      </c>
      <c r="D172" t="s">
        <v>4511</v>
      </c>
      <c r="E172">
        <v>275</v>
      </c>
      <c r="F172" s="1">
        <v>45201</v>
      </c>
      <c r="G172" s="6">
        <v>20.614583333333496</v>
      </c>
      <c r="H172" s="7">
        <v>20.614583333333496</v>
      </c>
      <c r="I172" s="26">
        <v>4.7394999999999996</v>
      </c>
      <c r="J172" s="26">
        <f t="shared" si="8"/>
        <v>-4.7394999999999996</v>
      </c>
      <c r="K172" s="26">
        <f t="shared" si="6"/>
        <v>0.69650000000000034</v>
      </c>
      <c r="L172">
        <f t="shared" si="7"/>
        <v>0.67225000000000001</v>
      </c>
    </row>
    <row r="173" spans="1:12" x14ac:dyDescent="0.2">
      <c r="A173" t="s">
        <v>4512</v>
      </c>
      <c r="B173">
        <v>6.7049999999999998E-2</v>
      </c>
      <c r="C173">
        <v>276</v>
      </c>
      <c r="D173" t="s">
        <v>4512</v>
      </c>
      <c r="E173">
        <v>275</v>
      </c>
      <c r="F173" s="1">
        <v>45201</v>
      </c>
      <c r="G173" s="6">
        <v>20.625000000000163</v>
      </c>
      <c r="H173" s="7">
        <v>20.625000000000163</v>
      </c>
      <c r="I173" s="26">
        <v>4.7869999999999999</v>
      </c>
      <c r="J173" s="26">
        <f t="shared" si="8"/>
        <v>-4.7869999999999999</v>
      </c>
      <c r="K173" s="26">
        <f t="shared" si="6"/>
        <v>0.64900000000000002</v>
      </c>
      <c r="L173">
        <f t="shared" si="7"/>
        <v>0.67275000000000018</v>
      </c>
    </row>
    <row r="174" spans="1:12" x14ac:dyDescent="0.2">
      <c r="A174" t="s">
        <v>4513</v>
      </c>
      <c r="B174">
        <v>6.7110000000000003E-2</v>
      </c>
      <c r="C174">
        <v>276</v>
      </c>
      <c r="D174" t="s">
        <v>4513</v>
      </c>
      <c r="E174">
        <v>275</v>
      </c>
      <c r="F174" s="1">
        <v>45201</v>
      </c>
      <c r="G174" s="6">
        <v>20.635416666666831</v>
      </c>
      <c r="H174" s="7">
        <v>20.635416666666831</v>
      </c>
      <c r="I174" s="26">
        <v>4.7910000000000004</v>
      </c>
      <c r="J174" s="26">
        <f t="shared" si="8"/>
        <v>-4.7910000000000004</v>
      </c>
      <c r="K174" s="26">
        <f t="shared" si="6"/>
        <v>0.64499999999999957</v>
      </c>
      <c r="L174">
        <f t="shared" si="7"/>
        <v>0.6469999999999998</v>
      </c>
    </row>
    <row r="175" spans="1:12" x14ac:dyDescent="0.2">
      <c r="A175" t="s">
        <v>4514</v>
      </c>
      <c r="B175">
        <v>6.6839999999999997E-2</v>
      </c>
      <c r="C175">
        <v>276</v>
      </c>
      <c r="D175" t="s">
        <v>4514</v>
      </c>
      <c r="E175">
        <v>275</v>
      </c>
      <c r="F175" s="1">
        <v>45201</v>
      </c>
      <c r="G175" s="6">
        <v>20.645833333333499</v>
      </c>
      <c r="H175" s="7">
        <v>20.645833333333499</v>
      </c>
      <c r="I175" s="26">
        <v>4.7729999999999997</v>
      </c>
      <c r="J175" s="26">
        <f t="shared" si="8"/>
        <v>-4.7729999999999997</v>
      </c>
      <c r="K175" s="26">
        <f t="shared" si="6"/>
        <v>0.66300000000000026</v>
      </c>
      <c r="L175">
        <f t="shared" si="7"/>
        <v>0.65399999999999991</v>
      </c>
    </row>
    <row r="176" spans="1:12" x14ac:dyDescent="0.2">
      <c r="A176" t="s">
        <v>4515</v>
      </c>
      <c r="B176">
        <v>6.6835000000000006E-2</v>
      </c>
      <c r="C176">
        <v>276</v>
      </c>
      <c r="D176" t="s">
        <v>4515</v>
      </c>
      <c r="E176">
        <v>275</v>
      </c>
      <c r="F176" s="1">
        <v>45201</v>
      </c>
      <c r="G176" s="6">
        <v>20.656250000000167</v>
      </c>
      <c r="H176" s="7">
        <v>20.656250000000167</v>
      </c>
      <c r="I176" s="26">
        <v>4.7714999999999996</v>
      </c>
      <c r="J176" s="26">
        <f t="shared" si="8"/>
        <v>-4.7714999999999996</v>
      </c>
      <c r="K176" s="26">
        <f t="shared" si="6"/>
        <v>0.66450000000000031</v>
      </c>
      <c r="L176">
        <f t="shared" si="7"/>
        <v>0.66375000000000028</v>
      </c>
    </row>
    <row r="177" spans="1:12" x14ac:dyDescent="0.2">
      <c r="A177" t="s">
        <v>4516</v>
      </c>
      <c r="B177">
        <v>6.7265000000000005E-2</v>
      </c>
      <c r="C177">
        <v>276</v>
      </c>
      <c r="D177" t="s">
        <v>4516</v>
      </c>
      <c r="E177">
        <v>275</v>
      </c>
      <c r="F177" s="1">
        <v>45201</v>
      </c>
      <c r="G177" s="6">
        <v>20.666666666666835</v>
      </c>
      <c r="H177" s="7">
        <v>20.666666666666835</v>
      </c>
      <c r="I177" s="26">
        <v>4.8014999999999999</v>
      </c>
      <c r="J177" s="26">
        <f t="shared" si="8"/>
        <v>-4.8014999999999999</v>
      </c>
      <c r="K177" s="26">
        <f t="shared" si="6"/>
        <v>0.63450000000000006</v>
      </c>
      <c r="L177">
        <f t="shared" si="7"/>
        <v>0.64950000000000019</v>
      </c>
    </row>
    <row r="178" spans="1:12" x14ac:dyDescent="0.2">
      <c r="A178" t="s">
        <v>4517</v>
      </c>
      <c r="B178">
        <v>6.7805000000000004E-2</v>
      </c>
      <c r="C178">
        <v>276</v>
      </c>
      <c r="D178" t="s">
        <v>4517</v>
      </c>
      <c r="E178">
        <v>275</v>
      </c>
      <c r="F178" s="1">
        <v>45201</v>
      </c>
      <c r="G178" s="6">
        <v>20.677083333333503</v>
      </c>
      <c r="H178" s="7">
        <v>20.677083333333503</v>
      </c>
      <c r="I178" s="26">
        <v>4.8425000000000002</v>
      </c>
      <c r="J178" s="26">
        <f t="shared" si="8"/>
        <v>-4.8425000000000002</v>
      </c>
      <c r="K178" s="26">
        <f t="shared" si="6"/>
        <v>0.59349999999999969</v>
      </c>
      <c r="L178">
        <f t="shared" si="7"/>
        <v>0.61399999999999988</v>
      </c>
    </row>
    <row r="179" spans="1:12" x14ac:dyDescent="0.2">
      <c r="A179" t="s">
        <v>4518</v>
      </c>
      <c r="B179">
        <v>6.8165000000000003E-2</v>
      </c>
      <c r="C179">
        <v>276</v>
      </c>
      <c r="D179" t="s">
        <v>4518</v>
      </c>
      <c r="E179">
        <v>275</v>
      </c>
      <c r="F179" s="1">
        <v>45201</v>
      </c>
      <c r="G179" s="6">
        <v>20.687500000000171</v>
      </c>
      <c r="H179" s="7">
        <v>20.687500000000171</v>
      </c>
      <c r="I179" s="26">
        <v>4.8665000000000003</v>
      </c>
      <c r="J179" s="26">
        <f t="shared" si="8"/>
        <v>-4.8665000000000003</v>
      </c>
      <c r="K179" s="26">
        <f t="shared" si="6"/>
        <v>0.56949999999999967</v>
      </c>
      <c r="L179">
        <f t="shared" si="7"/>
        <v>0.58149999999999968</v>
      </c>
    </row>
    <row r="180" spans="1:12" x14ac:dyDescent="0.2">
      <c r="A180" t="s">
        <v>4519</v>
      </c>
      <c r="B180">
        <v>6.8949999999999997E-2</v>
      </c>
      <c r="C180">
        <v>276</v>
      </c>
      <c r="D180" t="s">
        <v>4519</v>
      </c>
      <c r="E180">
        <v>275</v>
      </c>
      <c r="F180" s="1">
        <v>45201</v>
      </c>
      <c r="G180" s="6">
        <v>20.697916666666838</v>
      </c>
      <c r="H180" s="7">
        <v>20.697916666666838</v>
      </c>
      <c r="I180" s="26">
        <v>4.9219999999999997</v>
      </c>
      <c r="J180" s="26">
        <f t="shared" si="8"/>
        <v>-4.9219999999999997</v>
      </c>
      <c r="K180" s="26">
        <f t="shared" si="6"/>
        <v>0.51400000000000023</v>
      </c>
      <c r="L180">
        <f t="shared" si="7"/>
        <v>0.54174999999999995</v>
      </c>
    </row>
    <row r="181" spans="1:12" x14ac:dyDescent="0.2">
      <c r="A181" t="s">
        <v>4520</v>
      </c>
      <c r="B181">
        <v>6.9025000000000003E-2</v>
      </c>
      <c r="C181">
        <v>276</v>
      </c>
      <c r="D181" t="s">
        <v>4520</v>
      </c>
      <c r="E181">
        <v>275</v>
      </c>
      <c r="F181" s="1">
        <v>45201</v>
      </c>
      <c r="G181" s="6">
        <v>20.708333333333506</v>
      </c>
      <c r="H181" s="7">
        <v>20.708333333333506</v>
      </c>
      <c r="I181" s="26">
        <v>4.9279999999999999</v>
      </c>
      <c r="J181" s="26">
        <f t="shared" si="8"/>
        <v>-4.9279999999999999</v>
      </c>
      <c r="K181" s="26">
        <f t="shared" si="6"/>
        <v>0.50800000000000001</v>
      </c>
      <c r="L181">
        <f t="shared" si="7"/>
        <v>0.51100000000000012</v>
      </c>
    </row>
    <row r="182" spans="1:12" x14ac:dyDescent="0.2">
      <c r="A182" t="s">
        <v>4521</v>
      </c>
      <c r="B182">
        <v>6.9894999999999999E-2</v>
      </c>
      <c r="C182">
        <v>276</v>
      </c>
      <c r="D182" t="s">
        <v>4521</v>
      </c>
      <c r="E182">
        <v>275</v>
      </c>
      <c r="F182" s="1">
        <v>45201</v>
      </c>
      <c r="G182" s="6">
        <v>20.718750000000174</v>
      </c>
      <c r="H182" s="7">
        <v>20.718750000000174</v>
      </c>
      <c r="I182" s="26">
        <v>4.9904999999999999</v>
      </c>
      <c r="J182" s="26">
        <f t="shared" si="8"/>
        <v>-4.9904999999999999</v>
      </c>
      <c r="K182" s="26">
        <f t="shared" ref="K182:K208" si="9">J182+5.436</f>
        <v>0.44550000000000001</v>
      </c>
      <c r="L182">
        <f t="shared" ref="L182:L209" si="10">(K181+K182)/2</f>
        <v>0.47675000000000001</v>
      </c>
    </row>
    <row r="183" spans="1:12" x14ac:dyDescent="0.2">
      <c r="A183" t="s">
        <v>4522</v>
      </c>
      <c r="B183">
        <v>7.0205000000000004E-2</v>
      </c>
      <c r="C183">
        <v>276</v>
      </c>
      <c r="D183" t="s">
        <v>4522</v>
      </c>
      <c r="E183">
        <v>275</v>
      </c>
      <c r="F183" s="1">
        <v>45201</v>
      </c>
      <c r="G183" s="6">
        <v>20.729166666666842</v>
      </c>
      <c r="H183" s="7">
        <v>20.729166666666842</v>
      </c>
      <c r="I183" s="26">
        <v>5.0119999999999996</v>
      </c>
      <c r="J183" s="26">
        <f t="shared" si="8"/>
        <v>-5.0119999999999996</v>
      </c>
      <c r="K183" s="26">
        <f t="shared" si="9"/>
        <v>0.42400000000000038</v>
      </c>
      <c r="L183">
        <f t="shared" si="10"/>
        <v>0.43475000000000019</v>
      </c>
    </row>
    <row r="184" spans="1:12" x14ac:dyDescent="0.2">
      <c r="A184" t="s">
        <v>4523</v>
      </c>
      <c r="B184">
        <v>7.1764999999999995E-2</v>
      </c>
      <c r="C184">
        <v>276</v>
      </c>
      <c r="D184" t="s">
        <v>4523</v>
      </c>
      <c r="E184">
        <v>275</v>
      </c>
      <c r="F184" s="1">
        <v>45201</v>
      </c>
      <c r="G184" s="6">
        <v>20.73958333333351</v>
      </c>
      <c r="H184" s="7">
        <v>20.73958333333351</v>
      </c>
      <c r="I184" s="26">
        <v>5.1254999999999997</v>
      </c>
      <c r="J184" s="26">
        <f t="shared" si="8"/>
        <v>-5.1254999999999997</v>
      </c>
      <c r="K184" s="26">
        <f t="shared" si="9"/>
        <v>0.31050000000000022</v>
      </c>
      <c r="L184">
        <f t="shared" si="10"/>
        <v>0.3672500000000003</v>
      </c>
    </row>
    <row r="185" spans="1:12" x14ac:dyDescent="0.2">
      <c r="A185" t="s">
        <v>4524</v>
      </c>
      <c r="B185">
        <v>7.1934999999999999E-2</v>
      </c>
      <c r="C185">
        <v>276</v>
      </c>
      <c r="D185" t="s">
        <v>4524</v>
      </c>
      <c r="E185">
        <v>275</v>
      </c>
      <c r="F185" s="1">
        <v>45201</v>
      </c>
      <c r="G185" s="6">
        <v>20.750000000000178</v>
      </c>
      <c r="H185" s="7">
        <v>20.750000000000178</v>
      </c>
      <c r="I185" s="26">
        <v>5.1375000000000002</v>
      </c>
      <c r="J185" s="26">
        <f t="shared" si="8"/>
        <v>-5.1375000000000002</v>
      </c>
      <c r="K185" s="26">
        <f t="shared" si="9"/>
        <v>0.29849999999999977</v>
      </c>
      <c r="L185">
        <f t="shared" si="10"/>
        <v>0.30449999999999999</v>
      </c>
    </row>
    <row r="186" spans="1:12" x14ac:dyDescent="0.2">
      <c r="A186" t="s">
        <v>4525</v>
      </c>
      <c r="B186">
        <v>7.2294999999999998E-2</v>
      </c>
      <c r="C186">
        <v>276</v>
      </c>
      <c r="D186" t="s">
        <v>4525</v>
      </c>
      <c r="E186">
        <v>275</v>
      </c>
      <c r="F186" s="1">
        <v>45201</v>
      </c>
      <c r="G186" s="6">
        <v>20.760416666666845</v>
      </c>
      <c r="H186" s="7">
        <v>20.760416666666845</v>
      </c>
      <c r="I186" s="26">
        <v>5.1609999999999996</v>
      </c>
      <c r="J186" s="26">
        <f t="shared" si="8"/>
        <v>-5.1609999999999996</v>
      </c>
      <c r="K186" s="26">
        <f t="shared" si="9"/>
        <v>0.27500000000000036</v>
      </c>
      <c r="L186">
        <f t="shared" si="10"/>
        <v>0.28675000000000006</v>
      </c>
    </row>
    <row r="187" spans="1:12" x14ac:dyDescent="0.2">
      <c r="A187" t="s">
        <v>4526</v>
      </c>
      <c r="B187">
        <v>7.3124999999999996E-2</v>
      </c>
      <c r="C187">
        <v>276</v>
      </c>
      <c r="D187" t="s">
        <v>4526</v>
      </c>
      <c r="E187">
        <v>275</v>
      </c>
      <c r="F187" s="1">
        <v>45201</v>
      </c>
      <c r="G187" s="6">
        <v>20.770833333333513</v>
      </c>
      <c r="H187" s="7">
        <v>20.770833333333513</v>
      </c>
      <c r="I187" s="26">
        <v>5.2205000000000004</v>
      </c>
      <c r="J187" s="26">
        <f t="shared" si="8"/>
        <v>-5.2205000000000004</v>
      </c>
      <c r="K187" s="26">
        <f t="shared" si="9"/>
        <v>0.21549999999999958</v>
      </c>
      <c r="L187">
        <f t="shared" si="10"/>
        <v>0.24524999999999997</v>
      </c>
    </row>
    <row r="188" spans="1:12" x14ac:dyDescent="0.2">
      <c r="A188" t="s">
        <v>4527</v>
      </c>
      <c r="B188">
        <v>7.3205000000000006E-2</v>
      </c>
      <c r="C188">
        <v>276</v>
      </c>
      <c r="D188" t="s">
        <v>4527</v>
      </c>
      <c r="E188">
        <v>275</v>
      </c>
      <c r="F188" s="1">
        <v>45201</v>
      </c>
      <c r="G188" s="6">
        <v>20.781250000000181</v>
      </c>
      <c r="H188" s="7">
        <v>20.781250000000181</v>
      </c>
      <c r="I188" s="26">
        <v>5.2275</v>
      </c>
      <c r="J188" s="26">
        <f t="shared" si="8"/>
        <v>-5.2275</v>
      </c>
      <c r="K188" s="26">
        <f t="shared" si="9"/>
        <v>0.20849999999999991</v>
      </c>
      <c r="L188">
        <f t="shared" si="10"/>
        <v>0.21199999999999974</v>
      </c>
    </row>
    <row r="189" spans="1:12" x14ac:dyDescent="0.2">
      <c r="A189" t="s">
        <v>4528</v>
      </c>
      <c r="B189">
        <v>7.3385000000000006E-2</v>
      </c>
      <c r="C189">
        <v>276</v>
      </c>
      <c r="D189" t="s">
        <v>4528</v>
      </c>
      <c r="E189">
        <v>275</v>
      </c>
      <c r="F189" s="1">
        <v>45201</v>
      </c>
      <c r="G189" s="6">
        <v>20.791666666666849</v>
      </c>
      <c r="H189" s="7">
        <v>20.791666666666849</v>
      </c>
      <c r="I189" s="26">
        <v>5.2394999999999996</v>
      </c>
      <c r="J189" s="26">
        <f t="shared" si="8"/>
        <v>-5.2394999999999996</v>
      </c>
      <c r="K189" s="26">
        <f t="shared" si="9"/>
        <v>0.19650000000000034</v>
      </c>
      <c r="L189">
        <f t="shared" si="10"/>
        <v>0.20250000000000012</v>
      </c>
    </row>
    <row r="190" spans="1:12" x14ac:dyDescent="0.2">
      <c r="A190" t="s">
        <v>4530</v>
      </c>
      <c r="B190">
        <v>7.4255000000000002E-2</v>
      </c>
      <c r="C190">
        <v>276</v>
      </c>
      <c r="D190" t="s">
        <v>4530</v>
      </c>
      <c r="E190">
        <v>275</v>
      </c>
      <c r="F190" s="1">
        <v>45201</v>
      </c>
      <c r="G190" s="6">
        <v>20.802083333333517</v>
      </c>
      <c r="H190" s="7">
        <v>20.802083333333517</v>
      </c>
      <c r="I190" s="26">
        <v>5.3014999999999999</v>
      </c>
      <c r="J190" s="26">
        <f t="shared" si="8"/>
        <v>-5.3014999999999999</v>
      </c>
      <c r="K190" s="26">
        <f t="shared" si="9"/>
        <v>0.13450000000000006</v>
      </c>
      <c r="L190">
        <f t="shared" si="10"/>
        <v>0.1655000000000002</v>
      </c>
    </row>
    <row r="191" spans="1:12" x14ac:dyDescent="0.2">
      <c r="A191" t="s">
        <v>4531</v>
      </c>
      <c r="B191">
        <v>7.4370000000000006E-2</v>
      </c>
      <c r="C191">
        <v>276</v>
      </c>
      <c r="D191" t="s">
        <v>4531</v>
      </c>
      <c r="E191">
        <v>275</v>
      </c>
      <c r="F191" s="1">
        <v>45201</v>
      </c>
      <c r="G191" s="6">
        <v>20.812500000000185</v>
      </c>
      <c r="H191" s="7">
        <v>20.812500000000185</v>
      </c>
      <c r="I191" s="26">
        <v>5.31</v>
      </c>
      <c r="J191" s="26">
        <f t="shared" si="8"/>
        <v>-5.31</v>
      </c>
      <c r="K191" s="26">
        <f t="shared" si="9"/>
        <v>0.12600000000000033</v>
      </c>
      <c r="L191">
        <f t="shared" si="10"/>
        <v>0.1302500000000002</v>
      </c>
    </row>
    <row r="192" spans="1:12" x14ac:dyDescent="0.2">
      <c r="A192" t="s">
        <v>4532</v>
      </c>
      <c r="B192">
        <v>7.4840000000000004E-2</v>
      </c>
      <c r="C192">
        <v>276</v>
      </c>
      <c r="D192" t="s">
        <v>4532</v>
      </c>
      <c r="E192">
        <v>275</v>
      </c>
      <c r="F192" s="1">
        <v>45201</v>
      </c>
      <c r="G192" s="6">
        <v>20.822916666666853</v>
      </c>
      <c r="H192" s="7">
        <v>20.822916666666853</v>
      </c>
      <c r="I192" s="26">
        <v>5.3425000000000002</v>
      </c>
      <c r="J192" s="26">
        <f t="shared" si="8"/>
        <v>-5.3425000000000002</v>
      </c>
      <c r="K192" s="26">
        <f t="shared" si="9"/>
        <v>9.3499999999999694E-2</v>
      </c>
      <c r="L192">
        <f t="shared" si="10"/>
        <v>0.10975000000000001</v>
      </c>
    </row>
    <row r="193" spans="1:12" x14ac:dyDescent="0.2">
      <c r="A193" t="s">
        <v>4533</v>
      </c>
      <c r="B193">
        <v>7.5009999999999993E-2</v>
      </c>
      <c r="C193">
        <v>276</v>
      </c>
      <c r="D193" t="s">
        <v>4533</v>
      </c>
      <c r="E193">
        <v>275</v>
      </c>
      <c r="F193" s="1">
        <v>45201</v>
      </c>
      <c r="G193" s="6">
        <v>20.83333333333352</v>
      </c>
      <c r="H193" s="7">
        <v>20.83333333333352</v>
      </c>
      <c r="I193" s="26">
        <v>5.3559999999999999</v>
      </c>
      <c r="J193" s="26">
        <f t="shared" si="8"/>
        <v>-5.3559999999999999</v>
      </c>
      <c r="K193" s="26">
        <f t="shared" si="9"/>
        <v>8.0000000000000071E-2</v>
      </c>
      <c r="L193">
        <f t="shared" si="10"/>
        <v>8.6749999999999883E-2</v>
      </c>
    </row>
    <row r="194" spans="1:12" x14ac:dyDescent="0.2">
      <c r="A194" t="s">
        <v>4534</v>
      </c>
      <c r="B194">
        <v>7.5634999999999994E-2</v>
      </c>
      <c r="C194">
        <v>276</v>
      </c>
      <c r="D194" t="s">
        <v>4534</v>
      </c>
      <c r="E194">
        <v>275</v>
      </c>
      <c r="F194" s="1">
        <v>45201</v>
      </c>
      <c r="G194" s="6">
        <v>20.843750000000188</v>
      </c>
      <c r="H194" s="7">
        <v>20.843750000000188</v>
      </c>
      <c r="I194" s="26">
        <v>5.4</v>
      </c>
      <c r="J194" s="26">
        <f t="shared" si="8"/>
        <v>-5.4</v>
      </c>
      <c r="K194" s="26">
        <f t="shared" si="9"/>
        <v>3.5999999999999588E-2</v>
      </c>
      <c r="L194">
        <f t="shared" si="10"/>
        <v>5.7999999999999829E-2</v>
      </c>
    </row>
    <row r="195" spans="1:12" x14ac:dyDescent="0.2">
      <c r="A195" t="s">
        <v>4535</v>
      </c>
      <c r="B195">
        <v>7.5310000000000002E-2</v>
      </c>
      <c r="C195">
        <v>276</v>
      </c>
      <c r="D195" t="s">
        <v>4535</v>
      </c>
      <c r="E195">
        <v>275</v>
      </c>
      <c r="F195" s="1">
        <v>45201</v>
      </c>
      <c r="G195" s="6">
        <v>20.854166666666856</v>
      </c>
      <c r="H195" s="7">
        <v>20.854166666666856</v>
      </c>
      <c r="I195" s="26">
        <v>5.3775000000000004</v>
      </c>
      <c r="J195" s="26">
        <f t="shared" ref="J195:J258" si="11">-I195</f>
        <v>-5.3775000000000004</v>
      </c>
      <c r="K195" s="26">
        <f t="shared" si="9"/>
        <v>5.8499999999999552E-2</v>
      </c>
      <c r="L195">
        <f t="shared" si="10"/>
        <v>4.724999999999957E-2</v>
      </c>
    </row>
    <row r="196" spans="1:12" x14ac:dyDescent="0.2">
      <c r="A196" t="s">
        <v>4536</v>
      </c>
      <c r="B196">
        <v>7.51E-2</v>
      </c>
      <c r="C196">
        <v>276</v>
      </c>
      <c r="D196" t="s">
        <v>4536</v>
      </c>
      <c r="E196">
        <v>276</v>
      </c>
      <c r="F196" s="1">
        <v>45202</v>
      </c>
      <c r="G196" s="6">
        <v>20.864583333333524</v>
      </c>
      <c r="H196" s="7">
        <v>20.864583333333524</v>
      </c>
      <c r="I196" s="26">
        <v>5.3620000000000001</v>
      </c>
      <c r="J196" s="26">
        <f t="shared" si="11"/>
        <v>-5.3620000000000001</v>
      </c>
      <c r="K196" s="26">
        <f t="shared" si="9"/>
        <v>7.3999999999999844E-2</v>
      </c>
      <c r="L196">
        <f t="shared" si="10"/>
        <v>6.6249999999999698E-2</v>
      </c>
    </row>
    <row r="197" spans="1:12" x14ac:dyDescent="0.2">
      <c r="A197" t="s">
        <v>4537</v>
      </c>
      <c r="B197">
        <v>7.5549999999999895E-2</v>
      </c>
      <c r="C197">
        <v>276</v>
      </c>
      <c r="D197" t="s">
        <v>4537</v>
      </c>
      <c r="E197">
        <v>276</v>
      </c>
      <c r="F197" s="1">
        <v>45202</v>
      </c>
      <c r="G197" s="6">
        <v>20.875000000000192</v>
      </c>
      <c r="H197" s="7">
        <v>20.875000000000192</v>
      </c>
      <c r="I197" s="26">
        <v>5.3935000000000004</v>
      </c>
      <c r="J197" s="26">
        <f t="shared" si="11"/>
        <v>-5.3935000000000004</v>
      </c>
      <c r="K197" s="26">
        <f t="shared" si="9"/>
        <v>4.2499999999999538E-2</v>
      </c>
      <c r="L197">
        <f t="shared" si="10"/>
        <v>5.8249999999999691E-2</v>
      </c>
    </row>
    <row r="198" spans="1:12" x14ac:dyDescent="0.2">
      <c r="A198" t="s">
        <v>4538</v>
      </c>
      <c r="B198">
        <v>7.5800000000000006E-2</v>
      </c>
      <c r="C198">
        <v>276</v>
      </c>
      <c r="D198" t="s">
        <v>4538</v>
      </c>
      <c r="E198">
        <v>276</v>
      </c>
      <c r="F198" s="1">
        <v>45202</v>
      </c>
      <c r="G198" s="6">
        <v>20.88541666666686</v>
      </c>
      <c r="H198" s="7">
        <v>20.88541666666686</v>
      </c>
      <c r="I198" s="26">
        <v>5.4119999999999999</v>
      </c>
      <c r="J198" s="26">
        <f t="shared" si="11"/>
        <v>-5.4119999999999999</v>
      </c>
      <c r="K198" s="26">
        <f t="shared" si="9"/>
        <v>2.4000000000000021E-2</v>
      </c>
      <c r="L198">
        <f t="shared" si="10"/>
        <v>3.324999999999978E-2</v>
      </c>
    </row>
    <row r="199" spans="1:12" x14ac:dyDescent="0.2">
      <c r="A199" t="s">
        <v>4539</v>
      </c>
      <c r="B199">
        <v>7.553E-2</v>
      </c>
      <c r="C199">
        <v>276</v>
      </c>
      <c r="D199" t="s">
        <v>4539</v>
      </c>
      <c r="E199">
        <v>276</v>
      </c>
      <c r="F199" s="1">
        <v>45202</v>
      </c>
      <c r="G199" s="6">
        <v>20.895833333333528</v>
      </c>
      <c r="H199" s="7">
        <v>20.895833333333528</v>
      </c>
      <c r="I199" s="26">
        <v>5.3935000000000004</v>
      </c>
      <c r="J199" s="26">
        <f t="shared" si="11"/>
        <v>-5.3935000000000004</v>
      </c>
      <c r="K199" s="26">
        <f t="shared" si="9"/>
        <v>4.2499999999999538E-2</v>
      </c>
      <c r="L199">
        <f t="shared" si="10"/>
        <v>3.324999999999978E-2</v>
      </c>
    </row>
    <row r="200" spans="1:12" x14ac:dyDescent="0.2">
      <c r="A200" t="s">
        <v>4540</v>
      </c>
      <c r="B200">
        <v>7.5520000000000004E-2</v>
      </c>
      <c r="C200">
        <v>276</v>
      </c>
      <c r="D200" t="s">
        <v>4540</v>
      </c>
      <c r="E200">
        <v>276</v>
      </c>
      <c r="F200" s="1">
        <v>45202</v>
      </c>
      <c r="G200" s="6">
        <v>20.906250000000195</v>
      </c>
      <c r="H200" s="7">
        <v>20.906250000000195</v>
      </c>
      <c r="I200" s="26">
        <v>5.3914999999999997</v>
      </c>
      <c r="J200" s="26">
        <f t="shared" si="11"/>
        <v>-5.3914999999999997</v>
      </c>
      <c r="K200" s="26">
        <f t="shared" si="9"/>
        <v>4.4500000000000206E-2</v>
      </c>
      <c r="L200">
        <f t="shared" si="10"/>
        <v>4.3499999999999872E-2</v>
      </c>
    </row>
    <row r="201" spans="1:12" x14ac:dyDescent="0.2">
      <c r="A201" t="s">
        <v>4541</v>
      </c>
      <c r="B201">
        <v>7.6145000000000004E-2</v>
      </c>
      <c r="C201">
        <v>276</v>
      </c>
      <c r="D201" t="s">
        <v>4541</v>
      </c>
      <c r="E201">
        <v>276</v>
      </c>
      <c r="F201" s="1">
        <v>45202</v>
      </c>
      <c r="G201" s="6">
        <v>20.916666666666863</v>
      </c>
      <c r="H201" s="7">
        <v>20.916666666666863</v>
      </c>
      <c r="I201" s="26">
        <v>5.4370000000000003</v>
      </c>
      <c r="J201" s="26">
        <f t="shared" si="11"/>
        <v>-5.4370000000000003</v>
      </c>
      <c r="K201" s="26">
        <f t="shared" si="9"/>
        <v>-1.000000000000334E-3</v>
      </c>
      <c r="L201">
        <f t="shared" si="10"/>
        <v>2.1749999999999936E-2</v>
      </c>
    </row>
    <row r="202" spans="1:12" x14ac:dyDescent="0.2">
      <c r="A202" t="s">
        <v>4542</v>
      </c>
      <c r="B202">
        <v>7.5880000000000003E-2</v>
      </c>
      <c r="C202">
        <v>276</v>
      </c>
      <c r="D202" t="s">
        <v>4542</v>
      </c>
      <c r="E202">
        <v>276</v>
      </c>
      <c r="F202" s="1">
        <v>45202</v>
      </c>
      <c r="G202" s="6">
        <v>20.927083333333531</v>
      </c>
      <c r="H202" s="7">
        <v>20.927083333333531</v>
      </c>
      <c r="I202" s="26">
        <v>5.4180000000000001</v>
      </c>
      <c r="J202" s="26">
        <f t="shared" si="11"/>
        <v>-5.4180000000000001</v>
      </c>
      <c r="K202" s="26">
        <f t="shared" si="9"/>
        <v>1.7999999999999794E-2</v>
      </c>
      <c r="L202">
        <f t="shared" si="10"/>
        <v>8.49999999999973E-3</v>
      </c>
    </row>
    <row r="203" spans="1:12" x14ac:dyDescent="0.2">
      <c r="A203" t="s">
        <v>4543</v>
      </c>
      <c r="B203">
        <v>7.5490000000000002E-2</v>
      </c>
      <c r="C203">
        <v>276</v>
      </c>
      <c r="D203" t="s">
        <v>4543</v>
      </c>
      <c r="E203">
        <v>276</v>
      </c>
      <c r="F203" s="1">
        <v>45202</v>
      </c>
      <c r="G203" s="6">
        <v>20.937500000000199</v>
      </c>
      <c r="H203" s="7">
        <v>20.937500000000199</v>
      </c>
      <c r="I203" s="26">
        <v>5.39</v>
      </c>
      <c r="J203" s="26">
        <f t="shared" si="11"/>
        <v>-5.39</v>
      </c>
      <c r="K203" s="26">
        <f t="shared" si="9"/>
        <v>4.6000000000000263E-2</v>
      </c>
      <c r="L203">
        <f t="shared" si="10"/>
        <v>3.2000000000000028E-2</v>
      </c>
    </row>
    <row r="204" spans="1:12" x14ac:dyDescent="0.2">
      <c r="A204" t="s">
        <v>4544</v>
      </c>
      <c r="B204">
        <v>7.5655E-2</v>
      </c>
      <c r="C204">
        <v>276</v>
      </c>
      <c r="D204" t="s">
        <v>4544</v>
      </c>
      <c r="E204">
        <v>276</v>
      </c>
      <c r="F204" s="1">
        <v>45202</v>
      </c>
      <c r="G204" s="6">
        <v>20.947916666666867</v>
      </c>
      <c r="H204" s="7">
        <v>20.947916666666867</v>
      </c>
      <c r="I204" s="26">
        <v>5.4009999999999998</v>
      </c>
      <c r="J204" s="26">
        <f t="shared" si="11"/>
        <v>-5.4009999999999998</v>
      </c>
      <c r="K204" s="26">
        <f t="shared" si="9"/>
        <v>3.5000000000000142E-2</v>
      </c>
      <c r="L204">
        <f t="shared" si="10"/>
        <v>4.0500000000000203E-2</v>
      </c>
    </row>
    <row r="205" spans="1:12" x14ac:dyDescent="0.2">
      <c r="A205" t="s">
        <v>4545</v>
      </c>
      <c r="B205">
        <v>7.5454999999999994E-2</v>
      </c>
      <c r="C205">
        <v>276</v>
      </c>
      <c r="D205" t="s">
        <v>4545</v>
      </c>
      <c r="E205">
        <v>276</v>
      </c>
      <c r="F205" s="1">
        <v>45202</v>
      </c>
      <c r="G205" s="6">
        <v>20.958333333333535</v>
      </c>
      <c r="H205" s="7">
        <v>20.958333333333535</v>
      </c>
      <c r="I205" s="26">
        <v>5.3875000000000002</v>
      </c>
      <c r="J205" s="26">
        <f t="shared" si="11"/>
        <v>-5.3875000000000002</v>
      </c>
      <c r="K205" s="26">
        <f t="shared" si="9"/>
        <v>4.8499999999999766E-2</v>
      </c>
      <c r="L205">
        <f t="shared" si="10"/>
        <v>4.1749999999999954E-2</v>
      </c>
    </row>
    <row r="206" spans="1:12" x14ac:dyDescent="0.2">
      <c r="A206" t="s">
        <v>4546</v>
      </c>
      <c r="B206">
        <v>7.5624999999999998E-2</v>
      </c>
      <c r="C206">
        <v>276</v>
      </c>
      <c r="D206" t="s">
        <v>4546</v>
      </c>
      <c r="E206">
        <v>276</v>
      </c>
      <c r="F206" s="1">
        <v>45202</v>
      </c>
      <c r="G206" s="6">
        <v>20.968750000000203</v>
      </c>
      <c r="H206" s="7">
        <v>20.968750000000203</v>
      </c>
      <c r="I206" s="26">
        <v>5.399</v>
      </c>
      <c r="J206" s="26">
        <f t="shared" si="11"/>
        <v>-5.399</v>
      </c>
      <c r="K206" s="26">
        <f t="shared" si="9"/>
        <v>3.6999999999999922E-2</v>
      </c>
      <c r="L206">
        <f t="shared" si="10"/>
        <v>4.2749999999999844E-2</v>
      </c>
    </row>
    <row r="207" spans="1:12" x14ac:dyDescent="0.2">
      <c r="A207" t="s">
        <v>4547</v>
      </c>
      <c r="B207">
        <v>7.5899999999999995E-2</v>
      </c>
      <c r="C207">
        <v>276</v>
      </c>
      <c r="D207" t="s">
        <v>4547</v>
      </c>
      <c r="E207">
        <v>276</v>
      </c>
      <c r="F207" s="1">
        <v>45202</v>
      </c>
      <c r="G207" s="6">
        <v>20.97916666666687</v>
      </c>
      <c r="H207" s="7">
        <v>20.97916666666687</v>
      </c>
      <c r="I207" s="26">
        <v>5.4195000000000002</v>
      </c>
      <c r="J207" s="26">
        <f t="shared" si="11"/>
        <v>-5.4195000000000002</v>
      </c>
      <c r="K207" s="26">
        <f t="shared" si="9"/>
        <v>1.6499999999999737E-2</v>
      </c>
      <c r="L207">
        <f t="shared" si="10"/>
        <v>2.6749999999999829E-2</v>
      </c>
    </row>
    <row r="208" spans="1:12" x14ac:dyDescent="0.2">
      <c r="A208" t="s">
        <v>4548</v>
      </c>
      <c r="B208">
        <v>7.5929999999999997E-2</v>
      </c>
      <c r="C208">
        <v>276</v>
      </c>
      <c r="D208" t="s">
        <v>4548</v>
      </c>
      <c r="E208">
        <v>276</v>
      </c>
      <c r="F208" s="1">
        <v>45202</v>
      </c>
      <c r="G208" s="6">
        <v>20.989583333333538</v>
      </c>
      <c r="H208" s="7">
        <v>20.989583333333538</v>
      </c>
      <c r="I208" s="26">
        <v>5.4195000000000002</v>
      </c>
      <c r="J208" s="26">
        <f t="shared" si="11"/>
        <v>-5.4195000000000002</v>
      </c>
      <c r="K208" s="26">
        <f t="shared" si="9"/>
        <v>1.6499999999999737E-2</v>
      </c>
      <c r="L208">
        <f t="shared" si="10"/>
        <v>1.6499999999999737E-2</v>
      </c>
    </row>
    <row r="209" spans="1:14" x14ac:dyDescent="0.2">
      <c r="A209" t="s">
        <v>4549</v>
      </c>
      <c r="B209">
        <v>7.6304999999999998E-2</v>
      </c>
      <c r="C209">
        <v>276</v>
      </c>
      <c r="D209" t="s">
        <v>4549</v>
      </c>
      <c r="E209" s="3">
        <v>276</v>
      </c>
      <c r="F209" s="5">
        <v>45202</v>
      </c>
      <c r="G209" s="31">
        <v>21.000000000000206</v>
      </c>
      <c r="H209" s="8">
        <v>21.000000000000206</v>
      </c>
      <c r="I209" s="32">
        <v>5.4474999999999998</v>
      </c>
      <c r="J209" s="32">
        <f t="shared" si="11"/>
        <v>-5.4474999999999998</v>
      </c>
      <c r="K209" s="26">
        <v>0</v>
      </c>
      <c r="L209">
        <f t="shared" si="10"/>
        <v>8.2499999999998685E-3</v>
      </c>
      <c r="M209">
        <f>SUM(L118:L209)/92</f>
        <v>0.31874184782608722</v>
      </c>
      <c r="N209">
        <v>92</v>
      </c>
    </row>
    <row r="210" spans="1:14" x14ac:dyDescent="0.2">
      <c r="A210" t="s">
        <v>4550</v>
      </c>
      <c r="B210">
        <v>7.5454999999999994E-2</v>
      </c>
      <c r="C210">
        <v>276</v>
      </c>
      <c r="D210" t="s">
        <v>4550</v>
      </c>
      <c r="E210">
        <v>276</v>
      </c>
      <c r="F210" s="1">
        <v>45202</v>
      </c>
      <c r="G210" s="6">
        <v>21.010416666666874</v>
      </c>
      <c r="H210" s="7">
        <v>21.010416666666874</v>
      </c>
      <c r="I210" s="26">
        <v>5.3869999999999996</v>
      </c>
      <c r="J210" s="26">
        <f t="shared" si="11"/>
        <v>-5.3869999999999996</v>
      </c>
    </row>
    <row r="211" spans="1:14" x14ac:dyDescent="0.2">
      <c r="A211" t="s">
        <v>4552</v>
      </c>
      <c r="B211">
        <v>7.5620000000000007E-2</v>
      </c>
      <c r="C211">
        <v>276</v>
      </c>
      <c r="D211" t="s">
        <v>4552</v>
      </c>
      <c r="E211">
        <v>276</v>
      </c>
      <c r="F211" s="1">
        <v>45202</v>
      </c>
      <c r="G211" s="6">
        <v>21.020833333333542</v>
      </c>
      <c r="H211" s="7">
        <v>21.020833333333542</v>
      </c>
      <c r="I211" s="26">
        <v>5.3979999999999997</v>
      </c>
      <c r="J211" s="26">
        <f t="shared" si="11"/>
        <v>-5.3979999999999997</v>
      </c>
    </row>
    <row r="212" spans="1:14" x14ac:dyDescent="0.2">
      <c r="A212" t="s">
        <v>4553</v>
      </c>
      <c r="B212">
        <v>7.5675000000000006E-2</v>
      </c>
      <c r="C212">
        <v>276</v>
      </c>
      <c r="D212" t="s">
        <v>4553</v>
      </c>
      <c r="E212">
        <v>276</v>
      </c>
      <c r="F212" s="1">
        <v>45202</v>
      </c>
      <c r="G212" s="6">
        <v>21.03125000000021</v>
      </c>
      <c r="H212" s="7">
        <v>21.03125000000021</v>
      </c>
      <c r="I212" s="26">
        <v>5.4035000000000002</v>
      </c>
      <c r="J212" s="26">
        <f t="shared" si="11"/>
        <v>-5.4035000000000002</v>
      </c>
    </row>
    <row r="213" spans="1:14" x14ac:dyDescent="0.2">
      <c r="A213" t="s">
        <v>4554</v>
      </c>
      <c r="B213">
        <v>7.6490000000000002E-2</v>
      </c>
      <c r="C213">
        <v>276</v>
      </c>
      <c r="D213" t="s">
        <v>4554</v>
      </c>
      <c r="E213">
        <v>276</v>
      </c>
      <c r="F213" s="1">
        <v>45202</v>
      </c>
      <c r="G213" s="6">
        <v>21.041666666666877</v>
      </c>
      <c r="H213" s="7">
        <v>21.041666666666877</v>
      </c>
      <c r="I213" s="26">
        <v>5.4615</v>
      </c>
      <c r="J213" s="26">
        <f t="shared" si="11"/>
        <v>-5.4615</v>
      </c>
    </row>
    <row r="214" spans="1:14" x14ac:dyDescent="0.2">
      <c r="A214" t="s">
        <v>4555</v>
      </c>
      <c r="B214">
        <v>7.5734999999999997E-2</v>
      </c>
      <c r="C214">
        <v>276</v>
      </c>
      <c r="D214" t="s">
        <v>4555</v>
      </c>
      <c r="E214">
        <v>276</v>
      </c>
      <c r="F214" s="1">
        <v>45202</v>
      </c>
      <c r="G214" s="6">
        <v>21.052083333333545</v>
      </c>
      <c r="H214" s="7">
        <v>21.052083333333545</v>
      </c>
      <c r="I214" s="26">
        <v>5.4050000000000002</v>
      </c>
      <c r="J214" s="26">
        <f t="shared" si="11"/>
        <v>-5.4050000000000002</v>
      </c>
    </row>
    <row r="215" spans="1:14" x14ac:dyDescent="0.2">
      <c r="A215" t="s">
        <v>4556</v>
      </c>
      <c r="B215">
        <v>7.6350000000000001E-2</v>
      </c>
      <c r="C215">
        <v>276</v>
      </c>
      <c r="D215" t="s">
        <v>4556</v>
      </c>
      <c r="E215">
        <v>276</v>
      </c>
      <c r="F215" s="1">
        <v>45202</v>
      </c>
      <c r="G215" s="6">
        <v>21.062500000000213</v>
      </c>
      <c r="H215" s="7">
        <v>21.062500000000213</v>
      </c>
      <c r="I215" s="26">
        <v>5.4524999999999997</v>
      </c>
      <c r="J215" s="26">
        <f t="shared" si="11"/>
        <v>-5.4524999999999997</v>
      </c>
    </row>
    <row r="216" spans="1:14" x14ac:dyDescent="0.2">
      <c r="A216" t="s">
        <v>4557</v>
      </c>
      <c r="B216">
        <v>7.664E-2</v>
      </c>
      <c r="C216">
        <v>276</v>
      </c>
      <c r="D216" t="s">
        <v>4557</v>
      </c>
      <c r="E216" s="12">
        <v>276</v>
      </c>
      <c r="F216" s="13">
        <v>45202</v>
      </c>
      <c r="G216" s="28">
        <v>21.072916666666881</v>
      </c>
      <c r="H216" s="14">
        <v>21.072916666666881</v>
      </c>
      <c r="I216" s="27">
        <v>5.4720000000000004</v>
      </c>
      <c r="J216" s="27">
        <f t="shared" si="11"/>
        <v>-5.4720000000000004</v>
      </c>
      <c r="K216" s="26">
        <f>J216+5.472</f>
        <v>0</v>
      </c>
    </row>
    <row r="217" spans="1:14" x14ac:dyDescent="0.2">
      <c r="A217" t="s">
        <v>4558</v>
      </c>
      <c r="B217">
        <v>7.6219999999999996E-2</v>
      </c>
      <c r="C217">
        <v>276</v>
      </c>
      <c r="D217" t="s">
        <v>4558</v>
      </c>
      <c r="E217">
        <v>276</v>
      </c>
      <c r="F217" s="1">
        <v>45202</v>
      </c>
      <c r="G217" s="6">
        <v>21.083333333333549</v>
      </c>
      <c r="H217" s="7">
        <v>21.083333333333549</v>
      </c>
      <c r="I217" s="26">
        <v>5.4414999999999996</v>
      </c>
      <c r="J217" s="26">
        <f t="shared" si="11"/>
        <v>-5.4414999999999996</v>
      </c>
      <c r="K217" s="26">
        <f t="shared" ref="K217:K280" si="12">J217+5.472</f>
        <v>3.050000000000086E-2</v>
      </c>
      <c r="L217">
        <f t="shared" ref="L217:L280" si="13">(K216+K217)/2</f>
        <v>1.525000000000043E-2</v>
      </c>
    </row>
    <row r="218" spans="1:14" x14ac:dyDescent="0.2">
      <c r="A218" t="s">
        <v>4559</v>
      </c>
      <c r="B218">
        <v>7.6020000000000004E-2</v>
      </c>
      <c r="C218">
        <v>276</v>
      </c>
      <c r="D218" t="s">
        <v>4559</v>
      </c>
      <c r="E218">
        <v>276</v>
      </c>
      <c r="F218" s="1">
        <v>45202</v>
      </c>
      <c r="G218" s="6">
        <v>21.093750000000217</v>
      </c>
      <c r="H218" s="7">
        <v>21.093750000000217</v>
      </c>
      <c r="I218" s="26">
        <v>5.4260000000000002</v>
      </c>
      <c r="J218" s="26">
        <f t="shared" si="11"/>
        <v>-5.4260000000000002</v>
      </c>
      <c r="K218" s="26">
        <f t="shared" si="12"/>
        <v>4.6000000000000263E-2</v>
      </c>
      <c r="L218">
        <f t="shared" si="13"/>
        <v>3.8250000000000561E-2</v>
      </c>
    </row>
    <row r="219" spans="1:14" x14ac:dyDescent="0.2">
      <c r="A219" t="s">
        <v>4560</v>
      </c>
      <c r="B219">
        <v>7.6310000000000003E-2</v>
      </c>
      <c r="C219">
        <v>276</v>
      </c>
      <c r="D219" t="s">
        <v>4560</v>
      </c>
      <c r="E219">
        <v>276</v>
      </c>
      <c r="F219" s="1">
        <v>45202</v>
      </c>
      <c r="G219" s="6">
        <v>21.104166666666885</v>
      </c>
      <c r="H219" s="7">
        <v>21.104166666666885</v>
      </c>
      <c r="I219" s="26">
        <v>5.4479999999999897</v>
      </c>
      <c r="J219" s="26">
        <f t="shared" si="11"/>
        <v>-5.4479999999999897</v>
      </c>
      <c r="K219" s="26">
        <f t="shared" si="12"/>
        <v>2.4000000000010679E-2</v>
      </c>
      <c r="L219">
        <f t="shared" si="13"/>
        <v>3.5000000000005471E-2</v>
      </c>
    </row>
    <row r="220" spans="1:14" x14ac:dyDescent="0.2">
      <c r="A220" t="s">
        <v>4562</v>
      </c>
      <c r="B220">
        <v>7.5905E-2</v>
      </c>
      <c r="C220">
        <v>276</v>
      </c>
      <c r="D220" t="s">
        <v>4562</v>
      </c>
      <c r="E220">
        <v>276</v>
      </c>
      <c r="F220" s="1">
        <v>45202</v>
      </c>
      <c r="G220" s="6">
        <v>21.114583333333552</v>
      </c>
      <c r="H220" s="7">
        <v>21.114583333333552</v>
      </c>
      <c r="I220" s="26">
        <v>5.4195000000000002</v>
      </c>
      <c r="J220" s="26">
        <f t="shared" si="11"/>
        <v>-5.4195000000000002</v>
      </c>
      <c r="K220" s="26">
        <f t="shared" si="12"/>
        <v>5.2500000000000213E-2</v>
      </c>
      <c r="L220">
        <f t="shared" si="13"/>
        <v>3.8250000000005446E-2</v>
      </c>
    </row>
    <row r="221" spans="1:14" x14ac:dyDescent="0.2">
      <c r="A221" t="s">
        <v>4563</v>
      </c>
      <c r="B221">
        <v>7.6249999999999998E-2</v>
      </c>
      <c r="C221">
        <v>276</v>
      </c>
      <c r="D221" t="s">
        <v>4563</v>
      </c>
      <c r="E221">
        <v>276</v>
      </c>
      <c r="F221" s="1">
        <v>45202</v>
      </c>
      <c r="G221" s="6">
        <v>21.12500000000022</v>
      </c>
      <c r="H221" s="7">
        <v>21.12500000000022</v>
      </c>
      <c r="I221" s="26">
        <v>5.4424999999999999</v>
      </c>
      <c r="J221" s="26">
        <f t="shared" si="11"/>
        <v>-5.4424999999999999</v>
      </c>
      <c r="K221" s="26">
        <f t="shared" si="12"/>
        <v>2.9500000000000526E-2</v>
      </c>
      <c r="L221">
        <f t="shared" si="13"/>
        <v>4.1000000000000369E-2</v>
      </c>
    </row>
    <row r="222" spans="1:14" x14ac:dyDescent="0.2">
      <c r="A222" t="s">
        <v>4564</v>
      </c>
      <c r="B222">
        <v>7.5655E-2</v>
      </c>
      <c r="C222">
        <v>276</v>
      </c>
      <c r="D222" t="s">
        <v>4564</v>
      </c>
      <c r="E222">
        <v>276</v>
      </c>
      <c r="F222" s="1">
        <v>45202</v>
      </c>
      <c r="G222" s="6">
        <v>21.135416666666888</v>
      </c>
      <c r="H222" s="7">
        <v>21.135416666666888</v>
      </c>
      <c r="I222" s="26">
        <v>5.4015000000000004</v>
      </c>
      <c r="J222" s="26">
        <f t="shared" si="11"/>
        <v>-5.4015000000000004</v>
      </c>
      <c r="K222" s="26">
        <f t="shared" si="12"/>
        <v>7.0500000000000007E-2</v>
      </c>
      <c r="L222">
        <f t="shared" si="13"/>
        <v>5.0000000000000266E-2</v>
      </c>
    </row>
    <row r="223" spans="1:14" x14ac:dyDescent="0.2">
      <c r="A223" t="s">
        <v>4565</v>
      </c>
      <c r="B223">
        <v>7.5340000000000004E-2</v>
      </c>
      <c r="C223">
        <v>276</v>
      </c>
      <c r="D223" t="s">
        <v>4565</v>
      </c>
      <c r="E223">
        <v>276</v>
      </c>
      <c r="F223" s="1">
        <v>45202</v>
      </c>
      <c r="G223" s="6">
        <v>21.145833333333556</v>
      </c>
      <c r="H223" s="7">
        <v>21.145833333333556</v>
      </c>
      <c r="I223" s="26">
        <v>5.3795000000000002</v>
      </c>
      <c r="J223" s="26">
        <f t="shared" si="11"/>
        <v>-5.3795000000000002</v>
      </c>
      <c r="K223" s="26">
        <f t="shared" si="12"/>
        <v>9.2500000000000249E-2</v>
      </c>
      <c r="L223">
        <f t="shared" si="13"/>
        <v>8.1500000000000128E-2</v>
      </c>
    </row>
    <row r="224" spans="1:14" x14ac:dyDescent="0.2">
      <c r="A224" t="s">
        <v>4566</v>
      </c>
      <c r="B224">
        <v>7.5745000000000007E-2</v>
      </c>
      <c r="C224">
        <v>276</v>
      </c>
      <c r="D224" t="s">
        <v>4566</v>
      </c>
      <c r="E224">
        <v>276</v>
      </c>
      <c r="F224" s="1">
        <v>45202</v>
      </c>
      <c r="G224" s="6">
        <v>21.156250000000224</v>
      </c>
      <c r="H224" s="7">
        <v>21.156250000000224</v>
      </c>
      <c r="I224" s="26">
        <v>5.4074999999999998</v>
      </c>
      <c r="J224" s="26">
        <f t="shared" si="11"/>
        <v>-5.4074999999999998</v>
      </c>
      <c r="K224" s="26">
        <f t="shared" si="12"/>
        <v>6.4500000000000668E-2</v>
      </c>
      <c r="L224">
        <f t="shared" si="13"/>
        <v>7.8500000000000458E-2</v>
      </c>
    </row>
    <row r="225" spans="1:12" x14ac:dyDescent="0.2">
      <c r="A225" t="s">
        <v>4567</v>
      </c>
      <c r="B225">
        <v>7.5545000000000001E-2</v>
      </c>
      <c r="C225">
        <v>276</v>
      </c>
      <c r="D225" t="s">
        <v>4567</v>
      </c>
      <c r="E225">
        <v>276</v>
      </c>
      <c r="F225" s="1">
        <v>45202</v>
      </c>
      <c r="G225" s="6">
        <v>21.166666666666892</v>
      </c>
      <c r="H225" s="7">
        <v>21.166666666666892</v>
      </c>
      <c r="I225" s="26">
        <v>5.3940000000000001</v>
      </c>
      <c r="J225" s="26">
        <f t="shared" si="11"/>
        <v>-5.3940000000000001</v>
      </c>
      <c r="K225" s="26">
        <f t="shared" si="12"/>
        <v>7.8000000000000291E-2</v>
      </c>
      <c r="L225">
        <f t="shared" si="13"/>
        <v>7.125000000000048E-2</v>
      </c>
    </row>
    <row r="226" spans="1:12" x14ac:dyDescent="0.2">
      <c r="A226" t="s">
        <v>4568</v>
      </c>
      <c r="B226">
        <v>7.5855000000000006E-2</v>
      </c>
      <c r="C226">
        <v>276</v>
      </c>
      <c r="D226" t="s">
        <v>4568</v>
      </c>
      <c r="E226">
        <v>276</v>
      </c>
      <c r="F226" s="1">
        <v>45202</v>
      </c>
      <c r="G226" s="6">
        <v>21.17708333333356</v>
      </c>
      <c r="H226" s="7">
        <v>21.17708333333356</v>
      </c>
      <c r="I226" s="26">
        <v>5.415</v>
      </c>
      <c r="J226" s="26">
        <f t="shared" si="11"/>
        <v>-5.415</v>
      </c>
      <c r="K226" s="26">
        <f t="shared" si="12"/>
        <v>5.7000000000000384E-2</v>
      </c>
      <c r="L226">
        <f t="shared" si="13"/>
        <v>6.7500000000000338E-2</v>
      </c>
    </row>
    <row r="227" spans="1:12" x14ac:dyDescent="0.2">
      <c r="A227" t="s">
        <v>4569</v>
      </c>
      <c r="B227">
        <v>7.5840000000000005E-2</v>
      </c>
      <c r="C227">
        <v>276</v>
      </c>
      <c r="D227" t="s">
        <v>4569</v>
      </c>
      <c r="E227">
        <v>276</v>
      </c>
      <c r="F227" s="1">
        <v>45202</v>
      </c>
      <c r="G227" s="6">
        <v>21.187500000000227</v>
      </c>
      <c r="H227" s="7">
        <v>21.187500000000227</v>
      </c>
      <c r="I227" s="26">
        <v>5.4139999999999997</v>
      </c>
      <c r="J227" s="26">
        <f t="shared" si="11"/>
        <v>-5.4139999999999997</v>
      </c>
      <c r="K227" s="26">
        <f t="shared" si="12"/>
        <v>5.8000000000000718E-2</v>
      </c>
      <c r="L227">
        <f t="shared" si="13"/>
        <v>5.7500000000000551E-2</v>
      </c>
    </row>
    <row r="228" spans="1:12" x14ac:dyDescent="0.2">
      <c r="A228" t="s">
        <v>4570</v>
      </c>
      <c r="B228">
        <v>7.5264999999999999E-2</v>
      </c>
      <c r="C228">
        <v>276</v>
      </c>
      <c r="D228" t="s">
        <v>4570</v>
      </c>
      <c r="E228">
        <v>276</v>
      </c>
      <c r="F228" s="1">
        <v>45202</v>
      </c>
      <c r="G228" s="6">
        <v>21.197916666666895</v>
      </c>
      <c r="H228" s="7">
        <v>21.197916666666895</v>
      </c>
      <c r="I228" s="26">
        <v>5.3739999999999997</v>
      </c>
      <c r="J228" s="26">
        <f t="shared" si="11"/>
        <v>-5.3739999999999997</v>
      </c>
      <c r="K228" s="26">
        <f t="shared" si="12"/>
        <v>9.8000000000000753E-2</v>
      </c>
      <c r="L228">
        <f t="shared" si="13"/>
        <v>7.8000000000000735E-2</v>
      </c>
    </row>
    <row r="229" spans="1:12" x14ac:dyDescent="0.2">
      <c r="A229" t="s">
        <v>4571</v>
      </c>
      <c r="B229">
        <v>7.5109999999999996E-2</v>
      </c>
      <c r="C229">
        <v>276</v>
      </c>
      <c r="D229" t="s">
        <v>4571</v>
      </c>
      <c r="E229">
        <v>276</v>
      </c>
      <c r="F229" s="1">
        <v>45202</v>
      </c>
      <c r="G229" s="6">
        <v>21.208333333333563</v>
      </c>
      <c r="H229" s="7">
        <v>21.208333333333563</v>
      </c>
      <c r="I229" s="26">
        <v>5.3630000000000004</v>
      </c>
      <c r="J229" s="26">
        <f t="shared" si="11"/>
        <v>-5.3630000000000004</v>
      </c>
      <c r="K229" s="26">
        <f t="shared" si="12"/>
        <v>0.10899999999999999</v>
      </c>
      <c r="L229">
        <f t="shared" si="13"/>
        <v>0.10350000000000037</v>
      </c>
    </row>
    <row r="230" spans="1:12" x14ac:dyDescent="0.2">
      <c r="A230" t="s">
        <v>4572</v>
      </c>
      <c r="B230">
        <v>7.5225E-2</v>
      </c>
      <c r="C230">
        <v>276</v>
      </c>
      <c r="D230" t="s">
        <v>4572</v>
      </c>
      <c r="E230">
        <v>276</v>
      </c>
      <c r="F230" s="1">
        <v>45202</v>
      </c>
      <c r="G230" s="6">
        <v>21.218750000000231</v>
      </c>
      <c r="H230" s="7">
        <v>21.218750000000231</v>
      </c>
      <c r="I230" s="26">
        <v>5.3695000000000004</v>
      </c>
      <c r="J230" s="26">
        <f t="shared" si="11"/>
        <v>-5.3695000000000004</v>
      </c>
      <c r="K230" s="26">
        <f t="shared" si="12"/>
        <v>0.10250000000000004</v>
      </c>
      <c r="L230">
        <f t="shared" si="13"/>
        <v>0.10575000000000001</v>
      </c>
    </row>
    <row r="231" spans="1:12" x14ac:dyDescent="0.2">
      <c r="A231" t="s">
        <v>4573</v>
      </c>
      <c r="B231">
        <v>7.5355000000000005E-2</v>
      </c>
      <c r="C231">
        <v>276</v>
      </c>
      <c r="D231" t="s">
        <v>4573</v>
      </c>
      <c r="E231">
        <v>276</v>
      </c>
      <c r="F231" s="1">
        <v>45202</v>
      </c>
      <c r="G231" s="6">
        <v>21.229166666666899</v>
      </c>
      <c r="H231" s="7">
        <v>21.229166666666899</v>
      </c>
      <c r="I231" s="26">
        <v>5.3795000000000002</v>
      </c>
      <c r="J231" s="26">
        <f t="shared" si="11"/>
        <v>-5.3795000000000002</v>
      </c>
      <c r="K231" s="26">
        <f t="shared" si="12"/>
        <v>9.2500000000000249E-2</v>
      </c>
      <c r="L231">
        <f t="shared" si="13"/>
        <v>9.7500000000000142E-2</v>
      </c>
    </row>
    <row r="232" spans="1:12" x14ac:dyDescent="0.2">
      <c r="A232" t="s">
        <v>4574</v>
      </c>
      <c r="B232">
        <v>7.5024999999999994E-2</v>
      </c>
      <c r="C232">
        <v>276</v>
      </c>
      <c r="D232" t="s">
        <v>4574</v>
      </c>
      <c r="E232">
        <v>276</v>
      </c>
      <c r="F232" s="1">
        <v>45202</v>
      </c>
      <c r="G232" s="6">
        <v>21.239583333333567</v>
      </c>
      <c r="H232" s="7">
        <v>21.239583333333567</v>
      </c>
      <c r="I232" s="26">
        <v>5.3570000000000002</v>
      </c>
      <c r="J232" s="26">
        <f t="shared" si="11"/>
        <v>-5.3570000000000002</v>
      </c>
      <c r="K232" s="26">
        <f t="shared" si="12"/>
        <v>0.11500000000000021</v>
      </c>
      <c r="L232">
        <f t="shared" si="13"/>
        <v>0.10375000000000023</v>
      </c>
    </row>
    <row r="233" spans="1:12" x14ac:dyDescent="0.2">
      <c r="A233" t="s">
        <v>4575</v>
      </c>
      <c r="B233">
        <v>7.4719999999999995E-2</v>
      </c>
      <c r="C233">
        <v>276</v>
      </c>
      <c r="D233" t="s">
        <v>4575</v>
      </c>
      <c r="E233">
        <v>276</v>
      </c>
      <c r="F233" s="1">
        <v>45202</v>
      </c>
      <c r="G233" s="6">
        <v>21.250000000000234</v>
      </c>
      <c r="H233" s="7">
        <v>21.250000000000234</v>
      </c>
      <c r="I233" s="26">
        <v>5.3345000000000002</v>
      </c>
      <c r="J233" s="26">
        <f t="shared" si="11"/>
        <v>-5.3345000000000002</v>
      </c>
      <c r="K233" s="26">
        <f t="shared" si="12"/>
        <v>0.13750000000000018</v>
      </c>
      <c r="L233">
        <f t="shared" si="13"/>
        <v>0.1262500000000002</v>
      </c>
    </row>
    <row r="234" spans="1:12" x14ac:dyDescent="0.2">
      <c r="A234" t="s">
        <v>4576</v>
      </c>
      <c r="B234">
        <v>7.3764999999999997E-2</v>
      </c>
      <c r="C234">
        <v>276</v>
      </c>
      <c r="D234" t="s">
        <v>4576</v>
      </c>
      <c r="E234">
        <v>276</v>
      </c>
      <c r="F234" s="1">
        <v>45202</v>
      </c>
      <c r="G234" s="6">
        <v>21.260416666666902</v>
      </c>
      <c r="H234" s="7">
        <v>21.260416666666902</v>
      </c>
      <c r="I234" s="26">
        <v>5.2664999999999997</v>
      </c>
      <c r="J234" s="26">
        <f t="shared" si="11"/>
        <v>-5.2664999999999997</v>
      </c>
      <c r="K234" s="26">
        <f t="shared" si="12"/>
        <v>0.20550000000000068</v>
      </c>
      <c r="L234">
        <f t="shared" si="13"/>
        <v>0.17150000000000043</v>
      </c>
    </row>
    <row r="235" spans="1:12" x14ac:dyDescent="0.2">
      <c r="A235" t="s">
        <v>4577</v>
      </c>
      <c r="B235">
        <v>7.3609999999999995E-2</v>
      </c>
      <c r="C235">
        <v>276</v>
      </c>
      <c r="D235" t="s">
        <v>4577</v>
      </c>
      <c r="E235">
        <v>276</v>
      </c>
      <c r="F235" s="1">
        <v>45202</v>
      </c>
      <c r="G235" s="6">
        <v>21.27083333333357</v>
      </c>
      <c r="H235" s="7">
        <v>21.27083333333357</v>
      </c>
      <c r="I235" s="26">
        <v>5.2560000000000002</v>
      </c>
      <c r="J235" s="26">
        <f t="shared" si="11"/>
        <v>-5.2560000000000002</v>
      </c>
      <c r="K235" s="26">
        <f t="shared" si="12"/>
        <v>0.21600000000000019</v>
      </c>
      <c r="L235">
        <f t="shared" si="13"/>
        <v>0.21075000000000044</v>
      </c>
    </row>
    <row r="236" spans="1:12" x14ac:dyDescent="0.2">
      <c r="A236" t="s">
        <v>4578</v>
      </c>
      <c r="B236">
        <v>7.3050000000000004E-2</v>
      </c>
      <c r="C236">
        <v>276</v>
      </c>
      <c r="D236" t="s">
        <v>4578</v>
      </c>
      <c r="E236">
        <v>276</v>
      </c>
      <c r="F236" s="1">
        <v>45202</v>
      </c>
      <c r="G236" s="6">
        <v>21.281250000000238</v>
      </c>
      <c r="H236" s="7">
        <v>21.281250000000238</v>
      </c>
      <c r="I236" s="26">
        <v>5.2149999999999999</v>
      </c>
      <c r="J236" s="26">
        <f t="shared" si="11"/>
        <v>-5.2149999999999999</v>
      </c>
      <c r="K236" s="26">
        <f t="shared" si="12"/>
        <v>0.25700000000000056</v>
      </c>
      <c r="L236">
        <f t="shared" si="13"/>
        <v>0.23650000000000038</v>
      </c>
    </row>
    <row r="237" spans="1:12" x14ac:dyDescent="0.2">
      <c r="A237" t="s">
        <v>4579</v>
      </c>
      <c r="B237">
        <v>7.2510000000000005E-2</v>
      </c>
      <c r="C237">
        <v>276</v>
      </c>
      <c r="D237" t="s">
        <v>4579</v>
      </c>
      <c r="E237">
        <v>276</v>
      </c>
      <c r="F237" s="1">
        <v>45202</v>
      </c>
      <c r="G237" s="6">
        <v>21.291666666666906</v>
      </c>
      <c r="H237" s="7">
        <v>21.291666666666906</v>
      </c>
      <c r="I237" s="26">
        <v>5.1760000000000002</v>
      </c>
      <c r="J237" s="26">
        <f t="shared" si="11"/>
        <v>-5.1760000000000002</v>
      </c>
      <c r="K237" s="26">
        <f t="shared" si="12"/>
        <v>0.29600000000000026</v>
      </c>
      <c r="L237">
        <f t="shared" si="13"/>
        <v>0.27650000000000041</v>
      </c>
    </row>
    <row r="238" spans="1:12" x14ac:dyDescent="0.2">
      <c r="A238" t="s">
        <v>4580</v>
      </c>
      <c r="B238">
        <v>7.2090000000000001E-2</v>
      </c>
      <c r="C238">
        <v>276</v>
      </c>
      <c r="D238" t="s">
        <v>4580</v>
      </c>
      <c r="E238">
        <v>276</v>
      </c>
      <c r="F238" s="1">
        <v>45202</v>
      </c>
      <c r="G238" s="6">
        <v>21.302083333333574</v>
      </c>
      <c r="H238" s="7">
        <v>21.302083333333574</v>
      </c>
      <c r="I238" s="26">
        <v>5.1459999999999999</v>
      </c>
      <c r="J238" s="26">
        <f t="shared" si="11"/>
        <v>-5.1459999999999999</v>
      </c>
      <c r="K238" s="26">
        <f t="shared" si="12"/>
        <v>0.32600000000000051</v>
      </c>
      <c r="L238">
        <f t="shared" si="13"/>
        <v>0.31100000000000039</v>
      </c>
    </row>
    <row r="239" spans="1:12" x14ac:dyDescent="0.2">
      <c r="A239" t="s">
        <v>4581</v>
      </c>
      <c r="B239">
        <v>7.0110000000000006E-2</v>
      </c>
      <c r="C239">
        <v>276</v>
      </c>
      <c r="D239" t="s">
        <v>4581</v>
      </c>
      <c r="E239">
        <v>276</v>
      </c>
      <c r="F239" s="1">
        <v>45202</v>
      </c>
      <c r="G239" s="6">
        <v>21.312500000000242</v>
      </c>
      <c r="H239" s="7">
        <v>21.312500000000242</v>
      </c>
      <c r="I239" s="26">
        <v>5.0054999999999996</v>
      </c>
      <c r="J239" s="26">
        <f t="shared" si="11"/>
        <v>-5.0054999999999996</v>
      </c>
      <c r="K239" s="26">
        <f t="shared" si="12"/>
        <v>0.4665000000000008</v>
      </c>
      <c r="L239">
        <f t="shared" si="13"/>
        <v>0.39625000000000066</v>
      </c>
    </row>
    <row r="240" spans="1:12" x14ac:dyDescent="0.2">
      <c r="A240" t="s">
        <v>4582</v>
      </c>
      <c r="B240">
        <v>7.034E-2</v>
      </c>
      <c r="C240">
        <v>276</v>
      </c>
      <c r="D240" t="s">
        <v>4582</v>
      </c>
      <c r="E240">
        <v>276</v>
      </c>
      <c r="F240" s="1">
        <v>45202</v>
      </c>
      <c r="G240" s="6">
        <v>21.322916666666909</v>
      </c>
      <c r="H240" s="7">
        <v>21.322916666666909</v>
      </c>
      <c r="I240" s="26">
        <v>5.0214999999999996</v>
      </c>
      <c r="J240" s="26">
        <f t="shared" si="11"/>
        <v>-5.0214999999999996</v>
      </c>
      <c r="K240" s="26">
        <f t="shared" si="12"/>
        <v>0.45050000000000079</v>
      </c>
      <c r="L240">
        <f t="shared" si="13"/>
        <v>0.4585000000000008</v>
      </c>
    </row>
    <row r="241" spans="1:12" x14ac:dyDescent="0.2">
      <c r="A241" t="s">
        <v>4583</v>
      </c>
      <c r="B241">
        <v>6.9819999999999993E-2</v>
      </c>
      <c r="C241">
        <v>276</v>
      </c>
      <c r="D241" t="s">
        <v>4583</v>
      </c>
      <c r="E241">
        <v>276</v>
      </c>
      <c r="F241" s="1">
        <v>45202</v>
      </c>
      <c r="G241" s="6">
        <v>21.333333333333577</v>
      </c>
      <c r="H241" s="7">
        <v>21.333333333333577</v>
      </c>
      <c r="I241" s="26">
        <v>4.9855</v>
      </c>
      <c r="J241" s="26">
        <f t="shared" si="11"/>
        <v>-4.9855</v>
      </c>
      <c r="K241" s="26">
        <f t="shared" si="12"/>
        <v>0.48650000000000038</v>
      </c>
      <c r="L241">
        <f t="shared" si="13"/>
        <v>0.46850000000000058</v>
      </c>
    </row>
    <row r="242" spans="1:12" x14ac:dyDescent="0.2">
      <c r="A242" t="s">
        <v>4584</v>
      </c>
      <c r="B242">
        <v>6.9250000000000006E-2</v>
      </c>
      <c r="C242">
        <v>276</v>
      </c>
      <c r="D242" t="s">
        <v>4584</v>
      </c>
      <c r="E242">
        <v>276</v>
      </c>
      <c r="F242" s="1">
        <v>45202</v>
      </c>
      <c r="G242" s="6">
        <v>21.343750000000245</v>
      </c>
      <c r="H242" s="7">
        <v>21.343750000000245</v>
      </c>
      <c r="I242" s="26">
        <v>4.9444999999999997</v>
      </c>
      <c r="J242" s="26">
        <f t="shared" si="11"/>
        <v>-4.9444999999999997</v>
      </c>
      <c r="K242" s="26">
        <f t="shared" si="12"/>
        <v>0.52750000000000075</v>
      </c>
      <c r="L242">
        <f t="shared" si="13"/>
        <v>0.50700000000000056</v>
      </c>
    </row>
    <row r="243" spans="1:12" x14ac:dyDescent="0.2">
      <c r="A243" t="s">
        <v>4585</v>
      </c>
      <c r="B243">
        <v>6.8495E-2</v>
      </c>
      <c r="C243">
        <v>276</v>
      </c>
      <c r="D243" t="s">
        <v>4585</v>
      </c>
      <c r="E243">
        <v>276</v>
      </c>
      <c r="F243" s="1">
        <v>45202</v>
      </c>
      <c r="G243" s="6">
        <v>21.354166666666913</v>
      </c>
      <c r="H243" s="7">
        <v>21.354166666666913</v>
      </c>
      <c r="I243" s="26">
        <v>4.8920000000000003</v>
      </c>
      <c r="J243" s="26">
        <f t="shared" si="11"/>
        <v>-4.8920000000000003</v>
      </c>
      <c r="K243" s="26">
        <f t="shared" si="12"/>
        <v>0.58000000000000007</v>
      </c>
      <c r="L243">
        <f t="shared" si="13"/>
        <v>0.55375000000000041</v>
      </c>
    </row>
    <row r="244" spans="1:12" x14ac:dyDescent="0.2">
      <c r="A244" t="s">
        <v>4586</v>
      </c>
      <c r="B244">
        <v>6.8284999999999998E-2</v>
      </c>
      <c r="C244">
        <v>276</v>
      </c>
      <c r="D244" t="s">
        <v>4586</v>
      </c>
      <c r="E244">
        <v>276</v>
      </c>
      <c r="F244" s="1">
        <v>45202</v>
      </c>
      <c r="G244" s="6">
        <v>21.364583333333581</v>
      </c>
      <c r="H244" s="7">
        <v>21.364583333333581</v>
      </c>
      <c r="I244" s="26">
        <v>4.8754999999999997</v>
      </c>
      <c r="J244" s="26">
        <f t="shared" si="11"/>
        <v>-4.8754999999999997</v>
      </c>
      <c r="K244" s="26">
        <f t="shared" si="12"/>
        <v>0.5965000000000007</v>
      </c>
      <c r="L244">
        <f t="shared" si="13"/>
        <v>0.58825000000000038</v>
      </c>
    </row>
    <row r="245" spans="1:12" x14ac:dyDescent="0.2">
      <c r="A245" t="s">
        <v>4587</v>
      </c>
      <c r="B245">
        <v>6.8419999999999995E-2</v>
      </c>
      <c r="C245">
        <v>276</v>
      </c>
      <c r="D245" t="s">
        <v>4587</v>
      </c>
      <c r="E245">
        <v>276</v>
      </c>
      <c r="F245" s="1">
        <v>45202</v>
      </c>
      <c r="G245" s="6">
        <v>21.375000000000249</v>
      </c>
      <c r="H245" s="7">
        <v>21.375000000000249</v>
      </c>
      <c r="I245" s="26">
        <v>4.8855000000000004</v>
      </c>
      <c r="J245" s="26">
        <f t="shared" si="11"/>
        <v>-4.8855000000000004</v>
      </c>
      <c r="K245" s="26">
        <f t="shared" si="12"/>
        <v>0.58650000000000002</v>
      </c>
      <c r="L245">
        <f t="shared" si="13"/>
        <v>0.59150000000000036</v>
      </c>
    </row>
    <row r="246" spans="1:12" x14ac:dyDescent="0.2">
      <c r="A246" t="s">
        <v>4588</v>
      </c>
      <c r="B246">
        <v>6.8080000000000002E-2</v>
      </c>
      <c r="C246">
        <v>276</v>
      </c>
      <c r="D246" t="s">
        <v>4588</v>
      </c>
      <c r="E246">
        <v>276</v>
      </c>
      <c r="F246" s="1">
        <v>45202</v>
      </c>
      <c r="G246" s="6">
        <v>21.385416666666917</v>
      </c>
      <c r="H246" s="7">
        <v>21.385416666666917</v>
      </c>
      <c r="I246" s="26">
        <v>4.8609999999999998</v>
      </c>
      <c r="J246" s="26">
        <f t="shared" si="11"/>
        <v>-4.8609999999999998</v>
      </c>
      <c r="K246" s="26">
        <f t="shared" si="12"/>
        <v>0.61100000000000065</v>
      </c>
      <c r="L246">
        <f t="shared" si="13"/>
        <v>0.59875000000000034</v>
      </c>
    </row>
    <row r="247" spans="1:12" x14ac:dyDescent="0.2">
      <c r="A247" t="s">
        <v>4589</v>
      </c>
      <c r="B247">
        <v>6.7745E-2</v>
      </c>
      <c r="C247">
        <v>276</v>
      </c>
      <c r="D247" t="s">
        <v>4589</v>
      </c>
      <c r="E247">
        <v>276</v>
      </c>
      <c r="F247" s="1">
        <v>45202</v>
      </c>
      <c r="G247" s="6">
        <v>21.395833333333584</v>
      </c>
      <c r="H247" s="7">
        <v>21.395833333333584</v>
      </c>
      <c r="I247" s="26">
        <v>4.8365</v>
      </c>
      <c r="J247" s="26">
        <f t="shared" si="11"/>
        <v>-4.8365</v>
      </c>
      <c r="K247" s="26">
        <f t="shared" si="12"/>
        <v>0.6355000000000004</v>
      </c>
      <c r="L247">
        <f t="shared" si="13"/>
        <v>0.62325000000000053</v>
      </c>
    </row>
    <row r="248" spans="1:12" x14ac:dyDescent="0.2">
      <c r="A248" t="s">
        <v>4590</v>
      </c>
      <c r="B248">
        <v>6.7650000000000002E-2</v>
      </c>
      <c r="C248">
        <v>276</v>
      </c>
      <c r="D248" t="s">
        <v>4590</v>
      </c>
      <c r="E248">
        <v>276</v>
      </c>
      <c r="F248" s="1">
        <v>45202</v>
      </c>
      <c r="G248" s="6">
        <v>21.406250000000252</v>
      </c>
      <c r="H248" s="7">
        <v>21.406250000000252</v>
      </c>
      <c r="I248" s="26">
        <v>4.8310000000000004</v>
      </c>
      <c r="J248" s="26">
        <f t="shared" si="11"/>
        <v>-4.8310000000000004</v>
      </c>
      <c r="K248" s="26">
        <f t="shared" si="12"/>
        <v>0.64100000000000001</v>
      </c>
      <c r="L248">
        <f t="shared" si="13"/>
        <v>0.63825000000000021</v>
      </c>
    </row>
    <row r="249" spans="1:12" x14ac:dyDescent="0.2">
      <c r="A249" t="s">
        <v>4591</v>
      </c>
      <c r="B249">
        <v>6.8089999999999998E-2</v>
      </c>
      <c r="C249">
        <v>276</v>
      </c>
      <c r="D249" t="s">
        <v>4591</v>
      </c>
      <c r="E249">
        <v>276</v>
      </c>
      <c r="F249" s="1">
        <v>45202</v>
      </c>
      <c r="G249" s="6">
        <v>21.41666666666692</v>
      </c>
      <c r="H249" s="7">
        <v>21.41666666666692</v>
      </c>
      <c r="I249" s="26">
        <v>4.8614999999999897</v>
      </c>
      <c r="J249" s="26">
        <f t="shared" si="11"/>
        <v>-4.8614999999999897</v>
      </c>
      <c r="K249" s="26">
        <f t="shared" si="12"/>
        <v>0.6105000000000107</v>
      </c>
      <c r="L249">
        <f t="shared" si="13"/>
        <v>0.62575000000000536</v>
      </c>
    </row>
    <row r="250" spans="1:12" x14ac:dyDescent="0.2">
      <c r="A250" t="s">
        <v>4593</v>
      </c>
      <c r="B250">
        <v>6.7324999999999996E-2</v>
      </c>
      <c r="C250">
        <v>276</v>
      </c>
      <c r="D250" t="s">
        <v>4593</v>
      </c>
      <c r="E250">
        <v>276</v>
      </c>
      <c r="F250" s="1">
        <v>45202</v>
      </c>
      <c r="G250" s="6">
        <v>21.427083333333588</v>
      </c>
      <c r="H250" s="7">
        <v>21.427083333333588</v>
      </c>
      <c r="I250" s="26">
        <v>4.8064999999999998</v>
      </c>
      <c r="J250" s="26">
        <f t="shared" si="11"/>
        <v>-4.8064999999999998</v>
      </c>
      <c r="K250" s="26">
        <f t="shared" si="12"/>
        <v>0.66550000000000065</v>
      </c>
      <c r="L250">
        <f t="shared" si="13"/>
        <v>0.63800000000000567</v>
      </c>
    </row>
    <row r="251" spans="1:12" x14ac:dyDescent="0.2">
      <c r="A251" t="s">
        <v>4594</v>
      </c>
      <c r="B251">
        <v>6.7849999999999994E-2</v>
      </c>
      <c r="C251">
        <v>276</v>
      </c>
      <c r="D251" t="s">
        <v>4594</v>
      </c>
      <c r="E251">
        <v>276</v>
      </c>
      <c r="F251" s="1">
        <v>45202</v>
      </c>
      <c r="G251" s="6">
        <v>21.437500000000256</v>
      </c>
      <c r="H251" s="7">
        <v>21.437500000000256</v>
      </c>
      <c r="I251" s="26">
        <v>4.8445</v>
      </c>
      <c r="J251" s="26">
        <f t="shared" si="11"/>
        <v>-4.8445</v>
      </c>
      <c r="K251" s="26">
        <f t="shared" si="12"/>
        <v>0.62750000000000039</v>
      </c>
      <c r="L251">
        <f t="shared" si="13"/>
        <v>0.64650000000000052</v>
      </c>
    </row>
    <row r="252" spans="1:12" x14ac:dyDescent="0.2">
      <c r="A252" t="s">
        <v>4595</v>
      </c>
      <c r="B252">
        <v>6.7379999999999995E-2</v>
      </c>
      <c r="C252">
        <v>276</v>
      </c>
      <c r="D252" t="s">
        <v>4595</v>
      </c>
      <c r="E252">
        <v>276</v>
      </c>
      <c r="F252" s="1">
        <v>45202</v>
      </c>
      <c r="G252" s="6">
        <v>21.447916666666924</v>
      </c>
      <c r="H252" s="7">
        <v>21.447916666666924</v>
      </c>
      <c r="I252" s="26">
        <v>4.8109999999999999</v>
      </c>
      <c r="J252" s="26">
        <f t="shared" si="11"/>
        <v>-4.8109999999999999</v>
      </c>
      <c r="K252" s="26">
        <f t="shared" si="12"/>
        <v>0.66100000000000048</v>
      </c>
      <c r="L252">
        <f t="shared" si="13"/>
        <v>0.64425000000000043</v>
      </c>
    </row>
    <row r="253" spans="1:12" x14ac:dyDescent="0.2">
      <c r="A253" t="s">
        <v>4596</v>
      </c>
      <c r="B253">
        <v>6.8044999999999994E-2</v>
      </c>
      <c r="C253">
        <v>276</v>
      </c>
      <c r="D253" t="s">
        <v>4596</v>
      </c>
      <c r="E253">
        <v>276</v>
      </c>
      <c r="F253" s="1">
        <v>45202</v>
      </c>
      <c r="G253" s="6">
        <v>21.458333333333591</v>
      </c>
      <c r="H253" s="7">
        <v>21.458333333333591</v>
      </c>
      <c r="I253" s="26">
        <v>4.8579999999999997</v>
      </c>
      <c r="J253" s="26">
        <f t="shared" si="11"/>
        <v>-4.8579999999999997</v>
      </c>
      <c r="K253" s="26">
        <f t="shared" si="12"/>
        <v>0.61400000000000077</v>
      </c>
      <c r="L253">
        <f t="shared" si="13"/>
        <v>0.63750000000000062</v>
      </c>
    </row>
    <row r="254" spans="1:12" x14ac:dyDescent="0.2">
      <c r="A254" t="s">
        <v>4597</v>
      </c>
      <c r="B254">
        <v>6.7409999999999998E-2</v>
      </c>
      <c r="C254">
        <v>276</v>
      </c>
      <c r="D254" t="s">
        <v>4597</v>
      </c>
      <c r="E254">
        <v>276</v>
      </c>
      <c r="F254" s="1">
        <v>45202</v>
      </c>
      <c r="G254" s="6">
        <v>21.468750000000259</v>
      </c>
      <c r="H254" s="7">
        <v>21.468750000000259</v>
      </c>
      <c r="I254" s="26">
        <v>4.8144999999999998</v>
      </c>
      <c r="J254" s="26">
        <f t="shared" si="11"/>
        <v>-4.8144999999999998</v>
      </c>
      <c r="K254" s="26">
        <f t="shared" si="12"/>
        <v>0.65750000000000064</v>
      </c>
      <c r="L254">
        <f t="shared" si="13"/>
        <v>0.6357500000000007</v>
      </c>
    </row>
    <row r="255" spans="1:12" x14ac:dyDescent="0.2">
      <c r="A255" t="s">
        <v>4598</v>
      </c>
      <c r="B255">
        <v>6.7964999999999998E-2</v>
      </c>
      <c r="C255">
        <v>276</v>
      </c>
      <c r="D255" t="s">
        <v>4598</v>
      </c>
      <c r="E255">
        <v>276</v>
      </c>
      <c r="F255" s="1">
        <v>45202</v>
      </c>
      <c r="G255" s="6">
        <v>21.479166666666927</v>
      </c>
      <c r="H255" s="7">
        <v>21.479166666666927</v>
      </c>
      <c r="I255" s="26">
        <v>4.8529999999999998</v>
      </c>
      <c r="J255" s="26">
        <f t="shared" si="11"/>
        <v>-4.8529999999999998</v>
      </c>
      <c r="K255" s="26">
        <f t="shared" si="12"/>
        <v>0.61900000000000066</v>
      </c>
      <c r="L255">
        <f t="shared" si="13"/>
        <v>0.63825000000000065</v>
      </c>
    </row>
    <row r="256" spans="1:12" x14ac:dyDescent="0.2">
      <c r="A256" t="s">
        <v>4599</v>
      </c>
      <c r="B256">
        <v>6.7174999999999999E-2</v>
      </c>
      <c r="C256">
        <v>276</v>
      </c>
      <c r="D256" t="s">
        <v>4599</v>
      </c>
      <c r="E256" s="17">
        <v>276</v>
      </c>
      <c r="F256" s="18">
        <v>45202</v>
      </c>
      <c r="G256" s="29">
        <v>21.489583333333595</v>
      </c>
      <c r="H256" s="19">
        <v>21.489583333333595</v>
      </c>
      <c r="I256" s="30">
        <v>4.7965</v>
      </c>
      <c r="J256" s="30">
        <f t="shared" si="11"/>
        <v>-4.7965</v>
      </c>
      <c r="K256" s="26">
        <f t="shared" si="12"/>
        <v>0.67550000000000043</v>
      </c>
      <c r="L256">
        <f t="shared" si="13"/>
        <v>0.64725000000000055</v>
      </c>
    </row>
    <row r="257" spans="1:12" x14ac:dyDescent="0.2">
      <c r="A257" t="s">
        <v>4600</v>
      </c>
      <c r="B257">
        <v>6.8004999999999996E-2</v>
      </c>
      <c r="C257">
        <v>276</v>
      </c>
      <c r="D257" t="s">
        <v>4600</v>
      </c>
      <c r="E257">
        <v>276</v>
      </c>
      <c r="F257" s="1">
        <v>45202</v>
      </c>
      <c r="G257" s="6">
        <v>21.500000000000263</v>
      </c>
      <c r="H257" s="7">
        <v>21.500000000000263</v>
      </c>
      <c r="I257" s="26">
        <v>4.8544999999999998</v>
      </c>
      <c r="J257" s="26">
        <f t="shared" si="11"/>
        <v>-4.8544999999999998</v>
      </c>
      <c r="K257" s="26">
        <f t="shared" si="12"/>
        <v>0.6175000000000006</v>
      </c>
      <c r="L257">
        <f t="shared" si="13"/>
        <v>0.64650000000000052</v>
      </c>
    </row>
    <row r="258" spans="1:12" x14ac:dyDescent="0.2">
      <c r="A258" t="s">
        <v>4601</v>
      </c>
      <c r="B258">
        <v>6.8010000000000001E-2</v>
      </c>
      <c r="C258">
        <v>276</v>
      </c>
      <c r="D258" t="s">
        <v>4601</v>
      </c>
      <c r="E258">
        <v>276</v>
      </c>
      <c r="F258" s="1">
        <v>45202</v>
      </c>
      <c r="G258" s="6">
        <v>21.510416666666931</v>
      </c>
      <c r="H258" s="7">
        <v>21.510416666666931</v>
      </c>
      <c r="I258" s="26">
        <v>4.8550000000000004</v>
      </c>
      <c r="J258" s="26">
        <f t="shared" si="11"/>
        <v>-4.8550000000000004</v>
      </c>
      <c r="K258" s="26">
        <f t="shared" si="12"/>
        <v>0.61699999999999999</v>
      </c>
      <c r="L258">
        <f t="shared" si="13"/>
        <v>0.6172500000000003</v>
      </c>
    </row>
    <row r="259" spans="1:12" x14ac:dyDescent="0.2">
      <c r="A259" t="s">
        <v>4602</v>
      </c>
      <c r="B259">
        <v>6.8229999999999999E-2</v>
      </c>
      <c r="C259">
        <v>276</v>
      </c>
      <c r="D259" t="s">
        <v>4602</v>
      </c>
      <c r="E259">
        <v>276</v>
      </c>
      <c r="F259" s="1">
        <v>45202</v>
      </c>
      <c r="G259" s="6">
        <v>21.520833333333599</v>
      </c>
      <c r="H259" s="7">
        <v>21.520833333333599</v>
      </c>
      <c r="I259" s="26">
        <v>4.8715000000000002</v>
      </c>
      <c r="J259" s="26">
        <f t="shared" ref="J259:J322" si="14">-I259</f>
        <v>-4.8715000000000002</v>
      </c>
      <c r="K259" s="26">
        <f t="shared" si="12"/>
        <v>0.60050000000000026</v>
      </c>
      <c r="L259">
        <f t="shared" si="13"/>
        <v>0.60875000000000012</v>
      </c>
    </row>
    <row r="260" spans="1:12" x14ac:dyDescent="0.2">
      <c r="A260" t="s">
        <v>4603</v>
      </c>
      <c r="B260">
        <v>6.8235000000000004E-2</v>
      </c>
      <c r="C260">
        <v>276</v>
      </c>
      <c r="D260" t="s">
        <v>4603</v>
      </c>
      <c r="E260">
        <v>276</v>
      </c>
      <c r="F260" s="1">
        <v>45202</v>
      </c>
      <c r="G260" s="6">
        <v>21.531250000000266</v>
      </c>
      <c r="H260" s="7">
        <v>21.531250000000266</v>
      </c>
      <c r="I260" s="26">
        <v>4.8724999999999996</v>
      </c>
      <c r="J260" s="26">
        <f t="shared" si="14"/>
        <v>-4.8724999999999996</v>
      </c>
      <c r="K260" s="26">
        <f t="shared" si="12"/>
        <v>0.59950000000000081</v>
      </c>
      <c r="L260">
        <f t="shared" si="13"/>
        <v>0.60000000000000053</v>
      </c>
    </row>
    <row r="261" spans="1:12" x14ac:dyDescent="0.2">
      <c r="A261" t="s">
        <v>4604</v>
      </c>
      <c r="B261">
        <v>6.8709999999999993E-2</v>
      </c>
      <c r="C261">
        <v>276</v>
      </c>
      <c r="D261" t="s">
        <v>4604</v>
      </c>
      <c r="E261">
        <v>276</v>
      </c>
      <c r="F261" s="1">
        <v>45202</v>
      </c>
      <c r="G261" s="6">
        <v>21.541666666666934</v>
      </c>
      <c r="H261" s="7">
        <v>21.541666666666934</v>
      </c>
      <c r="I261" s="26">
        <v>4.9065000000000003</v>
      </c>
      <c r="J261" s="26">
        <f t="shared" si="14"/>
        <v>-4.9065000000000003</v>
      </c>
      <c r="K261" s="26">
        <f t="shared" si="12"/>
        <v>0.56550000000000011</v>
      </c>
      <c r="L261">
        <f t="shared" si="13"/>
        <v>0.58250000000000046</v>
      </c>
    </row>
    <row r="262" spans="1:12" x14ac:dyDescent="0.2">
      <c r="A262" t="s">
        <v>4605</v>
      </c>
      <c r="B262">
        <v>6.8400000000000002E-2</v>
      </c>
      <c r="C262">
        <v>276</v>
      </c>
      <c r="D262" t="s">
        <v>4605</v>
      </c>
      <c r="E262">
        <v>276</v>
      </c>
      <c r="F262" s="1">
        <v>45202</v>
      </c>
      <c r="G262" s="6">
        <v>21.552083333333602</v>
      </c>
      <c r="H262" s="7">
        <v>21.552083333333602</v>
      </c>
      <c r="I262" s="26">
        <v>4.8840000000000003</v>
      </c>
      <c r="J262" s="26">
        <f t="shared" si="14"/>
        <v>-4.8840000000000003</v>
      </c>
      <c r="K262" s="26">
        <f t="shared" si="12"/>
        <v>0.58800000000000008</v>
      </c>
      <c r="L262">
        <f t="shared" si="13"/>
        <v>0.5767500000000001</v>
      </c>
    </row>
    <row r="263" spans="1:12" x14ac:dyDescent="0.2">
      <c r="A263" t="s">
        <v>4606</v>
      </c>
      <c r="B263">
        <v>6.8574999999999997E-2</v>
      </c>
      <c r="C263">
        <v>276</v>
      </c>
      <c r="D263" t="s">
        <v>4606</v>
      </c>
      <c r="E263">
        <v>276</v>
      </c>
      <c r="F263" s="1">
        <v>45202</v>
      </c>
      <c r="G263" s="6">
        <v>21.56250000000027</v>
      </c>
      <c r="H263" s="7">
        <v>21.56250000000027</v>
      </c>
      <c r="I263" s="26">
        <v>4.8955000000000002</v>
      </c>
      <c r="J263" s="26">
        <f t="shared" si="14"/>
        <v>-4.8955000000000002</v>
      </c>
      <c r="K263" s="26">
        <f t="shared" si="12"/>
        <v>0.57650000000000023</v>
      </c>
      <c r="L263">
        <f t="shared" si="13"/>
        <v>0.58225000000000016</v>
      </c>
    </row>
    <row r="264" spans="1:12" x14ac:dyDescent="0.2">
      <c r="A264" t="s">
        <v>4607</v>
      </c>
      <c r="B264">
        <v>6.8589999999999998E-2</v>
      </c>
      <c r="C264">
        <v>276</v>
      </c>
      <c r="D264" t="s">
        <v>4607</v>
      </c>
      <c r="E264">
        <v>276</v>
      </c>
      <c r="F264" s="1">
        <v>45202</v>
      </c>
      <c r="G264" s="6">
        <v>21.572916666666938</v>
      </c>
      <c r="H264" s="7">
        <v>21.572916666666938</v>
      </c>
      <c r="I264" s="26">
        <v>4.8959999999999999</v>
      </c>
      <c r="J264" s="26">
        <f t="shared" si="14"/>
        <v>-4.8959999999999999</v>
      </c>
      <c r="K264" s="26">
        <f t="shared" si="12"/>
        <v>0.57600000000000051</v>
      </c>
      <c r="L264">
        <f t="shared" si="13"/>
        <v>0.57625000000000037</v>
      </c>
    </row>
    <row r="265" spans="1:12" x14ac:dyDescent="0.2">
      <c r="A265" t="s">
        <v>4608</v>
      </c>
      <c r="B265">
        <v>6.8709999999999993E-2</v>
      </c>
      <c r="C265">
        <v>276</v>
      </c>
      <c r="D265" t="s">
        <v>4608</v>
      </c>
      <c r="E265">
        <v>276</v>
      </c>
      <c r="F265" s="1">
        <v>45202</v>
      </c>
      <c r="G265" s="6">
        <v>21.583333333333606</v>
      </c>
      <c r="H265" s="7">
        <v>21.583333333333606</v>
      </c>
      <c r="I265" s="26">
        <v>4.9059999999999997</v>
      </c>
      <c r="J265" s="26">
        <f t="shared" si="14"/>
        <v>-4.9059999999999997</v>
      </c>
      <c r="K265" s="26">
        <f t="shared" si="12"/>
        <v>0.56600000000000072</v>
      </c>
      <c r="L265">
        <f t="shared" si="13"/>
        <v>0.57100000000000062</v>
      </c>
    </row>
    <row r="266" spans="1:12" x14ac:dyDescent="0.2">
      <c r="A266" t="s">
        <v>4609</v>
      </c>
      <c r="B266">
        <v>6.8650000000000003E-2</v>
      </c>
      <c r="C266">
        <v>276</v>
      </c>
      <c r="D266" t="s">
        <v>4609</v>
      </c>
      <c r="E266">
        <v>276</v>
      </c>
      <c r="F266" s="1">
        <v>45202</v>
      </c>
      <c r="G266" s="6">
        <v>21.593750000000274</v>
      </c>
      <c r="H266" s="7">
        <v>21.593750000000274</v>
      </c>
      <c r="I266" s="26">
        <v>4.8994999999999997</v>
      </c>
      <c r="J266" s="26">
        <f t="shared" si="14"/>
        <v>-4.8994999999999997</v>
      </c>
      <c r="K266" s="26">
        <f t="shared" si="12"/>
        <v>0.57250000000000068</v>
      </c>
      <c r="L266">
        <f t="shared" si="13"/>
        <v>0.5692500000000007</v>
      </c>
    </row>
    <row r="267" spans="1:12" x14ac:dyDescent="0.2">
      <c r="A267" t="s">
        <v>4610</v>
      </c>
      <c r="B267">
        <v>6.9029999999999994E-2</v>
      </c>
      <c r="C267">
        <v>276</v>
      </c>
      <c r="D267" t="s">
        <v>4610</v>
      </c>
      <c r="E267">
        <v>276</v>
      </c>
      <c r="F267" s="1">
        <v>45202</v>
      </c>
      <c r="G267" s="6">
        <v>21.604166666666941</v>
      </c>
      <c r="H267" s="7">
        <v>21.604166666666941</v>
      </c>
      <c r="I267" s="26">
        <v>4.9279999999999999</v>
      </c>
      <c r="J267" s="26">
        <f t="shared" si="14"/>
        <v>-4.9279999999999999</v>
      </c>
      <c r="K267" s="26">
        <f t="shared" si="12"/>
        <v>0.54400000000000048</v>
      </c>
      <c r="L267">
        <f t="shared" si="13"/>
        <v>0.55825000000000058</v>
      </c>
    </row>
    <row r="268" spans="1:12" x14ac:dyDescent="0.2">
      <c r="A268" t="s">
        <v>4611</v>
      </c>
      <c r="B268">
        <v>6.9175E-2</v>
      </c>
      <c r="C268">
        <v>277</v>
      </c>
      <c r="D268" t="s">
        <v>4611</v>
      </c>
      <c r="E268">
        <v>276</v>
      </c>
      <c r="F268" s="1">
        <v>45202</v>
      </c>
      <c r="G268" s="6">
        <v>21.614583333333609</v>
      </c>
      <c r="H268" s="7">
        <v>21.614583333333609</v>
      </c>
      <c r="I268" s="26">
        <v>4.9375</v>
      </c>
      <c r="J268" s="26">
        <f t="shared" si="14"/>
        <v>-4.9375</v>
      </c>
      <c r="K268" s="26">
        <f t="shared" si="12"/>
        <v>0.53450000000000042</v>
      </c>
      <c r="L268">
        <f t="shared" si="13"/>
        <v>0.53925000000000045</v>
      </c>
    </row>
    <row r="269" spans="1:12" x14ac:dyDescent="0.2">
      <c r="A269" t="s">
        <v>4612</v>
      </c>
      <c r="B269">
        <v>6.9224999999999995E-2</v>
      </c>
      <c r="C269">
        <v>277</v>
      </c>
      <c r="D269" t="s">
        <v>4612</v>
      </c>
      <c r="E269">
        <v>276</v>
      </c>
      <c r="F269" s="1">
        <v>45202</v>
      </c>
      <c r="G269" s="6">
        <v>21.625000000000277</v>
      </c>
      <c r="H269" s="7">
        <v>21.625000000000277</v>
      </c>
      <c r="I269" s="26">
        <v>4.9414999999999996</v>
      </c>
      <c r="J269" s="26">
        <f t="shared" si="14"/>
        <v>-4.9414999999999996</v>
      </c>
      <c r="K269" s="26">
        <f t="shared" si="12"/>
        <v>0.53050000000000086</v>
      </c>
      <c r="L269">
        <f t="shared" si="13"/>
        <v>0.53250000000000064</v>
      </c>
    </row>
    <row r="270" spans="1:12" x14ac:dyDescent="0.2">
      <c r="A270" t="s">
        <v>4614</v>
      </c>
      <c r="B270">
        <v>6.9239999999999996E-2</v>
      </c>
      <c r="C270">
        <v>277</v>
      </c>
      <c r="D270" t="s">
        <v>4614</v>
      </c>
      <c r="E270">
        <v>276</v>
      </c>
      <c r="F270" s="1">
        <v>45202</v>
      </c>
      <c r="G270" s="6">
        <v>21.635416666666945</v>
      </c>
      <c r="H270" s="7">
        <v>21.635416666666945</v>
      </c>
      <c r="I270" s="26">
        <v>4.9424999999999999</v>
      </c>
      <c r="J270" s="26">
        <f t="shared" si="14"/>
        <v>-4.9424999999999999</v>
      </c>
      <c r="K270" s="26">
        <f t="shared" si="12"/>
        <v>0.52950000000000053</v>
      </c>
      <c r="L270">
        <f t="shared" si="13"/>
        <v>0.53000000000000069</v>
      </c>
    </row>
    <row r="271" spans="1:12" x14ac:dyDescent="0.2">
      <c r="A271" t="s">
        <v>4615</v>
      </c>
      <c r="B271">
        <v>6.9360000000000005E-2</v>
      </c>
      <c r="C271">
        <v>277</v>
      </c>
      <c r="D271" t="s">
        <v>4615</v>
      </c>
      <c r="E271">
        <v>276</v>
      </c>
      <c r="F271" s="1">
        <v>45202</v>
      </c>
      <c r="G271" s="6">
        <v>21.645833333333613</v>
      </c>
      <c r="H271" s="7">
        <v>21.645833333333613</v>
      </c>
      <c r="I271" s="26">
        <v>4.9509999999999996</v>
      </c>
      <c r="J271" s="26">
        <f t="shared" si="14"/>
        <v>-4.9509999999999996</v>
      </c>
      <c r="K271" s="26">
        <f t="shared" si="12"/>
        <v>0.5210000000000008</v>
      </c>
      <c r="L271">
        <f t="shared" si="13"/>
        <v>0.52525000000000066</v>
      </c>
    </row>
    <row r="272" spans="1:12" x14ac:dyDescent="0.2">
      <c r="A272" t="s">
        <v>4616</v>
      </c>
      <c r="B272">
        <v>6.9639999999999994E-2</v>
      </c>
      <c r="C272">
        <v>277</v>
      </c>
      <c r="D272" t="s">
        <v>4616</v>
      </c>
      <c r="E272">
        <v>276</v>
      </c>
      <c r="F272" s="1">
        <v>45202</v>
      </c>
      <c r="G272" s="6">
        <v>21.656250000000281</v>
      </c>
      <c r="H272" s="7">
        <v>21.656250000000281</v>
      </c>
      <c r="I272" s="26">
        <v>4.9710000000000001</v>
      </c>
      <c r="J272" s="26">
        <f t="shared" si="14"/>
        <v>-4.9710000000000001</v>
      </c>
      <c r="K272" s="26">
        <f t="shared" si="12"/>
        <v>0.50100000000000033</v>
      </c>
      <c r="L272">
        <f t="shared" si="13"/>
        <v>0.51100000000000056</v>
      </c>
    </row>
    <row r="273" spans="1:12" x14ac:dyDescent="0.2">
      <c r="A273" t="s">
        <v>4617</v>
      </c>
      <c r="B273">
        <v>6.8930000000000005E-2</v>
      </c>
      <c r="C273">
        <v>277</v>
      </c>
      <c r="D273" t="s">
        <v>4617</v>
      </c>
      <c r="E273">
        <v>276</v>
      </c>
      <c r="F273" s="1">
        <v>45202</v>
      </c>
      <c r="G273" s="6">
        <v>21.666666666666949</v>
      </c>
      <c r="H273" s="7">
        <v>21.666666666666949</v>
      </c>
      <c r="I273" s="26">
        <v>4.9210000000000003</v>
      </c>
      <c r="J273" s="26">
        <f t="shared" si="14"/>
        <v>-4.9210000000000003</v>
      </c>
      <c r="K273" s="26">
        <f t="shared" si="12"/>
        <v>0.55100000000000016</v>
      </c>
      <c r="L273">
        <f t="shared" si="13"/>
        <v>0.52600000000000025</v>
      </c>
    </row>
    <row r="274" spans="1:12" x14ac:dyDescent="0.2">
      <c r="A274" t="s">
        <v>4618</v>
      </c>
      <c r="B274">
        <v>6.9525000000000003E-2</v>
      </c>
      <c r="C274">
        <v>277</v>
      </c>
      <c r="D274" t="s">
        <v>4618</v>
      </c>
      <c r="E274">
        <v>276</v>
      </c>
      <c r="F274" s="1">
        <v>45202</v>
      </c>
      <c r="G274" s="6">
        <v>21.677083333333616</v>
      </c>
      <c r="H274" s="7">
        <v>21.677083333333616</v>
      </c>
      <c r="I274" s="26">
        <v>4.9645000000000001</v>
      </c>
      <c r="J274" s="26">
        <f t="shared" si="14"/>
        <v>-4.9645000000000001</v>
      </c>
      <c r="K274" s="26">
        <f t="shared" si="12"/>
        <v>0.50750000000000028</v>
      </c>
      <c r="L274">
        <f t="shared" si="13"/>
        <v>0.52925000000000022</v>
      </c>
    </row>
    <row r="275" spans="1:12" x14ac:dyDescent="0.2">
      <c r="A275" t="s">
        <v>4619</v>
      </c>
      <c r="B275">
        <v>6.8934999999999996E-2</v>
      </c>
      <c r="C275">
        <v>277</v>
      </c>
      <c r="D275" t="s">
        <v>4619</v>
      </c>
      <c r="E275">
        <v>276</v>
      </c>
      <c r="F275" s="1">
        <v>45202</v>
      </c>
      <c r="G275" s="6">
        <v>21.687500000000284</v>
      </c>
      <c r="H275" s="7">
        <v>21.687500000000284</v>
      </c>
      <c r="I275" s="26">
        <v>4.9215</v>
      </c>
      <c r="J275" s="26">
        <f t="shared" si="14"/>
        <v>-4.9215</v>
      </c>
      <c r="K275" s="26">
        <f t="shared" si="12"/>
        <v>0.55050000000000043</v>
      </c>
      <c r="L275">
        <f t="shared" si="13"/>
        <v>0.52900000000000036</v>
      </c>
    </row>
    <row r="276" spans="1:12" x14ac:dyDescent="0.2">
      <c r="A276" t="s">
        <v>4620</v>
      </c>
      <c r="B276">
        <v>6.9815000000000002E-2</v>
      </c>
      <c r="C276">
        <v>277</v>
      </c>
      <c r="D276" t="s">
        <v>4620</v>
      </c>
      <c r="E276">
        <v>276</v>
      </c>
      <c r="F276" s="1">
        <v>45202</v>
      </c>
      <c r="G276" s="6">
        <v>21.697916666666952</v>
      </c>
      <c r="H276" s="7">
        <v>21.697916666666952</v>
      </c>
      <c r="I276" s="26">
        <v>4.9835000000000003</v>
      </c>
      <c r="J276" s="26">
        <f t="shared" si="14"/>
        <v>-4.9835000000000003</v>
      </c>
      <c r="K276" s="26">
        <f t="shared" si="12"/>
        <v>0.48850000000000016</v>
      </c>
      <c r="L276">
        <f t="shared" si="13"/>
        <v>0.51950000000000029</v>
      </c>
    </row>
    <row r="277" spans="1:12" x14ac:dyDescent="0.2">
      <c r="A277" t="s">
        <v>4621</v>
      </c>
      <c r="B277">
        <v>6.9629999999999997E-2</v>
      </c>
      <c r="C277">
        <v>277</v>
      </c>
      <c r="D277" t="s">
        <v>4621</v>
      </c>
      <c r="E277">
        <v>276</v>
      </c>
      <c r="F277" s="1">
        <v>45202</v>
      </c>
      <c r="G277" s="6">
        <v>21.70833333333362</v>
      </c>
      <c r="H277" s="7">
        <v>21.70833333333362</v>
      </c>
      <c r="I277" s="26">
        <v>4.9714999999999998</v>
      </c>
      <c r="J277" s="26">
        <f t="shared" si="14"/>
        <v>-4.9714999999999998</v>
      </c>
      <c r="K277" s="26">
        <f t="shared" si="12"/>
        <v>0.50050000000000061</v>
      </c>
      <c r="L277">
        <f t="shared" si="13"/>
        <v>0.49450000000000038</v>
      </c>
    </row>
    <row r="278" spans="1:12" x14ac:dyDescent="0.2">
      <c r="A278" t="s">
        <v>4622</v>
      </c>
      <c r="B278">
        <v>7.0264999999999994E-2</v>
      </c>
      <c r="C278">
        <v>277</v>
      </c>
      <c r="D278" t="s">
        <v>4622</v>
      </c>
      <c r="E278">
        <v>276</v>
      </c>
      <c r="F278" s="1">
        <v>45202</v>
      </c>
      <c r="G278" s="6">
        <v>21.718750000000288</v>
      </c>
      <c r="H278" s="7">
        <v>21.718750000000288</v>
      </c>
      <c r="I278" s="26">
        <v>5.0175000000000001</v>
      </c>
      <c r="J278" s="26">
        <f t="shared" si="14"/>
        <v>-5.0175000000000001</v>
      </c>
      <c r="K278" s="26">
        <f t="shared" si="12"/>
        <v>0.45450000000000035</v>
      </c>
      <c r="L278">
        <f t="shared" si="13"/>
        <v>0.47750000000000048</v>
      </c>
    </row>
    <row r="279" spans="1:12" x14ac:dyDescent="0.2">
      <c r="A279" t="s">
        <v>4623</v>
      </c>
      <c r="B279">
        <v>6.8900000000000003E-2</v>
      </c>
      <c r="C279">
        <v>277</v>
      </c>
      <c r="D279" t="s">
        <v>4623</v>
      </c>
      <c r="E279">
        <v>276</v>
      </c>
      <c r="F279" s="1">
        <v>45202</v>
      </c>
      <c r="G279" s="6">
        <v>21.729166666666956</v>
      </c>
      <c r="H279" s="7">
        <v>21.729166666666956</v>
      </c>
      <c r="I279" s="26">
        <v>4.9195000000000002</v>
      </c>
      <c r="J279" s="26">
        <f t="shared" si="14"/>
        <v>-4.9195000000000002</v>
      </c>
      <c r="K279" s="26">
        <f t="shared" si="12"/>
        <v>0.55250000000000021</v>
      </c>
      <c r="L279">
        <f t="shared" si="13"/>
        <v>0.50350000000000028</v>
      </c>
    </row>
    <row r="280" spans="1:12" x14ac:dyDescent="0.2">
      <c r="A280" t="s">
        <v>4624</v>
      </c>
      <c r="B280">
        <v>7.0764999999999995E-2</v>
      </c>
      <c r="C280">
        <v>277</v>
      </c>
      <c r="D280" t="s">
        <v>4624</v>
      </c>
      <c r="E280">
        <v>276</v>
      </c>
      <c r="F280" s="1">
        <v>45202</v>
      </c>
      <c r="G280" s="6">
        <v>21.739583333333623</v>
      </c>
      <c r="H280" s="7">
        <v>21.739583333333623</v>
      </c>
      <c r="I280" s="26">
        <v>5.0504999999999898</v>
      </c>
      <c r="J280" s="26">
        <f t="shared" si="14"/>
        <v>-5.0504999999999898</v>
      </c>
      <c r="K280" s="26">
        <f t="shared" si="12"/>
        <v>0.42150000000001064</v>
      </c>
      <c r="L280">
        <f t="shared" si="13"/>
        <v>0.48700000000000543</v>
      </c>
    </row>
    <row r="281" spans="1:12" x14ac:dyDescent="0.2">
      <c r="A281" t="s">
        <v>4626</v>
      </c>
      <c r="B281">
        <v>7.1230000000000002E-2</v>
      </c>
      <c r="C281">
        <v>277</v>
      </c>
      <c r="D281" t="s">
        <v>4626</v>
      </c>
      <c r="E281">
        <v>276</v>
      </c>
      <c r="F281" s="1">
        <v>45202</v>
      </c>
      <c r="G281" s="6">
        <v>21.750000000000291</v>
      </c>
      <c r="H281" s="7">
        <v>21.750000000000291</v>
      </c>
      <c r="I281" s="26">
        <v>5.0854999999999997</v>
      </c>
      <c r="J281" s="26">
        <f t="shared" si="14"/>
        <v>-5.0854999999999997</v>
      </c>
      <c r="K281" s="26">
        <f t="shared" ref="K281:K302" si="15">J281+5.472</f>
        <v>0.38650000000000073</v>
      </c>
      <c r="L281">
        <f t="shared" ref="L281:L302" si="16">(K280+K281)/2</f>
        <v>0.40400000000000569</v>
      </c>
    </row>
    <row r="282" spans="1:12" x14ac:dyDescent="0.2">
      <c r="A282" t="s">
        <v>4627</v>
      </c>
      <c r="B282">
        <v>7.2095000000000006E-2</v>
      </c>
      <c r="C282">
        <v>277</v>
      </c>
      <c r="D282" t="s">
        <v>4627</v>
      </c>
      <c r="E282">
        <v>276</v>
      </c>
      <c r="F282" s="1">
        <v>45202</v>
      </c>
      <c r="G282" s="6">
        <v>21.760416666666959</v>
      </c>
      <c r="H282" s="7">
        <v>21.760416666666959</v>
      </c>
      <c r="I282" s="26">
        <v>5.1470000000000002</v>
      </c>
      <c r="J282" s="26">
        <f t="shared" si="14"/>
        <v>-5.1470000000000002</v>
      </c>
      <c r="K282" s="26">
        <f t="shared" si="15"/>
        <v>0.32500000000000018</v>
      </c>
      <c r="L282">
        <f t="shared" si="16"/>
        <v>0.35575000000000045</v>
      </c>
    </row>
    <row r="283" spans="1:12" x14ac:dyDescent="0.2">
      <c r="A283" t="s">
        <v>4628</v>
      </c>
      <c r="B283">
        <v>7.3389999999999997E-2</v>
      </c>
      <c r="C283">
        <v>277</v>
      </c>
      <c r="D283" t="s">
        <v>4628</v>
      </c>
      <c r="E283">
        <v>276</v>
      </c>
      <c r="F283" s="1">
        <v>45202</v>
      </c>
      <c r="G283" s="6">
        <v>21.770833333333627</v>
      </c>
      <c r="H283" s="7">
        <v>21.770833333333627</v>
      </c>
      <c r="I283" s="26">
        <v>5.2389999999999999</v>
      </c>
      <c r="J283" s="26">
        <f t="shared" si="14"/>
        <v>-5.2389999999999999</v>
      </c>
      <c r="K283" s="26">
        <f t="shared" si="15"/>
        <v>0.23300000000000054</v>
      </c>
      <c r="L283">
        <f t="shared" si="16"/>
        <v>0.27900000000000036</v>
      </c>
    </row>
    <row r="284" spans="1:12" x14ac:dyDescent="0.2">
      <c r="A284" t="s">
        <v>4629</v>
      </c>
      <c r="B284">
        <v>7.3319999999999996E-2</v>
      </c>
      <c r="C284">
        <v>277</v>
      </c>
      <c r="D284" t="s">
        <v>4629</v>
      </c>
      <c r="E284">
        <v>276</v>
      </c>
      <c r="F284" s="1">
        <v>45202</v>
      </c>
      <c r="G284" s="6">
        <v>21.781250000000295</v>
      </c>
      <c r="H284" s="7">
        <v>21.781250000000295</v>
      </c>
      <c r="I284" s="26">
        <v>5.234</v>
      </c>
      <c r="J284" s="26">
        <f t="shared" si="14"/>
        <v>-5.234</v>
      </c>
      <c r="K284" s="26">
        <f t="shared" si="15"/>
        <v>0.23800000000000043</v>
      </c>
      <c r="L284">
        <f t="shared" si="16"/>
        <v>0.23550000000000049</v>
      </c>
    </row>
    <row r="285" spans="1:12" x14ac:dyDescent="0.2">
      <c r="A285" t="s">
        <v>4630</v>
      </c>
      <c r="B285">
        <v>7.3889999999999997E-2</v>
      </c>
      <c r="C285">
        <v>277</v>
      </c>
      <c r="D285" t="s">
        <v>4630</v>
      </c>
      <c r="E285">
        <v>276</v>
      </c>
      <c r="F285" s="1">
        <v>45202</v>
      </c>
      <c r="G285" s="6">
        <v>21.791666666666963</v>
      </c>
      <c r="H285" s="7">
        <v>21.791666666666963</v>
      </c>
      <c r="I285" s="26">
        <v>5.2755000000000001</v>
      </c>
      <c r="J285" s="26">
        <f t="shared" si="14"/>
        <v>-5.2755000000000001</v>
      </c>
      <c r="K285" s="26">
        <f t="shared" si="15"/>
        <v>0.19650000000000034</v>
      </c>
      <c r="L285">
        <f t="shared" si="16"/>
        <v>0.21725000000000039</v>
      </c>
    </row>
    <row r="286" spans="1:12" x14ac:dyDescent="0.2">
      <c r="A286" t="s">
        <v>4631</v>
      </c>
      <c r="B286">
        <v>7.4539999999999995E-2</v>
      </c>
      <c r="C286">
        <v>277</v>
      </c>
      <c r="D286" t="s">
        <v>4631</v>
      </c>
      <c r="E286">
        <v>276</v>
      </c>
      <c r="F286" s="1">
        <v>45202</v>
      </c>
      <c r="G286" s="6">
        <v>21.802083333333631</v>
      </c>
      <c r="H286" s="7">
        <v>21.802083333333631</v>
      </c>
      <c r="I286" s="26">
        <v>5.3209999999999997</v>
      </c>
      <c r="J286" s="26">
        <f t="shared" si="14"/>
        <v>-5.3209999999999997</v>
      </c>
      <c r="K286" s="26">
        <f t="shared" si="15"/>
        <v>0.15100000000000069</v>
      </c>
      <c r="L286">
        <f t="shared" si="16"/>
        <v>0.17375000000000052</v>
      </c>
    </row>
    <row r="287" spans="1:12" x14ac:dyDescent="0.2">
      <c r="A287" t="s">
        <v>4632</v>
      </c>
      <c r="B287">
        <v>7.4859999999999996E-2</v>
      </c>
      <c r="C287">
        <v>277</v>
      </c>
      <c r="D287" t="s">
        <v>4632</v>
      </c>
      <c r="E287">
        <v>276</v>
      </c>
      <c r="F287" s="1">
        <v>45202</v>
      </c>
      <c r="G287" s="6">
        <v>21.812500000000298</v>
      </c>
      <c r="H287" s="7">
        <v>21.812500000000298</v>
      </c>
      <c r="I287" s="26">
        <v>5.3445</v>
      </c>
      <c r="J287" s="26">
        <f t="shared" si="14"/>
        <v>-5.3445</v>
      </c>
      <c r="K287" s="26">
        <f t="shared" si="15"/>
        <v>0.12750000000000039</v>
      </c>
      <c r="L287">
        <f t="shared" si="16"/>
        <v>0.13925000000000054</v>
      </c>
    </row>
    <row r="288" spans="1:12" x14ac:dyDescent="0.2">
      <c r="A288" t="s">
        <v>4633</v>
      </c>
      <c r="B288">
        <v>7.4929999999999997E-2</v>
      </c>
      <c r="C288">
        <v>277</v>
      </c>
      <c r="D288" t="s">
        <v>4633</v>
      </c>
      <c r="E288">
        <v>276</v>
      </c>
      <c r="F288" s="1">
        <v>45202</v>
      </c>
      <c r="G288" s="6">
        <v>21.822916666666966</v>
      </c>
      <c r="H288" s="7">
        <v>21.822916666666966</v>
      </c>
      <c r="I288" s="26">
        <v>5.3505000000000003</v>
      </c>
      <c r="J288" s="26">
        <f t="shared" si="14"/>
        <v>-5.3505000000000003</v>
      </c>
      <c r="K288" s="26">
        <f t="shared" si="15"/>
        <v>0.12150000000000016</v>
      </c>
      <c r="L288">
        <f t="shared" si="16"/>
        <v>0.12450000000000028</v>
      </c>
    </row>
    <row r="289" spans="1:14" x14ac:dyDescent="0.2">
      <c r="A289" t="s">
        <v>4634</v>
      </c>
      <c r="B289">
        <v>7.5274999999999995E-2</v>
      </c>
      <c r="C289">
        <v>277</v>
      </c>
      <c r="D289" t="s">
        <v>4634</v>
      </c>
      <c r="E289">
        <v>276</v>
      </c>
      <c r="F289" s="1">
        <v>45202</v>
      </c>
      <c r="G289" s="6">
        <v>21.833333333333634</v>
      </c>
      <c r="H289" s="7">
        <v>21.833333333333634</v>
      </c>
      <c r="I289" s="26">
        <v>5.3730000000000002</v>
      </c>
      <c r="J289" s="26">
        <f t="shared" si="14"/>
        <v>-5.3730000000000002</v>
      </c>
      <c r="K289" s="26">
        <f t="shared" si="15"/>
        <v>9.9000000000000199E-2</v>
      </c>
      <c r="L289">
        <f t="shared" si="16"/>
        <v>0.11025000000000018</v>
      </c>
    </row>
    <row r="290" spans="1:14" x14ac:dyDescent="0.2">
      <c r="A290" t="s">
        <v>4635</v>
      </c>
      <c r="B290">
        <v>7.528E-2</v>
      </c>
      <c r="C290">
        <v>277</v>
      </c>
      <c r="D290" t="s">
        <v>4635</v>
      </c>
      <c r="E290">
        <v>276</v>
      </c>
      <c r="F290" s="1">
        <v>45202</v>
      </c>
      <c r="G290" s="6">
        <v>21.843750000000302</v>
      </c>
      <c r="H290" s="7">
        <v>21.843750000000302</v>
      </c>
      <c r="I290" s="26">
        <v>5.3745000000000003</v>
      </c>
      <c r="J290" s="26">
        <f t="shared" si="14"/>
        <v>-5.3745000000000003</v>
      </c>
      <c r="K290" s="26">
        <f t="shared" si="15"/>
        <v>9.7500000000000142E-2</v>
      </c>
      <c r="L290">
        <f t="shared" si="16"/>
        <v>9.8250000000000171E-2</v>
      </c>
    </row>
    <row r="291" spans="1:14" x14ac:dyDescent="0.2">
      <c r="A291" t="s">
        <v>4636</v>
      </c>
      <c r="B291">
        <v>7.5825000000000004E-2</v>
      </c>
      <c r="C291">
        <v>277</v>
      </c>
      <c r="D291" t="s">
        <v>4636</v>
      </c>
      <c r="E291">
        <v>276</v>
      </c>
      <c r="F291" s="1">
        <v>45202</v>
      </c>
      <c r="G291" s="6">
        <v>21.85416666666697</v>
      </c>
      <c r="H291" s="7">
        <v>21.85416666666697</v>
      </c>
      <c r="I291" s="26">
        <v>5.4139999999999997</v>
      </c>
      <c r="J291" s="26">
        <f t="shared" si="14"/>
        <v>-5.4139999999999997</v>
      </c>
      <c r="K291" s="26">
        <f t="shared" si="15"/>
        <v>5.8000000000000718E-2</v>
      </c>
      <c r="L291">
        <f t="shared" si="16"/>
        <v>7.775000000000043E-2</v>
      </c>
    </row>
    <row r="292" spans="1:14" x14ac:dyDescent="0.2">
      <c r="A292" t="s">
        <v>4637</v>
      </c>
      <c r="B292">
        <v>7.5389999999999999E-2</v>
      </c>
      <c r="C292">
        <v>277</v>
      </c>
      <c r="D292" t="s">
        <v>4637</v>
      </c>
      <c r="E292">
        <v>277</v>
      </c>
      <c r="F292" s="1">
        <v>45203</v>
      </c>
      <c r="G292" s="6">
        <v>21.864583333333638</v>
      </c>
      <c r="H292" s="7">
        <v>21.864583333333638</v>
      </c>
      <c r="I292" s="26">
        <v>5.383</v>
      </c>
      <c r="J292" s="26">
        <f t="shared" si="14"/>
        <v>-5.383</v>
      </c>
      <c r="K292" s="26">
        <f t="shared" si="15"/>
        <v>8.9000000000000412E-2</v>
      </c>
      <c r="L292">
        <f t="shared" si="16"/>
        <v>7.3500000000000565E-2</v>
      </c>
    </row>
    <row r="293" spans="1:14" x14ac:dyDescent="0.2">
      <c r="A293" t="s">
        <v>4638</v>
      </c>
      <c r="B293">
        <v>7.5935000000000002E-2</v>
      </c>
      <c r="C293">
        <v>277</v>
      </c>
      <c r="D293" t="s">
        <v>4638</v>
      </c>
      <c r="E293">
        <v>277</v>
      </c>
      <c r="F293" s="1">
        <v>45203</v>
      </c>
      <c r="G293" s="6">
        <v>21.875000000000306</v>
      </c>
      <c r="H293" s="7">
        <v>21.875000000000306</v>
      </c>
      <c r="I293" s="26">
        <v>5.4204999999999997</v>
      </c>
      <c r="J293" s="26">
        <f t="shared" si="14"/>
        <v>-5.4204999999999997</v>
      </c>
      <c r="K293" s="26">
        <f t="shared" si="15"/>
        <v>5.1500000000000767E-2</v>
      </c>
      <c r="L293">
        <f t="shared" si="16"/>
        <v>7.025000000000059E-2</v>
      </c>
    </row>
    <row r="294" spans="1:14" x14ac:dyDescent="0.2">
      <c r="A294" t="s">
        <v>4639</v>
      </c>
      <c r="B294">
        <v>7.5874999999999998E-2</v>
      </c>
      <c r="C294">
        <v>277</v>
      </c>
      <c r="D294" t="s">
        <v>4639</v>
      </c>
      <c r="E294">
        <v>277</v>
      </c>
      <c r="F294" s="1">
        <v>45203</v>
      </c>
      <c r="G294" s="6">
        <v>21.885416666666973</v>
      </c>
      <c r="H294" s="7">
        <v>21.885416666666973</v>
      </c>
      <c r="I294" s="26">
        <v>5.4165000000000001</v>
      </c>
      <c r="J294" s="26">
        <f t="shared" si="14"/>
        <v>-5.4165000000000001</v>
      </c>
      <c r="K294" s="26">
        <f t="shared" si="15"/>
        <v>5.5500000000000327E-2</v>
      </c>
      <c r="L294">
        <f t="shared" si="16"/>
        <v>5.3500000000000547E-2</v>
      </c>
    </row>
    <row r="295" spans="1:14" x14ac:dyDescent="0.2">
      <c r="A295" t="s">
        <v>4640</v>
      </c>
      <c r="B295">
        <v>7.5965000000000005E-2</v>
      </c>
      <c r="C295">
        <v>277</v>
      </c>
      <c r="D295" t="s">
        <v>4640</v>
      </c>
      <c r="E295">
        <v>277</v>
      </c>
      <c r="F295" s="1">
        <v>45203</v>
      </c>
      <c r="G295" s="6">
        <v>21.895833333333641</v>
      </c>
      <c r="H295" s="7">
        <v>21.895833333333641</v>
      </c>
      <c r="I295" s="26">
        <v>5.4239999999999897</v>
      </c>
      <c r="J295" s="26">
        <f t="shared" si="14"/>
        <v>-5.4239999999999897</v>
      </c>
      <c r="K295" s="26">
        <f t="shared" si="15"/>
        <v>4.8000000000010701E-2</v>
      </c>
      <c r="L295">
        <f t="shared" si="16"/>
        <v>5.1750000000005514E-2</v>
      </c>
    </row>
    <row r="296" spans="1:14" x14ac:dyDescent="0.2">
      <c r="A296" t="s">
        <v>4642</v>
      </c>
      <c r="B296">
        <v>7.5954999999999995E-2</v>
      </c>
      <c r="C296">
        <v>277</v>
      </c>
      <c r="D296" t="s">
        <v>4642</v>
      </c>
      <c r="E296">
        <v>277</v>
      </c>
      <c r="F296" s="1">
        <v>45203</v>
      </c>
      <c r="G296" s="6">
        <v>21.906250000000309</v>
      </c>
      <c r="H296" s="7">
        <v>21.906250000000309</v>
      </c>
      <c r="I296" s="26">
        <v>5.4234999999999998</v>
      </c>
      <c r="J296" s="26">
        <f t="shared" si="14"/>
        <v>-5.4234999999999998</v>
      </c>
      <c r="K296" s="26">
        <f t="shared" si="15"/>
        <v>4.8500000000000654E-2</v>
      </c>
      <c r="L296">
        <f t="shared" si="16"/>
        <v>4.8250000000005677E-2</v>
      </c>
    </row>
    <row r="297" spans="1:14" x14ac:dyDescent="0.2">
      <c r="A297" t="s">
        <v>4643</v>
      </c>
      <c r="B297">
        <v>7.5929999999999997E-2</v>
      </c>
      <c r="C297">
        <v>277</v>
      </c>
      <c r="D297" t="s">
        <v>4643</v>
      </c>
      <c r="E297">
        <v>277</v>
      </c>
      <c r="F297" s="1">
        <v>45203</v>
      </c>
      <c r="G297" s="6">
        <v>21.916666666666977</v>
      </c>
      <c r="H297" s="7">
        <v>21.916666666666977</v>
      </c>
      <c r="I297" s="26">
        <v>5.4210000000000003</v>
      </c>
      <c r="J297" s="26">
        <f t="shared" si="14"/>
        <v>-5.4210000000000003</v>
      </c>
      <c r="K297" s="26">
        <f t="shared" si="15"/>
        <v>5.1000000000000156E-2</v>
      </c>
      <c r="L297">
        <f t="shared" si="16"/>
        <v>4.9750000000000405E-2</v>
      </c>
    </row>
    <row r="298" spans="1:14" x14ac:dyDescent="0.2">
      <c r="A298" t="s">
        <v>4644</v>
      </c>
      <c r="B298">
        <v>7.5855000000000006E-2</v>
      </c>
      <c r="C298">
        <v>277</v>
      </c>
      <c r="D298" t="s">
        <v>4644</v>
      </c>
      <c r="E298">
        <v>277</v>
      </c>
      <c r="F298" s="1">
        <v>45203</v>
      </c>
      <c r="G298" s="6">
        <v>21.927083333333645</v>
      </c>
      <c r="H298" s="7">
        <v>21.927083333333645</v>
      </c>
      <c r="I298" s="26">
        <v>5.4154999999999998</v>
      </c>
      <c r="J298" s="26">
        <f t="shared" si="14"/>
        <v>-5.4154999999999998</v>
      </c>
      <c r="K298" s="26">
        <f t="shared" si="15"/>
        <v>5.6500000000000661E-2</v>
      </c>
      <c r="L298">
        <f t="shared" si="16"/>
        <v>5.3750000000000409E-2</v>
      </c>
    </row>
    <row r="299" spans="1:14" x14ac:dyDescent="0.2">
      <c r="A299" t="s">
        <v>4645</v>
      </c>
      <c r="B299">
        <v>7.6054999999999998E-2</v>
      </c>
      <c r="C299">
        <v>277</v>
      </c>
      <c r="D299" t="s">
        <v>4645</v>
      </c>
      <c r="E299">
        <v>277</v>
      </c>
      <c r="F299" s="1">
        <v>45203</v>
      </c>
      <c r="G299" s="6">
        <v>21.937500000000313</v>
      </c>
      <c r="H299" s="7">
        <v>21.937500000000313</v>
      </c>
      <c r="I299" s="26">
        <v>5.4305000000000003</v>
      </c>
      <c r="J299" s="26">
        <f t="shared" si="14"/>
        <v>-5.4305000000000003</v>
      </c>
      <c r="K299" s="26">
        <f t="shared" si="15"/>
        <v>4.1500000000000092E-2</v>
      </c>
      <c r="L299">
        <f t="shared" si="16"/>
        <v>4.9000000000000377E-2</v>
      </c>
    </row>
    <row r="300" spans="1:14" x14ac:dyDescent="0.2">
      <c r="A300" t="s">
        <v>4646</v>
      </c>
      <c r="B300">
        <v>7.6054999999999998E-2</v>
      </c>
      <c r="C300">
        <v>277</v>
      </c>
      <c r="D300" t="s">
        <v>4646</v>
      </c>
      <c r="E300">
        <v>277</v>
      </c>
      <c r="F300" s="1">
        <v>45203</v>
      </c>
      <c r="G300" s="6">
        <v>21.94791666666698</v>
      </c>
      <c r="H300" s="7">
        <v>21.94791666666698</v>
      </c>
      <c r="I300" s="26">
        <v>5.43</v>
      </c>
      <c r="J300" s="26">
        <f t="shared" si="14"/>
        <v>-5.43</v>
      </c>
      <c r="K300" s="26">
        <f t="shared" si="15"/>
        <v>4.2000000000000703E-2</v>
      </c>
      <c r="L300">
        <f t="shared" si="16"/>
        <v>4.1750000000000398E-2</v>
      </c>
    </row>
    <row r="301" spans="1:14" x14ac:dyDescent="0.2">
      <c r="A301" t="s">
        <v>4647</v>
      </c>
      <c r="B301">
        <v>7.5759999999999994E-2</v>
      </c>
      <c r="C301">
        <v>277</v>
      </c>
      <c r="D301" t="s">
        <v>4647</v>
      </c>
      <c r="E301">
        <v>277</v>
      </c>
      <c r="F301" s="1">
        <v>45203</v>
      </c>
      <c r="G301" s="6">
        <v>21.958333333333648</v>
      </c>
      <c r="H301" s="7">
        <v>21.958333333333648</v>
      </c>
      <c r="I301" s="26">
        <v>5.4085000000000001</v>
      </c>
      <c r="J301" s="26">
        <f t="shared" si="14"/>
        <v>-5.4085000000000001</v>
      </c>
      <c r="K301" s="26">
        <f t="shared" si="15"/>
        <v>6.3500000000000334E-2</v>
      </c>
      <c r="L301">
        <f t="shared" si="16"/>
        <v>5.2750000000000519E-2</v>
      </c>
    </row>
    <row r="302" spans="1:14" x14ac:dyDescent="0.2">
      <c r="A302" t="s">
        <v>4648</v>
      </c>
      <c r="B302">
        <v>7.6285000000000006E-2</v>
      </c>
      <c r="C302">
        <v>277</v>
      </c>
      <c r="D302" t="s">
        <v>4648</v>
      </c>
      <c r="E302" s="3">
        <v>277</v>
      </c>
      <c r="F302" s="5">
        <v>45203</v>
      </c>
      <c r="G302" s="31">
        <v>21.968750000000316</v>
      </c>
      <c r="H302" s="8">
        <v>21.968750000000316</v>
      </c>
      <c r="I302" s="32">
        <v>5.4465000000000003</v>
      </c>
      <c r="J302" s="32">
        <f t="shared" si="14"/>
        <v>-5.4465000000000003</v>
      </c>
      <c r="K302" s="26">
        <f t="shared" si="15"/>
        <v>2.5500000000000078E-2</v>
      </c>
      <c r="L302">
        <f t="shared" si="16"/>
        <v>4.4500000000000206E-2</v>
      </c>
      <c r="M302">
        <f>SUM(L217:L302)/87</f>
        <v>0.33252011494252964</v>
      </c>
      <c r="N302">
        <v>87</v>
      </c>
    </row>
    <row r="303" spans="1:14" x14ac:dyDescent="0.2">
      <c r="A303" t="s">
        <v>4649</v>
      </c>
      <c r="B303">
        <v>7.6115000000000002E-2</v>
      </c>
      <c r="C303">
        <v>277</v>
      </c>
      <c r="D303" t="s">
        <v>4649</v>
      </c>
      <c r="E303">
        <v>277</v>
      </c>
      <c r="F303" s="1">
        <v>45203</v>
      </c>
      <c r="G303" s="6">
        <v>21.979166666666984</v>
      </c>
      <c r="H303" s="7">
        <v>21.979166666666984</v>
      </c>
      <c r="I303" s="26">
        <v>5.4349999999999996</v>
      </c>
      <c r="J303" s="26">
        <f t="shared" si="14"/>
        <v>-5.4349999999999996</v>
      </c>
    </row>
    <row r="304" spans="1:14" x14ac:dyDescent="0.2">
      <c r="A304" t="s">
        <v>4650</v>
      </c>
      <c r="B304">
        <v>7.6249999999999998E-2</v>
      </c>
      <c r="C304">
        <v>277</v>
      </c>
      <c r="D304" t="s">
        <v>4650</v>
      </c>
      <c r="E304">
        <v>277</v>
      </c>
      <c r="F304" s="1">
        <v>45203</v>
      </c>
      <c r="G304" s="6">
        <v>21.989583333333652</v>
      </c>
      <c r="H304" s="7">
        <v>21.989583333333652</v>
      </c>
      <c r="I304" s="26">
        <v>5.4424999999999999</v>
      </c>
      <c r="J304" s="26">
        <f t="shared" si="14"/>
        <v>-5.4424999999999999</v>
      </c>
    </row>
    <row r="305" spans="1:12" x14ac:dyDescent="0.2">
      <c r="A305" t="s">
        <v>4651</v>
      </c>
      <c r="B305">
        <v>7.5355000000000005E-2</v>
      </c>
      <c r="C305">
        <v>277</v>
      </c>
      <c r="D305" t="s">
        <v>4651</v>
      </c>
      <c r="E305">
        <v>277</v>
      </c>
      <c r="F305" s="1">
        <v>45203</v>
      </c>
      <c r="G305" s="6">
        <v>22.00000000000032</v>
      </c>
      <c r="H305" s="7">
        <v>22.00000000000032</v>
      </c>
      <c r="I305" s="26">
        <v>5.3789999999999996</v>
      </c>
      <c r="J305" s="26">
        <f t="shared" si="14"/>
        <v>-5.3789999999999996</v>
      </c>
    </row>
    <row r="306" spans="1:12" x14ac:dyDescent="0.2">
      <c r="A306" t="s">
        <v>4652</v>
      </c>
      <c r="B306">
        <v>7.5899999999999995E-2</v>
      </c>
      <c r="C306">
        <v>277</v>
      </c>
      <c r="D306" t="s">
        <v>4652</v>
      </c>
      <c r="E306">
        <v>277</v>
      </c>
      <c r="F306" s="1">
        <v>45203</v>
      </c>
      <c r="G306" s="6">
        <v>22.010416666666988</v>
      </c>
      <c r="H306" s="7">
        <v>22.010416666666988</v>
      </c>
      <c r="I306" s="26">
        <v>5.4210000000000003</v>
      </c>
      <c r="J306" s="26">
        <f t="shared" si="14"/>
        <v>-5.4210000000000003</v>
      </c>
    </row>
    <row r="307" spans="1:12" x14ac:dyDescent="0.2">
      <c r="A307" t="s">
        <v>4653</v>
      </c>
      <c r="B307">
        <v>7.5459999999999999E-2</v>
      </c>
      <c r="C307">
        <v>277</v>
      </c>
      <c r="D307" t="s">
        <v>4653</v>
      </c>
      <c r="E307">
        <v>277</v>
      </c>
      <c r="F307" s="1">
        <v>45203</v>
      </c>
      <c r="G307" s="6">
        <v>22.020833333333655</v>
      </c>
      <c r="H307" s="7">
        <v>22.020833333333655</v>
      </c>
      <c r="I307" s="26">
        <v>5.3879999999999999</v>
      </c>
      <c r="J307" s="26">
        <f t="shared" si="14"/>
        <v>-5.3879999999999999</v>
      </c>
    </row>
    <row r="308" spans="1:12" x14ac:dyDescent="0.2">
      <c r="A308" t="s">
        <v>4654</v>
      </c>
      <c r="B308">
        <v>7.5814999999999994E-2</v>
      </c>
      <c r="C308">
        <v>277</v>
      </c>
      <c r="D308" t="s">
        <v>4654</v>
      </c>
      <c r="E308" s="12">
        <v>277</v>
      </c>
      <c r="F308" s="13">
        <v>45203</v>
      </c>
      <c r="G308" s="28">
        <v>22.031250000000323</v>
      </c>
      <c r="H308" s="14">
        <v>22.031250000000323</v>
      </c>
      <c r="I308" s="27">
        <v>5.4130000000000003</v>
      </c>
      <c r="J308" s="27">
        <f t="shared" si="14"/>
        <v>-5.4130000000000003</v>
      </c>
      <c r="K308" s="26">
        <f>J308+5.413</f>
        <v>0</v>
      </c>
    </row>
    <row r="309" spans="1:12" x14ac:dyDescent="0.2">
      <c r="A309" t="s">
        <v>4655</v>
      </c>
      <c r="B309">
        <v>7.5734999999999997E-2</v>
      </c>
      <c r="C309">
        <v>277</v>
      </c>
      <c r="D309" t="s">
        <v>4655</v>
      </c>
      <c r="E309">
        <v>277</v>
      </c>
      <c r="F309" s="1">
        <v>45203</v>
      </c>
      <c r="G309" s="6">
        <v>22.041666666666991</v>
      </c>
      <c r="H309" s="7">
        <v>22.041666666666991</v>
      </c>
      <c r="I309" s="26">
        <v>5.4064999999999896</v>
      </c>
      <c r="J309" s="26">
        <f t="shared" si="14"/>
        <v>-5.4064999999999896</v>
      </c>
      <c r="K309" s="26">
        <f t="shared" ref="K309:K372" si="17">J309+5.413</f>
        <v>6.5000000000106084E-3</v>
      </c>
      <c r="L309">
        <f t="shared" ref="L309:L372" si="18">(K308+K309)/2</f>
        <v>3.2500000000053042E-3</v>
      </c>
    </row>
    <row r="310" spans="1:12" x14ac:dyDescent="0.2">
      <c r="A310" t="s">
        <v>4657</v>
      </c>
      <c r="B310">
        <v>7.5459999999999999E-2</v>
      </c>
      <c r="C310">
        <v>277</v>
      </c>
      <c r="D310" t="s">
        <v>4657</v>
      </c>
      <c r="E310">
        <v>277</v>
      </c>
      <c r="F310" s="1">
        <v>45203</v>
      </c>
      <c r="G310" s="6">
        <v>22.052083333333659</v>
      </c>
      <c r="H310" s="7">
        <v>22.052083333333659</v>
      </c>
      <c r="I310" s="26">
        <v>5.3879999999999999</v>
      </c>
      <c r="J310" s="26">
        <f t="shared" si="14"/>
        <v>-5.3879999999999999</v>
      </c>
      <c r="K310" s="26">
        <f t="shared" si="17"/>
        <v>2.5000000000000355E-2</v>
      </c>
      <c r="L310">
        <f t="shared" si="18"/>
        <v>1.5750000000005482E-2</v>
      </c>
    </row>
    <row r="311" spans="1:12" x14ac:dyDescent="0.2">
      <c r="A311" t="s">
        <v>4658</v>
      </c>
      <c r="B311">
        <v>7.5560000000000002E-2</v>
      </c>
      <c r="C311">
        <v>277</v>
      </c>
      <c r="D311" t="s">
        <v>4658</v>
      </c>
      <c r="E311">
        <v>277</v>
      </c>
      <c r="F311" s="1">
        <v>45203</v>
      </c>
      <c r="G311" s="6">
        <v>22.062500000000327</v>
      </c>
      <c r="H311" s="7">
        <v>22.062500000000327</v>
      </c>
      <c r="I311" s="26">
        <v>5.3944999999999999</v>
      </c>
      <c r="J311" s="26">
        <f t="shared" si="14"/>
        <v>-5.3944999999999999</v>
      </c>
      <c r="K311" s="26">
        <f t="shared" si="17"/>
        <v>1.8500000000000405E-2</v>
      </c>
      <c r="L311">
        <f t="shared" si="18"/>
        <v>2.175000000000038E-2</v>
      </c>
    </row>
    <row r="312" spans="1:12" x14ac:dyDescent="0.2">
      <c r="A312" t="s">
        <v>4659</v>
      </c>
      <c r="B312">
        <v>7.5084999999999999E-2</v>
      </c>
      <c r="C312">
        <v>277</v>
      </c>
      <c r="D312" t="s">
        <v>4659</v>
      </c>
      <c r="E312">
        <v>277</v>
      </c>
      <c r="F312" s="1">
        <v>45203</v>
      </c>
      <c r="G312" s="6">
        <v>22.072916666666995</v>
      </c>
      <c r="H312" s="7">
        <v>22.072916666666995</v>
      </c>
      <c r="I312" s="26">
        <v>5.3605</v>
      </c>
      <c r="J312" s="26">
        <f t="shared" si="14"/>
        <v>-5.3605</v>
      </c>
      <c r="K312" s="26">
        <f t="shared" si="17"/>
        <v>5.2500000000000213E-2</v>
      </c>
      <c r="L312">
        <f t="shared" si="18"/>
        <v>3.5500000000000309E-2</v>
      </c>
    </row>
    <row r="313" spans="1:12" x14ac:dyDescent="0.2">
      <c r="A313" t="s">
        <v>4660</v>
      </c>
      <c r="B313">
        <v>7.5090000000000004E-2</v>
      </c>
      <c r="C313">
        <v>277</v>
      </c>
      <c r="D313" t="s">
        <v>4660</v>
      </c>
      <c r="E313">
        <v>277</v>
      </c>
      <c r="F313" s="1">
        <v>45203</v>
      </c>
      <c r="G313" s="6">
        <v>22.083333333333663</v>
      </c>
      <c r="H313" s="7">
        <v>22.083333333333663</v>
      </c>
      <c r="I313" s="26">
        <v>5.3605</v>
      </c>
      <c r="J313" s="26">
        <f t="shared" si="14"/>
        <v>-5.3605</v>
      </c>
      <c r="K313" s="26">
        <f t="shared" si="17"/>
        <v>5.2500000000000213E-2</v>
      </c>
      <c r="L313">
        <f t="shared" si="18"/>
        <v>5.2500000000000213E-2</v>
      </c>
    </row>
    <row r="314" spans="1:12" x14ac:dyDescent="0.2">
      <c r="A314" t="s">
        <v>4661</v>
      </c>
      <c r="B314">
        <v>7.5490000000000002E-2</v>
      </c>
      <c r="C314">
        <v>277</v>
      </c>
      <c r="D314" t="s">
        <v>4661</v>
      </c>
      <c r="E314">
        <v>277</v>
      </c>
      <c r="F314" s="1">
        <v>45203</v>
      </c>
      <c r="G314" s="6">
        <v>22.09375000000033</v>
      </c>
      <c r="H314" s="7">
        <v>22.09375000000033</v>
      </c>
      <c r="I314" s="26">
        <v>5.3884999999999996</v>
      </c>
      <c r="J314" s="26">
        <f t="shared" si="14"/>
        <v>-5.3884999999999996</v>
      </c>
      <c r="K314" s="26">
        <f t="shared" si="17"/>
        <v>2.4500000000000632E-2</v>
      </c>
      <c r="L314">
        <f t="shared" si="18"/>
        <v>3.8500000000000423E-2</v>
      </c>
    </row>
    <row r="315" spans="1:12" x14ac:dyDescent="0.2">
      <c r="A315" t="s">
        <v>4662</v>
      </c>
      <c r="B315">
        <v>7.5264999999999999E-2</v>
      </c>
      <c r="C315">
        <v>277</v>
      </c>
      <c r="D315" t="s">
        <v>4662</v>
      </c>
      <c r="E315">
        <v>277</v>
      </c>
      <c r="F315" s="1">
        <v>45203</v>
      </c>
      <c r="G315" s="6">
        <v>22.104166666666998</v>
      </c>
      <c r="H315" s="7">
        <v>22.104166666666998</v>
      </c>
      <c r="I315" s="26">
        <v>5.3739999999999997</v>
      </c>
      <c r="J315" s="26">
        <f t="shared" si="14"/>
        <v>-5.3739999999999997</v>
      </c>
      <c r="K315" s="26">
        <f t="shared" si="17"/>
        <v>3.900000000000059E-2</v>
      </c>
      <c r="L315">
        <f t="shared" si="18"/>
        <v>3.1750000000000611E-2</v>
      </c>
    </row>
    <row r="316" spans="1:12" x14ac:dyDescent="0.2">
      <c r="A316" t="s">
        <v>4663</v>
      </c>
      <c r="B316">
        <v>7.5234999999999996E-2</v>
      </c>
      <c r="C316">
        <v>277</v>
      </c>
      <c r="D316" t="s">
        <v>4663</v>
      </c>
      <c r="E316">
        <v>277</v>
      </c>
      <c r="F316" s="1">
        <v>45203</v>
      </c>
      <c r="G316" s="6">
        <v>22.114583333333666</v>
      </c>
      <c r="H316" s="7">
        <v>22.114583333333666</v>
      </c>
      <c r="I316" s="26">
        <v>5.3719999999999999</v>
      </c>
      <c r="J316" s="26">
        <f t="shared" si="14"/>
        <v>-5.3719999999999999</v>
      </c>
      <c r="K316" s="26">
        <f t="shared" si="17"/>
        <v>4.1000000000000369E-2</v>
      </c>
      <c r="L316">
        <f t="shared" si="18"/>
        <v>4.000000000000048E-2</v>
      </c>
    </row>
    <row r="317" spans="1:12" x14ac:dyDescent="0.2">
      <c r="A317" t="s">
        <v>4664</v>
      </c>
      <c r="B317">
        <v>7.5359999999999996E-2</v>
      </c>
      <c r="C317">
        <v>277</v>
      </c>
      <c r="D317" t="s">
        <v>4664</v>
      </c>
      <c r="E317">
        <v>277</v>
      </c>
      <c r="F317" s="1">
        <v>45203</v>
      </c>
      <c r="G317" s="6">
        <v>22.125000000000334</v>
      </c>
      <c r="H317" s="7">
        <v>22.125000000000334</v>
      </c>
      <c r="I317" s="26">
        <v>5.3815</v>
      </c>
      <c r="J317" s="26">
        <f t="shared" si="14"/>
        <v>-5.3815</v>
      </c>
      <c r="K317" s="26">
        <f t="shared" si="17"/>
        <v>3.1500000000000306E-2</v>
      </c>
      <c r="L317">
        <f t="shared" si="18"/>
        <v>3.6250000000000338E-2</v>
      </c>
    </row>
    <row r="318" spans="1:12" x14ac:dyDescent="0.2">
      <c r="A318" t="s">
        <v>4665</v>
      </c>
      <c r="B318">
        <v>7.5514999999999999E-2</v>
      </c>
      <c r="C318">
        <v>277</v>
      </c>
      <c r="D318" t="s">
        <v>4665</v>
      </c>
      <c r="E318">
        <v>277</v>
      </c>
      <c r="F318" s="1">
        <v>45203</v>
      </c>
      <c r="G318" s="6">
        <v>22.135416666667002</v>
      </c>
      <c r="H318" s="7">
        <v>22.135416666667002</v>
      </c>
      <c r="I318" s="26">
        <v>5.3925000000000001</v>
      </c>
      <c r="J318" s="26">
        <f t="shared" si="14"/>
        <v>-5.3925000000000001</v>
      </c>
      <c r="K318" s="26">
        <f t="shared" si="17"/>
        <v>2.0500000000000185E-2</v>
      </c>
      <c r="L318">
        <f t="shared" si="18"/>
        <v>2.6000000000000245E-2</v>
      </c>
    </row>
    <row r="319" spans="1:12" x14ac:dyDescent="0.2">
      <c r="A319" t="s">
        <v>4666</v>
      </c>
      <c r="B319">
        <v>7.485E-2</v>
      </c>
      <c r="C319">
        <v>277</v>
      </c>
      <c r="D319" t="s">
        <v>4666</v>
      </c>
      <c r="E319">
        <v>277</v>
      </c>
      <c r="F319" s="1">
        <v>45203</v>
      </c>
      <c r="G319" s="6">
        <v>22.14583333333367</v>
      </c>
      <c r="H319" s="7">
        <v>22.14583333333367</v>
      </c>
      <c r="I319" s="26">
        <v>5.3434999999999997</v>
      </c>
      <c r="J319" s="26">
        <f t="shared" si="14"/>
        <v>-5.3434999999999997</v>
      </c>
      <c r="K319" s="26">
        <f t="shared" si="17"/>
        <v>6.9500000000000561E-2</v>
      </c>
      <c r="L319">
        <f t="shared" si="18"/>
        <v>4.5000000000000373E-2</v>
      </c>
    </row>
    <row r="320" spans="1:12" x14ac:dyDescent="0.2">
      <c r="A320" t="s">
        <v>4667</v>
      </c>
      <c r="B320">
        <v>7.5225E-2</v>
      </c>
      <c r="C320">
        <v>277</v>
      </c>
      <c r="D320" t="s">
        <v>4667</v>
      </c>
      <c r="E320">
        <v>277</v>
      </c>
      <c r="F320" s="1">
        <v>45203</v>
      </c>
      <c r="G320" s="6">
        <v>22.156250000000338</v>
      </c>
      <c r="H320" s="7">
        <v>22.156250000000338</v>
      </c>
      <c r="I320" s="26">
        <v>5.3710000000000004</v>
      </c>
      <c r="J320" s="26">
        <f t="shared" si="14"/>
        <v>-5.3710000000000004</v>
      </c>
      <c r="K320" s="26">
        <f t="shared" si="17"/>
        <v>4.1999999999999815E-2</v>
      </c>
      <c r="L320">
        <f t="shared" si="18"/>
        <v>5.5750000000000188E-2</v>
      </c>
    </row>
    <row r="321" spans="1:12" x14ac:dyDescent="0.2">
      <c r="A321" t="s">
        <v>4668</v>
      </c>
      <c r="B321">
        <v>7.5115000000000001E-2</v>
      </c>
      <c r="C321">
        <v>277</v>
      </c>
      <c r="D321" t="s">
        <v>4668</v>
      </c>
      <c r="E321">
        <v>277</v>
      </c>
      <c r="F321" s="1">
        <v>45203</v>
      </c>
      <c r="G321" s="6">
        <v>22.166666666667005</v>
      </c>
      <c r="H321" s="7">
        <v>22.166666666667005</v>
      </c>
      <c r="I321" s="26">
        <v>5.3620000000000001</v>
      </c>
      <c r="J321" s="26">
        <f t="shared" si="14"/>
        <v>-5.3620000000000001</v>
      </c>
      <c r="K321" s="26">
        <f t="shared" si="17"/>
        <v>5.1000000000000156E-2</v>
      </c>
      <c r="L321">
        <f t="shared" si="18"/>
        <v>4.6499999999999986E-2</v>
      </c>
    </row>
    <row r="322" spans="1:12" x14ac:dyDescent="0.2">
      <c r="A322" t="s">
        <v>4669</v>
      </c>
      <c r="B322">
        <v>7.4764999999999998E-2</v>
      </c>
      <c r="C322">
        <v>277</v>
      </c>
      <c r="D322" t="s">
        <v>4669</v>
      </c>
      <c r="E322">
        <v>277</v>
      </c>
      <c r="F322" s="1">
        <v>45203</v>
      </c>
      <c r="G322" s="6">
        <v>22.177083333333673</v>
      </c>
      <c r="H322" s="7">
        <v>22.177083333333673</v>
      </c>
      <c r="I322" s="26">
        <v>5.335</v>
      </c>
      <c r="J322" s="26">
        <f t="shared" si="14"/>
        <v>-5.335</v>
      </c>
      <c r="K322" s="26">
        <f t="shared" si="17"/>
        <v>7.8000000000000291E-2</v>
      </c>
      <c r="L322">
        <f t="shared" si="18"/>
        <v>6.4500000000000224E-2</v>
      </c>
    </row>
    <row r="323" spans="1:12" x14ac:dyDescent="0.2">
      <c r="A323" t="s">
        <v>4670</v>
      </c>
      <c r="B323">
        <v>7.5615000000000002E-2</v>
      </c>
      <c r="C323">
        <v>277</v>
      </c>
      <c r="D323" t="s">
        <v>4670</v>
      </c>
      <c r="E323">
        <v>277</v>
      </c>
      <c r="F323" s="1">
        <v>45203</v>
      </c>
      <c r="G323" s="6">
        <v>22.187500000000341</v>
      </c>
      <c r="H323" s="7">
        <v>22.187500000000341</v>
      </c>
      <c r="I323" s="26">
        <v>5.3985000000000003</v>
      </c>
      <c r="J323" s="26">
        <f t="shared" ref="J323:J386" si="19">-I323</f>
        <v>-5.3985000000000003</v>
      </c>
      <c r="K323" s="26">
        <f t="shared" si="17"/>
        <v>1.4499999999999957E-2</v>
      </c>
      <c r="L323">
        <f t="shared" si="18"/>
        <v>4.6250000000000124E-2</v>
      </c>
    </row>
    <row r="324" spans="1:12" x14ac:dyDescent="0.2">
      <c r="A324" t="s">
        <v>4671</v>
      </c>
      <c r="B324">
        <v>7.4700000000000003E-2</v>
      </c>
      <c r="C324">
        <v>277</v>
      </c>
      <c r="D324" t="s">
        <v>4671</v>
      </c>
      <c r="E324">
        <v>277</v>
      </c>
      <c r="F324" s="1">
        <v>45203</v>
      </c>
      <c r="G324" s="6">
        <v>22.197916666667009</v>
      </c>
      <c r="H324" s="7">
        <v>22.197916666667009</v>
      </c>
      <c r="I324" s="26">
        <v>5.3330000000000002</v>
      </c>
      <c r="J324" s="26">
        <f t="shared" si="19"/>
        <v>-5.3330000000000002</v>
      </c>
      <c r="K324" s="26">
        <f t="shared" si="17"/>
        <v>8.0000000000000071E-2</v>
      </c>
      <c r="L324">
        <f t="shared" si="18"/>
        <v>4.7250000000000014E-2</v>
      </c>
    </row>
    <row r="325" spans="1:12" x14ac:dyDescent="0.2">
      <c r="A325" t="s">
        <v>4672</v>
      </c>
      <c r="B325">
        <v>7.5249999999999997E-2</v>
      </c>
      <c r="C325">
        <v>277</v>
      </c>
      <c r="D325" t="s">
        <v>4672</v>
      </c>
      <c r="E325">
        <v>277</v>
      </c>
      <c r="F325" s="1">
        <v>45203</v>
      </c>
      <c r="G325" s="6">
        <v>22.208333333333677</v>
      </c>
      <c r="H325" s="7">
        <v>22.208333333333677</v>
      </c>
      <c r="I325" s="26">
        <v>5.3730000000000002</v>
      </c>
      <c r="J325" s="26">
        <f t="shared" si="19"/>
        <v>-5.3730000000000002</v>
      </c>
      <c r="K325" s="26">
        <f t="shared" si="17"/>
        <v>4.0000000000000036E-2</v>
      </c>
      <c r="L325">
        <f t="shared" si="18"/>
        <v>6.0000000000000053E-2</v>
      </c>
    </row>
    <row r="326" spans="1:12" x14ac:dyDescent="0.2">
      <c r="A326" t="s">
        <v>4673</v>
      </c>
      <c r="B326">
        <v>7.4755000000000002E-2</v>
      </c>
      <c r="C326">
        <v>277</v>
      </c>
      <c r="D326" t="s">
        <v>4673</v>
      </c>
      <c r="E326">
        <v>277</v>
      </c>
      <c r="F326" s="1">
        <v>45203</v>
      </c>
      <c r="G326" s="6">
        <v>22.218750000000345</v>
      </c>
      <c r="H326" s="7">
        <v>22.218750000000345</v>
      </c>
      <c r="I326" s="26">
        <v>5.3365</v>
      </c>
      <c r="J326" s="26">
        <f t="shared" si="19"/>
        <v>-5.3365</v>
      </c>
      <c r="K326" s="26">
        <f t="shared" si="17"/>
        <v>7.6500000000000234E-2</v>
      </c>
      <c r="L326">
        <f t="shared" si="18"/>
        <v>5.8250000000000135E-2</v>
      </c>
    </row>
    <row r="327" spans="1:12" x14ac:dyDescent="0.2">
      <c r="A327" t="s">
        <v>4674</v>
      </c>
      <c r="B327">
        <v>7.4639999999999998E-2</v>
      </c>
      <c r="C327">
        <v>277</v>
      </c>
      <c r="D327" t="s">
        <v>4674</v>
      </c>
      <c r="E327">
        <v>277</v>
      </c>
      <c r="F327" s="1">
        <v>45203</v>
      </c>
      <c r="G327" s="6">
        <v>22.229166666667012</v>
      </c>
      <c r="H327" s="7">
        <v>22.229166666667012</v>
      </c>
      <c r="I327" s="26">
        <v>5.3285</v>
      </c>
      <c r="J327" s="26">
        <f t="shared" si="19"/>
        <v>-5.3285</v>
      </c>
      <c r="K327" s="26">
        <f t="shared" si="17"/>
        <v>8.4500000000000242E-2</v>
      </c>
      <c r="L327">
        <f t="shared" si="18"/>
        <v>8.0500000000000238E-2</v>
      </c>
    </row>
    <row r="328" spans="1:12" x14ac:dyDescent="0.2">
      <c r="A328" t="s">
        <v>4675</v>
      </c>
      <c r="B328">
        <v>7.4529999999999999E-2</v>
      </c>
      <c r="C328">
        <v>277</v>
      </c>
      <c r="D328" t="s">
        <v>4675</v>
      </c>
      <c r="E328">
        <v>277</v>
      </c>
      <c r="F328" s="1">
        <v>45203</v>
      </c>
      <c r="G328" s="6">
        <v>22.23958333333368</v>
      </c>
      <c r="H328" s="7">
        <v>22.23958333333368</v>
      </c>
      <c r="I328" s="26">
        <v>5.3209999999999997</v>
      </c>
      <c r="J328" s="26">
        <f t="shared" si="19"/>
        <v>-5.3209999999999997</v>
      </c>
      <c r="K328" s="26">
        <f t="shared" si="17"/>
        <v>9.2000000000000526E-2</v>
      </c>
      <c r="L328">
        <f t="shared" si="18"/>
        <v>8.8250000000000384E-2</v>
      </c>
    </row>
    <row r="329" spans="1:12" x14ac:dyDescent="0.2">
      <c r="A329" t="s">
        <v>4676</v>
      </c>
      <c r="B329">
        <v>7.4495000000000006E-2</v>
      </c>
      <c r="C329">
        <v>277</v>
      </c>
      <c r="D329" t="s">
        <v>4676</v>
      </c>
      <c r="E329">
        <v>277</v>
      </c>
      <c r="F329" s="1">
        <v>45203</v>
      </c>
      <c r="G329" s="6">
        <v>22.250000000000348</v>
      </c>
      <c r="H329" s="7">
        <v>22.250000000000348</v>
      </c>
      <c r="I329" s="26">
        <v>5.3185000000000002</v>
      </c>
      <c r="J329" s="26">
        <f t="shared" si="19"/>
        <v>-5.3185000000000002</v>
      </c>
      <c r="K329" s="26">
        <f t="shared" si="17"/>
        <v>9.4500000000000028E-2</v>
      </c>
      <c r="L329">
        <f t="shared" si="18"/>
        <v>9.3250000000000277E-2</v>
      </c>
    </row>
    <row r="330" spans="1:12" x14ac:dyDescent="0.2">
      <c r="A330" t="s">
        <v>4677</v>
      </c>
      <c r="B330">
        <v>7.4069999999999997E-2</v>
      </c>
      <c r="C330">
        <v>277</v>
      </c>
      <c r="D330" t="s">
        <v>4677</v>
      </c>
      <c r="E330">
        <v>277</v>
      </c>
      <c r="F330" s="1">
        <v>45203</v>
      </c>
      <c r="G330" s="6">
        <v>22.260416666667016</v>
      </c>
      <c r="H330" s="7">
        <v>22.260416666667016</v>
      </c>
      <c r="I330" s="26">
        <v>5.2889999999999997</v>
      </c>
      <c r="J330" s="26">
        <f t="shared" si="19"/>
        <v>-5.2889999999999997</v>
      </c>
      <c r="K330" s="26">
        <f t="shared" si="17"/>
        <v>0.12400000000000055</v>
      </c>
      <c r="L330">
        <f t="shared" si="18"/>
        <v>0.10925000000000029</v>
      </c>
    </row>
    <row r="331" spans="1:12" x14ac:dyDescent="0.2">
      <c r="A331" t="s">
        <v>4678</v>
      </c>
      <c r="B331">
        <v>7.3730000000000004E-2</v>
      </c>
      <c r="C331">
        <v>277</v>
      </c>
      <c r="D331" t="s">
        <v>4678</v>
      </c>
      <c r="E331">
        <v>277</v>
      </c>
      <c r="F331" s="1">
        <v>45203</v>
      </c>
      <c r="G331" s="6">
        <v>22.270833333333684</v>
      </c>
      <c r="H331" s="7">
        <v>22.270833333333684</v>
      </c>
      <c r="I331" s="26">
        <v>5.2645</v>
      </c>
      <c r="J331" s="26">
        <f t="shared" si="19"/>
        <v>-5.2645</v>
      </c>
      <c r="K331" s="26">
        <f t="shared" si="17"/>
        <v>0.1485000000000003</v>
      </c>
      <c r="L331">
        <f t="shared" si="18"/>
        <v>0.13625000000000043</v>
      </c>
    </row>
    <row r="332" spans="1:12" x14ac:dyDescent="0.2">
      <c r="A332" t="s">
        <v>4679</v>
      </c>
      <c r="B332">
        <v>7.306E-2</v>
      </c>
      <c r="C332">
        <v>277</v>
      </c>
      <c r="D332" t="s">
        <v>4679</v>
      </c>
      <c r="E332">
        <v>277</v>
      </c>
      <c r="F332" s="1">
        <v>45203</v>
      </c>
      <c r="G332" s="6">
        <v>22.281250000000352</v>
      </c>
      <c r="H332" s="7">
        <v>22.281250000000352</v>
      </c>
      <c r="I332" s="26">
        <v>5.2169999999999996</v>
      </c>
      <c r="J332" s="26">
        <f t="shared" si="19"/>
        <v>-5.2169999999999996</v>
      </c>
      <c r="K332" s="26">
        <f t="shared" si="17"/>
        <v>0.19600000000000062</v>
      </c>
      <c r="L332">
        <f t="shared" si="18"/>
        <v>0.17225000000000046</v>
      </c>
    </row>
    <row r="333" spans="1:12" x14ac:dyDescent="0.2">
      <c r="A333" t="s">
        <v>4680</v>
      </c>
      <c r="B333">
        <v>7.2730000000000003E-2</v>
      </c>
      <c r="C333">
        <v>277</v>
      </c>
      <c r="D333" t="s">
        <v>4680</v>
      </c>
      <c r="E333">
        <v>277</v>
      </c>
      <c r="F333" s="1">
        <v>45203</v>
      </c>
      <c r="G333" s="6">
        <v>22.29166666666702</v>
      </c>
      <c r="H333" s="7">
        <v>22.29166666666702</v>
      </c>
      <c r="I333" s="26">
        <v>5.1905000000000001</v>
      </c>
      <c r="J333" s="26">
        <f t="shared" si="19"/>
        <v>-5.1905000000000001</v>
      </c>
      <c r="K333" s="26">
        <f t="shared" si="17"/>
        <v>0.22250000000000014</v>
      </c>
      <c r="L333">
        <f t="shared" si="18"/>
        <v>0.20925000000000038</v>
      </c>
    </row>
    <row r="334" spans="1:12" x14ac:dyDescent="0.2">
      <c r="A334" t="s">
        <v>4681</v>
      </c>
      <c r="B334">
        <v>7.2209999999999996E-2</v>
      </c>
      <c r="C334">
        <v>277</v>
      </c>
      <c r="D334" t="s">
        <v>4681</v>
      </c>
      <c r="E334">
        <v>277</v>
      </c>
      <c r="F334" s="1">
        <v>45203</v>
      </c>
      <c r="G334" s="6">
        <v>22.302083333333687</v>
      </c>
      <c r="H334" s="7">
        <v>22.302083333333687</v>
      </c>
      <c r="I334" s="26">
        <v>5.1550000000000002</v>
      </c>
      <c r="J334" s="26">
        <f t="shared" si="19"/>
        <v>-5.1550000000000002</v>
      </c>
      <c r="K334" s="26">
        <f t="shared" si="17"/>
        <v>0.25800000000000001</v>
      </c>
      <c r="L334">
        <f t="shared" si="18"/>
        <v>0.24025000000000007</v>
      </c>
    </row>
    <row r="335" spans="1:12" x14ac:dyDescent="0.2">
      <c r="A335" t="s">
        <v>4682</v>
      </c>
      <c r="B335">
        <v>7.1334999999999996E-2</v>
      </c>
      <c r="C335">
        <v>277</v>
      </c>
      <c r="D335" t="s">
        <v>4682</v>
      </c>
      <c r="E335">
        <v>277</v>
      </c>
      <c r="F335" s="1">
        <v>45203</v>
      </c>
      <c r="G335" s="6">
        <v>22.312500000000355</v>
      </c>
      <c r="H335" s="7">
        <v>22.312500000000355</v>
      </c>
      <c r="I335" s="26">
        <v>5.0925000000000002</v>
      </c>
      <c r="J335" s="26">
        <f t="shared" si="19"/>
        <v>-5.0925000000000002</v>
      </c>
      <c r="K335" s="26">
        <f t="shared" si="17"/>
        <v>0.32050000000000001</v>
      </c>
      <c r="L335">
        <f t="shared" si="18"/>
        <v>0.28925000000000001</v>
      </c>
    </row>
    <row r="336" spans="1:12" x14ac:dyDescent="0.2">
      <c r="A336" t="s">
        <v>4683</v>
      </c>
      <c r="B336">
        <v>7.0650000000000004E-2</v>
      </c>
      <c r="C336">
        <v>277</v>
      </c>
      <c r="D336" t="s">
        <v>4683</v>
      </c>
      <c r="E336">
        <v>277</v>
      </c>
      <c r="F336" s="1">
        <v>45203</v>
      </c>
      <c r="G336" s="6">
        <v>22.322916666667023</v>
      </c>
      <c r="H336" s="7">
        <v>22.322916666667023</v>
      </c>
      <c r="I336" s="26">
        <v>5.0434999999999999</v>
      </c>
      <c r="J336" s="26">
        <f t="shared" si="19"/>
        <v>-5.0434999999999999</v>
      </c>
      <c r="K336" s="26">
        <f t="shared" si="17"/>
        <v>0.36950000000000038</v>
      </c>
      <c r="L336">
        <f t="shared" si="18"/>
        <v>0.3450000000000002</v>
      </c>
    </row>
    <row r="337" spans="1:12" x14ac:dyDescent="0.2">
      <c r="A337" t="s">
        <v>4684</v>
      </c>
      <c r="B337">
        <v>7.0215E-2</v>
      </c>
      <c r="C337">
        <v>277</v>
      </c>
      <c r="D337" t="s">
        <v>4684</v>
      </c>
      <c r="E337">
        <v>277</v>
      </c>
      <c r="F337" s="1">
        <v>45203</v>
      </c>
      <c r="G337" s="6">
        <v>22.333333333333691</v>
      </c>
      <c r="H337" s="7">
        <v>22.333333333333691</v>
      </c>
      <c r="I337" s="26">
        <v>5.0134999999999996</v>
      </c>
      <c r="J337" s="26">
        <f t="shared" si="19"/>
        <v>-5.0134999999999996</v>
      </c>
      <c r="K337" s="26">
        <f t="shared" si="17"/>
        <v>0.39950000000000063</v>
      </c>
      <c r="L337">
        <f t="shared" si="18"/>
        <v>0.38450000000000051</v>
      </c>
    </row>
    <row r="338" spans="1:12" x14ac:dyDescent="0.2">
      <c r="A338" t="s">
        <v>4685</v>
      </c>
      <c r="B338">
        <v>6.973E-2</v>
      </c>
      <c r="C338">
        <v>277</v>
      </c>
      <c r="D338" t="s">
        <v>4685</v>
      </c>
      <c r="E338">
        <v>277</v>
      </c>
      <c r="F338" s="1">
        <v>45203</v>
      </c>
      <c r="G338" s="6">
        <v>22.343750000000359</v>
      </c>
      <c r="H338" s="7">
        <v>22.343750000000359</v>
      </c>
      <c r="I338" s="26">
        <v>4.9794999999999998</v>
      </c>
      <c r="J338" s="26">
        <f t="shared" si="19"/>
        <v>-4.9794999999999998</v>
      </c>
      <c r="K338" s="26">
        <f t="shared" si="17"/>
        <v>0.43350000000000044</v>
      </c>
      <c r="L338">
        <f t="shared" si="18"/>
        <v>0.41650000000000054</v>
      </c>
    </row>
    <row r="339" spans="1:12" x14ac:dyDescent="0.2">
      <c r="A339" t="s">
        <v>4686</v>
      </c>
      <c r="B339">
        <v>7.0029999999999995E-2</v>
      </c>
      <c r="C339">
        <v>277</v>
      </c>
      <c r="D339" t="s">
        <v>4686</v>
      </c>
      <c r="E339">
        <v>277</v>
      </c>
      <c r="F339" s="1">
        <v>45203</v>
      </c>
      <c r="G339" s="6">
        <v>22.354166666667027</v>
      </c>
      <c r="H339" s="7">
        <v>22.354166666667027</v>
      </c>
      <c r="I339" s="26">
        <v>5</v>
      </c>
      <c r="J339" s="26">
        <f t="shared" si="19"/>
        <v>-5</v>
      </c>
      <c r="K339" s="26">
        <f t="shared" si="17"/>
        <v>0.41300000000000026</v>
      </c>
      <c r="L339">
        <f t="shared" si="18"/>
        <v>0.42325000000000035</v>
      </c>
    </row>
    <row r="340" spans="1:12" x14ac:dyDescent="0.2">
      <c r="A340" t="s">
        <v>4687</v>
      </c>
      <c r="B340">
        <v>6.9080000000000003E-2</v>
      </c>
      <c r="C340">
        <v>277</v>
      </c>
      <c r="D340" t="s">
        <v>4687</v>
      </c>
      <c r="E340">
        <v>277</v>
      </c>
      <c r="F340" s="1">
        <v>45203</v>
      </c>
      <c r="G340" s="6">
        <v>22.364583333333695</v>
      </c>
      <c r="H340" s="7">
        <v>22.364583333333695</v>
      </c>
      <c r="I340" s="26">
        <v>4.9329999999999998</v>
      </c>
      <c r="J340" s="26">
        <f t="shared" si="19"/>
        <v>-4.9329999999999998</v>
      </c>
      <c r="K340" s="26">
        <f t="shared" si="17"/>
        <v>0.48000000000000043</v>
      </c>
      <c r="L340">
        <f t="shared" si="18"/>
        <v>0.44650000000000034</v>
      </c>
    </row>
    <row r="341" spans="1:12" x14ac:dyDescent="0.2">
      <c r="A341" t="s">
        <v>4688</v>
      </c>
      <c r="B341">
        <v>6.8459999999999993E-2</v>
      </c>
      <c r="C341">
        <v>277</v>
      </c>
      <c r="D341" t="s">
        <v>4688</v>
      </c>
      <c r="E341">
        <v>277</v>
      </c>
      <c r="F341" s="1">
        <v>45203</v>
      </c>
      <c r="G341" s="6">
        <v>22.375000000000362</v>
      </c>
      <c r="H341" s="7">
        <v>22.375000000000362</v>
      </c>
      <c r="I341" s="26">
        <v>4.8875000000000002</v>
      </c>
      <c r="J341" s="26">
        <f t="shared" si="19"/>
        <v>-4.8875000000000002</v>
      </c>
      <c r="K341" s="26">
        <f t="shared" si="17"/>
        <v>0.52550000000000008</v>
      </c>
      <c r="L341">
        <f t="shared" si="18"/>
        <v>0.50275000000000025</v>
      </c>
    </row>
    <row r="342" spans="1:12" x14ac:dyDescent="0.2">
      <c r="A342" t="s">
        <v>4689</v>
      </c>
      <c r="B342">
        <v>6.7894999999999997E-2</v>
      </c>
      <c r="C342">
        <v>277</v>
      </c>
      <c r="D342" t="s">
        <v>4689</v>
      </c>
      <c r="E342">
        <v>277</v>
      </c>
      <c r="F342" s="1">
        <v>45203</v>
      </c>
      <c r="G342" s="6">
        <v>22.38541666666703</v>
      </c>
      <c r="H342" s="7">
        <v>22.38541666666703</v>
      </c>
      <c r="I342" s="26">
        <v>4.8470000000000004</v>
      </c>
      <c r="J342" s="26">
        <f t="shared" si="19"/>
        <v>-4.8470000000000004</v>
      </c>
      <c r="K342" s="26">
        <f t="shared" si="17"/>
        <v>0.56599999999999984</v>
      </c>
      <c r="L342">
        <f t="shared" si="18"/>
        <v>0.54574999999999996</v>
      </c>
    </row>
    <row r="343" spans="1:12" x14ac:dyDescent="0.2">
      <c r="A343" t="s">
        <v>4690</v>
      </c>
      <c r="B343">
        <v>6.8135000000000001E-2</v>
      </c>
      <c r="C343">
        <v>277</v>
      </c>
      <c r="D343" t="s">
        <v>4690</v>
      </c>
      <c r="E343">
        <v>277</v>
      </c>
      <c r="F343" s="1">
        <v>45203</v>
      </c>
      <c r="G343" s="6">
        <v>22.395833333333698</v>
      </c>
      <c r="H343" s="7">
        <v>22.395833333333698</v>
      </c>
      <c r="I343" s="26">
        <v>4.8654999999999999</v>
      </c>
      <c r="J343" s="26">
        <f t="shared" si="19"/>
        <v>-4.8654999999999999</v>
      </c>
      <c r="K343" s="26">
        <f t="shared" si="17"/>
        <v>0.54750000000000032</v>
      </c>
      <c r="L343">
        <f t="shared" si="18"/>
        <v>0.55675000000000008</v>
      </c>
    </row>
    <row r="344" spans="1:12" x14ac:dyDescent="0.2">
      <c r="A344" t="s">
        <v>4691</v>
      </c>
      <c r="B344">
        <v>6.6784999999999997E-2</v>
      </c>
      <c r="C344">
        <v>277</v>
      </c>
      <c r="D344" t="s">
        <v>4691</v>
      </c>
      <c r="E344">
        <v>277</v>
      </c>
      <c r="F344" s="1">
        <v>45203</v>
      </c>
      <c r="G344" s="6">
        <v>22.406250000000366</v>
      </c>
      <c r="H344" s="7">
        <v>22.406250000000366</v>
      </c>
      <c r="I344" s="26">
        <v>4.7664999999999997</v>
      </c>
      <c r="J344" s="26">
        <f t="shared" si="19"/>
        <v>-4.7664999999999997</v>
      </c>
      <c r="K344" s="26">
        <f t="shared" si="17"/>
        <v>0.64650000000000052</v>
      </c>
      <c r="L344">
        <f t="shared" si="18"/>
        <v>0.59700000000000042</v>
      </c>
    </row>
    <row r="345" spans="1:12" x14ac:dyDescent="0.2">
      <c r="A345" t="s">
        <v>4692</v>
      </c>
      <c r="B345">
        <v>6.7239999999999994E-2</v>
      </c>
      <c r="C345">
        <v>277</v>
      </c>
      <c r="D345" t="s">
        <v>4692</v>
      </c>
      <c r="E345">
        <v>277</v>
      </c>
      <c r="F345" s="1">
        <v>45203</v>
      </c>
      <c r="G345" s="6">
        <v>22.416666666667034</v>
      </c>
      <c r="H345" s="7">
        <v>22.416666666667034</v>
      </c>
      <c r="I345" s="26">
        <v>4.8010000000000002</v>
      </c>
      <c r="J345" s="26">
        <f t="shared" si="19"/>
        <v>-4.8010000000000002</v>
      </c>
      <c r="K345" s="26">
        <f t="shared" si="17"/>
        <v>0.6120000000000001</v>
      </c>
      <c r="L345">
        <f t="shared" si="18"/>
        <v>0.62925000000000031</v>
      </c>
    </row>
    <row r="346" spans="1:12" x14ac:dyDescent="0.2">
      <c r="A346" t="s">
        <v>4693</v>
      </c>
      <c r="B346">
        <v>6.7699999999999996E-2</v>
      </c>
      <c r="C346">
        <v>277</v>
      </c>
      <c r="D346" t="s">
        <v>4693</v>
      </c>
      <c r="E346">
        <v>277</v>
      </c>
      <c r="F346" s="1">
        <v>45203</v>
      </c>
      <c r="G346" s="6">
        <v>22.427083333333702</v>
      </c>
      <c r="H346" s="7">
        <v>22.427083333333702</v>
      </c>
      <c r="I346" s="26">
        <v>4.8345000000000002</v>
      </c>
      <c r="J346" s="26">
        <f t="shared" si="19"/>
        <v>-4.8345000000000002</v>
      </c>
      <c r="K346" s="26">
        <f t="shared" si="17"/>
        <v>0.57850000000000001</v>
      </c>
      <c r="L346">
        <f t="shared" si="18"/>
        <v>0.59525000000000006</v>
      </c>
    </row>
    <row r="347" spans="1:12" x14ac:dyDescent="0.2">
      <c r="A347" t="s">
        <v>4694</v>
      </c>
      <c r="B347">
        <v>6.7415000000000003E-2</v>
      </c>
      <c r="C347">
        <v>277</v>
      </c>
      <c r="D347" t="s">
        <v>4694</v>
      </c>
      <c r="E347">
        <v>277</v>
      </c>
      <c r="F347" s="1">
        <v>45203</v>
      </c>
      <c r="G347" s="6">
        <v>22.437500000000369</v>
      </c>
      <c r="H347" s="7">
        <v>22.437500000000369</v>
      </c>
      <c r="I347" s="26">
        <v>4.8129999999999997</v>
      </c>
      <c r="J347" s="26">
        <f t="shared" si="19"/>
        <v>-4.8129999999999997</v>
      </c>
      <c r="K347" s="26">
        <f t="shared" si="17"/>
        <v>0.60000000000000053</v>
      </c>
      <c r="L347">
        <f t="shared" si="18"/>
        <v>0.58925000000000027</v>
      </c>
    </row>
    <row r="348" spans="1:12" x14ac:dyDescent="0.2">
      <c r="A348" t="s">
        <v>4695</v>
      </c>
      <c r="B348">
        <v>6.7555000000000004E-2</v>
      </c>
      <c r="C348">
        <v>277</v>
      </c>
      <c r="D348" t="s">
        <v>4695</v>
      </c>
      <c r="E348">
        <v>277</v>
      </c>
      <c r="F348" s="1">
        <v>45203</v>
      </c>
      <c r="G348" s="6">
        <v>22.447916666667037</v>
      </c>
      <c r="H348" s="7">
        <v>22.447916666667037</v>
      </c>
      <c r="I348" s="26">
        <v>4.8224999999999998</v>
      </c>
      <c r="J348" s="26">
        <f t="shared" si="19"/>
        <v>-4.8224999999999998</v>
      </c>
      <c r="K348" s="26">
        <f t="shared" si="17"/>
        <v>0.59050000000000047</v>
      </c>
      <c r="L348">
        <f t="shared" si="18"/>
        <v>0.5952500000000005</v>
      </c>
    </row>
    <row r="349" spans="1:12" x14ac:dyDescent="0.2">
      <c r="A349" t="s">
        <v>4696</v>
      </c>
      <c r="B349">
        <v>6.7320000000000005E-2</v>
      </c>
      <c r="C349">
        <v>277</v>
      </c>
      <c r="D349" t="s">
        <v>4696</v>
      </c>
      <c r="E349">
        <v>277</v>
      </c>
      <c r="F349" s="1">
        <v>45203</v>
      </c>
      <c r="G349" s="6">
        <v>22.458333333333705</v>
      </c>
      <c r="H349" s="7">
        <v>22.458333333333705</v>
      </c>
      <c r="I349" s="26">
        <v>4.8070000000000004</v>
      </c>
      <c r="J349" s="26">
        <f t="shared" si="19"/>
        <v>-4.8070000000000004</v>
      </c>
      <c r="K349" s="26">
        <f t="shared" si="17"/>
        <v>0.60599999999999987</v>
      </c>
      <c r="L349">
        <f t="shared" si="18"/>
        <v>0.59825000000000017</v>
      </c>
    </row>
    <row r="350" spans="1:12" x14ac:dyDescent="0.2">
      <c r="A350" t="s">
        <v>4697</v>
      </c>
      <c r="B350">
        <v>6.7565E-2</v>
      </c>
      <c r="C350">
        <v>277</v>
      </c>
      <c r="D350" t="s">
        <v>4697</v>
      </c>
      <c r="E350">
        <v>277</v>
      </c>
      <c r="F350" s="1">
        <v>45203</v>
      </c>
      <c r="G350" s="6">
        <v>22.468750000000373</v>
      </c>
      <c r="H350" s="7">
        <v>22.468750000000373</v>
      </c>
      <c r="I350" s="26">
        <v>4.8239999999999998</v>
      </c>
      <c r="J350" s="26">
        <f t="shared" si="19"/>
        <v>-4.8239999999999998</v>
      </c>
      <c r="K350" s="26">
        <f t="shared" si="17"/>
        <v>0.58900000000000041</v>
      </c>
      <c r="L350">
        <f t="shared" si="18"/>
        <v>0.59750000000000014</v>
      </c>
    </row>
    <row r="351" spans="1:12" x14ac:dyDescent="0.2">
      <c r="A351" t="s">
        <v>4698</v>
      </c>
      <c r="B351">
        <v>6.7330000000000001E-2</v>
      </c>
      <c r="C351">
        <v>277</v>
      </c>
      <c r="D351" t="s">
        <v>4698</v>
      </c>
      <c r="E351">
        <v>277</v>
      </c>
      <c r="F351" s="1">
        <v>45203</v>
      </c>
      <c r="G351" s="6">
        <v>22.479166666667041</v>
      </c>
      <c r="H351" s="7">
        <v>22.479166666667041</v>
      </c>
      <c r="I351" s="26">
        <v>4.8064999999999998</v>
      </c>
      <c r="J351" s="26">
        <f t="shared" si="19"/>
        <v>-4.8064999999999998</v>
      </c>
      <c r="K351" s="26">
        <f t="shared" si="17"/>
        <v>0.60650000000000048</v>
      </c>
      <c r="L351">
        <f t="shared" si="18"/>
        <v>0.59775000000000045</v>
      </c>
    </row>
    <row r="352" spans="1:12" x14ac:dyDescent="0.2">
      <c r="A352" t="s">
        <v>4699</v>
      </c>
      <c r="B352">
        <v>6.7040000000000002E-2</v>
      </c>
      <c r="C352">
        <v>277</v>
      </c>
      <c r="D352" t="s">
        <v>4699</v>
      </c>
      <c r="E352">
        <v>277</v>
      </c>
      <c r="F352" s="1">
        <v>45203</v>
      </c>
      <c r="G352" s="6">
        <v>22.489583333333709</v>
      </c>
      <c r="H352" s="7">
        <v>22.489583333333709</v>
      </c>
      <c r="I352" s="26">
        <v>4.7869999999999999</v>
      </c>
      <c r="J352" s="26">
        <f t="shared" si="19"/>
        <v>-4.7869999999999999</v>
      </c>
      <c r="K352" s="26">
        <f t="shared" si="17"/>
        <v>0.62600000000000033</v>
      </c>
      <c r="L352">
        <f t="shared" si="18"/>
        <v>0.61625000000000041</v>
      </c>
    </row>
    <row r="353" spans="1:12" x14ac:dyDescent="0.2">
      <c r="A353" t="s">
        <v>4700</v>
      </c>
      <c r="B353">
        <v>6.6894999999999996E-2</v>
      </c>
      <c r="C353">
        <v>277</v>
      </c>
      <c r="D353" t="s">
        <v>4700</v>
      </c>
      <c r="E353">
        <v>277</v>
      </c>
      <c r="F353" s="1">
        <v>45203</v>
      </c>
      <c r="G353" s="6">
        <v>22.500000000000377</v>
      </c>
      <c r="H353" s="7">
        <v>22.500000000000377</v>
      </c>
      <c r="I353" s="26">
        <v>4.7759999999999998</v>
      </c>
      <c r="J353" s="26">
        <f t="shared" si="19"/>
        <v>-4.7759999999999998</v>
      </c>
      <c r="K353" s="26">
        <f t="shared" si="17"/>
        <v>0.63700000000000045</v>
      </c>
      <c r="L353">
        <f t="shared" si="18"/>
        <v>0.63150000000000039</v>
      </c>
    </row>
    <row r="354" spans="1:12" x14ac:dyDescent="0.2">
      <c r="A354" t="s">
        <v>4701</v>
      </c>
      <c r="B354">
        <v>6.6654999999999895E-2</v>
      </c>
      <c r="C354">
        <v>277</v>
      </c>
      <c r="D354" t="s">
        <v>4701</v>
      </c>
      <c r="E354">
        <v>277</v>
      </c>
      <c r="F354" s="1">
        <v>45203</v>
      </c>
      <c r="G354" s="6">
        <v>22.510416666667044</v>
      </c>
      <c r="H354" s="7">
        <v>22.510416666667044</v>
      </c>
      <c r="I354" s="26">
        <v>4.7595000000000001</v>
      </c>
      <c r="J354" s="26">
        <f t="shared" si="19"/>
        <v>-4.7595000000000001</v>
      </c>
      <c r="K354" s="26">
        <f t="shared" si="17"/>
        <v>0.65350000000000019</v>
      </c>
      <c r="L354">
        <f t="shared" si="18"/>
        <v>0.64525000000000032</v>
      </c>
    </row>
    <row r="355" spans="1:12" x14ac:dyDescent="0.2">
      <c r="A355" t="s">
        <v>4702</v>
      </c>
      <c r="B355">
        <v>6.7159999999999997E-2</v>
      </c>
      <c r="C355">
        <v>277</v>
      </c>
      <c r="D355" t="s">
        <v>4702</v>
      </c>
      <c r="E355">
        <v>277</v>
      </c>
      <c r="F355" s="1">
        <v>45203</v>
      </c>
      <c r="G355" s="6">
        <v>22.520833333333712</v>
      </c>
      <c r="H355" s="7">
        <v>22.520833333333712</v>
      </c>
      <c r="I355" s="26">
        <v>4.7934999999999999</v>
      </c>
      <c r="J355" s="26">
        <f t="shared" si="19"/>
        <v>-4.7934999999999999</v>
      </c>
      <c r="K355" s="26">
        <f t="shared" si="17"/>
        <v>0.61950000000000038</v>
      </c>
      <c r="L355">
        <f t="shared" si="18"/>
        <v>0.63650000000000029</v>
      </c>
    </row>
    <row r="356" spans="1:12" x14ac:dyDescent="0.2">
      <c r="A356" t="s">
        <v>4703</v>
      </c>
      <c r="B356">
        <v>6.7095000000000002E-2</v>
      </c>
      <c r="C356">
        <v>277</v>
      </c>
      <c r="D356" t="s">
        <v>4703</v>
      </c>
      <c r="E356">
        <v>277</v>
      </c>
      <c r="F356" s="1">
        <v>45203</v>
      </c>
      <c r="G356" s="6">
        <v>22.53125000000038</v>
      </c>
      <c r="H356" s="7">
        <v>22.53125000000038</v>
      </c>
      <c r="I356" s="26">
        <v>4.7895000000000003</v>
      </c>
      <c r="J356" s="26">
        <f t="shared" si="19"/>
        <v>-4.7895000000000003</v>
      </c>
      <c r="K356" s="26">
        <f t="shared" si="17"/>
        <v>0.62349999999999994</v>
      </c>
      <c r="L356">
        <f t="shared" si="18"/>
        <v>0.62150000000000016</v>
      </c>
    </row>
    <row r="357" spans="1:12" x14ac:dyDescent="0.2">
      <c r="A357" t="s">
        <v>4704</v>
      </c>
      <c r="B357">
        <v>6.6814999999999999E-2</v>
      </c>
      <c r="C357">
        <v>277</v>
      </c>
      <c r="D357" t="s">
        <v>4704</v>
      </c>
      <c r="E357">
        <v>277</v>
      </c>
      <c r="F357" s="1">
        <v>45203</v>
      </c>
      <c r="G357" s="6">
        <v>22.541666666667048</v>
      </c>
      <c r="H357" s="7">
        <v>22.541666666667048</v>
      </c>
      <c r="I357" s="26">
        <v>4.7709999999999999</v>
      </c>
      <c r="J357" s="26">
        <f t="shared" si="19"/>
        <v>-4.7709999999999999</v>
      </c>
      <c r="K357" s="26">
        <f t="shared" si="17"/>
        <v>0.64200000000000035</v>
      </c>
      <c r="L357">
        <f t="shared" si="18"/>
        <v>0.63275000000000015</v>
      </c>
    </row>
    <row r="358" spans="1:12" x14ac:dyDescent="0.2">
      <c r="A358" t="s">
        <v>4705</v>
      </c>
      <c r="B358">
        <v>6.6960000000000006E-2</v>
      </c>
      <c r="C358">
        <v>277</v>
      </c>
      <c r="D358" t="s">
        <v>4705</v>
      </c>
      <c r="E358">
        <v>277</v>
      </c>
      <c r="F358" s="1">
        <v>45203</v>
      </c>
      <c r="G358" s="6">
        <v>22.552083333333716</v>
      </c>
      <c r="H358" s="7">
        <v>22.552083333333716</v>
      </c>
      <c r="I358" s="26">
        <v>4.7805</v>
      </c>
      <c r="J358" s="26">
        <f t="shared" si="19"/>
        <v>-4.7805</v>
      </c>
      <c r="K358" s="26">
        <f t="shared" si="17"/>
        <v>0.63250000000000028</v>
      </c>
      <c r="L358">
        <f t="shared" si="18"/>
        <v>0.63725000000000032</v>
      </c>
    </row>
    <row r="359" spans="1:12" x14ac:dyDescent="0.2">
      <c r="A359" t="s">
        <v>4706</v>
      </c>
      <c r="B359">
        <v>6.7419999999999994E-2</v>
      </c>
      <c r="C359">
        <v>277</v>
      </c>
      <c r="D359" t="s">
        <v>4706</v>
      </c>
      <c r="E359">
        <v>277</v>
      </c>
      <c r="F359" s="1">
        <v>45203</v>
      </c>
      <c r="G359" s="6">
        <v>22.562500000000384</v>
      </c>
      <c r="H359" s="7">
        <v>22.562500000000384</v>
      </c>
      <c r="I359" s="26">
        <v>4.8144999999999998</v>
      </c>
      <c r="J359" s="26">
        <f t="shared" si="19"/>
        <v>-4.8144999999999998</v>
      </c>
      <c r="K359" s="26">
        <f t="shared" si="17"/>
        <v>0.59850000000000048</v>
      </c>
      <c r="L359">
        <f t="shared" si="18"/>
        <v>0.61550000000000038</v>
      </c>
    </row>
    <row r="360" spans="1:12" x14ac:dyDescent="0.2">
      <c r="A360" t="s">
        <v>4707</v>
      </c>
      <c r="B360">
        <v>6.6555000000000003E-2</v>
      </c>
      <c r="C360">
        <v>277</v>
      </c>
      <c r="D360" t="s">
        <v>4707</v>
      </c>
      <c r="E360">
        <v>277</v>
      </c>
      <c r="F360" s="1">
        <v>45203</v>
      </c>
      <c r="G360" s="6">
        <v>22.572916666667052</v>
      </c>
      <c r="H360" s="7">
        <v>22.572916666667052</v>
      </c>
      <c r="I360" s="26">
        <v>4.7530000000000001</v>
      </c>
      <c r="J360" s="26">
        <f t="shared" si="19"/>
        <v>-4.7530000000000001</v>
      </c>
      <c r="K360" s="26">
        <f t="shared" si="17"/>
        <v>0.66000000000000014</v>
      </c>
      <c r="L360">
        <f t="shared" si="18"/>
        <v>0.62925000000000031</v>
      </c>
    </row>
    <row r="361" spans="1:12" x14ac:dyDescent="0.2">
      <c r="A361" t="s">
        <v>4708</v>
      </c>
      <c r="B361">
        <v>6.6055000000000003E-2</v>
      </c>
      <c r="C361">
        <v>277</v>
      </c>
      <c r="D361" t="s">
        <v>4708</v>
      </c>
      <c r="E361" s="17">
        <v>277</v>
      </c>
      <c r="F361" s="18">
        <v>45203</v>
      </c>
      <c r="G361" s="29">
        <v>22.583333333333719</v>
      </c>
      <c r="H361" s="19">
        <v>22.583333333333719</v>
      </c>
      <c r="I361" s="30">
        <v>4.7154999999999996</v>
      </c>
      <c r="J361" s="30">
        <f t="shared" si="19"/>
        <v>-4.7154999999999996</v>
      </c>
      <c r="K361" s="26">
        <f t="shared" si="17"/>
        <v>0.69750000000000068</v>
      </c>
      <c r="L361">
        <f t="shared" si="18"/>
        <v>0.67875000000000041</v>
      </c>
    </row>
    <row r="362" spans="1:12" x14ac:dyDescent="0.2">
      <c r="A362" t="s">
        <v>4709</v>
      </c>
      <c r="B362">
        <v>6.6424999999999998E-2</v>
      </c>
      <c r="C362">
        <v>277</v>
      </c>
      <c r="D362" t="s">
        <v>4709</v>
      </c>
      <c r="E362">
        <v>277</v>
      </c>
      <c r="F362" s="1">
        <v>45203</v>
      </c>
      <c r="G362" s="6">
        <v>22.593750000000387</v>
      </c>
      <c r="H362" s="7">
        <v>22.593750000000387</v>
      </c>
      <c r="I362" s="26">
        <v>4.742</v>
      </c>
      <c r="J362" s="26">
        <f t="shared" si="19"/>
        <v>-4.742</v>
      </c>
      <c r="K362" s="26">
        <f t="shared" si="17"/>
        <v>0.67100000000000026</v>
      </c>
      <c r="L362">
        <f t="shared" si="18"/>
        <v>0.68425000000000047</v>
      </c>
    </row>
    <row r="363" spans="1:12" x14ac:dyDescent="0.2">
      <c r="A363" t="s">
        <v>4710</v>
      </c>
      <c r="B363">
        <v>6.6409999999999997E-2</v>
      </c>
      <c r="C363">
        <v>277</v>
      </c>
      <c r="D363" t="s">
        <v>4710</v>
      </c>
      <c r="E363">
        <v>277</v>
      </c>
      <c r="F363" s="1">
        <v>45203</v>
      </c>
      <c r="G363" s="6">
        <v>22.604166666667055</v>
      </c>
      <c r="H363" s="7">
        <v>22.604166666667055</v>
      </c>
      <c r="I363" s="26">
        <v>4.7404999999999999</v>
      </c>
      <c r="J363" s="26">
        <f t="shared" si="19"/>
        <v>-4.7404999999999999</v>
      </c>
      <c r="K363" s="26">
        <f t="shared" si="17"/>
        <v>0.67250000000000032</v>
      </c>
      <c r="L363">
        <f t="shared" si="18"/>
        <v>0.67175000000000029</v>
      </c>
    </row>
    <row r="364" spans="1:12" x14ac:dyDescent="0.2">
      <c r="A364" t="s">
        <v>4711</v>
      </c>
      <c r="B364">
        <v>6.6589999999999996E-2</v>
      </c>
      <c r="C364">
        <v>278</v>
      </c>
      <c r="D364" t="s">
        <v>4711</v>
      </c>
      <c r="E364">
        <v>277</v>
      </c>
      <c r="F364" s="1">
        <v>45203</v>
      </c>
      <c r="G364" s="6">
        <v>22.614583333333723</v>
      </c>
      <c r="H364" s="7">
        <v>22.614583333333723</v>
      </c>
      <c r="I364" s="26">
        <v>4.7534999999999998</v>
      </c>
      <c r="J364" s="26">
        <f t="shared" si="19"/>
        <v>-4.7534999999999998</v>
      </c>
      <c r="K364" s="26">
        <f t="shared" si="17"/>
        <v>0.65950000000000042</v>
      </c>
      <c r="L364">
        <f t="shared" si="18"/>
        <v>0.66600000000000037</v>
      </c>
    </row>
    <row r="365" spans="1:12" x14ac:dyDescent="0.2">
      <c r="A365" t="s">
        <v>4712</v>
      </c>
      <c r="B365">
        <v>6.5735000000000002E-2</v>
      </c>
      <c r="C365">
        <v>278</v>
      </c>
      <c r="D365" t="s">
        <v>4712</v>
      </c>
      <c r="E365">
        <v>277</v>
      </c>
      <c r="F365" s="1">
        <v>45203</v>
      </c>
      <c r="G365" s="6">
        <v>22.625000000000391</v>
      </c>
      <c r="H365" s="7">
        <v>22.625000000000391</v>
      </c>
      <c r="I365" s="26">
        <v>4.694</v>
      </c>
      <c r="J365" s="26">
        <f t="shared" si="19"/>
        <v>-4.694</v>
      </c>
      <c r="K365" s="26">
        <f t="shared" si="17"/>
        <v>0.71900000000000031</v>
      </c>
      <c r="L365">
        <f t="shared" si="18"/>
        <v>0.68925000000000036</v>
      </c>
    </row>
    <row r="366" spans="1:12" x14ac:dyDescent="0.2">
      <c r="A366" t="s">
        <v>4713</v>
      </c>
      <c r="B366">
        <v>6.5964999999999996E-2</v>
      </c>
      <c r="C366">
        <v>278</v>
      </c>
      <c r="D366" t="s">
        <v>4713</v>
      </c>
      <c r="E366">
        <v>277</v>
      </c>
      <c r="F366" s="1">
        <v>45203</v>
      </c>
      <c r="G366" s="6">
        <v>22.635416666667059</v>
      </c>
      <c r="H366" s="7">
        <v>22.635416666667059</v>
      </c>
      <c r="I366" s="26">
        <v>4.7084999999999999</v>
      </c>
      <c r="J366" s="26">
        <f t="shared" si="19"/>
        <v>-4.7084999999999999</v>
      </c>
      <c r="K366" s="26">
        <f t="shared" si="17"/>
        <v>0.70450000000000035</v>
      </c>
      <c r="L366">
        <f t="shared" si="18"/>
        <v>0.71175000000000033</v>
      </c>
    </row>
    <row r="367" spans="1:12" x14ac:dyDescent="0.2">
      <c r="A367" t="s">
        <v>4714</v>
      </c>
      <c r="B367">
        <v>6.6570000000000004E-2</v>
      </c>
      <c r="C367">
        <v>278</v>
      </c>
      <c r="D367" t="s">
        <v>4714</v>
      </c>
      <c r="E367">
        <v>277</v>
      </c>
      <c r="F367" s="1">
        <v>45203</v>
      </c>
      <c r="G367" s="6">
        <v>22.645833333333727</v>
      </c>
      <c r="H367" s="7">
        <v>22.645833333333727</v>
      </c>
      <c r="I367" s="26">
        <v>4.7539999999999996</v>
      </c>
      <c r="J367" s="26">
        <f t="shared" si="19"/>
        <v>-4.7539999999999996</v>
      </c>
      <c r="K367" s="26">
        <f t="shared" si="17"/>
        <v>0.6590000000000007</v>
      </c>
      <c r="L367">
        <f t="shared" si="18"/>
        <v>0.68175000000000052</v>
      </c>
    </row>
    <row r="368" spans="1:12" x14ac:dyDescent="0.2">
      <c r="A368" t="s">
        <v>4715</v>
      </c>
      <c r="B368">
        <v>6.6489999999999994E-2</v>
      </c>
      <c r="C368">
        <v>278</v>
      </c>
      <c r="D368" t="s">
        <v>4715</v>
      </c>
      <c r="E368">
        <v>277</v>
      </c>
      <c r="F368" s="1">
        <v>45203</v>
      </c>
      <c r="G368" s="6">
        <v>22.656250000000394</v>
      </c>
      <c r="H368" s="7">
        <v>22.656250000000394</v>
      </c>
      <c r="I368" s="26">
        <v>4.7469999999999999</v>
      </c>
      <c r="J368" s="26">
        <f t="shared" si="19"/>
        <v>-4.7469999999999999</v>
      </c>
      <c r="K368" s="26">
        <f t="shared" si="17"/>
        <v>0.66600000000000037</v>
      </c>
      <c r="L368">
        <f t="shared" si="18"/>
        <v>0.66250000000000053</v>
      </c>
    </row>
    <row r="369" spans="1:12" x14ac:dyDescent="0.2">
      <c r="A369" t="s">
        <v>4716</v>
      </c>
      <c r="B369">
        <v>6.7379999999999995E-2</v>
      </c>
      <c r="C369">
        <v>278</v>
      </c>
      <c r="D369" t="s">
        <v>4716</v>
      </c>
      <c r="E369">
        <v>277</v>
      </c>
      <c r="F369" s="1">
        <v>45203</v>
      </c>
      <c r="G369" s="6">
        <v>22.666666666667062</v>
      </c>
      <c r="H369" s="7">
        <v>22.666666666667062</v>
      </c>
      <c r="I369" s="26">
        <v>4.8099999999999996</v>
      </c>
      <c r="J369" s="26">
        <f t="shared" si="19"/>
        <v>-4.8099999999999996</v>
      </c>
      <c r="K369" s="26">
        <f t="shared" si="17"/>
        <v>0.60300000000000065</v>
      </c>
      <c r="L369">
        <f t="shared" si="18"/>
        <v>0.63450000000000051</v>
      </c>
    </row>
    <row r="370" spans="1:12" x14ac:dyDescent="0.2">
      <c r="A370" t="s">
        <v>4718</v>
      </c>
      <c r="B370">
        <v>6.7275000000000001E-2</v>
      </c>
      <c r="C370">
        <v>278</v>
      </c>
      <c r="D370" t="s">
        <v>4718</v>
      </c>
      <c r="E370">
        <v>277</v>
      </c>
      <c r="F370" s="1">
        <v>45203</v>
      </c>
      <c r="G370" s="6">
        <v>22.67708333333373</v>
      </c>
      <c r="H370" s="7">
        <v>22.67708333333373</v>
      </c>
      <c r="I370" s="26">
        <v>4.8025000000000002</v>
      </c>
      <c r="J370" s="26">
        <f t="shared" si="19"/>
        <v>-4.8025000000000002</v>
      </c>
      <c r="K370" s="26">
        <f t="shared" si="17"/>
        <v>0.61050000000000004</v>
      </c>
      <c r="L370">
        <f t="shared" si="18"/>
        <v>0.60675000000000034</v>
      </c>
    </row>
    <row r="371" spans="1:12" x14ac:dyDescent="0.2">
      <c r="A371" t="s">
        <v>4719</v>
      </c>
      <c r="B371">
        <v>6.7275000000000001E-2</v>
      </c>
      <c r="C371">
        <v>278</v>
      </c>
      <c r="D371" t="s">
        <v>4719</v>
      </c>
      <c r="E371">
        <v>277</v>
      </c>
      <c r="F371" s="1">
        <v>45203</v>
      </c>
      <c r="G371" s="6">
        <v>22.687500000000398</v>
      </c>
      <c r="H371" s="7">
        <v>22.687500000000398</v>
      </c>
      <c r="I371" s="26">
        <v>4.8025000000000002</v>
      </c>
      <c r="J371" s="26">
        <f t="shared" si="19"/>
        <v>-4.8025000000000002</v>
      </c>
      <c r="K371" s="26">
        <f t="shared" si="17"/>
        <v>0.61050000000000004</v>
      </c>
      <c r="L371">
        <f t="shared" si="18"/>
        <v>0.61050000000000004</v>
      </c>
    </row>
    <row r="372" spans="1:12" x14ac:dyDescent="0.2">
      <c r="A372" t="s">
        <v>4720</v>
      </c>
      <c r="B372">
        <v>6.7854999999999999E-2</v>
      </c>
      <c r="C372">
        <v>278</v>
      </c>
      <c r="D372" t="s">
        <v>4720</v>
      </c>
      <c r="E372">
        <v>277</v>
      </c>
      <c r="F372" s="1">
        <v>45203</v>
      </c>
      <c r="G372" s="6">
        <v>22.697916666667066</v>
      </c>
      <c r="H372" s="7">
        <v>22.697916666667066</v>
      </c>
      <c r="I372" s="26">
        <v>4.8445</v>
      </c>
      <c r="J372" s="26">
        <f t="shared" si="19"/>
        <v>-4.8445</v>
      </c>
      <c r="K372" s="26">
        <f t="shared" si="17"/>
        <v>0.56850000000000023</v>
      </c>
      <c r="L372">
        <f t="shared" si="18"/>
        <v>0.58950000000000014</v>
      </c>
    </row>
    <row r="373" spans="1:12" x14ac:dyDescent="0.2">
      <c r="A373" t="s">
        <v>4721</v>
      </c>
      <c r="B373">
        <v>6.8074999999999997E-2</v>
      </c>
      <c r="C373">
        <v>278</v>
      </c>
      <c r="D373" t="s">
        <v>4721</v>
      </c>
      <c r="E373">
        <v>277</v>
      </c>
      <c r="F373" s="1">
        <v>45203</v>
      </c>
      <c r="G373" s="6">
        <v>22.708333333333734</v>
      </c>
      <c r="H373" s="7">
        <v>22.708333333333734</v>
      </c>
      <c r="I373" s="26">
        <v>4.8600000000000003</v>
      </c>
      <c r="J373" s="26">
        <f t="shared" si="19"/>
        <v>-4.8600000000000003</v>
      </c>
      <c r="K373" s="26">
        <f t="shared" ref="K373:K400" si="20">J373+5.413</f>
        <v>0.55299999999999994</v>
      </c>
      <c r="L373">
        <f t="shared" ref="L373:L400" si="21">(K372+K373)/2</f>
        <v>0.56075000000000008</v>
      </c>
    </row>
    <row r="374" spans="1:12" x14ac:dyDescent="0.2">
      <c r="A374" t="s">
        <v>4722</v>
      </c>
      <c r="B374">
        <v>6.8650000000000003E-2</v>
      </c>
      <c r="C374">
        <v>278</v>
      </c>
      <c r="D374" t="s">
        <v>4722</v>
      </c>
      <c r="E374">
        <v>277</v>
      </c>
      <c r="F374" s="1">
        <v>45203</v>
      </c>
      <c r="G374" s="6">
        <v>22.718750000000401</v>
      </c>
      <c r="H374" s="7">
        <v>22.718750000000401</v>
      </c>
      <c r="I374" s="26">
        <v>4.9009999999999998</v>
      </c>
      <c r="J374" s="26">
        <f t="shared" si="19"/>
        <v>-4.9009999999999998</v>
      </c>
      <c r="K374" s="26">
        <f t="shared" si="20"/>
        <v>0.51200000000000045</v>
      </c>
      <c r="L374">
        <f t="shared" si="21"/>
        <v>0.5325000000000002</v>
      </c>
    </row>
    <row r="375" spans="1:12" x14ac:dyDescent="0.2">
      <c r="A375" t="s">
        <v>4723</v>
      </c>
      <c r="B375">
        <v>6.8565000000000001E-2</v>
      </c>
      <c r="C375">
        <v>278</v>
      </c>
      <c r="D375" t="s">
        <v>4723</v>
      </c>
      <c r="E375">
        <v>277</v>
      </c>
      <c r="F375" s="1">
        <v>45203</v>
      </c>
      <c r="G375" s="6">
        <v>22.729166666667069</v>
      </c>
      <c r="H375" s="7">
        <v>22.729166666667069</v>
      </c>
      <c r="I375" s="26">
        <v>4.8955000000000002</v>
      </c>
      <c r="J375" s="26">
        <f t="shared" si="19"/>
        <v>-4.8955000000000002</v>
      </c>
      <c r="K375" s="26">
        <f t="shared" si="20"/>
        <v>0.51750000000000007</v>
      </c>
      <c r="L375">
        <f t="shared" si="21"/>
        <v>0.51475000000000026</v>
      </c>
    </row>
    <row r="376" spans="1:12" x14ac:dyDescent="0.2">
      <c r="A376" t="s">
        <v>4724</v>
      </c>
      <c r="B376">
        <v>6.8989999999999996E-2</v>
      </c>
      <c r="C376">
        <v>278</v>
      </c>
      <c r="D376" t="s">
        <v>4724</v>
      </c>
      <c r="E376">
        <v>277</v>
      </c>
      <c r="F376" s="1">
        <v>45203</v>
      </c>
      <c r="G376" s="6">
        <v>22.739583333333737</v>
      </c>
      <c r="H376" s="7">
        <v>22.739583333333737</v>
      </c>
      <c r="I376" s="26">
        <v>4.9249999999999998</v>
      </c>
      <c r="J376" s="26">
        <f t="shared" si="19"/>
        <v>-4.9249999999999998</v>
      </c>
      <c r="K376" s="26">
        <f t="shared" si="20"/>
        <v>0.48800000000000043</v>
      </c>
      <c r="L376">
        <f t="shared" si="21"/>
        <v>0.50275000000000025</v>
      </c>
    </row>
    <row r="377" spans="1:12" x14ac:dyDescent="0.2">
      <c r="A377" t="s">
        <v>4725</v>
      </c>
      <c r="B377">
        <v>6.9330000000000003E-2</v>
      </c>
      <c r="C377">
        <v>278</v>
      </c>
      <c r="D377" t="s">
        <v>4725</v>
      </c>
      <c r="E377">
        <v>277</v>
      </c>
      <c r="F377" s="1">
        <v>45203</v>
      </c>
      <c r="G377" s="6">
        <v>22.750000000000405</v>
      </c>
      <c r="H377" s="7">
        <v>22.750000000000405</v>
      </c>
      <c r="I377" s="26">
        <v>4.9504999999999999</v>
      </c>
      <c r="J377" s="26">
        <f t="shared" si="19"/>
        <v>-4.9504999999999999</v>
      </c>
      <c r="K377" s="26">
        <f t="shared" si="20"/>
        <v>0.46250000000000036</v>
      </c>
      <c r="L377">
        <f t="shared" si="21"/>
        <v>0.47525000000000039</v>
      </c>
    </row>
    <row r="378" spans="1:12" x14ac:dyDescent="0.2">
      <c r="A378" t="s">
        <v>4726</v>
      </c>
      <c r="B378">
        <v>7.0035E-2</v>
      </c>
      <c r="C378">
        <v>278</v>
      </c>
      <c r="D378" t="s">
        <v>4726</v>
      </c>
      <c r="E378">
        <v>277</v>
      </c>
      <c r="F378" s="1">
        <v>45203</v>
      </c>
      <c r="G378" s="6">
        <v>22.760416666667073</v>
      </c>
      <c r="H378" s="7">
        <v>22.760416666667073</v>
      </c>
      <c r="I378" s="26">
        <v>5.0015000000000001</v>
      </c>
      <c r="J378" s="26">
        <f t="shared" si="19"/>
        <v>-5.0015000000000001</v>
      </c>
      <c r="K378" s="26">
        <f t="shared" si="20"/>
        <v>0.4115000000000002</v>
      </c>
      <c r="L378">
        <f t="shared" si="21"/>
        <v>0.43700000000000028</v>
      </c>
    </row>
    <row r="379" spans="1:12" x14ac:dyDescent="0.2">
      <c r="A379" t="s">
        <v>4727</v>
      </c>
      <c r="B379">
        <v>6.9985000000000006E-2</v>
      </c>
      <c r="C379">
        <v>278</v>
      </c>
      <c r="D379" t="s">
        <v>4727</v>
      </c>
      <c r="E379">
        <v>277</v>
      </c>
      <c r="F379" s="1">
        <v>45203</v>
      </c>
      <c r="G379" s="6">
        <v>22.770833333333741</v>
      </c>
      <c r="H379" s="7">
        <v>22.770833333333741</v>
      </c>
      <c r="I379" s="26">
        <v>4.9980000000000002</v>
      </c>
      <c r="J379" s="26">
        <f t="shared" si="19"/>
        <v>-4.9980000000000002</v>
      </c>
      <c r="K379" s="26">
        <f t="shared" si="20"/>
        <v>0.41500000000000004</v>
      </c>
      <c r="L379">
        <f t="shared" si="21"/>
        <v>0.41325000000000012</v>
      </c>
    </row>
    <row r="380" spans="1:12" x14ac:dyDescent="0.2">
      <c r="A380" t="s">
        <v>4728</v>
      </c>
      <c r="B380">
        <v>7.0264999999999994E-2</v>
      </c>
      <c r="C380">
        <v>278</v>
      </c>
      <c r="D380" t="s">
        <v>4728</v>
      </c>
      <c r="E380">
        <v>277</v>
      </c>
      <c r="F380" s="1">
        <v>45203</v>
      </c>
      <c r="G380" s="6">
        <v>22.781250000000409</v>
      </c>
      <c r="H380" s="7">
        <v>22.781250000000409</v>
      </c>
      <c r="I380" s="26">
        <v>5.016</v>
      </c>
      <c r="J380" s="26">
        <f t="shared" si="19"/>
        <v>-5.016</v>
      </c>
      <c r="K380" s="26">
        <f t="shared" si="20"/>
        <v>0.39700000000000024</v>
      </c>
      <c r="L380">
        <f t="shared" si="21"/>
        <v>0.40600000000000014</v>
      </c>
    </row>
    <row r="381" spans="1:12" x14ac:dyDescent="0.2">
      <c r="A381" t="s">
        <v>4729</v>
      </c>
      <c r="B381">
        <v>7.0709999999999995E-2</v>
      </c>
      <c r="C381">
        <v>278</v>
      </c>
      <c r="D381" t="s">
        <v>4729</v>
      </c>
      <c r="E381">
        <v>277</v>
      </c>
      <c r="F381" s="1">
        <v>45203</v>
      </c>
      <c r="G381" s="6">
        <v>22.791666666667076</v>
      </c>
      <c r="H381" s="7">
        <v>22.791666666667076</v>
      </c>
      <c r="I381" s="26">
        <v>5.048</v>
      </c>
      <c r="J381" s="26">
        <f t="shared" si="19"/>
        <v>-5.048</v>
      </c>
      <c r="K381" s="26">
        <f t="shared" si="20"/>
        <v>0.36500000000000021</v>
      </c>
      <c r="L381">
        <f t="shared" si="21"/>
        <v>0.38100000000000023</v>
      </c>
    </row>
    <row r="382" spans="1:12" x14ac:dyDescent="0.2">
      <c r="A382" t="s">
        <v>4730</v>
      </c>
      <c r="B382">
        <v>7.1955000000000005E-2</v>
      </c>
      <c r="C382">
        <v>278</v>
      </c>
      <c r="D382" t="s">
        <v>4730</v>
      </c>
      <c r="E382">
        <v>277</v>
      </c>
      <c r="F382" s="1">
        <v>45203</v>
      </c>
      <c r="G382" s="6">
        <v>22.802083333333744</v>
      </c>
      <c r="H382" s="7">
        <v>22.802083333333744</v>
      </c>
      <c r="I382" s="26">
        <v>5.1379999999999999</v>
      </c>
      <c r="J382" s="26">
        <f t="shared" si="19"/>
        <v>-5.1379999999999999</v>
      </c>
      <c r="K382" s="26">
        <f t="shared" si="20"/>
        <v>0.27500000000000036</v>
      </c>
      <c r="L382">
        <f t="shared" si="21"/>
        <v>0.32000000000000028</v>
      </c>
    </row>
    <row r="383" spans="1:12" x14ac:dyDescent="0.2">
      <c r="A383" t="s">
        <v>4731</v>
      </c>
      <c r="B383">
        <v>7.2035000000000002E-2</v>
      </c>
      <c r="C383">
        <v>278</v>
      </c>
      <c r="D383" t="s">
        <v>4731</v>
      </c>
      <c r="E383">
        <v>277</v>
      </c>
      <c r="F383" s="1">
        <v>45203</v>
      </c>
      <c r="G383" s="6">
        <v>22.812500000000412</v>
      </c>
      <c r="H383" s="7">
        <v>22.812500000000412</v>
      </c>
      <c r="I383" s="26">
        <v>5.1440000000000001</v>
      </c>
      <c r="J383" s="26">
        <f t="shared" si="19"/>
        <v>-5.1440000000000001</v>
      </c>
      <c r="K383" s="26">
        <f t="shared" si="20"/>
        <v>0.26900000000000013</v>
      </c>
      <c r="L383">
        <f t="shared" si="21"/>
        <v>0.27200000000000024</v>
      </c>
    </row>
    <row r="384" spans="1:12" x14ac:dyDescent="0.2">
      <c r="A384" t="s">
        <v>4732</v>
      </c>
      <c r="B384">
        <v>7.2349999999999998E-2</v>
      </c>
      <c r="C384">
        <v>278</v>
      </c>
      <c r="D384" t="s">
        <v>4732</v>
      </c>
      <c r="E384">
        <v>277</v>
      </c>
      <c r="F384" s="1">
        <v>45203</v>
      </c>
      <c r="G384" s="6">
        <v>22.82291666666708</v>
      </c>
      <c r="H384" s="7">
        <v>22.82291666666708</v>
      </c>
      <c r="I384" s="26">
        <v>5.1660000000000004</v>
      </c>
      <c r="J384" s="26">
        <f t="shared" si="19"/>
        <v>-5.1660000000000004</v>
      </c>
      <c r="K384" s="26">
        <f t="shared" si="20"/>
        <v>0.24699999999999989</v>
      </c>
      <c r="L384">
        <f t="shared" si="21"/>
        <v>0.25800000000000001</v>
      </c>
    </row>
    <row r="385" spans="1:14" x14ac:dyDescent="0.2">
      <c r="A385" t="s">
        <v>4733</v>
      </c>
      <c r="B385">
        <v>7.2800000000000004E-2</v>
      </c>
      <c r="C385">
        <v>278</v>
      </c>
      <c r="D385" t="s">
        <v>4733</v>
      </c>
      <c r="E385">
        <v>277</v>
      </c>
      <c r="F385" s="1">
        <v>45203</v>
      </c>
      <c r="G385" s="6">
        <v>22.833333333333748</v>
      </c>
      <c r="H385" s="7">
        <v>22.833333333333748</v>
      </c>
      <c r="I385" s="26">
        <v>5.1980000000000004</v>
      </c>
      <c r="J385" s="26">
        <f t="shared" si="19"/>
        <v>-5.1980000000000004</v>
      </c>
      <c r="K385" s="26">
        <f t="shared" si="20"/>
        <v>0.21499999999999986</v>
      </c>
      <c r="L385">
        <f t="shared" si="21"/>
        <v>0.23099999999999987</v>
      </c>
    </row>
    <row r="386" spans="1:14" x14ac:dyDescent="0.2">
      <c r="A386" t="s">
        <v>4734</v>
      </c>
      <c r="B386">
        <v>7.2480000000000003E-2</v>
      </c>
      <c r="C386">
        <v>278</v>
      </c>
      <c r="D386" t="s">
        <v>4734</v>
      </c>
      <c r="E386">
        <v>277</v>
      </c>
      <c r="F386" s="1">
        <v>45203</v>
      </c>
      <c r="G386" s="6">
        <v>22.843750000000416</v>
      </c>
      <c r="H386" s="7">
        <v>22.843750000000416</v>
      </c>
      <c r="I386" s="26">
        <v>5.1749999999999998</v>
      </c>
      <c r="J386" s="26">
        <f t="shared" si="19"/>
        <v>-5.1749999999999998</v>
      </c>
      <c r="K386" s="26">
        <f t="shared" si="20"/>
        <v>0.23800000000000043</v>
      </c>
      <c r="L386">
        <f t="shared" si="21"/>
        <v>0.22650000000000015</v>
      </c>
    </row>
    <row r="387" spans="1:14" x14ac:dyDescent="0.2">
      <c r="A387" t="s">
        <v>4735</v>
      </c>
      <c r="B387">
        <v>7.3389999999999997E-2</v>
      </c>
      <c r="C387">
        <v>278</v>
      </c>
      <c r="D387" t="s">
        <v>4735</v>
      </c>
      <c r="E387">
        <v>277</v>
      </c>
      <c r="F387" s="1">
        <v>45203</v>
      </c>
      <c r="G387" s="6">
        <v>22.854166666667084</v>
      </c>
      <c r="H387" s="7">
        <v>22.854166666667084</v>
      </c>
      <c r="I387" s="26">
        <v>5.2394999999999996</v>
      </c>
      <c r="J387" s="26">
        <f t="shared" ref="J387:J450" si="22">-I387</f>
        <v>-5.2394999999999996</v>
      </c>
      <c r="K387" s="26">
        <f t="shared" si="20"/>
        <v>0.17350000000000065</v>
      </c>
      <c r="L387">
        <f t="shared" si="21"/>
        <v>0.20575000000000054</v>
      </c>
    </row>
    <row r="388" spans="1:14" x14ac:dyDescent="0.2">
      <c r="A388" t="s">
        <v>4736</v>
      </c>
      <c r="B388">
        <v>7.3164999999999994E-2</v>
      </c>
      <c r="C388">
        <v>278</v>
      </c>
      <c r="D388" t="s">
        <v>4736</v>
      </c>
      <c r="E388">
        <v>278</v>
      </c>
      <c r="F388" s="1">
        <v>45204</v>
      </c>
      <c r="G388" s="6">
        <v>22.864583333333751</v>
      </c>
      <c r="H388" s="7">
        <v>22.864583333333751</v>
      </c>
      <c r="I388" s="26">
        <v>5.2240000000000002</v>
      </c>
      <c r="J388" s="26">
        <f t="shared" si="22"/>
        <v>-5.2240000000000002</v>
      </c>
      <c r="K388" s="26">
        <f t="shared" si="20"/>
        <v>0.18900000000000006</v>
      </c>
      <c r="L388">
        <f t="shared" si="21"/>
        <v>0.18125000000000036</v>
      </c>
    </row>
    <row r="389" spans="1:14" x14ac:dyDescent="0.2">
      <c r="A389" t="s">
        <v>4737</v>
      </c>
      <c r="B389">
        <v>7.3245000000000005E-2</v>
      </c>
      <c r="C389">
        <v>278</v>
      </c>
      <c r="D389" t="s">
        <v>4737</v>
      </c>
      <c r="E389">
        <v>278</v>
      </c>
      <c r="F389" s="1">
        <v>45204</v>
      </c>
      <c r="G389" s="6">
        <v>22.875000000000419</v>
      </c>
      <c r="H389" s="7">
        <v>22.875000000000419</v>
      </c>
      <c r="I389" s="26">
        <v>5.2284999999999897</v>
      </c>
      <c r="J389" s="26">
        <f t="shared" si="22"/>
        <v>-5.2284999999999897</v>
      </c>
      <c r="K389" s="26">
        <f t="shared" si="20"/>
        <v>0.18450000000001054</v>
      </c>
      <c r="L389">
        <f t="shared" si="21"/>
        <v>0.1867500000000053</v>
      </c>
    </row>
    <row r="390" spans="1:14" x14ac:dyDescent="0.2">
      <c r="A390" t="s">
        <v>4739</v>
      </c>
      <c r="B390">
        <v>7.3520000000000002E-2</v>
      </c>
      <c r="C390">
        <v>278</v>
      </c>
      <c r="D390" t="s">
        <v>4739</v>
      </c>
      <c r="E390">
        <v>278</v>
      </c>
      <c r="F390" s="1">
        <v>45204</v>
      </c>
      <c r="G390" s="6">
        <v>22.885416666667087</v>
      </c>
      <c r="H390" s="7">
        <v>22.885416666667087</v>
      </c>
      <c r="I390" s="26">
        <v>5.25</v>
      </c>
      <c r="J390" s="26">
        <f t="shared" si="22"/>
        <v>-5.25</v>
      </c>
      <c r="K390" s="26">
        <f t="shared" si="20"/>
        <v>0.16300000000000026</v>
      </c>
      <c r="L390">
        <f t="shared" si="21"/>
        <v>0.1737500000000054</v>
      </c>
    </row>
    <row r="391" spans="1:14" x14ac:dyDescent="0.2">
      <c r="A391" t="s">
        <v>4740</v>
      </c>
      <c r="B391">
        <v>7.3380000000000001E-2</v>
      </c>
      <c r="C391">
        <v>278</v>
      </c>
      <c r="D391" t="s">
        <v>4740</v>
      </c>
      <c r="E391">
        <v>278</v>
      </c>
      <c r="F391" s="1">
        <v>45204</v>
      </c>
      <c r="G391" s="6">
        <v>22.895833333333755</v>
      </c>
      <c r="H391" s="7">
        <v>22.895833333333755</v>
      </c>
      <c r="I391" s="26">
        <v>5.2389999999999999</v>
      </c>
      <c r="J391" s="26">
        <f t="shared" si="22"/>
        <v>-5.2389999999999999</v>
      </c>
      <c r="K391" s="26">
        <f t="shared" si="20"/>
        <v>0.17400000000000038</v>
      </c>
      <c r="L391">
        <f t="shared" si="21"/>
        <v>0.16850000000000032</v>
      </c>
    </row>
    <row r="392" spans="1:14" x14ac:dyDescent="0.2">
      <c r="A392" t="s">
        <v>4741</v>
      </c>
      <c r="B392">
        <v>7.3700000000000002E-2</v>
      </c>
      <c r="C392">
        <v>278</v>
      </c>
      <c r="D392" t="s">
        <v>4741</v>
      </c>
      <c r="E392">
        <v>278</v>
      </c>
      <c r="F392" s="1">
        <v>45204</v>
      </c>
      <c r="G392" s="6">
        <v>22.906250000000423</v>
      </c>
      <c r="H392" s="7">
        <v>22.906250000000423</v>
      </c>
      <c r="I392" s="26">
        <v>5.2614999999999998</v>
      </c>
      <c r="J392" s="26">
        <f t="shared" si="22"/>
        <v>-5.2614999999999998</v>
      </c>
      <c r="K392" s="26">
        <f t="shared" si="20"/>
        <v>0.15150000000000041</v>
      </c>
      <c r="L392">
        <f t="shared" si="21"/>
        <v>0.16275000000000039</v>
      </c>
    </row>
    <row r="393" spans="1:14" x14ac:dyDescent="0.2">
      <c r="A393" t="s">
        <v>4742</v>
      </c>
      <c r="B393">
        <v>7.3660000000000003E-2</v>
      </c>
      <c r="C393">
        <v>278</v>
      </c>
      <c r="D393" t="s">
        <v>4742</v>
      </c>
      <c r="E393">
        <v>278</v>
      </c>
      <c r="F393" s="1">
        <v>45204</v>
      </c>
      <c r="G393" s="6">
        <v>22.916666666667091</v>
      </c>
      <c r="H393" s="7">
        <v>22.916666666667091</v>
      </c>
      <c r="I393" s="26">
        <v>5.2575000000000003</v>
      </c>
      <c r="J393" s="26">
        <f t="shared" si="22"/>
        <v>-5.2575000000000003</v>
      </c>
      <c r="K393" s="26">
        <f t="shared" si="20"/>
        <v>0.15549999999999997</v>
      </c>
      <c r="L393">
        <f t="shared" si="21"/>
        <v>0.15350000000000019</v>
      </c>
    </row>
    <row r="394" spans="1:14" x14ac:dyDescent="0.2">
      <c r="A394" t="s">
        <v>4743</v>
      </c>
      <c r="B394">
        <v>7.3440000000000005E-2</v>
      </c>
      <c r="C394">
        <v>278</v>
      </c>
      <c r="D394" t="s">
        <v>4743</v>
      </c>
      <c r="E394">
        <v>278</v>
      </c>
      <c r="F394" s="1">
        <v>45204</v>
      </c>
      <c r="G394" s="6">
        <v>22.927083333333758</v>
      </c>
      <c r="H394" s="7">
        <v>22.927083333333758</v>
      </c>
      <c r="I394" s="26">
        <v>5.2435</v>
      </c>
      <c r="J394" s="26">
        <f t="shared" si="22"/>
        <v>-5.2435</v>
      </c>
      <c r="K394" s="26">
        <f t="shared" si="20"/>
        <v>0.16950000000000021</v>
      </c>
      <c r="L394">
        <f t="shared" si="21"/>
        <v>0.16250000000000009</v>
      </c>
    </row>
    <row r="395" spans="1:14" x14ac:dyDescent="0.2">
      <c r="A395" t="s">
        <v>4744</v>
      </c>
      <c r="B395">
        <v>7.3764999999999997E-2</v>
      </c>
      <c r="C395">
        <v>278</v>
      </c>
      <c r="D395" t="s">
        <v>4744</v>
      </c>
      <c r="E395">
        <v>278</v>
      </c>
      <c r="F395" s="1">
        <v>45204</v>
      </c>
      <c r="G395" s="6">
        <v>22.937500000000426</v>
      </c>
      <c r="H395" s="7">
        <v>22.937500000000426</v>
      </c>
      <c r="I395" s="26">
        <v>5.2664999999999997</v>
      </c>
      <c r="J395" s="26">
        <f t="shared" si="22"/>
        <v>-5.2664999999999997</v>
      </c>
      <c r="K395" s="26">
        <f t="shared" si="20"/>
        <v>0.14650000000000052</v>
      </c>
      <c r="L395">
        <f t="shared" si="21"/>
        <v>0.15800000000000036</v>
      </c>
    </row>
    <row r="396" spans="1:14" x14ac:dyDescent="0.2">
      <c r="A396" t="s">
        <v>4745</v>
      </c>
      <c r="B396">
        <v>7.46E-2</v>
      </c>
      <c r="C396">
        <v>278</v>
      </c>
      <c r="D396" t="s">
        <v>4745</v>
      </c>
      <c r="E396">
        <v>278</v>
      </c>
      <c r="F396" s="1">
        <v>45204</v>
      </c>
      <c r="G396" s="6">
        <v>22.947916666667094</v>
      </c>
      <c r="H396" s="7">
        <v>22.947916666667094</v>
      </c>
      <c r="I396" s="26">
        <v>5.3265000000000002</v>
      </c>
      <c r="J396" s="26">
        <f t="shared" si="22"/>
        <v>-5.3265000000000002</v>
      </c>
      <c r="K396" s="26">
        <f t="shared" si="20"/>
        <v>8.6500000000000021E-2</v>
      </c>
      <c r="L396">
        <f t="shared" si="21"/>
        <v>0.11650000000000027</v>
      </c>
    </row>
    <row r="397" spans="1:14" x14ac:dyDescent="0.2">
      <c r="A397" t="s">
        <v>4746</v>
      </c>
      <c r="B397">
        <v>7.4079999999999993E-2</v>
      </c>
      <c r="C397">
        <v>278</v>
      </c>
      <c r="D397" t="s">
        <v>4746</v>
      </c>
      <c r="E397">
        <v>278</v>
      </c>
      <c r="F397" s="1">
        <v>45204</v>
      </c>
      <c r="G397" s="6">
        <v>22.958333333333762</v>
      </c>
      <c r="H397" s="7">
        <v>22.958333333333762</v>
      </c>
      <c r="I397" s="26">
        <v>5.2885</v>
      </c>
      <c r="J397" s="26">
        <f t="shared" si="22"/>
        <v>-5.2885</v>
      </c>
      <c r="K397" s="26">
        <f t="shared" si="20"/>
        <v>0.12450000000000028</v>
      </c>
      <c r="L397">
        <f t="shared" si="21"/>
        <v>0.10550000000000015</v>
      </c>
    </row>
    <row r="398" spans="1:14" x14ac:dyDescent="0.2">
      <c r="A398" t="s">
        <v>4747</v>
      </c>
      <c r="B398">
        <v>7.3749999999999996E-2</v>
      </c>
      <c r="C398">
        <v>278</v>
      </c>
      <c r="D398" t="s">
        <v>4747</v>
      </c>
      <c r="E398">
        <v>278</v>
      </c>
      <c r="F398" s="1">
        <v>45204</v>
      </c>
      <c r="G398" s="6">
        <v>22.96875000000043</v>
      </c>
      <c r="H398" s="7">
        <v>22.96875000000043</v>
      </c>
      <c r="I398" s="26">
        <v>5.2670000000000003</v>
      </c>
      <c r="J398" s="26">
        <f t="shared" si="22"/>
        <v>-5.2670000000000003</v>
      </c>
      <c r="K398" s="26">
        <f t="shared" si="20"/>
        <v>0.14599999999999991</v>
      </c>
      <c r="L398">
        <f t="shared" si="21"/>
        <v>0.13525000000000009</v>
      </c>
    </row>
    <row r="399" spans="1:14" x14ac:dyDescent="0.2">
      <c r="A399" t="s">
        <v>4748</v>
      </c>
      <c r="B399">
        <v>7.4204999999999993E-2</v>
      </c>
      <c r="C399">
        <v>278</v>
      </c>
      <c r="D399" t="s">
        <v>4748</v>
      </c>
      <c r="E399">
        <v>278</v>
      </c>
      <c r="F399" s="1">
        <v>45204</v>
      </c>
      <c r="G399" s="6">
        <v>22.979166666667098</v>
      </c>
      <c r="H399" s="7">
        <v>22.979166666667098</v>
      </c>
      <c r="I399" s="26">
        <v>5.2969999999999997</v>
      </c>
      <c r="J399" s="26">
        <f t="shared" si="22"/>
        <v>-5.2969999999999997</v>
      </c>
      <c r="K399" s="26">
        <f t="shared" si="20"/>
        <v>0.11600000000000055</v>
      </c>
      <c r="L399">
        <f t="shared" si="21"/>
        <v>0.13100000000000023</v>
      </c>
    </row>
    <row r="400" spans="1:14" x14ac:dyDescent="0.2">
      <c r="A400" t="s">
        <v>4749</v>
      </c>
      <c r="B400">
        <v>7.4380000000000002E-2</v>
      </c>
      <c r="C400">
        <v>278</v>
      </c>
      <c r="D400" t="s">
        <v>4749</v>
      </c>
      <c r="E400" s="3">
        <v>278</v>
      </c>
      <c r="F400" s="5">
        <v>45204</v>
      </c>
      <c r="G400" s="31">
        <v>22.989583333333766</v>
      </c>
      <c r="H400" s="8">
        <v>22.989583333333766</v>
      </c>
      <c r="I400" s="32">
        <v>5.3109999999999999</v>
      </c>
      <c r="J400" s="32">
        <f t="shared" si="22"/>
        <v>-5.3109999999999999</v>
      </c>
      <c r="K400" s="26">
        <f t="shared" si="20"/>
        <v>0.10200000000000031</v>
      </c>
      <c r="L400">
        <f t="shared" si="21"/>
        <v>0.10900000000000043</v>
      </c>
      <c r="M400">
        <f>SUM(L309:L400)/92</f>
        <v>0.34562500000000046</v>
      </c>
      <c r="N400">
        <v>92</v>
      </c>
    </row>
    <row r="401" spans="1:10" x14ac:dyDescent="0.2">
      <c r="A401" t="s">
        <v>4750</v>
      </c>
      <c r="B401">
        <v>7.3849999999999999E-2</v>
      </c>
      <c r="C401">
        <v>278</v>
      </c>
      <c r="D401" t="s">
        <v>4750</v>
      </c>
      <c r="E401">
        <v>278</v>
      </c>
      <c r="F401" s="1">
        <v>45204</v>
      </c>
      <c r="G401" s="6">
        <v>23.000000000000433</v>
      </c>
      <c r="H401" s="7">
        <v>23.000000000000433</v>
      </c>
      <c r="I401" s="26">
        <v>5.2714999999999996</v>
      </c>
      <c r="J401" s="26">
        <f t="shared" si="22"/>
        <v>-5.2714999999999996</v>
      </c>
    </row>
    <row r="402" spans="1:10" x14ac:dyDescent="0.2">
      <c r="A402" t="s">
        <v>4751</v>
      </c>
      <c r="B402">
        <v>7.4160000000000004E-2</v>
      </c>
      <c r="C402">
        <v>278</v>
      </c>
      <c r="D402" t="s">
        <v>4751</v>
      </c>
      <c r="E402">
        <v>278</v>
      </c>
      <c r="F402" s="1">
        <v>45204</v>
      </c>
      <c r="G402" s="6">
        <v>23.010416666667101</v>
      </c>
      <c r="H402" s="7">
        <v>23.010416666667101</v>
      </c>
      <c r="I402" s="26">
        <v>5.2945000000000002</v>
      </c>
      <c r="J402" s="26">
        <f t="shared" si="22"/>
        <v>-5.2945000000000002</v>
      </c>
    </row>
    <row r="403" spans="1:10" x14ac:dyDescent="0.2">
      <c r="A403" t="s">
        <v>4752</v>
      </c>
      <c r="B403">
        <v>7.3709999999999998E-2</v>
      </c>
      <c r="C403">
        <v>278</v>
      </c>
      <c r="D403" t="s">
        <v>4752</v>
      </c>
      <c r="E403">
        <v>278</v>
      </c>
      <c r="F403" s="1">
        <v>45204</v>
      </c>
      <c r="G403" s="6">
        <v>23.020833333333769</v>
      </c>
      <c r="H403" s="7">
        <v>23.020833333333769</v>
      </c>
      <c r="I403" s="26">
        <v>5.2614999999999998</v>
      </c>
      <c r="J403" s="26">
        <f t="shared" si="22"/>
        <v>-5.2614999999999998</v>
      </c>
    </row>
    <row r="404" spans="1:10" x14ac:dyDescent="0.2">
      <c r="A404" t="s">
        <v>4753</v>
      </c>
      <c r="B404">
        <v>7.3760000000000006E-2</v>
      </c>
      <c r="C404">
        <v>278</v>
      </c>
      <c r="D404" t="s">
        <v>4753</v>
      </c>
      <c r="E404">
        <v>278</v>
      </c>
      <c r="F404" s="1">
        <v>45204</v>
      </c>
      <c r="G404" s="6">
        <v>23.031250000000437</v>
      </c>
      <c r="H404" s="7">
        <v>23.031250000000437</v>
      </c>
      <c r="I404" s="26">
        <v>5.266</v>
      </c>
      <c r="J404" s="26">
        <f t="shared" si="22"/>
        <v>-5.266</v>
      </c>
    </row>
    <row r="405" spans="1:10" x14ac:dyDescent="0.2">
      <c r="A405" t="s">
        <v>4754</v>
      </c>
      <c r="B405">
        <v>7.4590000000000004E-2</v>
      </c>
      <c r="C405">
        <v>278</v>
      </c>
      <c r="D405" t="s">
        <v>4754</v>
      </c>
      <c r="E405">
        <v>278</v>
      </c>
      <c r="F405" s="1">
        <v>45204</v>
      </c>
      <c r="G405" s="6">
        <v>23.041666666667105</v>
      </c>
      <c r="H405" s="7">
        <v>23.041666666667105</v>
      </c>
      <c r="I405" s="26">
        <v>5.3250000000000002</v>
      </c>
      <c r="J405" s="26">
        <f t="shared" si="22"/>
        <v>-5.3250000000000002</v>
      </c>
    </row>
    <row r="406" spans="1:10" x14ac:dyDescent="0.2">
      <c r="A406" t="s">
        <v>4755</v>
      </c>
      <c r="B406">
        <v>7.3980000000000004E-2</v>
      </c>
      <c r="C406">
        <v>278</v>
      </c>
      <c r="D406" t="s">
        <v>4755</v>
      </c>
      <c r="E406">
        <v>278</v>
      </c>
      <c r="F406" s="1">
        <v>45204</v>
      </c>
      <c r="G406" s="6">
        <v>23.052083333333773</v>
      </c>
      <c r="H406" s="7">
        <v>23.052083333333773</v>
      </c>
      <c r="I406" s="26">
        <v>5.2824999999999998</v>
      </c>
      <c r="J406" s="26">
        <f t="shared" si="22"/>
        <v>-5.2824999999999998</v>
      </c>
    </row>
    <row r="407" spans="1:10" x14ac:dyDescent="0.2">
      <c r="A407" t="s">
        <v>4756</v>
      </c>
      <c r="B407">
        <v>7.3219999999999993E-2</v>
      </c>
      <c r="C407">
        <v>278</v>
      </c>
      <c r="D407" t="s">
        <v>4756</v>
      </c>
      <c r="E407">
        <v>278</v>
      </c>
      <c r="F407" s="1">
        <v>45204</v>
      </c>
      <c r="G407" s="6">
        <v>23.062500000000441</v>
      </c>
      <c r="H407" s="7">
        <v>23.062500000000441</v>
      </c>
      <c r="I407" s="26">
        <v>5.2270000000000003</v>
      </c>
      <c r="J407" s="26">
        <f t="shared" si="22"/>
        <v>-5.2270000000000003</v>
      </c>
    </row>
    <row r="408" spans="1:10" x14ac:dyDescent="0.2">
      <c r="A408" t="s">
        <v>4757</v>
      </c>
      <c r="B408">
        <v>7.3385000000000006E-2</v>
      </c>
      <c r="C408">
        <v>278</v>
      </c>
      <c r="D408" t="s">
        <v>4757</v>
      </c>
      <c r="E408">
        <v>278</v>
      </c>
      <c r="F408" s="1">
        <v>45204</v>
      </c>
      <c r="G408" s="6">
        <v>23.072916666667108</v>
      </c>
      <c r="H408" s="7">
        <v>23.072916666667108</v>
      </c>
      <c r="I408" s="26">
        <v>5.2404999999999999</v>
      </c>
      <c r="J408" s="26">
        <f t="shared" si="22"/>
        <v>-5.2404999999999999</v>
      </c>
    </row>
    <row r="409" spans="1:10" x14ac:dyDescent="0.2">
      <c r="A409" t="s">
        <v>4758</v>
      </c>
      <c r="B409">
        <v>7.3950000000000002E-2</v>
      </c>
      <c r="C409">
        <v>278</v>
      </c>
      <c r="D409" t="s">
        <v>4758</v>
      </c>
      <c r="E409">
        <v>278</v>
      </c>
      <c r="F409" s="1">
        <v>45204</v>
      </c>
      <c r="G409" s="6">
        <v>23.083333333333776</v>
      </c>
      <c r="H409" s="7">
        <v>23.083333333333776</v>
      </c>
      <c r="I409" s="26">
        <v>5.28</v>
      </c>
      <c r="J409" s="26">
        <f t="shared" si="22"/>
        <v>-5.28</v>
      </c>
    </row>
    <row r="410" spans="1:10" x14ac:dyDescent="0.2">
      <c r="A410" t="s">
        <v>4759</v>
      </c>
      <c r="B410">
        <v>7.3455000000000006E-2</v>
      </c>
      <c r="C410">
        <v>278</v>
      </c>
      <c r="D410" t="s">
        <v>4759</v>
      </c>
      <c r="E410">
        <v>278</v>
      </c>
      <c r="F410" s="1">
        <v>45204</v>
      </c>
      <c r="G410" s="6">
        <v>23.093750000000444</v>
      </c>
      <c r="H410" s="7">
        <v>23.093750000000444</v>
      </c>
      <c r="I410" s="26">
        <v>5.2450000000000001</v>
      </c>
      <c r="J410" s="26">
        <f t="shared" si="22"/>
        <v>-5.2450000000000001</v>
      </c>
    </row>
    <row r="411" spans="1:10" x14ac:dyDescent="0.2">
      <c r="A411" t="s">
        <v>4760</v>
      </c>
      <c r="B411">
        <v>7.3694999999999997E-2</v>
      </c>
      <c r="C411">
        <v>278</v>
      </c>
      <c r="D411" t="s">
        <v>4760</v>
      </c>
      <c r="E411">
        <v>278</v>
      </c>
      <c r="F411" s="1">
        <v>45204</v>
      </c>
      <c r="G411" s="6">
        <v>23.104166666667112</v>
      </c>
      <c r="H411" s="7">
        <v>23.104166666667112</v>
      </c>
      <c r="I411" s="26">
        <v>5.2619999999999996</v>
      </c>
      <c r="J411" s="26">
        <f t="shared" si="22"/>
        <v>-5.2619999999999996</v>
      </c>
    </row>
    <row r="412" spans="1:10" x14ac:dyDescent="0.2">
      <c r="A412" t="s">
        <v>4761</v>
      </c>
      <c r="B412">
        <v>7.3279999999999998E-2</v>
      </c>
      <c r="C412">
        <v>278</v>
      </c>
      <c r="D412" t="s">
        <v>4761</v>
      </c>
      <c r="E412">
        <v>278</v>
      </c>
      <c r="F412" s="1">
        <v>45204</v>
      </c>
      <c r="G412" s="6">
        <v>23.11458333333378</v>
      </c>
      <c r="H412" s="7">
        <v>23.11458333333378</v>
      </c>
      <c r="I412" s="26">
        <v>5.2320000000000002</v>
      </c>
      <c r="J412" s="26">
        <f t="shared" si="22"/>
        <v>-5.2320000000000002</v>
      </c>
    </row>
    <row r="413" spans="1:10" x14ac:dyDescent="0.2">
      <c r="A413" t="s">
        <v>4762</v>
      </c>
      <c r="B413">
        <v>7.3620000000000005E-2</v>
      </c>
      <c r="C413">
        <v>278</v>
      </c>
      <c r="D413" t="s">
        <v>4762</v>
      </c>
      <c r="E413">
        <v>278</v>
      </c>
      <c r="F413" s="1">
        <v>45204</v>
      </c>
      <c r="G413" s="6">
        <v>23.125000000000448</v>
      </c>
      <c r="H413" s="7">
        <v>23.125000000000448</v>
      </c>
      <c r="I413" s="26">
        <v>5.2560000000000002</v>
      </c>
      <c r="J413" s="26">
        <f t="shared" si="22"/>
        <v>-5.2560000000000002</v>
      </c>
    </row>
    <row r="414" spans="1:10" x14ac:dyDescent="0.2">
      <c r="A414" t="s">
        <v>4763</v>
      </c>
      <c r="B414">
        <v>7.3495000000000005E-2</v>
      </c>
      <c r="C414">
        <v>278</v>
      </c>
      <c r="D414" t="s">
        <v>4763</v>
      </c>
      <c r="E414">
        <v>278</v>
      </c>
      <c r="F414" s="1">
        <v>45204</v>
      </c>
      <c r="G414" s="6">
        <v>23.135416666667115</v>
      </c>
      <c r="H414" s="7">
        <v>23.135416666667115</v>
      </c>
      <c r="I414" s="26">
        <v>5.2459999999999898</v>
      </c>
      <c r="J414" s="26">
        <f t="shared" si="22"/>
        <v>-5.2459999999999898</v>
      </c>
    </row>
    <row r="415" spans="1:10" x14ac:dyDescent="0.2">
      <c r="A415" t="s">
        <v>4765</v>
      </c>
      <c r="B415">
        <v>7.3124999999999996E-2</v>
      </c>
      <c r="C415">
        <v>278</v>
      </c>
      <c r="D415" t="s">
        <v>4765</v>
      </c>
      <c r="E415">
        <v>278</v>
      </c>
      <c r="F415" s="1">
        <v>45204</v>
      </c>
      <c r="G415" s="6">
        <v>23.145833333333783</v>
      </c>
      <c r="H415" s="7">
        <v>23.145833333333783</v>
      </c>
      <c r="I415" s="26">
        <v>5.2204999999999897</v>
      </c>
      <c r="J415" s="26">
        <f t="shared" si="22"/>
        <v>-5.2204999999999897</v>
      </c>
    </row>
    <row r="416" spans="1:10" x14ac:dyDescent="0.2">
      <c r="A416" t="s">
        <v>4767</v>
      </c>
      <c r="B416">
        <v>7.3190000000000005E-2</v>
      </c>
      <c r="C416">
        <v>278</v>
      </c>
      <c r="D416" t="s">
        <v>4767</v>
      </c>
      <c r="E416">
        <v>278</v>
      </c>
      <c r="F416" s="1">
        <v>45204</v>
      </c>
      <c r="G416" s="6">
        <v>23.156250000000451</v>
      </c>
      <c r="H416" s="7">
        <v>23.156250000000451</v>
      </c>
      <c r="I416" s="26">
        <v>5.2234999999999996</v>
      </c>
      <c r="J416" s="26">
        <f t="shared" si="22"/>
        <v>-5.2234999999999996</v>
      </c>
    </row>
    <row r="417" spans="1:10" x14ac:dyDescent="0.2">
      <c r="A417" t="s">
        <v>4768</v>
      </c>
      <c r="B417">
        <v>7.3334999999999997E-2</v>
      </c>
      <c r="C417">
        <v>278</v>
      </c>
      <c r="D417" t="s">
        <v>4768</v>
      </c>
      <c r="E417">
        <v>278</v>
      </c>
      <c r="F417" s="1">
        <v>45204</v>
      </c>
      <c r="G417" s="6">
        <v>23.166666666667119</v>
      </c>
      <c r="H417" s="7">
        <v>23.166666666667119</v>
      </c>
      <c r="I417" s="26">
        <v>5.2374999999999998</v>
      </c>
      <c r="J417" s="26">
        <f t="shared" si="22"/>
        <v>-5.2374999999999998</v>
      </c>
    </row>
    <row r="418" spans="1:10" x14ac:dyDescent="0.2">
      <c r="A418" t="s">
        <v>4769</v>
      </c>
      <c r="B418">
        <v>7.2889999999999996E-2</v>
      </c>
      <c r="C418">
        <v>278</v>
      </c>
      <c r="D418" t="s">
        <v>4769</v>
      </c>
      <c r="E418">
        <v>278</v>
      </c>
      <c r="F418" s="1">
        <v>45204</v>
      </c>
      <c r="G418" s="6">
        <v>23.177083333333787</v>
      </c>
      <c r="H418" s="7">
        <v>23.177083333333787</v>
      </c>
      <c r="I418" s="26">
        <v>5.2039999999999997</v>
      </c>
      <c r="J418" s="26">
        <f t="shared" si="22"/>
        <v>-5.2039999999999997</v>
      </c>
    </row>
    <row r="419" spans="1:10" x14ac:dyDescent="0.2">
      <c r="A419" t="s">
        <v>4770</v>
      </c>
      <c r="B419">
        <v>7.3050000000000004E-2</v>
      </c>
      <c r="C419">
        <v>278</v>
      </c>
      <c r="D419" t="s">
        <v>4770</v>
      </c>
      <c r="E419">
        <v>278</v>
      </c>
      <c r="F419" s="1">
        <v>45204</v>
      </c>
      <c r="G419" s="6">
        <v>23.187500000000455</v>
      </c>
      <c r="H419" s="7">
        <v>23.187500000000455</v>
      </c>
      <c r="I419" s="26">
        <v>5.2149999999999999</v>
      </c>
      <c r="J419" s="26">
        <f t="shared" si="22"/>
        <v>-5.2149999999999999</v>
      </c>
    </row>
    <row r="420" spans="1:10" x14ac:dyDescent="0.2">
      <c r="A420" t="s">
        <v>4771</v>
      </c>
      <c r="B420">
        <v>7.2309999999999999E-2</v>
      </c>
      <c r="C420">
        <v>278</v>
      </c>
      <c r="D420" t="s">
        <v>4771</v>
      </c>
      <c r="E420">
        <v>278</v>
      </c>
      <c r="F420" s="1">
        <v>45204</v>
      </c>
      <c r="G420" s="6">
        <v>23.197916666667123</v>
      </c>
      <c r="H420" s="7">
        <v>23.197916666667123</v>
      </c>
      <c r="I420" s="26">
        <v>5.1619999999999999</v>
      </c>
      <c r="J420" s="26">
        <f t="shared" si="22"/>
        <v>-5.1619999999999999</v>
      </c>
    </row>
    <row r="421" spans="1:10" x14ac:dyDescent="0.2">
      <c r="A421" t="s">
        <v>4772</v>
      </c>
      <c r="B421">
        <v>7.2719999999999896E-2</v>
      </c>
      <c r="C421">
        <v>278</v>
      </c>
      <c r="D421" t="s">
        <v>4772</v>
      </c>
      <c r="E421">
        <v>278</v>
      </c>
      <c r="F421" s="1">
        <v>45204</v>
      </c>
      <c r="G421" s="6">
        <v>23.20833333333379</v>
      </c>
      <c r="H421" s="7">
        <v>23.20833333333379</v>
      </c>
      <c r="I421" s="26">
        <v>5.1920000000000002</v>
      </c>
      <c r="J421" s="26">
        <f t="shared" si="22"/>
        <v>-5.1920000000000002</v>
      </c>
    </row>
    <row r="422" spans="1:10" x14ac:dyDescent="0.2">
      <c r="A422" t="s">
        <v>4773</v>
      </c>
      <c r="B422">
        <v>7.2499999999999995E-2</v>
      </c>
      <c r="C422">
        <v>278</v>
      </c>
      <c r="D422" t="s">
        <v>4773</v>
      </c>
      <c r="E422">
        <v>278</v>
      </c>
      <c r="F422" s="1">
        <v>45204</v>
      </c>
      <c r="G422" s="6">
        <v>23.218750000000458</v>
      </c>
      <c r="H422" s="7">
        <v>23.218750000000458</v>
      </c>
      <c r="I422" s="26">
        <v>5.1754999999999898</v>
      </c>
      <c r="J422" s="26">
        <f t="shared" si="22"/>
        <v>-5.1754999999999898</v>
      </c>
    </row>
    <row r="423" spans="1:10" x14ac:dyDescent="0.2">
      <c r="A423" t="s">
        <v>4775</v>
      </c>
      <c r="B423">
        <v>7.2135000000000005E-2</v>
      </c>
      <c r="C423">
        <v>278</v>
      </c>
      <c r="D423" t="s">
        <v>4775</v>
      </c>
      <c r="E423">
        <v>278</v>
      </c>
      <c r="F423" s="1">
        <v>45204</v>
      </c>
      <c r="G423" s="6">
        <v>23.229166666667126</v>
      </c>
      <c r="H423" s="7">
        <v>23.229166666667126</v>
      </c>
      <c r="I423" s="26">
        <v>5.1509999999999998</v>
      </c>
      <c r="J423" s="26">
        <f t="shared" si="22"/>
        <v>-5.1509999999999998</v>
      </c>
    </row>
    <row r="424" spans="1:10" x14ac:dyDescent="0.2">
      <c r="A424" t="s">
        <v>4776</v>
      </c>
      <c r="B424">
        <v>7.1794999999999998E-2</v>
      </c>
      <c r="C424">
        <v>278</v>
      </c>
      <c r="D424" t="s">
        <v>4776</v>
      </c>
      <c r="E424">
        <v>278</v>
      </c>
      <c r="F424" s="1">
        <v>45204</v>
      </c>
      <c r="G424" s="6">
        <v>23.239583333333794</v>
      </c>
      <c r="H424" s="7">
        <v>23.239583333333794</v>
      </c>
      <c r="I424" s="26">
        <v>5.1269999999999998</v>
      </c>
      <c r="J424" s="26">
        <f t="shared" si="22"/>
        <v>-5.1269999999999998</v>
      </c>
    </row>
    <row r="425" spans="1:10" x14ac:dyDescent="0.2">
      <c r="A425" t="s">
        <v>4777</v>
      </c>
      <c r="B425">
        <v>7.1790000000000007E-2</v>
      </c>
      <c r="C425">
        <v>278</v>
      </c>
      <c r="D425" t="s">
        <v>4777</v>
      </c>
      <c r="E425">
        <v>278</v>
      </c>
      <c r="F425" s="1">
        <v>45204</v>
      </c>
      <c r="G425" s="6">
        <v>23.250000000000462</v>
      </c>
      <c r="H425" s="7">
        <v>23.250000000000462</v>
      </c>
      <c r="I425" s="26">
        <v>5.1260000000000003</v>
      </c>
      <c r="J425" s="26">
        <f t="shared" si="22"/>
        <v>-5.1260000000000003</v>
      </c>
    </row>
    <row r="426" spans="1:10" x14ac:dyDescent="0.2">
      <c r="A426" t="s">
        <v>4778</v>
      </c>
      <c r="B426">
        <v>7.0860000000000006E-2</v>
      </c>
      <c r="C426">
        <v>278</v>
      </c>
      <c r="D426" t="s">
        <v>4778</v>
      </c>
      <c r="E426">
        <v>278</v>
      </c>
      <c r="F426" s="1">
        <v>45204</v>
      </c>
      <c r="G426" s="6">
        <v>23.26041666666713</v>
      </c>
      <c r="H426" s="7">
        <v>23.26041666666713</v>
      </c>
      <c r="I426" s="26">
        <v>5.0570000000000004</v>
      </c>
      <c r="J426" s="26">
        <f t="shared" si="22"/>
        <v>-5.0570000000000004</v>
      </c>
    </row>
    <row r="427" spans="1:10" x14ac:dyDescent="0.2">
      <c r="A427" t="s">
        <v>4779</v>
      </c>
      <c r="B427">
        <v>7.0885000000000004E-2</v>
      </c>
      <c r="C427">
        <v>278</v>
      </c>
      <c r="D427" t="s">
        <v>4779</v>
      </c>
      <c r="E427">
        <v>278</v>
      </c>
      <c r="F427" s="1">
        <v>45204</v>
      </c>
      <c r="G427" s="6">
        <v>23.270833333333798</v>
      </c>
      <c r="H427" s="7">
        <v>23.270833333333798</v>
      </c>
      <c r="I427" s="26">
        <v>5.0609999999999999</v>
      </c>
      <c r="J427" s="26">
        <f t="shared" si="22"/>
        <v>-5.0609999999999999</v>
      </c>
    </row>
    <row r="428" spans="1:10" x14ac:dyDescent="0.2">
      <c r="A428" t="s">
        <v>4780</v>
      </c>
      <c r="B428">
        <v>6.9569999999999896E-2</v>
      </c>
      <c r="C428">
        <v>278</v>
      </c>
      <c r="D428" t="s">
        <v>4780</v>
      </c>
      <c r="E428">
        <v>278</v>
      </c>
      <c r="F428" s="1">
        <v>45204</v>
      </c>
      <c r="G428" s="6">
        <v>23.281250000000465</v>
      </c>
      <c r="H428" s="7">
        <v>23.281250000000465</v>
      </c>
      <c r="I428" s="26">
        <v>4.968</v>
      </c>
      <c r="J428" s="26">
        <f t="shared" si="22"/>
        <v>-4.968</v>
      </c>
    </row>
    <row r="429" spans="1:10" x14ac:dyDescent="0.2">
      <c r="A429" t="s">
        <v>4781</v>
      </c>
      <c r="B429">
        <v>7.0260000000000003E-2</v>
      </c>
      <c r="C429">
        <v>278</v>
      </c>
      <c r="D429" t="s">
        <v>4781</v>
      </c>
      <c r="E429">
        <v>278</v>
      </c>
      <c r="F429" s="1">
        <v>45204</v>
      </c>
      <c r="G429" s="6">
        <v>23.291666666667133</v>
      </c>
      <c r="H429" s="7">
        <v>23.291666666667133</v>
      </c>
      <c r="I429" s="26">
        <v>5.0149999999999997</v>
      </c>
      <c r="J429" s="26">
        <f t="shared" si="22"/>
        <v>-5.0149999999999997</v>
      </c>
    </row>
    <row r="430" spans="1:10" x14ac:dyDescent="0.2">
      <c r="A430" t="s">
        <v>4782</v>
      </c>
      <c r="B430">
        <v>6.9349999999999995E-2</v>
      </c>
      <c r="C430">
        <v>278</v>
      </c>
      <c r="D430" t="s">
        <v>4782</v>
      </c>
      <c r="E430">
        <v>278</v>
      </c>
      <c r="F430" s="1">
        <v>45204</v>
      </c>
      <c r="G430" s="6">
        <v>23.302083333333801</v>
      </c>
      <c r="H430" s="7">
        <v>23.302083333333801</v>
      </c>
      <c r="I430" s="26">
        <v>4.952</v>
      </c>
      <c r="J430" s="26">
        <f t="shared" si="22"/>
        <v>-4.952</v>
      </c>
    </row>
    <row r="431" spans="1:10" x14ac:dyDescent="0.2">
      <c r="A431" t="s">
        <v>4783</v>
      </c>
      <c r="B431">
        <v>6.7909999999999998E-2</v>
      </c>
      <c r="C431">
        <v>278</v>
      </c>
      <c r="D431" t="s">
        <v>4783</v>
      </c>
      <c r="E431">
        <v>278</v>
      </c>
      <c r="F431" s="1">
        <v>45204</v>
      </c>
      <c r="G431" s="6">
        <v>23.312500000000469</v>
      </c>
      <c r="H431" s="7">
        <v>23.312500000000469</v>
      </c>
      <c r="I431" s="26">
        <v>4.8490000000000002</v>
      </c>
      <c r="J431" s="26">
        <f t="shared" si="22"/>
        <v>-4.8490000000000002</v>
      </c>
    </row>
    <row r="432" spans="1:10" x14ac:dyDescent="0.2">
      <c r="A432" t="s">
        <v>4784</v>
      </c>
      <c r="B432">
        <v>6.6985000000000003E-2</v>
      </c>
      <c r="C432">
        <v>278</v>
      </c>
      <c r="D432" t="s">
        <v>4784</v>
      </c>
      <c r="E432">
        <v>278</v>
      </c>
      <c r="F432" s="1">
        <v>45204</v>
      </c>
      <c r="G432" s="6">
        <v>23.322916666667137</v>
      </c>
      <c r="H432" s="7">
        <v>23.322916666667137</v>
      </c>
      <c r="I432" s="26">
        <v>4.7824999999999998</v>
      </c>
      <c r="J432" s="26">
        <f t="shared" si="22"/>
        <v>-4.7824999999999998</v>
      </c>
    </row>
    <row r="433" spans="1:10" x14ac:dyDescent="0.2">
      <c r="A433" t="s">
        <v>4785</v>
      </c>
      <c r="B433">
        <v>6.6964999999999997E-2</v>
      </c>
      <c r="C433">
        <v>278</v>
      </c>
      <c r="D433" t="s">
        <v>4785</v>
      </c>
      <c r="E433">
        <v>278</v>
      </c>
      <c r="F433" s="1">
        <v>45204</v>
      </c>
      <c r="G433" s="6">
        <v>23.333333333333805</v>
      </c>
      <c r="H433" s="7">
        <v>23.333333333333805</v>
      </c>
      <c r="I433" s="26">
        <v>4.7815000000000003</v>
      </c>
      <c r="J433" s="26">
        <f t="shared" si="22"/>
        <v>-4.7815000000000003</v>
      </c>
    </row>
    <row r="434" spans="1:10" x14ac:dyDescent="0.2">
      <c r="A434" t="s">
        <v>4786</v>
      </c>
      <c r="B434">
        <v>6.1725000000000002E-2</v>
      </c>
      <c r="C434">
        <v>278</v>
      </c>
      <c r="D434" t="s">
        <v>4786</v>
      </c>
      <c r="E434">
        <v>278</v>
      </c>
      <c r="F434" s="1">
        <v>45204</v>
      </c>
      <c r="G434" s="6">
        <v>23.343750000000473</v>
      </c>
      <c r="H434" s="7">
        <v>23.343750000000473</v>
      </c>
      <c r="I434" s="26">
        <v>4.407</v>
      </c>
      <c r="J434" s="26">
        <f t="shared" si="22"/>
        <v>-4.407</v>
      </c>
    </row>
    <row r="435" spans="1:10" x14ac:dyDescent="0.2">
      <c r="A435" t="s">
        <v>4787</v>
      </c>
      <c r="B435">
        <v>6.5600000000000006E-2</v>
      </c>
      <c r="C435">
        <v>278</v>
      </c>
      <c r="D435" t="s">
        <v>4787</v>
      </c>
      <c r="E435">
        <v>278</v>
      </c>
      <c r="F435" s="1">
        <v>45204</v>
      </c>
      <c r="G435" s="6">
        <v>23.35416666666714</v>
      </c>
      <c r="H435" s="7">
        <v>23.35416666666714</v>
      </c>
      <c r="I435" s="26">
        <v>4.6835000000000004</v>
      </c>
      <c r="J435" s="26">
        <f t="shared" si="22"/>
        <v>-4.6835000000000004</v>
      </c>
    </row>
    <row r="436" spans="1:10" x14ac:dyDescent="0.2">
      <c r="A436" t="s">
        <v>4788</v>
      </c>
      <c r="B436">
        <v>6.5229999999999996E-2</v>
      </c>
      <c r="C436">
        <v>278</v>
      </c>
      <c r="D436" t="s">
        <v>4788</v>
      </c>
      <c r="E436">
        <v>278</v>
      </c>
      <c r="F436" s="1">
        <v>45204</v>
      </c>
      <c r="G436" s="6">
        <v>23.364583333333808</v>
      </c>
      <c r="H436" s="7">
        <v>23.364583333333808</v>
      </c>
      <c r="I436" s="26">
        <v>4.6565000000000003</v>
      </c>
      <c r="J436" s="26">
        <f t="shared" si="22"/>
        <v>-4.6565000000000003</v>
      </c>
    </row>
    <row r="437" spans="1:10" x14ac:dyDescent="0.2">
      <c r="A437" t="s">
        <v>4789</v>
      </c>
      <c r="B437">
        <v>6.5195000000000003E-2</v>
      </c>
      <c r="C437">
        <v>278</v>
      </c>
      <c r="D437" t="s">
        <v>4789</v>
      </c>
      <c r="E437">
        <v>278</v>
      </c>
      <c r="F437" s="1">
        <v>45204</v>
      </c>
      <c r="G437" s="6">
        <v>23.375000000000476</v>
      </c>
      <c r="H437" s="7">
        <v>23.375000000000476</v>
      </c>
      <c r="I437" s="26">
        <v>4.6550000000000002</v>
      </c>
      <c r="J437" s="26">
        <f t="shared" si="22"/>
        <v>-4.6550000000000002</v>
      </c>
    </row>
    <row r="438" spans="1:10" x14ac:dyDescent="0.2">
      <c r="A438" t="s">
        <v>4790</v>
      </c>
      <c r="B438">
        <v>6.5405000000000005E-2</v>
      </c>
      <c r="C438">
        <v>278</v>
      </c>
      <c r="D438" t="s">
        <v>4790</v>
      </c>
      <c r="E438">
        <v>278</v>
      </c>
      <c r="F438" s="1">
        <v>45204</v>
      </c>
      <c r="G438" s="6">
        <v>23.385416666667144</v>
      </c>
      <c r="H438" s="7">
        <v>23.385416666667144</v>
      </c>
      <c r="I438" s="26">
        <v>4.67</v>
      </c>
      <c r="J438" s="26">
        <f t="shared" si="22"/>
        <v>-4.67</v>
      </c>
    </row>
    <row r="439" spans="1:10" x14ac:dyDescent="0.2">
      <c r="A439" t="s">
        <v>4791</v>
      </c>
      <c r="B439">
        <v>6.4629999999999896E-2</v>
      </c>
      <c r="C439">
        <v>278</v>
      </c>
      <c r="D439" t="s">
        <v>4791</v>
      </c>
      <c r="E439">
        <v>278</v>
      </c>
      <c r="F439" s="1">
        <v>45204</v>
      </c>
      <c r="G439" s="6">
        <v>23.395833333333812</v>
      </c>
      <c r="H439" s="7">
        <v>23.395833333333812</v>
      </c>
      <c r="I439" s="26">
        <v>4.6144999999999996</v>
      </c>
      <c r="J439" s="26">
        <f t="shared" si="22"/>
        <v>-4.6144999999999996</v>
      </c>
    </row>
    <row r="440" spans="1:10" x14ac:dyDescent="0.2">
      <c r="A440" t="s">
        <v>4792</v>
      </c>
      <c r="B440">
        <v>6.5275E-2</v>
      </c>
      <c r="C440">
        <v>278</v>
      </c>
      <c r="D440" t="s">
        <v>4792</v>
      </c>
      <c r="E440">
        <v>278</v>
      </c>
      <c r="F440" s="1">
        <v>45204</v>
      </c>
      <c r="G440" s="6">
        <v>23.40625000000048</v>
      </c>
      <c r="H440" s="7">
        <v>23.40625000000048</v>
      </c>
      <c r="I440" s="26">
        <v>4.6589999999999998</v>
      </c>
      <c r="J440" s="26">
        <f t="shared" si="22"/>
        <v>-4.6589999999999998</v>
      </c>
    </row>
    <row r="441" spans="1:10" x14ac:dyDescent="0.2">
      <c r="A441" t="s">
        <v>4793</v>
      </c>
      <c r="B441">
        <v>6.4725000000000005E-2</v>
      </c>
      <c r="C441">
        <v>278</v>
      </c>
      <c r="D441" t="s">
        <v>4793</v>
      </c>
      <c r="E441">
        <v>278</v>
      </c>
      <c r="F441" s="1">
        <v>45204</v>
      </c>
      <c r="G441" s="6">
        <v>23.416666666667147</v>
      </c>
      <c r="H441" s="7">
        <v>23.416666666667147</v>
      </c>
      <c r="I441" s="26" t="s">
        <v>4794</v>
      </c>
      <c r="J441" s="26">
        <f t="shared" si="22"/>
        <v>-4.6209999999999898</v>
      </c>
    </row>
    <row r="442" spans="1:10" x14ac:dyDescent="0.2">
      <c r="A442" t="s">
        <v>4795</v>
      </c>
      <c r="B442">
        <v>6.5369999999999998E-2</v>
      </c>
      <c r="C442">
        <v>278</v>
      </c>
      <c r="D442" t="s">
        <v>4795</v>
      </c>
      <c r="E442">
        <v>278</v>
      </c>
      <c r="F442" s="1">
        <v>45204</v>
      </c>
      <c r="G442" s="6">
        <v>23.427083333333815</v>
      </c>
      <c r="H442" s="7">
        <v>23.427083333333815</v>
      </c>
      <c r="I442" s="26">
        <v>4.6654999999999998</v>
      </c>
      <c r="J442" s="26">
        <f t="shared" si="22"/>
        <v>-4.6654999999999998</v>
      </c>
    </row>
    <row r="443" spans="1:10" x14ac:dyDescent="0.2">
      <c r="A443" t="s">
        <v>4796</v>
      </c>
      <c r="B443">
        <v>6.4454999999999998E-2</v>
      </c>
      <c r="C443">
        <v>278</v>
      </c>
      <c r="D443" t="s">
        <v>4796</v>
      </c>
      <c r="E443">
        <v>278</v>
      </c>
      <c r="F443" s="1">
        <v>45204</v>
      </c>
      <c r="G443" s="6">
        <v>23.437500000000483</v>
      </c>
      <c r="H443" s="7">
        <v>23.437500000000483</v>
      </c>
      <c r="I443" s="26">
        <v>4.6005000000000003</v>
      </c>
      <c r="J443" s="26">
        <f t="shared" si="22"/>
        <v>-4.6005000000000003</v>
      </c>
    </row>
    <row r="444" spans="1:10" x14ac:dyDescent="0.2">
      <c r="A444" t="s">
        <v>4797</v>
      </c>
      <c r="B444">
        <v>6.5174999999999997E-2</v>
      </c>
      <c r="C444">
        <v>278</v>
      </c>
      <c r="D444" t="s">
        <v>4797</v>
      </c>
      <c r="E444">
        <v>278</v>
      </c>
      <c r="F444" s="1">
        <v>45204</v>
      </c>
      <c r="G444" s="6">
        <v>23.447916666667151</v>
      </c>
      <c r="H444" s="7">
        <v>23.447916666667151</v>
      </c>
      <c r="I444" s="26">
        <v>4.6539999999999999</v>
      </c>
      <c r="J444" s="26">
        <f t="shared" si="22"/>
        <v>-4.6539999999999999</v>
      </c>
    </row>
    <row r="445" spans="1:10" x14ac:dyDescent="0.2">
      <c r="A445" t="s">
        <v>4798</v>
      </c>
      <c r="B445">
        <v>6.4490000000000006E-2</v>
      </c>
      <c r="C445">
        <v>278</v>
      </c>
      <c r="D445" t="s">
        <v>4798</v>
      </c>
      <c r="E445">
        <v>278</v>
      </c>
      <c r="F445" s="1">
        <v>45204</v>
      </c>
      <c r="G445" s="6">
        <v>23.458333333333819</v>
      </c>
      <c r="H445" s="7">
        <v>23.458333333333819</v>
      </c>
      <c r="I445" s="26">
        <v>4.6044999999999998</v>
      </c>
      <c r="J445" s="26">
        <f t="shared" si="22"/>
        <v>-4.6044999999999998</v>
      </c>
    </row>
    <row r="446" spans="1:10" x14ac:dyDescent="0.2">
      <c r="A446" t="s">
        <v>4799</v>
      </c>
      <c r="B446">
        <v>6.4314999999999997E-2</v>
      </c>
      <c r="C446">
        <v>278</v>
      </c>
      <c r="D446" t="s">
        <v>4799</v>
      </c>
      <c r="E446">
        <v>278</v>
      </c>
      <c r="F446" s="1">
        <v>45204</v>
      </c>
      <c r="G446" s="6">
        <v>23.468750000000487</v>
      </c>
      <c r="H446" s="7">
        <v>23.468750000000487</v>
      </c>
      <c r="I446" s="26">
        <v>4.593</v>
      </c>
      <c r="J446" s="26">
        <f t="shared" si="22"/>
        <v>-4.593</v>
      </c>
    </row>
    <row r="447" spans="1:10" x14ac:dyDescent="0.2">
      <c r="A447" t="s">
        <v>4800</v>
      </c>
      <c r="B447">
        <v>6.4835000000000004E-2</v>
      </c>
      <c r="C447">
        <v>278</v>
      </c>
      <c r="D447" t="s">
        <v>4800</v>
      </c>
      <c r="E447">
        <v>278</v>
      </c>
      <c r="F447" s="1">
        <v>45204</v>
      </c>
      <c r="G447" s="6">
        <v>23.479166666667155</v>
      </c>
      <c r="H447" s="7">
        <v>23.479166666667155</v>
      </c>
      <c r="I447" s="26">
        <v>4.6284999999999998</v>
      </c>
      <c r="J447" s="26">
        <f t="shared" si="22"/>
        <v>-4.6284999999999998</v>
      </c>
    </row>
    <row r="448" spans="1:10" x14ac:dyDescent="0.2">
      <c r="A448" t="s">
        <v>4801</v>
      </c>
      <c r="B448">
        <v>6.4445000000000002E-2</v>
      </c>
      <c r="C448">
        <v>278</v>
      </c>
      <c r="D448" t="s">
        <v>4801</v>
      </c>
      <c r="E448">
        <v>278</v>
      </c>
      <c r="F448" s="1">
        <v>45204</v>
      </c>
      <c r="G448" s="6">
        <v>23.489583333333822</v>
      </c>
      <c r="H448" s="7">
        <v>23.489583333333822</v>
      </c>
      <c r="I448" s="26">
        <v>4.601</v>
      </c>
      <c r="J448" s="26">
        <f t="shared" si="22"/>
        <v>-4.601</v>
      </c>
    </row>
    <row r="449" spans="1:10" x14ac:dyDescent="0.2">
      <c r="A449" t="s">
        <v>4802</v>
      </c>
      <c r="B449">
        <v>6.4265000000000003E-2</v>
      </c>
      <c r="C449">
        <v>278</v>
      </c>
      <c r="D449" t="s">
        <v>4802</v>
      </c>
      <c r="E449">
        <v>278</v>
      </c>
      <c r="F449" s="1">
        <v>45204</v>
      </c>
      <c r="G449" s="6">
        <v>23.50000000000049</v>
      </c>
      <c r="H449" s="7">
        <v>23.50000000000049</v>
      </c>
      <c r="I449" s="26">
        <v>4.5884999999999998</v>
      </c>
      <c r="J449" s="26">
        <f t="shared" si="22"/>
        <v>-4.5884999999999998</v>
      </c>
    </row>
    <row r="450" spans="1:10" x14ac:dyDescent="0.2">
      <c r="A450" t="s">
        <v>4803</v>
      </c>
      <c r="B450">
        <v>6.4204999999999998E-2</v>
      </c>
      <c r="C450">
        <v>278</v>
      </c>
      <c r="D450" t="s">
        <v>4803</v>
      </c>
      <c r="E450">
        <v>278</v>
      </c>
      <c r="F450" s="1">
        <v>45204</v>
      </c>
      <c r="G450" s="6">
        <v>23.510416666667158</v>
      </c>
      <c r="H450" s="7">
        <v>23.510416666667158</v>
      </c>
      <c r="I450" s="26">
        <v>4.5845000000000002</v>
      </c>
      <c r="J450" s="26">
        <f t="shared" si="22"/>
        <v>-4.5845000000000002</v>
      </c>
    </row>
    <row r="451" spans="1:10" x14ac:dyDescent="0.2">
      <c r="A451" t="s">
        <v>4804</v>
      </c>
      <c r="B451">
        <v>6.4045000000000005E-2</v>
      </c>
      <c r="C451">
        <v>278</v>
      </c>
      <c r="D451" t="s">
        <v>4804</v>
      </c>
      <c r="E451">
        <v>278</v>
      </c>
      <c r="F451" s="1">
        <v>45204</v>
      </c>
      <c r="G451" s="6">
        <v>23.520833333333826</v>
      </c>
      <c r="H451" s="7">
        <v>23.520833333333826</v>
      </c>
      <c r="I451" s="26">
        <v>4.5709999999999997</v>
      </c>
      <c r="J451" s="26">
        <f t="shared" ref="J451:J514" si="23">-I451</f>
        <v>-4.5709999999999997</v>
      </c>
    </row>
    <row r="452" spans="1:10" x14ac:dyDescent="0.2">
      <c r="A452" t="s">
        <v>4805</v>
      </c>
      <c r="B452">
        <v>6.4115000000000005E-2</v>
      </c>
      <c r="C452">
        <v>278</v>
      </c>
      <c r="D452" t="s">
        <v>4805</v>
      </c>
      <c r="E452">
        <v>278</v>
      </c>
      <c r="F452" s="1">
        <v>45204</v>
      </c>
      <c r="G452" s="6">
        <v>23.531250000000494</v>
      </c>
      <c r="H452" s="7">
        <v>23.531250000000494</v>
      </c>
      <c r="I452" s="26">
        <v>4.577</v>
      </c>
      <c r="J452" s="26">
        <f t="shared" si="23"/>
        <v>-4.577</v>
      </c>
    </row>
    <row r="453" spans="1:10" x14ac:dyDescent="0.2">
      <c r="A453" t="s">
        <v>4806</v>
      </c>
      <c r="B453">
        <v>6.3325000000000006E-2</v>
      </c>
      <c r="C453">
        <v>278</v>
      </c>
      <c r="D453" t="s">
        <v>4806</v>
      </c>
      <c r="E453">
        <v>278</v>
      </c>
      <c r="F453" s="1">
        <v>45204</v>
      </c>
      <c r="G453" s="6">
        <v>23.541666666667162</v>
      </c>
      <c r="H453" s="7">
        <v>23.541666666667162</v>
      </c>
      <c r="I453" s="26">
        <v>4.5209999999999999</v>
      </c>
      <c r="J453" s="26">
        <f t="shared" si="23"/>
        <v>-4.5209999999999999</v>
      </c>
    </row>
    <row r="454" spans="1:10" x14ac:dyDescent="0.2">
      <c r="A454" t="s">
        <v>4807</v>
      </c>
      <c r="B454">
        <v>6.3395000000000007E-2</v>
      </c>
      <c r="C454">
        <v>278</v>
      </c>
      <c r="D454" t="s">
        <v>4807</v>
      </c>
      <c r="E454">
        <v>278</v>
      </c>
      <c r="F454" s="1">
        <v>45204</v>
      </c>
      <c r="G454" s="6">
        <v>23.55208333333383</v>
      </c>
      <c r="H454" s="7">
        <v>23.55208333333383</v>
      </c>
      <c r="I454" s="26" t="s">
        <v>4808</v>
      </c>
      <c r="J454" s="26">
        <f t="shared" si="23"/>
        <v>-4.5279999999999996</v>
      </c>
    </row>
    <row r="455" spans="1:10" x14ac:dyDescent="0.2">
      <c r="A455" t="s">
        <v>4809</v>
      </c>
      <c r="B455">
        <v>6.3314999999999996E-2</v>
      </c>
      <c r="C455">
        <v>278</v>
      </c>
      <c r="D455" t="s">
        <v>4809</v>
      </c>
      <c r="E455">
        <v>278</v>
      </c>
      <c r="F455" s="1">
        <v>45204</v>
      </c>
      <c r="G455" s="6">
        <v>23.562500000000497</v>
      </c>
      <c r="H455" s="7">
        <v>23.562500000000497</v>
      </c>
      <c r="I455" s="26">
        <v>4.5214999999999996</v>
      </c>
      <c r="J455" s="26">
        <f t="shared" si="23"/>
        <v>-4.5214999999999996</v>
      </c>
    </row>
    <row r="456" spans="1:10" x14ac:dyDescent="0.2">
      <c r="A456" t="s">
        <v>4810</v>
      </c>
      <c r="B456">
        <v>6.4074999999999993E-2</v>
      </c>
      <c r="C456">
        <v>278</v>
      </c>
      <c r="D456" t="s">
        <v>4810</v>
      </c>
      <c r="E456">
        <v>278</v>
      </c>
      <c r="F456" s="1">
        <v>45204</v>
      </c>
      <c r="G456" s="6">
        <v>23.572916666667165</v>
      </c>
      <c r="H456" s="7">
        <v>23.572916666667165</v>
      </c>
      <c r="I456" s="26">
        <v>4.5744999999999996</v>
      </c>
      <c r="J456" s="26">
        <f t="shared" si="23"/>
        <v>-4.5744999999999996</v>
      </c>
    </row>
    <row r="457" spans="1:10" x14ac:dyDescent="0.2">
      <c r="A457" t="s">
        <v>4811</v>
      </c>
      <c r="B457">
        <v>6.4140000000000003E-2</v>
      </c>
      <c r="C457">
        <v>278</v>
      </c>
      <c r="D457" t="s">
        <v>4811</v>
      </c>
      <c r="E457">
        <v>278</v>
      </c>
      <c r="F457" s="1">
        <v>45204</v>
      </c>
      <c r="G457" s="6">
        <v>23.583333333333833</v>
      </c>
      <c r="H457" s="7">
        <v>23.583333333333833</v>
      </c>
      <c r="I457" s="26">
        <v>4.58</v>
      </c>
      <c r="J457" s="26">
        <f t="shared" si="23"/>
        <v>-4.58</v>
      </c>
    </row>
    <row r="458" spans="1:10" x14ac:dyDescent="0.2">
      <c r="A458" t="s">
        <v>4812</v>
      </c>
      <c r="B458">
        <v>6.3844999999999999E-2</v>
      </c>
      <c r="C458">
        <v>278</v>
      </c>
      <c r="D458" t="s">
        <v>4812</v>
      </c>
      <c r="E458">
        <v>278</v>
      </c>
      <c r="F458" s="1">
        <v>45204</v>
      </c>
      <c r="G458" s="6">
        <v>23.593750000000501</v>
      </c>
      <c r="H458" s="7">
        <v>23.593750000000501</v>
      </c>
      <c r="I458" s="26">
        <v>4.5575000000000001</v>
      </c>
      <c r="J458" s="26">
        <f t="shared" si="23"/>
        <v>-4.5575000000000001</v>
      </c>
    </row>
    <row r="459" spans="1:10" x14ac:dyDescent="0.2">
      <c r="A459" t="s">
        <v>4813</v>
      </c>
      <c r="B459">
        <v>6.3825000000000007E-2</v>
      </c>
      <c r="C459">
        <v>278</v>
      </c>
      <c r="D459" t="s">
        <v>4813</v>
      </c>
      <c r="E459">
        <v>278</v>
      </c>
      <c r="F459" s="1">
        <v>45204</v>
      </c>
      <c r="G459" s="6">
        <v>23.604166666667169</v>
      </c>
      <c r="H459" s="7">
        <v>23.604166666667169</v>
      </c>
      <c r="I459" s="26">
        <v>4.5570000000000004</v>
      </c>
      <c r="J459" s="26">
        <f t="shared" si="23"/>
        <v>-4.5570000000000004</v>
      </c>
    </row>
    <row r="460" spans="1:10" x14ac:dyDescent="0.2">
      <c r="A460" t="s">
        <v>4814</v>
      </c>
      <c r="B460">
        <v>6.4055000000000001E-2</v>
      </c>
      <c r="C460">
        <v>279</v>
      </c>
      <c r="D460" t="s">
        <v>4814</v>
      </c>
      <c r="E460">
        <v>278</v>
      </c>
      <c r="F460" s="1">
        <v>45204</v>
      </c>
      <c r="G460" s="6">
        <v>23.614583333333837</v>
      </c>
      <c r="H460" s="7">
        <v>23.614583333333837</v>
      </c>
      <c r="I460" s="26">
        <v>4.5735000000000001</v>
      </c>
      <c r="J460" s="26">
        <f t="shared" si="23"/>
        <v>-4.5735000000000001</v>
      </c>
    </row>
    <row r="461" spans="1:10" x14ac:dyDescent="0.2">
      <c r="A461" t="s">
        <v>4815</v>
      </c>
      <c r="B461">
        <v>6.4049999999999996E-2</v>
      </c>
      <c r="C461">
        <v>279</v>
      </c>
      <c r="D461" t="s">
        <v>4815</v>
      </c>
      <c r="E461">
        <v>278</v>
      </c>
      <c r="F461" s="1">
        <v>45204</v>
      </c>
      <c r="G461" s="6">
        <v>23.625000000000504</v>
      </c>
      <c r="H461" s="7">
        <v>23.625000000000504</v>
      </c>
      <c r="I461" s="26" t="s">
        <v>4816</v>
      </c>
      <c r="J461" s="26">
        <f t="shared" si="23"/>
        <v>-4.5729999999999897</v>
      </c>
    </row>
    <row r="462" spans="1:10" x14ac:dyDescent="0.2">
      <c r="A462" t="s">
        <v>4817</v>
      </c>
      <c r="B462">
        <v>6.4284999999999995E-2</v>
      </c>
      <c r="C462">
        <v>279</v>
      </c>
      <c r="D462" t="s">
        <v>4817</v>
      </c>
      <c r="E462">
        <v>278</v>
      </c>
      <c r="F462" s="1">
        <v>45204</v>
      </c>
      <c r="G462" s="6">
        <v>23.635416666667172</v>
      </c>
      <c r="H462" s="7">
        <v>23.635416666667172</v>
      </c>
      <c r="I462" s="26">
        <v>4.59</v>
      </c>
      <c r="J462" s="26">
        <f t="shared" si="23"/>
        <v>-4.59</v>
      </c>
    </row>
    <row r="463" spans="1:10" x14ac:dyDescent="0.2">
      <c r="A463" t="s">
        <v>4818</v>
      </c>
      <c r="B463">
        <v>6.4500000000000002E-2</v>
      </c>
      <c r="C463">
        <v>279</v>
      </c>
      <c r="D463" t="s">
        <v>4818</v>
      </c>
      <c r="E463">
        <v>278</v>
      </c>
      <c r="F463" s="1">
        <v>45204</v>
      </c>
      <c r="G463" s="6">
        <v>23.64583333333384</v>
      </c>
      <c r="H463" s="7">
        <v>23.64583333333384</v>
      </c>
      <c r="I463" s="26">
        <v>4.6050000000000004</v>
      </c>
      <c r="J463" s="26">
        <f t="shared" si="23"/>
        <v>-4.6050000000000004</v>
      </c>
    </row>
    <row r="464" spans="1:10" x14ac:dyDescent="0.2">
      <c r="A464" t="s">
        <v>4819</v>
      </c>
      <c r="B464">
        <v>6.4430000000000001E-2</v>
      </c>
      <c r="C464">
        <v>279</v>
      </c>
      <c r="D464" t="s">
        <v>4819</v>
      </c>
      <c r="E464">
        <v>278</v>
      </c>
      <c r="F464" s="1">
        <v>45204</v>
      </c>
      <c r="G464" s="6">
        <v>23.656250000000508</v>
      </c>
      <c r="H464" s="7">
        <v>23.656250000000508</v>
      </c>
      <c r="I464" s="26">
        <v>4.5999999999999996</v>
      </c>
      <c r="J464" s="26">
        <f t="shared" si="23"/>
        <v>-4.5999999999999996</v>
      </c>
    </row>
    <row r="465" spans="1:10" x14ac:dyDescent="0.2">
      <c r="A465" t="s">
        <v>4820</v>
      </c>
      <c r="B465">
        <v>6.4579999999999999E-2</v>
      </c>
      <c r="C465">
        <v>279</v>
      </c>
      <c r="D465" t="s">
        <v>4820</v>
      </c>
      <c r="E465">
        <v>278</v>
      </c>
      <c r="F465" s="1">
        <v>45204</v>
      </c>
      <c r="G465" s="6">
        <v>23.666666666667176</v>
      </c>
      <c r="H465" s="7">
        <v>23.666666666667176</v>
      </c>
      <c r="I465" s="26">
        <v>4.6109999999999998</v>
      </c>
      <c r="J465" s="26">
        <f t="shared" si="23"/>
        <v>-4.6109999999999998</v>
      </c>
    </row>
    <row r="466" spans="1:10" x14ac:dyDescent="0.2">
      <c r="A466" t="s">
        <v>4821</v>
      </c>
      <c r="B466">
        <v>6.5009999999999998E-2</v>
      </c>
      <c r="C466">
        <v>279</v>
      </c>
      <c r="D466" t="s">
        <v>4821</v>
      </c>
      <c r="E466">
        <v>278</v>
      </c>
      <c r="F466" s="1">
        <v>45204</v>
      </c>
      <c r="G466" s="6">
        <v>23.677083333333844</v>
      </c>
      <c r="H466" s="7">
        <v>23.677083333333844</v>
      </c>
      <c r="I466" s="26">
        <v>4.6405000000000003</v>
      </c>
      <c r="J466" s="26">
        <f t="shared" si="23"/>
        <v>-4.6405000000000003</v>
      </c>
    </row>
    <row r="467" spans="1:10" x14ac:dyDescent="0.2">
      <c r="A467" t="s">
        <v>4822</v>
      </c>
      <c r="B467">
        <v>6.5454999999999999E-2</v>
      </c>
      <c r="C467">
        <v>279</v>
      </c>
      <c r="D467" t="s">
        <v>4822</v>
      </c>
      <c r="E467">
        <v>278</v>
      </c>
      <c r="F467" s="1">
        <v>45204</v>
      </c>
      <c r="G467" s="6">
        <v>23.687500000000512</v>
      </c>
      <c r="H467" s="7">
        <v>23.687500000000512</v>
      </c>
      <c r="I467" s="26">
        <v>4.6725000000000003</v>
      </c>
      <c r="J467" s="26">
        <f t="shared" si="23"/>
        <v>-4.6725000000000003</v>
      </c>
    </row>
    <row r="468" spans="1:10" x14ac:dyDescent="0.2">
      <c r="A468" t="s">
        <v>4823</v>
      </c>
      <c r="B468">
        <v>6.5239999999999895E-2</v>
      </c>
      <c r="C468">
        <v>279</v>
      </c>
      <c r="D468" t="s">
        <v>4823</v>
      </c>
      <c r="E468">
        <v>278</v>
      </c>
      <c r="F468" s="1">
        <v>45204</v>
      </c>
      <c r="G468" s="6">
        <v>23.697916666667179</v>
      </c>
      <c r="H468" s="7">
        <v>23.697916666667179</v>
      </c>
      <c r="I468" s="26">
        <v>4.6589999999999998</v>
      </c>
      <c r="J468" s="26">
        <f t="shared" si="23"/>
        <v>-4.6589999999999998</v>
      </c>
    </row>
    <row r="469" spans="1:10" x14ac:dyDescent="0.2">
      <c r="A469" t="s">
        <v>4824</v>
      </c>
      <c r="B469">
        <v>6.4909999999999995E-2</v>
      </c>
      <c r="C469">
        <v>279</v>
      </c>
      <c r="D469" t="s">
        <v>4824</v>
      </c>
      <c r="E469">
        <v>278</v>
      </c>
      <c r="F469" s="1">
        <v>45204</v>
      </c>
      <c r="G469" s="6">
        <v>23.708333333333847</v>
      </c>
      <c r="H469" s="7">
        <v>23.708333333333847</v>
      </c>
      <c r="I469" s="26">
        <v>4.6355000000000004</v>
      </c>
      <c r="J469" s="26">
        <f t="shared" si="23"/>
        <v>-4.6355000000000004</v>
      </c>
    </row>
    <row r="470" spans="1:10" x14ac:dyDescent="0.2">
      <c r="A470" t="s">
        <v>4825</v>
      </c>
      <c r="B470">
        <v>6.5915000000000001E-2</v>
      </c>
      <c r="C470">
        <v>279</v>
      </c>
      <c r="D470" t="s">
        <v>4825</v>
      </c>
      <c r="E470">
        <v>278</v>
      </c>
      <c r="F470" s="1">
        <v>45204</v>
      </c>
      <c r="G470" s="6">
        <v>23.718750000000515</v>
      </c>
      <c r="H470" s="7">
        <v>23.718750000000515</v>
      </c>
      <c r="I470" s="26">
        <v>4.7065000000000001</v>
      </c>
      <c r="J470" s="26">
        <f t="shared" si="23"/>
        <v>-4.7065000000000001</v>
      </c>
    </row>
    <row r="471" spans="1:10" x14ac:dyDescent="0.2">
      <c r="A471" t="s">
        <v>4826</v>
      </c>
      <c r="B471">
        <v>6.6419999999999896E-2</v>
      </c>
      <c r="C471">
        <v>279</v>
      </c>
      <c r="D471" t="s">
        <v>4826</v>
      </c>
      <c r="E471">
        <v>278</v>
      </c>
      <c r="F471" s="1">
        <v>45204</v>
      </c>
      <c r="G471" s="6">
        <v>23.729166666667183</v>
      </c>
      <c r="H471" s="7">
        <v>23.729166666667183</v>
      </c>
      <c r="I471" s="26">
        <v>4.742</v>
      </c>
      <c r="J471" s="26">
        <f t="shared" si="23"/>
        <v>-4.742</v>
      </c>
    </row>
    <row r="472" spans="1:10" x14ac:dyDescent="0.2">
      <c r="A472" t="s">
        <v>4827</v>
      </c>
      <c r="B472">
        <v>6.7299999999999999E-2</v>
      </c>
      <c r="C472">
        <v>279</v>
      </c>
      <c r="D472" t="s">
        <v>4827</v>
      </c>
      <c r="E472">
        <v>278</v>
      </c>
      <c r="F472" s="1">
        <v>45204</v>
      </c>
      <c r="G472" s="6">
        <v>23.739583333333851</v>
      </c>
      <c r="H472" s="7">
        <v>23.739583333333851</v>
      </c>
      <c r="I472" s="26">
        <v>4.8045</v>
      </c>
      <c r="J472" s="26">
        <f t="shared" si="23"/>
        <v>-4.8045</v>
      </c>
    </row>
    <row r="473" spans="1:10" x14ac:dyDescent="0.2">
      <c r="A473" t="s">
        <v>4828</v>
      </c>
      <c r="B473">
        <v>6.6610000000000003E-2</v>
      </c>
      <c r="C473">
        <v>279</v>
      </c>
      <c r="D473" t="s">
        <v>4828</v>
      </c>
      <c r="E473">
        <v>278</v>
      </c>
      <c r="F473" s="1">
        <v>45204</v>
      </c>
      <c r="G473" s="6">
        <v>23.750000000000519</v>
      </c>
      <c r="H473" s="7">
        <v>23.750000000000519</v>
      </c>
      <c r="I473" s="26">
        <v>4.7534999999999998</v>
      </c>
      <c r="J473" s="26">
        <f t="shared" si="23"/>
        <v>-4.7534999999999998</v>
      </c>
    </row>
    <row r="474" spans="1:10" x14ac:dyDescent="0.2">
      <c r="A474" t="s">
        <v>4829</v>
      </c>
      <c r="B474">
        <v>6.7934999999999995E-2</v>
      </c>
      <c r="C474">
        <v>279</v>
      </c>
      <c r="D474" t="s">
        <v>4829</v>
      </c>
      <c r="E474">
        <v>278</v>
      </c>
      <c r="F474" s="1">
        <v>45204</v>
      </c>
      <c r="G474" s="6">
        <v>23.760416666667187</v>
      </c>
      <c r="H474" s="7">
        <v>23.760416666667187</v>
      </c>
      <c r="I474" s="26">
        <v>4.8499999999999996</v>
      </c>
      <c r="J474" s="26">
        <f t="shared" si="23"/>
        <v>-4.8499999999999996</v>
      </c>
    </row>
    <row r="475" spans="1:10" x14ac:dyDescent="0.2">
      <c r="A475" t="s">
        <v>4830</v>
      </c>
      <c r="B475">
        <v>6.7989999999999995E-2</v>
      </c>
      <c r="C475">
        <v>279</v>
      </c>
      <c r="D475" t="s">
        <v>4830</v>
      </c>
      <c r="E475">
        <v>278</v>
      </c>
      <c r="F475" s="1">
        <v>45204</v>
      </c>
      <c r="G475" s="6">
        <v>23.770833333333854</v>
      </c>
      <c r="H475" s="7">
        <v>23.770833333333854</v>
      </c>
      <c r="I475" s="26">
        <v>4.8555000000000001</v>
      </c>
      <c r="J475" s="26">
        <f t="shared" si="23"/>
        <v>-4.8555000000000001</v>
      </c>
    </row>
    <row r="476" spans="1:10" x14ac:dyDescent="0.2">
      <c r="A476" t="s">
        <v>4831</v>
      </c>
      <c r="B476">
        <v>6.9004999999999997E-2</v>
      </c>
      <c r="C476">
        <v>279</v>
      </c>
      <c r="D476" t="s">
        <v>4831</v>
      </c>
      <c r="E476">
        <v>278</v>
      </c>
      <c r="F476" s="1">
        <v>45204</v>
      </c>
      <c r="G476" s="6">
        <v>23.781250000000522</v>
      </c>
      <c r="H476" s="7">
        <v>23.781250000000522</v>
      </c>
      <c r="I476" s="26">
        <v>4.9264999999999999</v>
      </c>
      <c r="J476" s="26">
        <f t="shared" si="23"/>
        <v>-4.9264999999999999</v>
      </c>
    </row>
    <row r="477" spans="1:10" x14ac:dyDescent="0.2">
      <c r="A477" t="s">
        <v>4832</v>
      </c>
      <c r="B477">
        <v>6.9654999999999995E-2</v>
      </c>
      <c r="C477">
        <v>279</v>
      </c>
      <c r="D477" t="s">
        <v>4832</v>
      </c>
      <c r="E477">
        <v>278</v>
      </c>
      <c r="F477" s="1">
        <v>45204</v>
      </c>
      <c r="G477" s="6">
        <v>23.79166666666719</v>
      </c>
      <c r="H477" s="7">
        <v>23.79166666666719</v>
      </c>
      <c r="I477" s="26">
        <v>4.9734999999999996</v>
      </c>
      <c r="J477" s="26">
        <f t="shared" si="23"/>
        <v>-4.9734999999999996</v>
      </c>
    </row>
    <row r="478" spans="1:10" x14ac:dyDescent="0.2">
      <c r="A478" t="s">
        <v>4833</v>
      </c>
      <c r="B478">
        <v>6.966E-2</v>
      </c>
      <c r="C478">
        <v>279</v>
      </c>
      <c r="D478" t="s">
        <v>4833</v>
      </c>
      <c r="E478">
        <v>278</v>
      </c>
      <c r="F478" s="1">
        <v>45204</v>
      </c>
      <c r="G478" s="6">
        <v>23.802083333333858</v>
      </c>
      <c r="H478" s="7">
        <v>23.802083333333858</v>
      </c>
      <c r="I478" s="26">
        <v>4.9744999999999999</v>
      </c>
      <c r="J478" s="26">
        <f t="shared" si="23"/>
        <v>-4.9744999999999999</v>
      </c>
    </row>
    <row r="479" spans="1:10" x14ac:dyDescent="0.2">
      <c r="A479" t="s">
        <v>4834</v>
      </c>
      <c r="B479">
        <v>7.1474999999999997E-2</v>
      </c>
      <c r="C479">
        <v>279</v>
      </c>
      <c r="D479" t="s">
        <v>4834</v>
      </c>
      <c r="E479">
        <v>278</v>
      </c>
      <c r="F479" s="1">
        <v>45204</v>
      </c>
      <c r="G479" s="6">
        <v>23.812500000000526</v>
      </c>
      <c r="H479" s="7">
        <v>23.812500000000526</v>
      </c>
      <c r="I479" s="26">
        <v>5.1020000000000003</v>
      </c>
      <c r="J479" s="26">
        <f t="shared" si="23"/>
        <v>-5.1020000000000003</v>
      </c>
    </row>
    <row r="480" spans="1:10" x14ac:dyDescent="0.2">
      <c r="A480" t="s">
        <v>4835</v>
      </c>
      <c r="B480">
        <v>7.1235000000000007E-2</v>
      </c>
      <c r="C480">
        <v>279</v>
      </c>
      <c r="D480" t="s">
        <v>4835</v>
      </c>
      <c r="E480">
        <v>278</v>
      </c>
      <c r="F480" s="1">
        <v>45204</v>
      </c>
      <c r="G480" s="6">
        <v>23.822916666667194</v>
      </c>
      <c r="H480" s="7">
        <v>23.822916666667194</v>
      </c>
      <c r="I480" s="26">
        <v>5.0854999999999997</v>
      </c>
      <c r="J480" s="26">
        <f t="shared" si="23"/>
        <v>-5.0854999999999997</v>
      </c>
    </row>
    <row r="481" spans="1:10" x14ac:dyDescent="0.2">
      <c r="A481" t="s">
        <v>4836</v>
      </c>
      <c r="B481">
        <v>7.0800000000000002E-2</v>
      </c>
      <c r="C481">
        <v>279</v>
      </c>
      <c r="D481" t="s">
        <v>4836</v>
      </c>
      <c r="E481">
        <v>278</v>
      </c>
      <c r="F481" s="1">
        <v>45204</v>
      </c>
      <c r="G481" s="6">
        <v>23.833333333333862</v>
      </c>
      <c r="H481" s="7">
        <v>23.833333333333862</v>
      </c>
      <c r="I481" s="26">
        <v>5.0540000000000003</v>
      </c>
      <c r="J481" s="26">
        <f t="shared" si="23"/>
        <v>-5.0540000000000003</v>
      </c>
    </row>
    <row r="482" spans="1:10" x14ac:dyDescent="0.2">
      <c r="A482" t="s">
        <v>4837</v>
      </c>
      <c r="B482">
        <v>7.2279999999999997E-2</v>
      </c>
      <c r="C482">
        <v>279</v>
      </c>
      <c r="D482" t="s">
        <v>4837</v>
      </c>
      <c r="E482">
        <v>278</v>
      </c>
      <c r="F482" s="1">
        <v>45204</v>
      </c>
      <c r="G482" s="6">
        <v>23.843750000000529</v>
      </c>
      <c r="H482" s="7">
        <v>23.843750000000529</v>
      </c>
      <c r="I482" s="26">
        <v>5.1604999999999999</v>
      </c>
      <c r="J482" s="26">
        <f t="shared" si="23"/>
        <v>-5.1604999999999999</v>
      </c>
    </row>
    <row r="483" spans="1:10" x14ac:dyDescent="0.2">
      <c r="A483" t="s">
        <v>4838</v>
      </c>
      <c r="B483">
        <v>7.1565000000000004E-2</v>
      </c>
      <c r="C483">
        <v>279</v>
      </c>
      <c r="D483" t="s">
        <v>4838</v>
      </c>
      <c r="E483">
        <v>278</v>
      </c>
      <c r="F483" s="1">
        <v>45204</v>
      </c>
      <c r="G483" s="6">
        <v>23.854166666667197</v>
      </c>
      <c r="H483" s="7">
        <v>23.854166666667197</v>
      </c>
      <c r="I483" s="26">
        <v>5.109</v>
      </c>
      <c r="J483" s="26">
        <f t="shared" si="23"/>
        <v>-5.109</v>
      </c>
    </row>
    <row r="484" spans="1:10" x14ac:dyDescent="0.2">
      <c r="A484" t="s">
        <v>4839</v>
      </c>
      <c r="B484">
        <v>7.0815000000000003E-2</v>
      </c>
      <c r="C484">
        <v>279</v>
      </c>
      <c r="D484" t="s">
        <v>4839</v>
      </c>
      <c r="E484">
        <v>279</v>
      </c>
      <c r="F484" s="1">
        <v>45205</v>
      </c>
      <c r="G484" s="6">
        <v>23.864583333333865</v>
      </c>
      <c r="H484" s="7">
        <v>23.864583333333865</v>
      </c>
      <c r="I484" s="26">
        <v>5.0570000000000004</v>
      </c>
      <c r="J484" s="26">
        <f t="shared" si="23"/>
        <v>-5.0570000000000004</v>
      </c>
    </row>
    <row r="485" spans="1:10" x14ac:dyDescent="0.2">
      <c r="A485" t="s">
        <v>4840</v>
      </c>
      <c r="B485">
        <v>7.1970000000000006E-2</v>
      </c>
      <c r="C485">
        <v>279</v>
      </c>
      <c r="D485" t="s">
        <v>4840</v>
      </c>
      <c r="E485">
        <v>279</v>
      </c>
      <c r="F485" s="1">
        <v>45205</v>
      </c>
      <c r="G485" s="6">
        <v>23.875000000000533</v>
      </c>
      <c r="H485" s="7">
        <v>23.875000000000533</v>
      </c>
      <c r="I485" s="26">
        <v>5.1375000000000002</v>
      </c>
      <c r="J485" s="26">
        <f t="shared" si="23"/>
        <v>-5.1375000000000002</v>
      </c>
    </row>
    <row r="486" spans="1:10" x14ac:dyDescent="0.2">
      <c r="A486" t="s">
        <v>4841</v>
      </c>
      <c r="B486">
        <v>7.2084999999999996E-2</v>
      </c>
      <c r="C486">
        <v>279</v>
      </c>
      <c r="D486" t="s">
        <v>4841</v>
      </c>
      <c r="E486">
        <v>279</v>
      </c>
      <c r="F486" s="1">
        <v>45205</v>
      </c>
      <c r="G486" s="6">
        <v>23.885416666667201</v>
      </c>
      <c r="H486" s="7">
        <v>23.885416666667201</v>
      </c>
      <c r="I486" s="26">
        <v>5.1455000000000002</v>
      </c>
      <c r="J486" s="26">
        <f t="shared" si="23"/>
        <v>-5.1455000000000002</v>
      </c>
    </row>
    <row r="487" spans="1:10" x14ac:dyDescent="0.2">
      <c r="A487" t="s">
        <v>4842</v>
      </c>
      <c r="B487">
        <v>7.2279999999999997E-2</v>
      </c>
      <c r="C487">
        <v>279</v>
      </c>
      <c r="D487" t="s">
        <v>4842</v>
      </c>
      <c r="E487">
        <v>279</v>
      </c>
      <c r="F487" s="1">
        <v>45205</v>
      </c>
      <c r="G487" s="6">
        <v>23.895833333333869</v>
      </c>
      <c r="H487" s="7">
        <v>23.895833333333869</v>
      </c>
      <c r="I487" s="26">
        <v>5.1604999999999999</v>
      </c>
      <c r="J487" s="26">
        <f t="shared" si="23"/>
        <v>-5.1604999999999999</v>
      </c>
    </row>
    <row r="488" spans="1:10" x14ac:dyDescent="0.2">
      <c r="A488" t="s">
        <v>4843</v>
      </c>
      <c r="B488">
        <v>7.1635000000000004E-2</v>
      </c>
      <c r="C488">
        <v>279</v>
      </c>
      <c r="D488" t="s">
        <v>4843</v>
      </c>
      <c r="E488">
        <v>279</v>
      </c>
      <c r="F488" s="1">
        <v>45205</v>
      </c>
      <c r="G488" s="6">
        <v>23.906250000000536</v>
      </c>
      <c r="H488" s="7">
        <v>23.906250000000536</v>
      </c>
      <c r="I488" s="26">
        <v>5.1139999999999999</v>
      </c>
      <c r="J488" s="26">
        <f t="shared" si="23"/>
        <v>-5.1139999999999999</v>
      </c>
    </row>
    <row r="489" spans="1:10" x14ac:dyDescent="0.2">
      <c r="A489" t="s">
        <v>4844</v>
      </c>
      <c r="B489">
        <v>7.1595000000000006E-2</v>
      </c>
      <c r="C489">
        <v>279</v>
      </c>
      <c r="D489" t="s">
        <v>4844</v>
      </c>
      <c r="E489">
        <v>279</v>
      </c>
      <c r="F489" s="1">
        <v>45205</v>
      </c>
      <c r="G489" s="6">
        <v>23.916666666667204</v>
      </c>
      <c r="H489" s="7">
        <v>23.916666666667204</v>
      </c>
      <c r="I489" s="26">
        <v>5.1109999999999998</v>
      </c>
      <c r="J489" s="26">
        <f t="shared" si="23"/>
        <v>-5.1109999999999998</v>
      </c>
    </row>
    <row r="490" spans="1:10" x14ac:dyDescent="0.2">
      <c r="A490" t="s">
        <v>4845</v>
      </c>
      <c r="B490">
        <v>7.1834999999999996E-2</v>
      </c>
      <c r="C490">
        <v>279</v>
      </c>
      <c r="D490" t="s">
        <v>4845</v>
      </c>
      <c r="E490">
        <v>279</v>
      </c>
      <c r="F490" s="1">
        <v>45205</v>
      </c>
      <c r="G490" s="6">
        <v>23.927083333333872</v>
      </c>
      <c r="H490" s="7">
        <v>23.927083333333872</v>
      </c>
      <c r="I490" s="26">
        <v>5.1275000000000004</v>
      </c>
      <c r="J490" s="26">
        <f t="shared" si="23"/>
        <v>-5.1275000000000004</v>
      </c>
    </row>
    <row r="491" spans="1:10" x14ac:dyDescent="0.2">
      <c r="A491" t="s">
        <v>4846</v>
      </c>
      <c r="B491">
        <v>7.2539999999999993E-2</v>
      </c>
      <c r="C491">
        <v>279</v>
      </c>
      <c r="D491" t="s">
        <v>4846</v>
      </c>
      <c r="E491">
        <v>279</v>
      </c>
      <c r="F491" s="1">
        <v>45205</v>
      </c>
      <c r="G491" s="6">
        <v>23.93750000000054</v>
      </c>
      <c r="H491" s="7">
        <v>23.93750000000054</v>
      </c>
      <c r="I491" s="26">
        <v>5.1795</v>
      </c>
      <c r="J491" s="26">
        <f t="shared" si="23"/>
        <v>-5.1795</v>
      </c>
    </row>
    <row r="492" spans="1:10" x14ac:dyDescent="0.2">
      <c r="A492" t="s">
        <v>4847</v>
      </c>
      <c r="B492">
        <v>7.2039999999999896E-2</v>
      </c>
      <c r="C492">
        <v>279</v>
      </c>
      <c r="D492" t="s">
        <v>4847</v>
      </c>
      <c r="E492">
        <v>279</v>
      </c>
      <c r="F492" s="1">
        <v>45205</v>
      </c>
      <c r="G492" s="6">
        <v>23.947916666667208</v>
      </c>
      <c r="H492" s="7">
        <v>23.947916666667208</v>
      </c>
      <c r="I492" s="26">
        <v>5.1429999999999998</v>
      </c>
      <c r="J492" s="26">
        <f t="shared" si="23"/>
        <v>-5.1429999999999998</v>
      </c>
    </row>
    <row r="493" spans="1:10" x14ac:dyDescent="0.2">
      <c r="A493" t="s">
        <v>4848</v>
      </c>
      <c r="B493">
        <v>7.2270000000000001E-2</v>
      </c>
      <c r="C493">
        <v>279</v>
      </c>
      <c r="D493" t="s">
        <v>4848</v>
      </c>
      <c r="E493">
        <v>279</v>
      </c>
      <c r="F493" s="1">
        <v>45205</v>
      </c>
      <c r="G493" s="6">
        <v>23.958333333333876</v>
      </c>
      <c r="H493" s="7">
        <v>23.958333333333876</v>
      </c>
      <c r="I493" s="26">
        <v>5.1609999999999996</v>
      </c>
      <c r="J493" s="26">
        <f t="shared" si="23"/>
        <v>-5.1609999999999996</v>
      </c>
    </row>
    <row r="494" spans="1:10" x14ac:dyDescent="0.2">
      <c r="A494" t="s">
        <v>4849</v>
      </c>
      <c r="B494">
        <v>7.2434999999999999E-2</v>
      </c>
      <c r="C494">
        <v>279</v>
      </c>
      <c r="D494" t="s">
        <v>4849</v>
      </c>
      <c r="E494">
        <v>279</v>
      </c>
      <c r="F494" s="1">
        <v>45205</v>
      </c>
      <c r="G494" s="6">
        <v>23.968750000000544</v>
      </c>
      <c r="H494" s="7">
        <v>23.968750000000544</v>
      </c>
      <c r="I494" s="26">
        <v>5.1725000000000003</v>
      </c>
      <c r="J494" s="26">
        <f t="shared" si="23"/>
        <v>-5.1725000000000003</v>
      </c>
    </row>
    <row r="495" spans="1:10" x14ac:dyDescent="0.2">
      <c r="A495" t="s">
        <v>4850</v>
      </c>
      <c r="B495">
        <v>7.2230000000000003E-2</v>
      </c>
      <c r="C495">
        <v>279</v>
      </c>
      <c r="D495" t="s">
        <v>4850</v>
      </c>
      <c r="E495">
        <v>279</v>
      </c>
      <c r="F495" s="1">
        <v>45205</v>
      </c>
      <c r="G495" s="6">
        <v>23.979166666667211</v>
      </c>
      <c r="H495" s="7">
        <v>23.979166666667211</v>
      </c>
      <c r="I495" s="26">
        <v>5.1580000000000004</v>
      </c>
      <c r="J495" s="26">
        <f t="shared" si="23"/>
        <v>-5.1580000000000004</v>
      </c>
    </row>
    <row r="496" spans="1:10" x14ac:dyDescent="0.2">
      <c r="A496" t="s">
        <v>4851</v>
      </c>
      <c r="B496">
        <v>7.2135000000000005E-2</v>
      </c>
      <c r="C496">
        <v>279</v>
      </c>
      <c r="D496" t="s">
        <v>4851</v>
      </c>
      <c r="E496">
        <v>279</v>
      </c>
      <c r="F496" s="1">
        <v>45205</v>
      </c>
      <c r="G496" s="6">
        <v>23.989583333333879</v>
      </c>
      <c r="H496" s="7">
        <v>23.989583333333879</v>
      </c>
      <c r="I496" s="26">
        <v>5.1505000000000001</v>
      </c>
      <c r="J496" s="26">
        <f t="shared" si="23"/>
        <v>-5.1505000000000001</v>
      </c>
    </row>
    <row r="497" spans="1:10" x14ac:dyDescent="0.2">
      <c r="A497" t="s">
        <v>4852</v>
      </c>
      <c r="B497">
        <v>7.1845000000000006E-2</v>
      </c>
      <c r="C497">
        <v>279</v>
      </c>
      <c r="D497" t="s">
        <v>4852</v>
      </c>
      <c r="E497">
        <v>279</v>
      </c>
      <c r="F497" s="1">
        <v>45205</v>
      </c>
      <c r="G497" s="6">
        <v>24.000000000000547</v>
      </c>
      <c r="H497" s="7">
        <v>24.000000000000547</v>
      </c>
      <c r="I497" s="26">
        <v>5.1295000000000002</v>
      </c>
      <c r="J497" s="26">
        <f t="shared" si="23"/>
        <v>-5.1295000000000002</v>
      </c>
    </row>
    <row r="498" spans="1:10" x14ac:dyDescent="0.2">
      <c r="A498" t="s">
        <v>4853</v>
      </c>
      <c r="B498">
        <v>7.2700000000000001E-2</v>
      </c>
      <c r="C498">
        <v>279</v>
      </c>
      <c r="D498" t="s">
        <v>4853</v>
      </c>
      <c r="E498">
        <v>279</v>
      </c>
      <c r="F498" s="1">
        <v>45205</v>
      </c>
      <c r="G498" s="6">
        <v>24.010416666667215</v>
      </c>
      <c r="H498" s="7">
        <v>24.010416666667215</v>
      </c>
      <c r="I498" s="26" t="s">
        <v>4854</v>
      </c>
      <c r="J498" s="26">
        <f t="shared" si="23"/>
        <v>-5.1914999999999996</v>
      </c>
    </row>
    <row r="499" spans="1:10" x14ac:dyDescent="0.2">
      <c r="A499" t="s">
        <v>4855</v>
      </c>
      <c r="B499">
        <v>7.1609999999999993E-2</v>
      </c>
      <c r="C499">
        <v>279</v>
      </c>
      <c r="D499" t="s">
        <v>4855</v>
      </c>
      <c r="E499">
        <v>279</v>
      </c>
      <c r="F499" s="1">
        <v>45205</v>
      </c>
      <c r="G499" s="6">
        <v>24.020833333333883</v>
      </c>
      <c r="H499" s="7">
        <v>24.020833333333883</v>
      </c>
      <c r="I499" s="26">
        <v>5.1105</v>
      </c>
      <c r="J499" s="26">
        <f t="shared" si="23"/>
        <v>-5.1105</v>
      </c>
    </row>
    <row r="500" spans="1:10" x14ac:dyDescent="0.2">
      <c r="A500" t="s">
        <v>4856</v>
      </c>
      <c r="B500">
        <v>7.2005E-2</v>
      </c>
      <c r="C500">
        <v>279</v>
      </c>
      <c r="D500" t="s">
        <v>4856</v>
      </c>
      <c r="E500">
        <v>279</v>
      </c>
      <c r="F500" s="1">
        <v>45205</v>
      </c>
      <c r="G500" s="6">
        <v>24.031250000000551</v>
      </c>
      <c r="H500" s="7">
        <v>24.031250000000551</v>
      </c>
      <c r="I500" s="26">
        <v>5.1414999999999997</v>
      </c>
      <c r="J500" s="26">
        <f t="shared" si="23"/>
        <v>-5.1414999999999997</v>
      </c>
    </row>
    <row r="501" spans="1:10" x14ac:dyDescent="0.2">
      <c r="A501" t="s">
        <v>4857</v>
      </c>
      <c r="B501">
        <v>7.2169999999999998E-2</v>
      </c>
      <c r="C501">
        <v>279</v>
      </c>
      <c r="D501" t="s">
        <v>4857</v>
      </c>
      <c r="E501">
        <v>279</v>
      </c>
      <c r="F501" s="1">
        <v>45205</v>
      </c>
      <c r="G501" s="6">
        <v>24.041666666667219</v>
      </c>
      <c r="H501" s="7">
        <v>24.041666666667219</v>
      </c>
      <c r="I501" s="26">
        <v>5.1529999999999996</v>
      </c>
      <c r="J501" s="26">
        <f t="shared" si="23"/>
        <v>-5.1529999999999996</v>
      </c>
    </row>
    <row r="502" spans="1:10" x14ac:dyDescent="0.2">
      <c r="A502" t="s">
        <v>4858</v>
      </c>
      <c r="B502">
        <v>7.3260000000000006E-2</v>
      </c>
      <c r="C502">
        <v>279</v>
      </c>
      <c r="D502" t="s">
        <v>4858</v>
      </c>
      <c r="E502">
        <v>279</v>
      </c>
      <c r="F502" s="1">
        <v>45205</v>
      </c>
      <c r="G502" s="6">
        <v>24.052083333333886</v>
      </c>
      <c r="H502" s="7">
        <v>24.052083333333886</v>
      </c>
      <c r="I502" s="26">
        <v>5.23</v>
      </c>
      <c r="J502" s="26">
        <f t="shared" si="23"/>
        <v>-5.23</v>
      </c>
    </row>
    <row r="503" spans="1:10" x14ac:dyDescent="0.2">
      <c r="A503" t="s">
        <v>4859</v>
      </c>
      <c r="B503">
        <v>7.213E-2</v>
      </c>
      <c r="C503">
        <v>279</v>
      </c>
      <c r="D503" t="s">
        <v>4859</v>
      </c>
      <c r="E503">
        <v>279</v>
      </c>
      <c r="F503" s="1">
        <v>45205</v>
      </c>
      <c r="G503" s="6">
        <v>24.062500000000554</v>
      </c>
      <c r="H503" s="7">
        <v>24.062500000000554</v>
      </c>
      <c r="I503" s="26">
        <v>5.149</v>
      </c>
      <c r="J503" s="26">
        <f t="shared" si="23"/>
        <v>-5.149</v>
      </c>
    </row>
    <row r="504" spans="1:10" x14ac:dyDescent="0.2">
      <c r="A504" t="s">
        <v>4860</v>
      </c>
      <c r="B504">
        <v>7.2389999999999996E-2</v>
      </c>
      <c r="C504">
        <v>279</v>
      </c>
      <c r="D504" t="s">
        <v>4860</v>
      </c>
      <c r="E504">
        <v>279</v>
      </c>
      <c r="F504" s="1">
        <v>45205</v>
      </c>
      <c r="G504" s="6">
        <v>24.072916666667222</v>
      </c>
      <c r="H504" s="7">
        <v>24.072916666667222</v>
      </c>
      <c r="I504" s="26">
        <v>5.1675000000000004</v>
      </c>
      <c r="J504" s="26">
        <f t="shared" si="23"/>
        <v>-5.1675000000000004</v>
      </c>
    </row>
    <row r="505" spans="1:10" x14ac:dyDescent="0.2">
      <c r="A505" t="s">
        <v>4861</v>
      </c>
      <c r="B505">
        <v>7.2819999999999996E-2</v>
      </c>
      <c r="C505">
        <v>279</v>
      </c>
      <c r="D505" t="s">
        <v>4861</v>
      </c>
      <c r="E505">
        <v>279</v>
      </c>
      <c r="F505" s="1">
        <v>45205</v>
      </c>
      <c r="G505" s="6">
        <v>24.08333333333389</v>
      </c>
      <c r="H505" s="7">
        <v>24.08333333333389</v>
      </c>
      <c r="I505" s="26">
        <v>5.1994999999999996</v>
      </c>
      <c r="J505" s="26">
        <f t="shared" si="23"/>
        <v>-5.1994999999999996</v>
      </c>
    </row>
    <row r="506" spans="1:10" x14ac:dyDescent="0.2">
      <c r="A506" t="s">
        <v>4862</v>
      </c>
      <c r="B506">
        <v>7.2065000000000004E-2</v>
      </c>
      <c r="C506">
        <v>279</v>
      </c>
      <c r="D506" t="s">
        <v>4862</v>
      </c>
      <c r="E506">
        <v>279</v>
      </c>
      <c r="F506" s="1">
        <v>45205</v>
      </c>
      <c r="G506" s="6">
        <v>24.093750000000558</v>
      </c>
      <c r="H506" s="7">
        <v>24.093750000000558</v>
      </c>
      <c r="I506" s="26">
        <v>5.1449999999999996</v>
      </c>
      <c r="J506" s="26">
        <f t="shared" si="23"/>
        <v>-5.1449999999999996</v>
      </c>
    </row>
    <row r="507" spans="1:10" x14ac:dyDescent="0.2">
      <c r="A507" t="s">
        <v>4863</v>
      </c>
      <c r="B507">
        <v>7.2550000000000003E-2</v>
      </c>
      <c r="C507">
        <v>279</v>
      </c>
      <c r="D507" t="s">
        <v>4863</v>
      </c>
      <c r="E507">
        <v>279</v>
      </c>
      <c r="F507" s="1">
        <v>45205</v>
      </c>
      <c r="G507" s="6">
        <v>24.104166666667226</v>
      </c>
      <c r="H507" s="7">
        <v>24.104166666667226</v>
      </c>
      <c r="I507" s="26">
        <v>5.181</v>
      </c>
      <c r="J507" s="26">
        <f t="shared" si="23"/>
        <v>-5.181</v>
      </c>
    </row>
    <row r="508" spans="1:10" x14ac:dyDescent="0.2">
      <c r="A508" t="s">
        <v>4864</v>
      </c>
      <c r="B508">
        <v>7.1845000000000006E-2</v>
      </c>
      <c r="C508">
        <v>279</v>
      </c>
      <c r="D508" t="s">
        <v>4864</v>
      </c>
      <c r="E508">
        <v>279</v>
      </c>
      <c r="F508" s="1">
        <v>45205</v>
      </c>
      <c r="G508" s="6">
        <v>24.114583333333893</v>
      </c>
      <c r="H508" s="7">
        <v>24.114583333333893</v>
      </c>
      <c r="I508" s="26">
        <v>5.1284999999999998</v>
      </c>
      <c r="J508" s="26">
        <f t="shared" si="23"/>
        <v>-5.1284999999999998</v>
      </c>
    </row>
    <row r="509" spans="1:10" x14ac:dyDescent="0.2">
      <c r="A509" t="s">
        <v>4865</v>
      </c>
      <c r="B509">
        <v>7.1629999999999999E-2</v>
      </c>
      <c r="C509">
        <v>279</v>
      </c>
      <c r="D509" t="s">
        <v>4865</v>
      </c>
      <c r="E509">
        <v>279</v>
      </c>
      <c r="F509" s="1">
        <v>45205</v>
      </c>
      <c r="G509" s="6">
        <v>24.125000000000561</v>
      </c>
      <c r="H509" s="7">
        <v>24.125000000000561</v>
      </c>
      <c r="I509" s="26">
        <v>5.1144999999999996</v>
      </c>
      <c r="J509" s="26">
        <f t="shared" si="23"/>
        <v>-5.1144999999999996</v>
      </c>
    </row>
    <row r="510" spans="1:10" x14ac:dyDescent="0.2">
      <c r="A510" t="s">
        <v>4866</v>
      </c>
      <c r="B510">
        <v>7.1389999999999995E-2</v>
      </c>
      <c r="C510">
        <v>279</v>
      </c>
      <c r="D510" t="s">
        <v>4866</v>
      </c>
      <c r="E510">
        <v>279</v>
      </c>
      <c r="F510" s="1">
        <v>45205</v>
      </c>
      <c r="G510" s="6">
        <v>24.135416666667229</v>
      </c>
      <c r="H510" s="7">
        <v>24.135416666667229</v>
      </c>
      <c r="I510" s="26">
        <v>5.0960000000000001</v>
      </c>
      <c r="J510" s="26">
        <f t="shared" si="23"/>
        <v>-5.0960000000000001</v>
      </c>
    </row>
    <row r="511" spans="1:10" x14ac:dyDescent="0.2">
      <c r="A511" t="s">
        <v>4867</v>
      </c>
      <c r="B511">
        <v>7.2135000000000005E-2</v>
      </c>
      <c r="C511">
        <v>279</v>
      </c>
      <c r="D511" t="s">
        <v>4867</v>
      </c>
      <c r="E511">
        <v>279</v>
      </c>
      <c r="F511" s="1">
        <v>45205</v>
      </c>
      <c r="G511" s="6">
        <v>24.145833333333897</v>
      </c>
      <c r="H511" s="7">
        <v>24.145833333333897</v>
      </c>
      <c r="I511" s="26">
        <v>5.15</v>
      </c>
      <c r="J511" s="26">
        <f t="shared" si="23"/>
        <v>-5.15</v>
      </c>
    </row>
    <row r="512" spans="1:10" x14ac:dyDescent="0.2">
      <c r="A512" t="s">
        <v>4868</v>
      </c>
      <c r="B512">
        <v>7.1010000000000004E-2</v>
      </c>
      <c r="C512">
        <v>279</v>
      </c>
      <c r="D512" t="s">
        <v>4868</v>
      </c>
      <c r="E512">
        <v>279</v>
      </c>
      <c r="F512" s="1">
        <v>45205</v>
      </c>
      <c r="G512" s="6">
        <v>24.156250000000565</v>
      </c>
      <c r="H512" s="7">
        <v>24.156250000000565</v>
      </c>
      <c r="I512" s="26">
        <v>5.0705</v>
      </c>
      <c r="J512" s="26">
        <f t="shared" si="23"/>
        <v>-5.0705</v>
      </c>
    </row>
    <row r="513" spans="1:10" x14ac:dyDescent="0.2">
      <c r="A513" t="s">
        <v>4869</v>
      </c>
      <c r="B513">
        <v>7.1650000000000005E-2</v>
      </c>
      <c r="C513">
        <v>279</v>
      </c>
      <c r="D513" t="s">
        <v>4869</v>
      </c>
      <c r="E513">
        <v>279</v>
      </c>
      <c r="F513" s="1">
        <v>45205</v>
      </c>
      <c r="G513" s="6">
        <v>24.166666666667233</v>
      </c>
      <c r="H513" s="7">
        <v>24.166666666667233</v>
      </c>
      <c r="I513" s="26">
        <v>5.1159999999999997</v>
      </c>
      <c r="J513" s="26">
        <f t="shared" si="23"/>
        <v>-5.1159999999999997</v>
      </c>
    </row>
    <row r="514" spans="1:10" x14ac:dyDescent="0.2">
      <c r="A514" t="s">
        <v>4870</v>
      </c>
      <c r="B514">
        <v>7.1870000000000003E-2</v>
      </c>
      <c r="C514">
        <v>279</v>
      </c>
      <c r="D514" t="s">
        <v>4870</v>
      </c>
      <c r="E514">
        <v>279</v>
      </c>
      <c r="F514" s="1">
        <v>45205</v>
      </c>
      <c r="G514" s="6">
        <v>24.177083333333901</v>
      </c>
      <c r="H514" s="7">
        <v>24.177083333333901</v>
      </c>
      <c r="I514" s="26">
        <v>5.1310000000000002</v>
      </c>
      <c r="J514" s="26">
        <f t="shared" si="23"/>
        <v>-5.1310000000000002</v>
      </c>
    </row>
    <row r="515" spans="1:10" x14ac:dyDescent="0.2">
      <c r="A515" t="s">
        <v>4871</v>
      </c>
      <c r="B515">
        <v>7.1404999999999996E-2</v>
      </c>
      <c r="C515">
        <v>279</v>
      </c>
      <c r="D515" t="s">
        <v>4871</v>
      </c>
      <c r="E515">
        <v>279</v>
      </c>
      <c r="F515" s="1">
        <v>45205</v>
      </c>
      <c r="G515" s="6">
        <v>24.187500000000568</v>
      </c>
      <c r="H515" s="7">
        <v>24.187500000000568</v>
      </c>
      <c r="I515" s="26">
        <v>5.0994999999999999</v>
      </c>
      <c r="J515" s="26">
        <f t="shared" ref="J515:J578" si="24">-I515</f>
        <v>-5.0994999999999999</v>
      </c>
    </row>
    <row r="516" spans="1:10" x14ac:dyDescent="0.2">
      <c r="A516" t="s">
        <v>4872</v>
      </c>
      <c r="B516">
        <v>7.1609999999999993E-2</v>
      </c>
      <c r="C516">
        <v>279</v>
      </c>
      <c r="D516" t="s">
        <v>4872</v>
      </c>
      <c r="E516">
        <v>279</v>
      </c>
      <c r="F516" s="1">
        <v>45205</v>
      </c>
      <c r="G516" s="6">
        <v>24.197916666667236</v>
      </c>
      <c r="H516" s="7">
        <v>24.197916666667236</v>
      </c>
      <c r="I516" s="26">
        <v>5.1124999999999998</v>
      </c>
      <c r="J516" s="26">
        <f t="shared" si="24"/>
        <v>-5.1124999999999998</v>
      </c>
    </row>
    <row r="517" spans="1:10" x14ac:dyDescent="0.2">
      <c r="A517" t="s">
        <v>4873</v>
      </c>
      <c r="B517">
        <v>7.0489999999999997E-2</v>
      </c>
      <c r="C517">
        <v>279</v>
      </c>
      <c r="D517" t="s">
        <v>4873</v>
      </c>
      <c r="E517">
        <v>279</v>
      </c>
      <c r="F517" s="1">
        <v>45205</v>
      </c>
      <c r="G517" s="6">
        <v>24.208333333333904</v>
      </c>
      <c r="H517" s="7">
        <v>24.208333333333904</v>
      </c>
      <c r="I517" s="26">
        <v>5.0339999999999998</v>
      </c>
      <c r="J517" s="26">
        <f t="shared" si="24"/>
        <v>-5.0339999999999998</v>
      </c>
    </row>
    <row r="518" spans="1:10" x14ac:dyDescent="0.2">
      <c r="A518" t="s">
        <v>4874</v>
      </c>
      <c r="B518">
        <v>7.1120000000000003E-2</v>
      </c>
      <c r="C518">
        <v>279</v>
      </c>
      <c r="D518" t="s">
        <v>4874</v>
      </c>
      <c r="E518">
        <v>279</v>
      </c>
      <c r="F518" s="1">
        <v>45205</v>
      </c>
      <c r="G518" s="6">
        <v>24.218750000000572</v>
      </c>
      <c r="H518" s="7">
        <v>24.218750000000572</v>
      </c>
      <c r="I518" s="26">
        <v>5.0780000000000003</v>
      </c>
      <c r="J518" s="26">
        <f t="shared" si="24"/>
        <v>-5.0780000000000003</v>
      </c>
    </row>
    <row r="519" spans="1:10" x14ac:dyDescent="0.2">
      <c r="A519" t="s">
        <v>4875</v>
      </c>
      <c r="B519">
        <v>7.1169999999999997E-2</v>
      </c>
      <c r="C519">
        <v>279</v>
      </c>
      <c r="D519" t="s">
        <v>4875</v>
      </c>
      <c r="E519">
        <v>279</v>
      </c>
      <c r="F519" s="1">
        <v>45205</v>
      </c>
      <c r="G519" s="6">
        <v>24.22916666666724</v>
      </c>
      <c r="H519" s="7">
        <v>24.22916666666724</v>
      </c>
      <c r="I519" s="26">
        <v>5.0815000000000001</v>
      </c>
      <c r="J519" s="26">
        <f t="shared" si="24"/>
        <v>-5.0815000000000001</v>
      </c>
    </row>
    <row r="520" spans="1:10" x14ac:dyDescent="0.2">
      <c r="A520" t="s">
        <v>4876</v>
      </c>
      <c r="B520">
        <v>7.0665000000000006E-2</v>
      </c>
      <c r="C520">
        <v>279</v>
      </c>
      <c r="D520" t="s">
        <v>4876</v>
      </c>
      <c r="E520">
        <v>279</v>
      </c>
      <c r="F520" s="1">
        <v>45205</v>
      </c>
      <c r="G520" s="6">
        <v>24.239583333333908</v>
      </c>
      <c r="H520" s="7">
        <v>24.239583333333908</v>
      </c>
      <c r="I520" s="26">
        <v>5.0454999999999997</v>
      </c>
      <c r="J520" s="26">
        <f t="shared" si="24"/>
        <v>-5.0454999999999997</v>
      </c>
    </row>
    <row r="521" spans="1:10" x14ac:dyDescent="0.2">
      <c r="A521" t="s">
        <v>4877</v>
      </c>
      <c r="B521">
        <v>7.0709999999999995E-2</v>
      </c>
      <c r="C521">
        <v>279</v>
      </c>
      <c r="D521" t="s">
        <v>4877</v>
      </c>
      <c r="E521">
        <v>279</v>
      </c>
      <c r="F521" s="1">
        <v>45205</v>
      </c>
      <c r="G521" s="6">
        <v>24.250000000000576</v>
      </c>
      <c r="H521" s="7">
        <v>24.250000000000576</v>
      </c>
      <c r="I521" s="26">
        <v>5.048</v>
      </c>
      <c r="J521" s="26">
        <f t="shared" si="24"/>
        <v>-5.048</v>
      </c>
    </row>
    <row r="522" spans="1:10" x14ac:dyDescent="0.2">
      <c r="A522" t="s">
        <v>4878</v>
      </c>
      <c r="B522">
        <v>7.0035E-2</v>
      </c>
      <c r="C522">
        <v>279</v>
      </c>
      <c r="D522" t="s">
        <v>4878</v>
      </c>
      <c r="E522">
        <v>279</v>
      </c>
      <c r="F522" s="1">
        <v>45205</v>
      </c>
      <c r="G522" s="6">
        <v>24.260416666667243</v>
      </c>
      <c r="H522" s="7">
        <v>24.260416666667243</v>
      </c>
      <c r="I522" s="26">
        <v>4.9995000000000003</v>
      </c>
      <c r="J522" s="26">
        <f t="shared" si="24"/>
        <v>-4.9995000000000003</v>
      </c>
    </row>
    <row r="523" spans="1:10" x14ac:dyDescent="0.2">
      <c r="A523" t="s">
        <v>4879</v>
      </c>
      <c r="B523">
        <v>6.8845000000000003E-2</v>
      </c>
      <c r="C523">
        <v>279</v>
      </c>
      <c r="D523" t="s">
        <v>4879</v>
      </c>
      <c r="E523">
        <v>279</v>
      </c>
      <c r="F523" s="1">
        <v>45205</v>
      </c>
      <c r="G523" s="6">
        <v>24.270833333333911</v>
      </c>
      <c r="H523" s="7">
        <v>24.270833333333911</v>
      </c>
      <c r="I523" s="26">
        <v>4.915</v>
      </c>
      <c r="J523" s="26">
        <f t="shared" si="24"/>
        <v>-4.915</v>
      </c>
    </row>
    <row r="524" spans="1:10" x14ac:dyDescent="0.2">
      <c r="A524" t="s">
        <v>4880</v>
      </c>
      <c r="B524">
        <v>6.8885000000000002E-2</v>
      </c>
      <c r="C524">
        <v>279</v>
      </c>
      <c r="D524" t="s">
        <v>4880</v>
      </c>
      <c r="E524">
        <v>279</v>
      </c>
      <c r="F524" s="1">
        <v>45205</v>
      </c>
      <c r="G524" s="6">
        <v>24.281250000000579</v>
      </c>
      <c r="H524" s="7">
        <v>24.281250000000579</v>
      </c>
      <c r="I524" s="26">
        <v>4.9175000000000004</v>
      </c>
      <c r="J524" s="26">
        <f t="shared" si="24"/>
        <v>-4.9175000000000004</v>
      </c>
    </row>
    <row r="525" spans="1:10" x14ac:dyDescent="0.2">
      <c r="A525" t="s">
        <v>4881</v>
      </c>
      <c r="B525">
        <v>6.8019999999999997E-2</v>
      </c>
      <c r="C525">
        <v>279</v>
      </c>
      <c r="D525" t="s">
        <v>4881</v>
      </c>
      <c r="E525">
        <v>279</v>
      </c>
      <c r="F525" s="1">
        <v>45205</v>
      </c>
      <c r="G525" s="6">
        <v>24.291666666667247</v>
      </c>
      <c r="H525" s="7">
        <v>24.291666666667247</v>
      </c>
      <c r="I525" s="26">
        <v>4.8555000000000001</v>
      </c>
      <c r="J525" s="26">
        <f t="shared" si="24"/>
        <v>-4.8555000000000001</v>
      </c>
    </row>
    <row r="526" spans="1:10" x14ac:dyDescent="0.2">
      <c r="A526" t="s">
        <v>4882</v>
      </c>
      <c r="B526">
        <v>6.7485000000000003E-2</v>
      </c>
      <c r="C526">
        <v>279</v>
      </c>
      <c r="D526" t="s">
        <v>4882</v>
      </c>
      <c r="E526">
        <v>279</v>
      </c>
      <c r="F526" s="1">
        <v>45205</v>
      </c>
      <c r="G526" s="6">
        <v>24.302083333333915</v>
      </c>
      <c r="H526" s="7">
        <v>24.302083333333915</v>
      </c>
      <c r="I526" s="26">
        <v>4.8170000000000002</v>
      </c>
      <c r="J526" s="26">
        <f t="shared" si="24"/>
        <v>-4.8170000000000002</v>
      </c>
    </row>
    <row r="527" spans="1:10" x14ac:dyDescent="0.2">
      <c r="A527" t="s">
        <v>4883</v>
      </c>
      <c r="B527">
        <v>6.5894999999999995E-2</v>
      </c>
      <c r="C527">
        <v>279</v>
      </c>
      <c r="D527" t="s">
        <v>4883</v>
      </c>
      <c r="E527">
        <v>279</v>
      </c>
      <c r="F527" s="1">
        <v>45205</v>
      </c>
      <c r="G527" s="6">
        <v>24.312500000000583</v>
      </c>
      <c r="H527" s="7">
        <v>24.312500000000583</v>
      </c>
      <c r="I527" s="26">
        <v>4.7050000000000001</v>
      </c>
      <c r="J527" s="26">
        <f t="shared" si="24"/>
        <v>-4.7050000000000001</v>
      </c>
    </row>
    <row r="528" spans="1:10" x14ac:dyDescent="0.2">
      <c r="A528" t="s">
        <v>4884</v>
      </c>
      <c r="B528">
        <v>6.6345000000000001E-2</v>
      </c>
      <c r="C528">
        <v>279</v>
      </c>
      <c r="D528" t="s">
        <v>4884</v>
      </c>
      <c r="E528">
        <v>279</v>
      </c>
      <c r="F528" s="1">
        <v>45205</v>
      </c>
      <c r="G528" s="6">
        <v>24.32291666666725</v>
      </c>
      <c r="H528" s="7">
        <v>24.32291666666725</v>
      </c>
      <c r="I528" s="26">
        <v>4.7359999999999998</v>
      </c>
      <c r="J528" s="26">
        <f t="shared" si="24"/>
        <v>-4.7359999999999998</v>
      </c>
    </row>
    <row r="529" spans="1:10" x14ac:dyDescent="0.2">
      <c r="A529" t="s">
        <v>4885</v>
      </c>
      <c r="B529">
        <v>6.5619999999999998E-2</v>
      </c>
      <c r="C529">
        <v>279</v>
      </c>
      <c r="D529" t="s">
        <v>4885</v>
      </c>
      <c r="E529">
        <v>279</v>
      </c>
      <c r="F529" s="1">
        <v>45205</v>
      </c>
      <c r="G529" s="6">
        <v>24.333333333333918</v>
      </c>
      <c r="H529" s="7">
        <v>24.333333333333918</v>
      </c>
      <c r="I529" s="26">
        <v>4.6840000000000002</v>
      </c>
      <c r="J529" s="26">
        <f t="shared" si="24"/>
        <v>-4.6840000000000002</v>
      </c>
    </row>
    <row r="530" spans="1:10" x14ac:dyDescent="0.2">
      <c r="A530" t="s">
        <v>4886</v>
      </c>
      <c r="B530">
        <v>6.5475000000000005E-2</v>
      </c>
      <c r="C530">
        <v>279</v>
      </c>
      <c r="D530" t="s">
        <v>4886</v>
      </c>
      <c r="E530">
        <v>279</v>
      </c>
      <c r="F530" s="1">
        <v>45205</v>
      </c>
      <c r="G530" s="6">
        <v>24.343750000000586</v>
      </c>
      <c r="H530" s="7">
        <v>24.343750000000586</v>
      </c>
      <c r="I530" s="26">
        <v>4.6745000000000001</v>
      </c>
      <c r="J530" s="26">
        <f t="shared" si="24"/>
        <v>-4.6745000000000001</v>
      </c>
    </row>
    <row r="531" spans="1:10" x14ac:dyDescent="0.2">
      <c r="A531" t="s">
        <v>4887</v>
      </c>
      <c r="B531">
        <v>6.4699999999999994E-2</v>
      </c>
      <c r="C531">
        <v>279</v>
      </c>
      <c r="D531" t="s">
        <v>4887</v>
      </c>
      <c r="E531">
        <v>279</v>
      </c>
      <c r="F531" s="1">
        <v>45205</v>
      </c>
      <c r="G531" s="6">
        <v>24.354166666667254</v>
      </c>
      <c r="H531" s="7">
        <v>24.354166666667254</v>
      </c>
      <c r="I531" s="26">
        <v>4.6195000000000004</v>
      </c>
      <c r="J531" s="26">
        <f t="shared" si="24"/>
        <v>-4.6195000000000004</v>
      </c>
    </row>
    <row r="532" spans="1:10" x14ac:dyDescent="0.2">
      <c r="A532" t="s">
        <v>4888</v>
      </c>
      <c r="B532">
        <v>6.3945000000000002E-2</v>
      </c>
      <c r="C532">
        <v>279</v>
      </c>
      <c r="D532" t="s">
        <v>4888</v>
      </c>
      <c r="E532">
        <v>279</v>
      </c>
      <c r="F532" s="1">
        <v>45205</v>
      </c>
      <c r="G532" s="6">
        <v>24.364583333333922</v>
      </c>
      <c r="H532" s="7">
        <v>24.364583333333922</v>
      </c>
      <c r="I532" s="26">
        <v>4.5655000000000001</v>
      </c>
      <c r="J532" s="26">
        <f t="shared" si="24"/>
        <v>-4.5655000000000001</v>
      </c>
    </row>
    <row r="533" spans="1:10" x14ac:dyDescent="0.2">
      <c r="A533" t="s">
        <v>4889</v>
      </c>
      <c r="B533">
        <v>6.404E-2</v>
      </c>
      <c r="C533">
        <v>279</v>
      </c>
      <c r="D533" t="s">
        <v>4889</v>
      </c>
      <c r="E533">
        <v>279</v>
      </c>
      <c r="F533" s="1">
        <v>45205</v>
      </c>
      <c r="G533" s="6">
        <v>24.37500000000059</v>
      </c>
      <c r="H533" s="7">
        <v>24.37500000000059</v>
      </c>
      <c r="I533" s="26">
        <v>4.5715000000000003</v>
      </c>
      <c r="J533" s="26">
        <f t="shared" si="24"/>
        <v>-4.5715000000000003</v>
      </c>
    </row>
    <row r="534" spans="1:10" x14ac:dyDescent="0.2">
      <c r="A534" t="s">
        <v>4890</v>
      </c>
      <c r="B534">
        <v>6.3740000000000005E-2</v>
      </c>
      <c r="C534">
        <v>279</v>
      </c>
      <c r="D534" t="s">
        <v>4890</v>
      </c>
      <c r="E534">
        <v>279</v>
      </c>
      <c r="F534" s="1">
        <v>45205</v>
      </c>
      <c r="G534" s="6">
        <v>24.385416666667258</v>
      </c>
      <c r="H534" s="7">
        <v>24.385416666667258</v>
      </c>
      <c r="I534" s="26">
        <v>4.55</v>
      </c>
      <c r="J534" s="26">
        <f t="shared" si="24"/>
        <v>-4.55</v>
      </c>
    </row>
    <row r="535" spans="1:10" x14ac:dyDescent="0.2">
      <c r="A535" t="s">
        <v>4891</v>
      </c>
      <c r="B535">
        <v>6.4549999999999996E-2</v>
      </c>
      <c r="C535">
        <v>279</v>
      </c>
      <c r="D535" t="s">
        <v>4891</v>
      </c>
      <c r="E535">
        <v>279</v>
      </c>
      <c r="F535" s="1">
        <v>45205</v>
      </c>
      <c r="G535" s="6">
        <v>24.395833333333925</v>
      </c>
      <c r="H535" s="7">
        <v>24.395833333333925</v>
      </c>
      <c r="I535" s="26">
        <v>4.609</v>
      </c>
      <c r="J535" s="26">
        <f t="shared" si="24"/>
        <v>-4.609</v>
      </c>
    </row>
    <row r="536" spans="1:10" x14ac:dyDescent="0.2">
      <c r="A536" t="s">
        <v>4892</v>
      </c>
      <c r="B536">
        <v>6.4085000000000003E-2</v>
      </c>
      <c r="C536">
        <v>279</v>
      </c>
      <c r="D536" t="s">
        <v>4892</v>
      </c>
      <c r="E536">
        <v>279</v>
      </c>
      <c r="F536" s="1">
        <v>45205</v>
      </c>
      <c r="G536" s="6">
        <v>24.406250000000593</v>
      </c>
      <c r="H536" s="7">
        <v>24.406250000000593</v>
      </c>
      <c r="I536" s="26">
        <v>4.5754999999999999</v>
      </c>
      <c r="J536" s="26">
        <f t="shared" si="24"/>
        <v>-4.5754999999999999</v>
      </c>
    </row>
    <row r="537" spans="1:10" x14ac:dyDescent="0.2">
      <c r="A537" t="s">
        <v>4893</v>
      </c>
      <c r="B537">
        <v>6.4485000000000001E-2</v>
      </c>
      <c r="C537">
        <v>279</v>
      </c>
      <c r="D537" t="s">
        <v>4893</v>
      </c>
      <c r="E537">
        <v>279</v>
      </c>
      <c r="F537" s="1">
        <v>45205</v>
      </c>
      <c r="G537" s="6">
        <v>24.416666666667261</v>
      </c>
      <c r="H537" s="7">
        <v>24.416666666667261</v>
      </c>
      <c r="I537" s="26" t="s">
        <v>4894</v>
      </c>
      <c r="J537" s="26">
        <f t="shared" si="24"/>
        <v>-4.6049999999999898</v>
      </c>
    </row>
    <row r="538" spans="1:10" x14ac:dyDescent="0.2">
      <c r="A538" t="s">
        <v>4895</v>
      </c>
      <c r="B538">
        <v>6.3750000000000001E-2</v>
      </c>
      <c r="C538">
        <v>279</v>
      </c>
      <c r="D538" t="s">
        <v>4895</v>
      </c>
      <c r="E538">
        <v>279</v>
      </c>
      <c r="F538" s="1">
        <v>45205</v>
      </c>
      <c r="G538" s="6">
        <v>24.427083333333929</v>
      </c>
      <c r="H538" s="7">
        <v>24.427083333333929</v>
      </c>
      <c r="I538" s="26">
        <v>4.5519999999999996</v>
      </c>
      <c r="J538" s="26">
        <f t="shared" si="24"/>
        <v>-4.5519999999999996</v>
      </c>
    </row>
    <row r="539" spans="1:10" x14ac:dyDescent="0.2">
      <c r="A539" t="s">
        <v>4896</v>
      </c>
      <c r="B539">
        <v>6.3700000000000007E-2</v>
      </c>
      <c r="C539">
        <v>279</v>
      </c>
      <c r="D539" t="s">
        <v>4896</v>
      </c>
      <c r="E539">
        <v>279</v>
      </c>
      <c r="F539" s="1">
        <v>45205</v>
      </c>
      <c r="G539" s="6">
        <v>24.437500000000597</v>
      </c>
      <c r="H539" s="7">
        <v>24.437500000000597</v>
      </c>
      <c r="I539" s="26">
        <v>4.548</v>
      </c>
      <c r="J539" s="26">
        <f t="shared" si="24"/>
        <v>-4.548</v>
      </c>
    </row>
    <row r="540" spans="1:10" x14ac:dyDescent="0.2">
      <c r="A540" t="s">
        <v>4897</v>
      </c>
      <c r="B540">
        <v>6.3949999999999896E-2</v>
      </c>
      <c r="C540">
        <v>279</v>
      </c>
      <c r="D540" t="s">
        <v>4897</v>
      </c>
      <c r="E540">
        <v>279</v>
      </c>
      <c r="F540" s="1">
        <v>45205</v>
      </c>
      <c r="G540" s="6">
        <v>24.447916666667265</v>
      </c>
      <c r="H540" s="7">
        <v>24.447916666667265</v>
      </c>
      <c r="I540" s="26" t="s">
        <v>4898</v>
      </c>
      <c r="J540" s="26">
        <f t="shared" si="24"/>
        <v>-4.5649999999999897</v>
      </c>
    </row>
    <row r="541" spans="1:10" x14ac:dyDescent="0.2">
      <c r="A541" t="s">
        <v>4899</v>
      </c>
      <c r="B541">
        <v>6.3670000000000004E-2</v>
      </c>
      <c r="C541">
        <v>279</v>
      </c>
      <c r="D541" t="s">
        <v>4899</v>
      </c>
      <c r="E541">
        <v>279</v>
      </c>
      <c r="F541" s="1">
        <v>45205</v>
      </c>
      <c r="G541" s="6">
        <v>24.458333333333933</v>
      </c>
      <c r="H541" s="7">
        <v>24.458333333333933</v>
      </c>
      <c r="I541" s="26">
        <v>4.5460000000000003</v>
      </c>
      <c r="J541" s="26">
        <f t="shared" si="24"/>
        <v>-4.5460000000000003</v>
      </c>
    </row>
    <row r="542" spans="1:10" x14ac:dyDescent="0.2">
      <c r="A542" t="s">
        <v>4900</v>
      </c>
      <c r="B542">
        <v>6.3700000000000007E-2</v>
      </c>
      <c r="C542">
        <v>279</v>
      </c>
      <c r="D542" t="s">
        <v>4900</v>
      </c>
      <c r="E542">
        <v>279</v>
      </c>
      <c r="F542" s="1">
        <v>45205</v>
      </c>
      <c r="G542" s="6">
        <v>24.4687500000006</v>
      </c>
      <c r="H542" s="7">
        <v>24.4687500000006</v>
      </c>
      <c r="I542" s="26">
        <v>4.5469999999999997</v>
      </c>
      <c r="J542" s="26">
        <f t="shared" si="24"/>
        <v>-4.5469999999999997</v>
      </c>
    </row>
    <row r="543" spans="1:10" x14ac:dyDescent="0.2">
      <c r="A543" t="s">
        <v>4901</v>
      </c>
      <c r="B543">
        <v>6.3640000000000002E-2</v>
      </c>
      <c r="C543">
        <v>279</v>
      </c>
      <c r="D543" t="s">
        <v>4901</v>
      </c>
      <c r="E543">
        <v>279</v>
      </c>
      <c r="F543" s="1">
        <v>45205</v>
      </c>
      <c r="G543" s="6">
        <v>24.479166666667268</v>
      </c>
      <c r="H543" s="7">
        <v>24.479166666667268</v>
      </c>
      <c r="I543" s="26">
        <v>4.5430000000000001</v>
      </c>
      <c r="J543" s="26">
        <f t="shared" si="24"/>
        <v>-4.5430000000000001</v>
      </c>
    </row>
    <row r="544" spans="1:10" x14ac:dyDescent="0.2">
      <c r="A544" t="s">
        <v>4902</v>
      </c>
      <c r="B544">
        <v>6.3225000000000003E-2</v>
      </c>
      <c r="C544">
        <v>279</v>
      </c>
      <c r="D544" t="s">
        <v>4902</v>
      </c>
      <c r="E544">
        <v>279</v>
      </c>
      <c r="F544" s="1">
        <v>45205</v>
      </c>
      <c r="G544" s="6">
        <v>24.489583333333936</v>
      </c>
      <c r="H544" s="7">
        <v>24.489583333333936</v>
      </c>
      <c r="I544" s="26">
        <v>4.5129999999999999</v>
      </c>
      <c r="J544" s="26">
        <f t="shared" si="24"/>
        <v>-4.5129999999999999</v>
      </c>
    </row>
    <row r="545" spans="1:10" x14ac:dyDescent="0.2">
      <c r="A545" t="s">
        <v>4903</v>
      </c>
      <c r="B545">
        <v>6.3329999999999997E-2</v>
      </c>
      <c r="C545">
        <v>279</v>
      </c>
      <c r="D545" t="s">
        <v>4903</v>
      </c>
      <c r="E545">
        <v>279</v>
      </c>
      <c r="F545" s="1">
        <v>45205</v>
      </c>
      <c r="G545" s="6">
        <v>24.500000000000604</v>
      </c>
      <c r="H545" s="7">
        <v>24.500000000000604</v>
      </c>
      <c r="I545" s="26">
        <v>4.5214999999999996</v>
      </c>
      <c r="J545" s="26">
        <f t="shared" si="24"/>
        <v>-4.5214999999999996</v>
      </c>
    </row>
    <row r="546" spans="1:10" x14ac:dyDescent="0.2">
      <c r="A546" t="s">
        <v>4904</v>
      </c>
      <c r="B546">
        <v>6.2990000000000004E-2</v>
      </c>
      <c r="C546">
        <v>279</v>
      </c>
      <c r="D546" t="s">
        <v>4904</v>
      </c>
      <c r="E546">
        <v>279</v>
      </c>
      <c r="F546" s="1">
        <v>45205</v>
      </c>
      <c r="G546" s="6">
        <v>24.510416666667272</v>
      </c>
      <c r="H546" s="7">
        <v>24.510416666667272</v>
      </c>
      <c r="I546" s="26">
        <v>4.4980000000000002</v>
      </c>
      <c r="J546" s="26">
        <f t="shared" si="24"/>
        <v>-4.4980000000000002</v>
      </c>
    </row>
    <row r="547" spans="1:10" x14ac:dyDescent="0.2">
      <c r="A547" t="s">
        <v>4905</v>
      </c>
      <c r="B547">
        <v>6.2905000000000003E-2</v>
      </c>
      <c r="C547">
        <v>279</v>
      </c>
      <c r="D547" t="s">
        <v>4905</v>
      </c>
      <c r="E547">
        <v>279</v>
      </c>
      <c r="F547" s="1">
        <v>45205</v>
      </c>
      <c r="G547" s="6">
        <v>24.52083333333394</v>
      </c>
      <c r="H547" s="7">
        <v>24.52083333333394</v>
      </c>
      <c r="I547" s="26">
        <v>4.4930000000000003</v>
      </c>
      <c r="J547" s="26">
        <f t="shared" si="24"/>
        <v>-4.4930000000000003</v>
      </c>
    </row>
    <row r="548" spans="1:10" x14ac:dyDescent="0.2">
      <c r="A548" t="s">
        <v>4906</v>
      </c>
      <c r="B548">
        <v>6.2670000000000003E-2</v>
      </c>
      <c r="C548">
        <v>279</v>
      </c>
      <c r="D548" t="s">
        <v>4906</v>
      </c>
      <c r="E548">
        <v>279</v>
      </c>
      <c r="F548" s="1">
        <v>45205</v>
      </c>
      <c r="G548" s="6">
        <v>24.531250000000608</v>
      </c>
      <c r="H548" s="7">
        <v>24.531250000000608</v>
      </c>
      <c r="I548" s="26">
        <v>4.4749999999999996</v>
      </c>
      <c r="J548" s="26">
        <f t="shared" si="24"/>
        <v>-4.4749999999999996</v>
      </c>
    </row>
    <row r="549" spans="1:10" x14ac:dyDescent="0.2">
      <c r="A549" t="s">
        <v>4907</v>
      </c>
      <c r="B549">
        <v>6.701E-2</v>
      </c>
      <c r="C549">
        <v>279</v>
      </c>
      <c r="D549" t="s">
        <v>4907</v>
      </c>
      <c r="E549">
        <v>279</v>
      </c>
      <c r="F549" s="1">
        <v>45205</v>
      </c>
      <c r="G549" s="6">
        <v>24.541666666667275</v>
      </c>
      <c r="H549" s="7">
        <v>24.541666666667275</v>
      </c>
      <c r="I549" s="26">
        <v>4.7839999999999998</v>
      </c>
      <c r="J549" s="26">
        <f t="shared" si="24"/>
        <v>-4.7839999999999998</v>
      </c>
    </row>
    <row r="550" spans="1:10" x14ac:dyDescent="0.2">
      <c r="A550" t="s">
        <v>4908</v>
      </c>
      <c r="B550">
        <v>6.6659999999999997E-2</v>
      </c>
      <c r="C550">
        <v>279</v>
      </c>
      <c r="D550" t="s">
        <v>4908</v>
      </c>
      <c r="E550">
        <v>279</v>
      </c>
      <c r="F550" s="1">
        <v>45205</v>
      </c>
      <c r="G550" s="6">
        <v>24.552083333333943</v>
      </c>
      <c r="H550" s="7">
        <v>24.552083333333943</v>
      </c>
      <c r="I550" s="26">
        <v>4.7590000000000003</v>
      </c>
      <c r="J550" s="26">
        <f t="shared" si="24"/>
        <v>-4.7590000000000003</v>
      </c>
    </row>
    <row r="551" spans="1:10" x14ac:dyDescent="0.2">
      <c r="A551" t="s">
        <v>4909</v>
      </c>
      <c r="B551">
        <v>6.7724999999999994E-2</v>
      </c>
      <c r="C551">
        <v>279</v>
      </c>
      <c r="D551" t="s">
        <v>4909</v>
      </c>
      <c r="E551">
        <v>279</v>
      </c>
      <c r="F551" s="1">
        <v>45205</v>
      </c>
      <c r="G551" s="6">
        <v>24.562500000000611</v>
      </c>
      <c r="H551" s="7">
        <v>24.562500000000611</v>
      </c>
      <c r="I551" s="26">
        <v>4.8360000000000003</v>
      </c>
      <c r="J551" s="26">
        <f t="shared" si="24"/>
        <v>-4.8360000000000003</v>
      </c>
    </row>
    <row r="552" spans="1:10" x14ac:dyDescent="0.2">
      <c r="A552" t="s">
        <v>4910</v>
      </c>
      <c r="B552">
        <v>6.7970000000000003E-2</v>
      </c>
      <c r="C552">
        <v>279</v>
      </c>
      <c r="D552" t="s">
        <v>4910</v>
      </c>
      <c r="E552">
        <v>279</v>
      </c>
      <c r="F552" s="1">
        <v>45205</v>
      </c>
      <c r="G552" s="6">
        <v>24.572916666667279</v>
      </c>
      <c r="H552" s="7">
        <v>24.572916666667279</v>
      </c>
      <c r="I552" s="26">
        <v>4.8535000000000004</v>
      </c>
      <c r="J552" s="26">
        <f t="shared" si="24"/>
        <v>-4.8535000000000004</v>
      </c>
    </row>
    <row r="553" spans="1:10" x14ac:dyDescent="0.2">
      <c r="A553" t="s">
        <v>4911</v>
      </c>
      <c r="B553">
        <v>6.8354999999999999E-2</v>
      </c>
      <c r="C553">
        <v>279</v>
      </c>
      <c r="D553" t="s">
        <v>4911</v>
      </c>
      <c r="E553">
        <v>279</v>
      </c>
      <c r="F553" s="1">
        <v>45205</v>
      </c>
      <c r="G553" s="6">
        <v>24.583333333333947</v>
      </c>
      <c r="H553" s="7">
        <v>24.583333333333947</v>
      </c>
      <c r="I553" s="26">
        <v>4.8810000000000002</v>
      </c>
      <c r="J553" s="26">
        <f t="shared" si="24"/>
        <v>-4.8810000000000002</v>
      </c>
    </row>
    <row r="554" spans="1:10" x14ac:dyDescent="0.2">
      <c r="A554" t="s">
        <v>4912</v>
      </c>
      <c r="B554">
        <v>6.8279999999999993E-2</v>
      </c>
      <c r="C554">
        <v>279</v>
      </c>
      <c r="D554" t="s">
        <v>4912</v>
      </c>
      <c r="E554">
        <v>279</v>
      </c>
      <c r="F554" s="1">
        <v>45205</v>
      </c>
      <c r="G554" s="6">
        <v>24.593750000000615</v>
      </c>
      <c r="H554" s="7">
        <v>24.593750000000615</v>
      </c>
      <c r="I554" s="26">
        <v>4.8745000000000003</v>
      </c>
      <c r="J554" s="26">
        <f t="shared" si="24"/>
        <v>-4.8745000000000003</v>
      </c>
    </row>
    <row r="555" spans="1:10" x14ac:dyDescent="0.2">
      <c r="A555" t="s">
        <v>4913</v>
      </c>
      <c r="B555">
        <v>6.8349999999999994E-2</v>
      </c>
      <c r="C555">
        <v>280</v>
      </c>
      <c r="D555" t="s">
        <v>4913</v>
      </c>
      <c r="E555">
        <v>279</v>
      </c>
      <c r="F555" s="1">
        <v>45205</v>
      </c>
      <c r="G555" s="6">
        <v>24.604166666667282</v>
      </c>
      <c r="H555" s="7">
        <v>24.604166666667282</v>
      </c>
      <c r="I555" s="26">
        <v>4.8795000000000002</v>
      </c>
      <c r="J555" s="26">
        <f t="shared" si="24"/>
        <v>-4.8795000000000002</v>
      </c>
    </row>
    <row r="556" spans="1:10" x14ac:dyDescent="0.2">
      <c r="A556" t="s">
        <v>4914</v>
      </c>
      <c r="B556">
        <v>6.837E-2</v>
      </c>
      <c r="C556">
        <v>280</v>
      </c>
      <c r="D556" t="s">
        <v>4914</v>
      </c>
      <c r="E556">
        <v>279</v>
      </c>
      <c r="F556" s="1">
        <v>45205</v>
      </c>
      <c r="G556" s="6">
        <v>24.61458333333395</v>
      </c>
      <c r="H556" s="7">
        <v>24.61458333333395</v>
      </c>
      <c r="I556" s="26">
        <v>4.8815</v>
      </c>
      <c r="J556" s="26">
        <f t="shared" si="24"/>
        <v>-4.8815</v>
      </c>
    </row>
    <row r="557" spans="1:10" x14ac:dyDescent="0.2">
      <c r="A557" t="s">
        <v>4915</v>
      </c>
      <c r="B557">
        <v>6.8385000000000001E-2</v>
      </c>
      <c r="C557">
        <v>280</v>
      </c>
      <c r="D557" t="s">
        <v>4915</v>
      </c>
      <c r="E557">
        <v>279</v>
      </c>
      <c r="F557" s="1">
        <v>45205</v>
      </c>
      <c r="G557" s="6">
        <v>24.625000000000618</v>
      </c>
      <c r="H557" s="7">
        <v>24.625000000000618</v>
      </c>
      <c r="I557" s="26">
        <v>4.8834999999999997</v>
      </c>
      <c r="J557" s="26">
        <f t="shared" si="24"/>
        <v>-4.8834999999999997</v>
      </c>
    </row>
    <row r="558" spans="1:10" x14ac:dyDescent="0.2">
      <c r="A558" t="s">
        <v>4916</v>
      </c>
      <c r="B558">
        <v>6.8140000000000006E-2</v>
      </c>
      <c r="C558">
        <v>280</v>
      </c>
      <c r="D558" t="s">
        <v>4916</v>
      </c>
      <c r="E558">
        <v>279</v>
      </c>
      <c r="F558" s="1">
        <v>45205</v>
      </c>
      <c r="G558" s="6">
        <v>24.635416666667286</v>
      </c>
      <c r="H558" s="7">
        <v>24.635416666667286</v>
      </c>
      <c r="I558" s="26">
        <v>4.8654999999999999</v>
      </c>
      <c r="J558" s="26">
        <f t="shared" si="24"/>
        <v>-4.8654999999999999</v>
      </c>
    </row>
    <row r="559" spans="1:10" x14ac:dyDescent="0.2">
      <c r="A559" t="s">
        <v>4917</v>
      </c>
      <c r="B559">
        <v>6.8635000000000002E-2</v>
      </c>
      <c r="C559">
        <v>280</v>
      </c>
      <c r="D559" t="s">
        <v>4917</v>
      </c>
      <c r="E559">
        <v>279</v>
      </c>
      <c r="F559" s="1">
        <v>45205</v>
      </c>
      <c r="G559" s="6">
        <v>24.645833333333954</v>
      </c>
      <c r="H559" s="7">
        <v>24.645833333333954</v>
      </c>
      <c r="I559" s="26">
        <v>4.9005000000000001</v>
      </c>
      <c r="J559" s="26">
        <f t="shared" si="24"/>
        <v>-4.9005000000000001</v>
      </c>
    </row>
    <row r="560" spans="1:10" x14ac:dyDescent="0.2">
      <c r="A560" t="s">
        <v>4918</v>
      </c>
      <c r="B560">
        <v>6.8515000000000006E-2</v>
      </c>
      <c r="C560">
        <v>280</v>
      </c>
      <c r="D560" t="s">
        <v>4918</v>
      </c>
      <c r="E560">
        <v>279</v>
      </c>
      <c r="F560" s="1">
        <v>45205</v>
      </c>
      <c r="G560" s="6">
        <v>24.656250000000622</v>
      </c>
      <c r="H560" s="7">
        <v>24.656250000000622</v>
      </c>
      <c r="I560" s="26">
        <v>4.891</v>
      </c>
      <c r="J560" s="26">
        <f t="shared" si="24"/>
        <v>-4.891</v>
      </c>
    </row>
    <row r="561" spans="1:10" x14ac:dyDescent="0.2">
      <c r="A561" t="s">
        <v>4919</v>
      </c>
      <c r="B561">
        <v>6.8415000000000004E-2</v>
      </c>
      <c r="C561">
        <v>280</v>
      </c>
      <c r="D561" t="s">
        <v>4919</v>
      </c>
      <c r="E561">
        <v>279</v>
      </c>
      <c r="F561" s="1">
        <v>45205</v>
      </c>
      <c r="G561" s="6">
        <v>24.66666666666729</v>
      </c>
      <c r="H561" s="7">
        <v>24.66666666666729</v>
      </c>
      <c r="I561" s="26">
        <v>4.8845000000000001</v>
      </c>
      <c r="J561" s="26">
        <f t="shared" si="24"/>
        <v>-4.8845000000000001</v>
      </c>
    </row>
    <row r="562" spans="1:10" x14ac:dyDescent="0.2">
      <c r="A562" t="s">
        <v>4920</v>
      </c>
      <c r="B562">
        <v>6.9010000000000002E-2</v>
      </c>
      <c r="C562">
        <v>280</v>
      </c>
      <c r="D562" t="s">
        <v>4920</v>
      </c>
      <c r="E562">
        <v>279</v>
      </c>
      <c r="F562" s="1">
        <v>45205</v>
      </c>
      <c r="G562" s="6">
        <v>24.677083333333957</v>
      </c>
      <c r="H562" s="7">
        <v>24.677083333333957</v>
      </c>
      <c r="I562" s="26">
        <v>4.9264999999999999</v>
      </c>
      <c r="J562" s="26">
        <f t="shared" si="24"/>
        <v>-4.9264999999999999</v>
      </c>
    </row>
    <row r="563" spans="1:10" x14ac:dyDescent="0.2">
      <c r="A563" t="s">
        <v>4921</v>
      </c>
      <c r="B563">
        <v>6.9319999999999896E-2</v>
      </c>
      <c r="C563">
        <v>280</v>
      </c>
      <c r="D563" t="s">
        <v>4921</v>
      </c>
      <c r="E563">
        <v>279</v>
      </c>
      <c r="F563" s="1">
        <v>45205</v>
      </c>
      <c r="G563" s="6">
        <v>24.687500000000625</v>
      </c>
      <c r="H563" s="7">
        <v>24.687500000000625</v>
      </c>
      <c r="I563" s="26">
        <v>4.9489999999999998</v>
      </c>
      <c r="J563" s="26">
        <f t="shared" si="24"/>
        <v>-4.9489999999999998</v>
      </c>
    </row>
    <row r="564" spans="1:10" x14ac:dyDescent="0.2">
      <c r="A564" t="s">
        <v>4922</v>
      </c>
      <c r="B564">
        <v>6.9514999999999993E-2</v>
      </c>
      <c r="C564">
        <v>280</v>
      </c>
      <c r="D564" t="s">
        <v>4922</v>
      </c>
      <c r="E564">
        <v>279</v>
      </c>
      <c r="F564" s="1">
        <v>45205</v>
      </c>
      <c r="G564" s="6">
        <v>24.697916666667293</v>
      </c>
      <c r="H564" s="7">
        <v>24.697916666667293</v>
      </c>
      <c r="I564" s="26">
        <v>4.9625000000000004</v>
      </c>
      <c r="J564" s="26">
        <f t="shared" si="24"/>
        <v>-4.9625000000000004</v>
      </c>
    </row>
    <row r="565" spans="1:10" x14ac:dyDescent="0.2">
      <c r="A565" t="s">
        <v>4923</v>
      </c>
      <c r="B565">
        <v>6.9964999999999999E-2</v>
      </c>
      <c r="C565">
        <v>280</v>
      </c>
      <c r="D565" t="s">
        <v>4923</v>
      </c>
      <c r="E565">
        <v>279</v>
      </c>
      <c r="F565" s="1">
        <v>45205</v>
      </c>
      <c r="G565" s="6">
        <v>24.708333333333961</v>
      </c>
      <c r="H565" s="7">
        <v>24.708333333333961</v>
      </c>
      <c r="I565" s="26">
        <v>4.9945000000000004</v>
      </c>
      <c r="J565" s="26">
        <f t="shared" si="24"/>
        <v>-4.9945000000000004</v>
      </c>
    </row>
    <row r="566" spans="1:10" x14ac:dyDescent="0.2">
      <c r="A566" t="s">
        <v>4924</v>
      </c>
      <c r="B566">
        <v>7.0540000000000005E-2</v>
      </c>
      <c r="C566">
        <v>280</v>
      </c>
      <c r="D566" t="s">
        <v>4924</v>
      </c>
      <c r="E566">
        <v>279</v>
      </c>
      <c r="F566" s="1">
        <v>45205</v>
      </c>
      <c r="G566" s="6">
        <v>24.718750000000629</v>
      </c>
      <c r="H566" s="7">
        <v>24.718750000000629</v>
      </c>
      <c r="I566" s="26">
        <v>5.0359999999999996</v>
      </c>
      <c r="J566" s="26">
        <f t="shared" si="24"/>
        <v>-5.0359999999999996</v>
      </c>
    </row>
    <row r="567" spans="1:10" x14ac:dyDescent="0.2">
      <c r="A567" t="s">
        <v>4925</v>
      </c>
      <c r="B567">
        <v>7.0989999999999998E-2</v>
      </c>
      <c r="C567">
        <v>280</v>
      </c>
      <c r="D567" t="s">
        <v>4925</v>
      </c>
      <c r="E567">
        <v>279</v>
      </c>
      <c r="F567" s="1">
        <v>45205</v>
      </c>
      <c r="G567" s="6">
        <v>24.729166666667297</v>
      </c>
      <c r="H567" s="7">
        <v>24.729166666667297</v>
      </c>
      <c r="I567" s="26">
        <v>5.069</v>
      </c>
      <c r="J567" s="26">
        <f t="shared" si="24"/>
        <v>-5.069</v>
      </c>
    </row>
    <row r="568" spans="1:10" x14ac:dyDescent="0.2">
      <c r="A568" t="s">
        <v>4926</v>
      </c>
      <c r="B568">
        <v>7.1734999999999993E-2</v>
      </c>
      <c r="C568">
        <v>280</v>
      </c>
      <c r="D568" t="s">
        <v>4926</v>
      </c>
      <c r="E568">
        <v>279</v>
      </c>
      <c r="F568" s="1">
        <v>45205</v>
      </c>
      <c r="G568" s="6">
        <v>24.739583333333965</v>
      </c>
      <c r="H568" s="7">
        <v>24.739583333333965</v>
      </c>
      <c r="I568" s="26">
        <v>5.1215000000000002</v>
      </c>
      <c r="J568" s="26">
        <f t="shared" si="24"/>
        <v>-5.1215000000000002</v>
      </c>
    </row>
    <row r="569" spans="1:10" x14ac:dyDescent="0.2">
      <c r="A569" t="s">
        <v>4927</v>
      </c>
      <c r="B569">
        <v>7.2904999999999998E-2</v>
      </c>
      <c r="C569">
        <v>280</v>
      </c>
      <c r="D569" t="s">
        <v>4927</v>
      </c>
      <c r="E569">
        <v>279</v>
      </c>
      <c r="F569" s="1">
        <v>45205</v>
      </c>
      <c r="G569" s="6">
        <v>24.750000000000632</v>
      </c>
      <c r="H569" s="7">
        <v>24.750000000000632</v>
      </c>
      <c r="I569" s="26">
        <v>5.2060000000000004</v>
      </c>
      <c r="J569" s="26">
        <f t="shared" si="24"/>
        <v>-5.2060000000000004</v>
      </c>
    </row>
    <row r="570" spans="1:10" x14ac:dyDescent="0.2">
      <c r="A570" t="s">
        <v>4928</v>
      </c>
      <c r="B570">
        <v>7.3249999999999996E-2</v>
      </c>
      <c r="C570">
        <v>280</v>
      </c>
      <c r="D570" t="s">
        <v>4928</v>
      </c>
      <c r="E570">
        <v>279</v>
      </c>
      <c r="F570" s="1">
        <v>45205</v>
      </c>
      <c r="G570" s="6">
        <v>24.7604166666673</v>
      </c>
      <c r="H570" s="7">
        <v>24.7604166666673</v>
      </c>
      <c r="I570" s="26">
        <v>5.23</v>
      </c>
      <c r="J570" s="26">
        <f t="shared" si="24"/>
        <v>-5.23</v>
      </c>
    </row>
    <row r="571" spans="1:10" x14ac:dyDescent="0.2">
      <c r="A571" t="s">
        <v>4929</v>
      </c>
      <c r="B571">
        <v>7.3605000000000004E-2</v>
      </c>
      <c r="C571">
        <v>280</v>
      </c>
      <c r="D571" t="s">
        <v>4929</v>
      </c>
      <c r="E571">
        <v>279</v>
      </c>
      <c r="F571" s="1">
        <v>45205</v>
      </c>
      <c r="G571" s="6">
        <v>24.770833333333968</v>
      </c>
      <c r="H571" s="7">
        <v>24.770833333333968</v>
      </c>
      <c r="I571" s="26">
        <v>5.2549999999999999</v>
      </c>
      <c r="J571" s="26">
        <f t="shared" si="24"/>
        <v>-5.2549999999999999</v>
      </c>
    </row>
    <row r="572" spans="1:10" x14ac:dyDescent="0.2">
      <c r="A572" t="s">
        <v>4930</v>
      </c>
      <c r="B572">
        <v>7.4344999999999994E-2</v>
      </c>
      <c r="C572">
        <v>280</v>
      </c>
      <c r="D572" t="s">
        <v>4930</v>
      </c>
      <c r="E572">
        <v>279</v>
      </c>
      <c r="F572" s="1">
        <v>45205</v>
      </c>
      <c r="G572" s="6">
        <v>24.781250000000636</v>
      </c>
      <c r="H572" s="7">
        <v>24.781250000000636</v>
      </c>
      <c r="I572" s="26">
        <v>5.306</v>
      </c>
      <c r="J572" s="26">
        <f t="shared" si="24"/>
        <v>-5.306</v>
      </c>
    </row>
    <row r="573" spans="1:10" x14ac:dyDescent="0.2">
      <c r="A573" t="s">
        <v>4931</v>
      </c>
      <c r="B573">
        <v>7.4344999999999994E-2</v>
      </c>
      <c r="C573">
        <v>280</v>
      </c>
      <c r="D573" t="s">
        <v>4931</v>
      </c>
      <c r="E573">
        <v>279</v>
      </c>
      <c r="F573" s="1">
        <v>45205</v>
      </c>
      <c r="G573" s="6">
        <v>24.791666666667304</v>
      </c>
      <c r="H573" s="7">
        <v>24.791666666667304</v>
      </c>
      <c r="I573" s="26">
        <v>5.3070000000000004</v>
      </c>
      <c r="J573" s="26">
        <f t="shared" si="24"/>
        <v>-5.3070000000000004</v>
      </c>
    </row>
    <row r="574" spans="1:10" x14ac:dyDescent="0.2">
      <c r="A574" t="s">
        <v>4932</v>
      </c>
      <c r="B574">
        <v>7.4740000000000001E-2</v>
      </c>
      <c r="C574">
        <v>280</v>
      </c>
      <c r="D574" t="s">
        <v>4932</v>
      </c>
      <c r="E574">
        <v>279</v>
      </c>
      <c r="F574" s="1">
        <v>45205</v>
      </c>
      <c r="G574" s="6">
        <v>24.802083333333972</v>
      </c>
      <c r="H574" s="7">
        <v>24.802083333333972</v>
      </c>
      <c r="I574" s="26">
        <v>5.3334999999999999</v>
      </c>
      <c r="J574" s="26">
        <f t="shared" si="24"/>
        <v>-5.3334999999999999</v>
      </c>
    </row>
    <row r="575" spans="1:10" x14ac:dyDescent="0.2">
      <c r="A575" t="s">
        <v>4933</v>
      </c>
      <c r="B575">
        <v>7.4715000000000004E-2</v>
      </c>
      <c r="C575">
        <v>280</v>
      </c>
      <c r="D575" t="s">
        <v>4933</v>
      </c>
      <c r="E575">
        <v>279</v>
      </c>
      <c r="F575" s="1">
        <v>45205</v>
      </c>
      <c r="G575" s="6">
        <v>24.812500000000639</v>
      </c>
      <c r="H575" s="7">
        <v>24.812500000000639</v>
      </c>
      <c r="I575" s="26">
        <v>5.3345000000000002</v>
      </c>
      <c r="J575" s="26">
        <f t="shared" si="24"/>
        <v>-5.3345000000000002</v>
      </c>
    </row>
    <row r="576" spans="1:10" x14ac:dyDescent="0.2">
      <c r="A576" t="s">
        <v>4934</v>
      </c>
      <c r="B576">
        <v>7.4880000000000002E-2</v>
      </c>
      <c r="C576">
        <v>280</v>
      </c>
      <c r="D576" t="s">
        <v>4934</v>
      </c>
      <c r="E576">
        <v>279</v>
      </c>
      <c r="F576" s="1">
        <v>45205</v>
      </c>
      <c r="G576" s="6">
        <v>24.822916666667307</v>
      </c>
      <c r="H576" s="7">
        <v>24.822916666667307</v>
      </c>
      <c r="I576" s="26">
        <v>5.3470000000000004</v>
      </c>
      <c r="J576" s="26">
        <f t="shared" si="24"/>
        <v>-5.3470000000000004</v>
      </c>
    </row>
    <row r="577" spans="1:10" x14ac:dyDescent="0.2">
      <c r="A577" t="s">
        <v>4935</v>
      </c>
      <c r="B577">
        <v>7.5450000000000003E-2</v>
      </c>
      <c r="C577">
        <v>280</v>
      </c>
      <c r="D577" t="s">
        <v>4935</v>
      </c>
      <c r="E577">
        <v>279</v>
      </c>
      <c r="F577" s="1">
        <v>45205</v>
      </c>
      <c r="G577" s="6">
        <v>24.833333333333975</v>
      </c>
      <c r="H577" s="7">
        <v>24.833333333333975</v>
      </c>
      <c r="I577" s="26">
        <v>5.3864999999999998</v>
      </c>
      <c r="J577" s="26">
        <f t="shared" si="24"/>
        <v>-5.3864999999999998</v>
      </c>
    </row>
    <row r="578" spans="1:10" x14ac:dyDescent="0.2">
      <c r="A578" t="s">
        <v>4936</v>
      </c>
      <c r="B578">
        <v>7.5579999999999994E-2</v>
      </c>
      <c r="C578">
        <v>280</v>
      </c>
      <c r="D578" t="s">
        <v>4936</v>
      </c>
      <c r="E578">
        <v>279</v>
      </c>
      <c r="F578" s="1">
        <v>45205</v>
      </c>
      <c r="G578" s="6">
        <v>24.843750000000643</v>
      </c>
      <c r="H578" s="7">
        <v>24.843750000000643</v>
      </c>
      <c r="I578" s="26">
        <v>5.3970000000000002</v>
      </c>
      <c r="J578" s="26">
        <f t="shared" si="24"/>
        <v>-5.3970000000000002</v>
      </c>
    </row>
    <row r="579" spans="1:10" x14ac:dyDescent="0.2">
      <c r="A579" t="s">
        <v>4937</v>
      </c>
      <c r="B579">
        <v>7.5810000000000002E-2</v>
      </c>
      <c r="C579">
        <v>280</v>
      </c>
      <c r="D579" t="s">
        <v>4937</v>
      </c>
      <c r="E579">
        <v>280</v>
      </c>
      <c r="F579" s="1">
        <v>45206</v>
      </c>
      <c r="G579" s="6">
        <v>24.854166666667311</v>
      </c>
      <c r="H579" s="7">
        <v>24.854166666667311</v>
      </c>
      <c r="I579" s="26">
        <v>5.4124999999999996</v>
      </c>
      <c r="J579" s="26">
        <f t="shared" ref="J579:J642" si="25">-I579</f>
        <v>-5.4124999999999996</v>
      </c>
    </row>
    <row r="580" spans="1:10" x14ac:dyDescent="0.2">
      <c r="A580" t="s">
        <v>4938</v>
      </c>
      <c r="B580">
        <v>7.5969999999999996E-2</v>
      </c>
      <c r="C580">
        <v>280</v>
      </c>
      <c r="D580" t="s">
        <v>4938</v>
      </c>
      <c r="E580">
        <v>280</v>
      </c>
      <c r="F580" s="1">
        <v>45206</v>
      </c>
      <c r="G580" s="6">
        <v>24.864583333333979</v>
      </c>
      <c r="H580" s="7">
        <v>24.864583333333979</v>
      </c>
      <c r="I580" s="26">
        <v>5.423</v>
      </c>
      <c r="J580" s="26">
        <f t="shared" si="25"/>
        <v>-5.423</v>
      </c>
    </row>
    <row r="581" spans="1:10" x14ac:dyDescent="0.2">
      <c r="A581" t="s">
        <v>4939</v>
      </c>
      <c r="B581">
        <v>7.6859999999999998E-2</v>
      </c>
      <c r="C581">
        <v>280</v>
      </c>
      <c r="D581" t="s">
        <v>4939</v>
      </c>
      <c r="E581">
        <v>280</v>
      </c>
      <c r="F581" s="1">
        <v>45206</v>
      </c>
      <c r="G581" s="6">
        <v>24.875000000000647</v>
      </c>
      <c r="H581" s="7">
        <v>24.875000000000647</v>
      </c>
      <c r="I581" s="26" t="s">
        <v>4940</v>
      </c>
      <c r="J581" s="26">
        <f t="shared" si="25"/>
        <v>-5.4864999999999897</v>
      </c>
    </row>
    <row r="582" spans="1:10" x14ac:dyDescent="0.2">
      <c r="A582" t="s">
        <v>4941</v>
      </c>
      <c r="B582">
        <v>7.7039999999999997E-2</v>
      </c>
      <c r="C582">
        <v>280</v>
      </c>
      <c r="D582" t="s">
        <v>4941</v>
      </c>
      <c r="E582">
        <v>280</v>
      </c>
      <c r="F582" s="1">
        <v>45206</v>
      </c>
      <c r="G582" s="6">
        <v>24.885416666667314</v>
      </c>
      <c r="H582" s="7">
        <v>24.885416666667314</v>
      </c>
      <c r="I582" s="26">
        <v>5.5010000000000003</v>
      </c>
      <c r="J582" s="26">
        <f t="shared" si="25"/>
        <v>-5.5010000000000003</v>
      </c>
    </row>
    <row r="583" spans="1:10" x14ac:dyDescent="0.2">
      <c r="A583" t="s">
        <v>4942</v>
      </c>
      <c r="B583">
        <v>7.6615000000000003E-2</v>
      </c>
      <c r="C583">
        <v>280</v>
      </c>
      <c r="D583" t="s">
        <v>4942</v>
      </c>
      <c r="E583">
        <v>280</v>
      </c>
      <c r="F583" s="1">
        <v>45206</v>
      </c>
      <c r="G583" s="6">
        <v>24.895833333333982</v>
      </c>
      <c r="H583" s="7">
        <v>24.895833333333982</v>
      </c>
      <c r="I583" s="26">
        <v>5.47</v>
      </c>
      <c r="J583" s="26">
        <f t="shared" si="25"/>
        <v>-5.47</v>
      </c>
    </row>
    <row r="584" spans="1:10" x14ac:dyDescent="0.2">
      <c r="A584" t="s">
        <v>4943</v>
      </c>
      <c r="B584">
        <v>7.6835000000000001E-2</v>
      </c>
      <c r="C584">
        <v>280</v>
      </c>
      <c r="D584" t="s">
        <v>4943</v>
      </c>
      <c r="E584">
        <v>280</v>
      </c>
      <c r="F584" s="1">
        <v>45206</v>
      </c>
      <c r="G584" s="6">
        <v>24.90625000000065</v>
      </c>
      <c r="H584" s="7">
        <v>24.90625000000065</v>
      </c>
      <c r="I584" s="26">
        <v>5.4859999999999998</v>
      </c>
      <c r="J584" s="26">
        <f t="shared" si="25"/>
        <v>-5.4859999999999998</v>
      </c>
    </row>
    <row r="585" spans="1:10" x14ac:dyDescent="0.2">
      <c r="A585" t="s">
        <v>4944</v>
      </c>
      <c r="B585">
        <v>7.6475000000000001E-2</v>
      </c>
      <c r="C585">
        <v>280</v>
      </c>
      <c r="D585" t="s">
        <v>4944</v>
      </c>
      <c r="E585">
        <v>280</v>
      </c>
      <c r="F585" s="1">
        <v>45206</v>
      </c>
      <c r="G585" s="6">
        <v>24.916666666667318</v>
      </c>
      <c r="H585" s="7">
        <v>24.916666666667318</v>
      </c>
      <c r="I585" s="26">
        <v>5.4619999999999997</v>
      </c>
      <c r="J585" s="26">
        <f t="shared" si="25"/>
        <v>-5.4619999999999997</v>
      </c>
    </row>
    <row r="586" spans="1:10" x14ac:dyDescent="0.2">
      <c r="A586" t="s">
        <v>4945</v>
      </c>
      <c r="B586">
        <v>7.6670000000000002E-2</v>
      </c>
      <c r="C586">
        <v>280</v>
      </c>
      <c r="D586" t="s">
        <v>4945</v>
      </c>
      <c r="E586">
        <v>280</v>
      </c>
      <c r="F586" s="1">
        <v>45206</v>
      </c>
      <c r="G586" s="6">
        <v>24.927083333333986</v>
      </c>
      <c r="H586" s="7">
        <v>24.927083333333986</v>
      </c>
      <c r="I586" s="26">
        <v>5.4740000000000002</v>
      </c>
      <c r="J586" s="26">
        <f t="shared" si="25"/>
        <v>-5.4740000000000002</v>
      </c>
    </row>
    <row r="587" spans="1:10" x14ac:dyDescent="0.2">
      <c r="A587" t="s">
        <v>4946</v>
      </c>
      <c r="B587">
        <v>7.6649999999999996E-2</v>
      </c>
      <c r="C587">
        <v>280</v>
      </c>
      <c r="D587" t="s">
        <v>4946</v>
      </c>
      <c r="E587">
        <v>280</v>
      </c>
      <c r="F587" s="1">
        <v>45206</v>
      </c>
      <c r="G587" s="6">
        <v>24.937500000000654</v>
      </c>
      <c r="H587" s="7">
        <v>24.937500000000654</v>
      </c>
      <c r="I587" s="26">
        <v>5.4725000000000001</v>
      </c>
      <c r="J587" s="26">
        <f t="shared" si="25"/>
        <v>-5.4725000000000001</v>
      </c>
    </row>
    <row r="588" spans="1:10" x14ac:dyDescent="0.2">
      <c r="A588" t="s">
        <v>4947</v>
      </c>
      <c r="B588">
        <v>7.6765E-2</v>
      </c>
      <c r="C588">
        <v>280</v>
      </c>
      <c r="D588" t="s">
        <v>4947</v>
      </c>
      <c r="E588">
        <v>280</v>
      </c>
      <c r="F588" s="1">
        <v>45206</v>
      </c>
      <c r="G588" s="6">
        <v>24.947916666667322</v>
      </c>
      <c r="H588" s="7">
        <v>24.947916666667322</v>
      </c>
      <c r="I588" s="26">
        <v>5.4785000000000004</v>
      </c>
      <c r="J588" s="26">
        <f t="shared" si="25"/>
        <v>-5.4785000000000004</v>
      </c>
    </row>
    <row r="589" spans="1:10" x14ac:dyDescent="0.2">
      <c r="A589" t="s">
        <v>4948</v>
      </c>
      <c r="B589">
        <v>7.7265E-2</v>
      </c>
      <c r="C589">
        <v>280</v>
      </c>
      <c r="D589" t="s">
        <v>4948</v>
      </c>
      <c r="E589">
        <v>280</v>
      </c>
      <c r="F589" s="1">
        <v>45206</v>
      </c>
      <c r="G589" s="6">
        <v>24.958333333333989</v>
      </c>
      <c r="H589" s="7">
        <v>24.958333333333989</v>
      </c>
      <c r="I589" s="26">
        <v>5.5155000000000003</v>
      </c>
      <c r="J589" s="26">
        <f t="shared" si="25"/>
        <v>-5.5155000000000003</v>
      </c>
    </row>
    <row r="590" spans="1:10" x14ac:dyDescent="0.2">
      <c r="A590" t="s">
        <v>4949</v>
      </c>
      <c r="B590">
        <v>7.7060000000000003E-2</v>
      </c>
      <c r="C590">
        <v>280</v>
      </c>
      <c r="D590" t="s">
        <v>4949</v>
      </c>
      <c r="E590">
        <v>280</v>
      </c>
      <c r="F590" s="1">
        <v>45206</v>
      </c>
      <c r="G590" s="6">
        <v>24.968750000000657</v>
      </c>
      <c r="H590" s="7">
        <v>24.968750000000657</v>
      </c>
      <c r="I590" s="26">
        <v>5.5025000000000004</v>
      </c>
      <c r="J590" s="26">
        <f t="shared" si="25"/>
        <v>-5.5025000000000004</v>
      </c>
    </row>
    <row r="591" spans="1:10" x14ac:dyDescent="0.2">
      <c r="A591" t="s">
        <v>4950</v>
      </c>
      <c r="B591">
        <v>7.6329999999999995E-2</v>
      </c>
      <c r="C591">
        <v>280</v>
      </c>
      <c r="D591" t="s">
        <v>4950</v>
      </c>
      <c r="E591">
        <v>280</v>
      </c>
      <c r="F591" s="1">
        <v>45206</v>
      </c>
      <c r="G591" s="6">
        <v>24.979166666667325</v>
      </c>
      <c r="H591" s="7">
        <v>24.979166666667325</v>
      </c>
      <c r="I591" s="26" t="s">
        <v>4951</v>
      </c>
      <c r="J591" s="26">
        <f t="shared" si="25"/>
        <v>-5.4494999999999996</v>
      </c>
    </row>
    <row r="592" spans="1:10" x14ac:dyDescent="0.2">
      <c r="A592" t="s">
        <v>4952</v>
      </c>
      <c r="B592">
        <v>7.5999999999999998E-2</v>
      </c>
      <c r="C592">
        <v>280</v>
      </c>
      <c r="D592" t="s">
        <v>4952</v>
      </c>
      <c r="E592">
        <v>280</v>
      </c>
      <c r="F592" s="1">
        <v>45206</v>
      </c>
      <c r="G592" s="6">
        <v>24.989583333333993</v>
      </c>
      <c r="H592" s="7">
        <v>24.989583333333993</v>
      </c>
      <c r="I592" s="26">
        <v>5.4260000000000002</v>
      </c>
      <c r="J592" s="26">
        <f t="shared" si="25"/>
        <v>-5.4260000000000002</v>
      </c>
    </row>
    <row r="593" spans="1:10" x14ac:dyDescent="0.2">
      <c r="A593" t="s">
        <v>4953</v>
      </c>
      <c r="B593">
        <v>7.6689999999999994E-2</v>
      </c>
      <c r="C593">
        <v>280</v>
      </c>
      <c r="D593" t="s">
        <v>4953</v>
      </c>
      <c r="E593">
        <v>280</v>
      </c>
      <c r="F593" s="1">
        <v>45206</v>
      </c>
      <c r="G593" s="6">
        <v>25.000000000000661</v>
      </c>
      <c r="H593" s="7">
        <v>25.000000000000661</v>
      </c>
      <c r="I593" s="26">
        <v>5.476</v>
      </c>
      <c r="J593" s="26">
        <f t="shared" si="25"/>
        <v>-5.476</v>
      </c>
    </row>
    <row r="594" spans="1:10" x14ac:dyDescent="0.2">
      <c r="A594" t="s">
        <v>4954</v>
      </c>
      <c r="B594">
        <v>7.5874999999999998E-2</v>
      </c>
      <c r="C594">
        <v>280</v>
      </c>
      <c r="D594" t="s">
        <v>4954</v>
      </c>
      <c r="E594">
        <v>280</v>
      </c>
      <c r="F594" s="1">
        <v>45206</v>
      </c>
      <c r="G594" s="6">
        <v>25.010416666667329</v>
      </c>
      <c r="H594" s="7">
        <v>25.010416666667329</v>
      </c>
      <c r="I594" s="26" t="s">
        <v>4955</v>
      </c>
      <c r="J594" s="26">
        <f t="shared" si="25"/>
        <v>-5.4174999999999898</v>
      </c>
    </row>
    <row r="595" spans="1:10" x14ac:dyDescent="0.2">
      <c r="A595" t="s">
        <v>4956</v>
      </c>
      <c r="B595">
        <v>7.6484999999999997E-2</v>
      </c>
      <c r="C595">
        <v>280</v>
      </c>
      <c r="D595" t="s">
        <v>4956</v>
      </c>
      <c r="E595">
        <v>280</v>
      </c>
      <c r="F595" s="1">
        <v>45206</v>
      </c>
      <c r="G595" s="6">
        <v>25.020833333333997</v>
      </c>
      <c r="H595" s="7">
        <v>25.020833333333997</v>
      </c>
      <c r="I595" s="26">
        <v>5.46</v>
      </c>
      <c r="J595" s="26">
        <f t="shared" si="25"/>
        <v>-5.46</v>
      </c>
    </row>
    <row r="596" spans="1:10" x14ac:dyDescent="0.2">
      <c r="A596" t="s">
        <v>4957</v>
      </c>
      <c r="B596">
        <v>7.5734999999999997E-2</v>
      </c>
      <c r="C596">
        <v>280</v>
      </c>
      <c r="D596" t="s">
        <v>4957</v>
      </c>
      <c r="E596">
        <v>280</v>
      </c>
      <c r="F596" s="1">
        <v>45206</v>
      </c>
      <c r="G596" s="6">
        <v>25.031250000000664</v>
      </c>
      <c r="H596" s="7">
        <v>25.031250000000664</v>
      </c>
      <c r="I596" s="26">
        <v>5.4080000000000004</v>
      </c>
      <c r="J596" s="26">
        <f t="shared" si="25"/>
        <v>-5.4080000000000004</v>
      </c>
    </row>
    <row r="597" spans="1:10" x14ac:dyDescent="0.2">
      <c r="A597" t="s">
        <v>4958</v>
      </c>
      <c r="B597">
        <v>7.5965000000000005E-2</v>
      </c>
      <c r="C597">
        <v>280</v>
      </c>
      <c r="D597" t="s">
        <v>4958</v>
      </c>
      <c r="E597">
        <v>280</v>
      </c>
      <c r="F597" s="1">
        <v>45206</v>
      </c>
      <c r="G597" s="6">
        <v>25.041666666667332</v>
      </c>
      <c r="H597" s="7">
        <v>25.041666666667332</v>
      </c>
      <c r="I597" s="26">
        <v>5.4240000000000004</v>
      </c>
      <c r="J597" s="26">
        <f t="shared" si="25"/>
        <v>-5.4240000000000004</v>
      </c>
    </row>
    <row r="598" spans="1:10" x14ac:dyDescent="0.2">
      <c r="A598" t="s">
        <v>4959</v>
      </c>
      <c r="B598">
        <v>7.6200000000000004E-2</v>
      </c>
      <c r="C598">
        <v>280</v>
      </c>
      <c r="D598" t="s">
        <v>4959</v>
      </c>
      <c r="E598">
        <v>280</v>
      </c>
      <c r="F598" s="1">
        <v>45206</v>
      </c>
      <c r="G598" s="6">
        <v>25.052083333334</v>
      </c>
      <c r="H598" s="7">
        <v>25.052083333334</v>
      </c>
      <c r="I598" s="26">
        <v>5.4379999999999997</v>
      </c>
      <c r="J598" s="26">
        <f t="shared" si="25"/>
        <v>-5.4379999999999997</v>
      </c>
    </row>
    <row r="599" spans="1:10" x14ac:dyDescent="0.2">
      <c r="A599" t="s">
        <v>4960</v>
      </c>
      <c r="B599">
        <v>7.5994999999999993E-2</v>
      </c>
      <c r="C599">
        <v>280</v>
      </c>
      <c r="D599" t="s">
        <v>4960</v>
      </c>
      <c r="E599">
        <v>280</v>
      </c>
      <c r="F599" s="1">
        <v>45206</v>
      </c>
      <c r="G599" s="6">
        <v>25.062500000000668</v>
      </c>
      <c r="H599" s="7">
        <v>25.062500000000668</v>
      </c>
      <c r="I599" s="26">
        <v>5.4260000000000002</v>
      </c>
      <c r="J599" s="26">
        <f t="shared" si="25"/>
        <v>-5.4260000000000002</v>
      </c>
    </row>
    <row r="600" spans="1:10" x14ac:dyDescent="0.2">
      <c r="A600" t="s">
        <v>4961</v>
      </c>
      <c r="B600">
        <v>7.5164999999999996E-2</v>
      </c>
      <c r="C600">
        <v>280</v>
      </c>
      <c r="D600" t="s">
        <v>4961</v>
      </c>
      <c r="E600">
        <v>280</v>
      </c>
      <c r="F600" s="1">
        <v>45206</v>
      </c>
      <c r="G600" s="6">
        <v>25.072916666667336</v>
      </c>
      <c r="H600" s="7">
        <v>25.072916666667336</v>
      </c>
      <c r="I600" s="26">
        <v>5.367</v>
      </c>
      <c r="J600" s="26">
        <f t="shared" si="25"/>
        <v>-5.367</v>
      </c>
    </row>
    <row r="601" spans="1:10" x14ac:dyDescent="0.2">
      <c r="A601" t="s">
        <v>4962</v>
      </c>
      <c r="B601">
        <v>7.5560000000000002E-2</v>
      </c>
      <c r="C601">
        <v>280</v>
      </c>
      <c r="D601" t="s">
        <v>4962</v>
      </c>
      <c r="E601">
        <v>280</v>
      </c>
      <c r="F601" s="1">
        <v>45206</v>
      </c>
      <c r="G601" s="6">
        <v>25.083333333334004</v>
      </c>
      <c r="H601" s="7">
        <v>25.083333333334004</v>
      </c>
      <c r="I601" s="26">
        <v>5.3949999999999996</v>
      </c>
      <c r="J601" s="26">
        <f t="shared" si="25"/>
        <v>-5.3949999999999996</v>
      </c>
    </row>
    <row r="602" spans="1:10" x14ac:dyDescent="0.2">
      <c r="A602" t="s">
        <v>4963</v>
      </c>
      <c r="B602">
        <v>7.5624999999999998E-2</v>
      </c>
      <c r="C602">
        <v>280</v>
      </c>
      <c r="D602" t="s">
        <v>4963</v>
      </c>
      <c r="E602">
        <v>280</v>
      </c>
      <c r="F602" s="1">
        <v>45206</v>
      </c>
      <c r="G602" s="6">
        <v>25.093750000000671</v>
      </c>
      <c r="H602" s="7">
        <v>25.093750000000671</v>
      </c>
      <c r="I602" s="26">
        <v>5.4005000000000001</v>
      </c>
      <c r="J602" s="26">
        <f t="shared" si="25"/>
        <v>-5.4005000000000001</v>
      </c>
    </row>
    <row r="603" spans="1:10" x14ac:dyDescent="0.2">
      <c r="A603" t="s">
        <v>4964</v>
      </c>
      <c r="B603">
        <v>7.5190000000000007E-2</v>
      </c>
      <c r="C603">
        <v>280</v>
      </c>
      <c r="D603" t="s">
        <v>4964</v>
      </c>
      <c r="E603">
        <v>280</v>
      </c>
      <c r="F603" s="1">
        <v>45206</v>
      </c>
      <c r="G603" s="6">
        <v>25.104166666667339</v>
      </c>
      <c r="H603" s="7">
        <v>25.104166666667339</v>
      </c>
      <c r="I603" s="26">
        <v>5.3689999999999998</v>
      </c>
      <c r="J603" s="26">
        <f t="shared" si="25"/>
        <v>-5.3689999999999998</v>
      </c>
    </row>
    <row r="604" spans="1:10" x14ac:dyDescent="0.2">
      <c r="A604" t="s">
        <v>4965</v>
      </c>
      <c r="B604">
        <v>7.6310000000000003E-2</v>
      </c>
      <c r="C604">
        <v>280</v>
      </c>
      <c r="D604" t="s">
        <v>4965</v>
      </c>
      <c r="E604">
        <v>280</v>
      </c>
      <c r="F604" s="1">
        <v>45206</v>
      </c>
      <c r="G604" s="6">
        <v>25.114583333334007</v>
      </c>
      <c r="H604" s="7">
        <v>25.114583333334007</v>
      </c>
      <c r="I604" s="26">
        <v>5.4489999999999998</v>
      </c>
      <c r="J604" s="26">
        <f t="shared" si="25"/>
        <v>-5.4489999999999998</v>
      </c>
    </row>
    <row r="605" spans="1:10" x14ac:dyDescent="0.2">
      <c r="A605" t="s">
        <v>4966</v>
      </c>
      <c r="B605">
        <v>7.5944999999999999E-2</v>
      </c>
      <c r="C605">
        <v>280</v>
      </c>
      <c r="D605" t="s">
        <v>4966</v>
      </c>
      <c r="E605">
        <v>280</v>
      </c>
      <c r="F605" s="1">
        <v>45206</v>
      </c>
      <c r="G605" s="6">
        <v>25.125000000000675</v>
      </c>
      <c r="H605" s="7">
        <v>25.125000000000675</v>
      </c>
      <c r="I605" s="26">
        <v>5.4234999999999998</v>
      </c>
      <c r="J605" s="26">
        <f t="shared" si="25"/>
        <v>-5.4234999999999998</v>
      </c>
    </row>
    <row r="606" spans="1:10" x14ac:dyDescent="0.2">
      <c r="A606" t="s">
        <v>4967</v>
      </c>
      <c r="B606">
        <v>7.5319999999999998E-2</v>
      </c>
      <c r="C606">
        <v>280</v>
      </c>
      <c r="D606" t="s">
        <v>4967</v>
      </c>
      <c r="E606">
        <v>280</v>
      </c>
      <c r="F606" s="1">
        <v>45206</v>
      </c>
      <c r="G606" s="6">
        <v>25.135416666667343</v>
      </c>
      <c r="H606" s="7">
        <v>25.135416666667343</v>
      </c>
      <c r="I606" s="26">
        <v>5.3784999999999998</v>
      </c>
      <c r="J606" s="26">
        <f t="shared" si="25"/>
        <v>-5.3784999999999998</v>
      </c>
    </row>
    <row r="607" spans="1:10" x14ac:dyDescent="0.2">
      <c r="A607" t="s">
        <v>4968</v>
      </c>
      <c r="B607">
        <v>7.6655000000000001E-2</v>
      </c>
      <c r="C607">
        <v>280</v>
      </c>
      <c r="D607" t="s">
        <v>4968</v>
      </c>
      <c r="E607">
        <v>280</v>
      </c>
      <c r="F607" s="1">
        <v>45206</v>
      </c>
      <c r="G607" s="6">
        <v>25.145833333334011</v>
      </c>
      <c r="H607" s="7">
        <v>25.145833333334011</v>
      </c>
      <c r="I607" s="26">
        <v>5.4729999999999999</v>
      </c>
      <c r="J607" s="26">
        <f t="shared" si="25"/>
        <v>-5.4729999999999999</v>
      </c>
    </row>
    <row r="608" spans="1:10" x14ac:dyDescent="0.2">
      <c r="A608" t="s">
        <v>4969</v>
      </c>
      <c r="B608">
        <v>7.5630000000000003E-2</v>
      </c>
      <c r="C608">
        <v>280</v>
      </c>
      <c r="D608" t="s">
        <v>4969</v>
      </c>
      <c r="E608">
        <v>280</v>
      </c>
      <c r="F608" s="1">
        <v>45206</v>
      </c>
      <c r="G608" s="6">
        <v>25.156250000000679</v>
      </c>
      <c r="H608" s="7">
        <v>25.156250000000679</v>
      </c>
      <c r="I608" s="26">
        <v>5.3994999999999997</v>
      </c>
      <c r="J608" s="26">
        <f t="shared" si="25"/>
        <v>-5.3994999999999997</v>
      </c>
    </row>
    <row r="609" spans="1:10" x14ac:dyDescent="0.2">
      <c r="A609" t="s">
        <v>4970</v>
      </c>
      <c r="B609">
        <v>7.5539999999999996E-2</v>
      </c>
      <c r="C609">
        <v>280</v>
      </c>
      <c r="D609" t="s">
        <v>4970</v>
      </c>
      <c r="E609">
        <v>280</v>
      </c>
      <c r="F609" s="1">
        <v>45206</v>
      </c>
      <c r="G609" s="6">
        <v>25.166666666667346</v>
      </c>
      <c r="H609" s="7">
        <v>25.166666666667346</v>
      </c>
      <c r="I609" s="26">
        <v>5.3935000000000004</v>
      </c>
      <c r="J609" s="26">
        <f t="shared" si="25"/>
        <v>-5.3935000000000004</v>
      </c>
    </row>
    <row r="610" spans="1:10" x14ac:dyDescent="0.2">
      <c r="A610" t="s">
        <v>4971</v>
      </c>
      <c r="B610">
        <v>7.5545000000000001E-2</v>
      </c>
      <c r="C610">
        <v>280</v>
      </c>
      <c r="D610" t="s">
        <v>4971</v>
      </c>
      <c r="E610">
        <v>280</v>
      </c>
      <c r="F610" s="1">
        <v>45206</v>
      </c>
      <c r="G610" s="6">
        <v>25.177083333334014</v>
      </c>
      <c r="H610" s="7">
        <v>25.177083333334014</v>
      </c>
      <c r="I610" s="26">
        <v>5.3940000000000001</v>
      </c>
      <c r="J610" s="26">
        <f t="shared" si="25"/>
        <v>-5.3940000000000001</v>
      </c>
    </row>
    <row r="611" spans="1:10" x14ac:dyDescent="0.2">
      <c r="A611" t="s">
        <v>4972</v>
      </c>
      <c r="B611">
        <v>7.5194999999999998E-2</v>
      </c>
      <c r="C611">
        <v>280</v>
      </c>
      <c r="D611" t="s">
        <v>4972</v>
      </c>
      <c r="E611">
        <v>280</v>
      </c>
      <c r="F611" s="1">
        <v>45206</v>
      </c>
      <c r="G611" s="6">
        <v>25.187500000000682</v>
      </c>
      <c r="H611" s="7">
        <v>25.187500000000682</v>
      </c>
      <c r="I611" s="26">
        <v>5.3689999999999998</v>
      </c>
      <c r="J611" s="26">
        <f t="shared" si="25"/>
        <v>-5.3689999999999998</v>
      </c>
    </row>
    <row r="612" spans="1:10" x14ac:dyDescent="0.2">
      <c r="A612" t="s">
        <v>4973</v>
      </c>
      <c r="B612">
        <v>7.5664999999999996E-2</v>
      </c>
      <c r="C612">
        <v>280</v>
      </c>
      <c r="D612" t="s">
        <v>4973</v>
      </c>
      <c r="E612">
        <v>280</v>
      </c>
      <c r="F612" s="1">
        <v>45206</v>
      </c>
      <c r="G612" s="6">
        <v>25.19791666666735</v>
      </c>
      <c r="H612" s="7">
        <v>25.19791666666735</v>
      </c>
      <c r="I612" s="26">
        <v>5.4015000000000004</v>
      </c>
      <c r="J612" s="26">
        <f t="shared" si="25"/>
        <v>-5.4015000000000004</v>
      </c>
    </row>
    <row r="613" spans="1:10" x14ac:dyDescent="0.2">
      <c r="A613" t="s">
        <v>4974</v>
      </c>
      <c r="B613">
        <v>7.4935000000000002E-2</v>
      </c>
      <c r="C613">
        <v>280</v>
      </c>
      <c r="D613" t="s">
        <v>4974</v>
      </c>
      <c r="E613">
        <v>280</v>
      </c>
      <c r="F613" s="1">
        <v>45206</v>
      </c>
      <c r="G613" s="6">
        <v>25.208333333334018</v>
      </c>
      <c r="H613" s="7">
        <v>25.208333333334018</v>
      </c>
      <c r="I613" s="26">
        <v>5.3494999999999999</v>
      </c>
      <c r="J613" s="26">
        <f t="shared" si="25"/>
        <v>-5.3494999999999999</v>
      </c>
    </row>
    <row r="614" spans="1:10" x14ac:dyDescent="0.2">
      <c r="A614" t="s">
        <v>4975</v>
      </c>
      <c r="B614">
        <v>7.3874999999999996E-2</v>
      </c>
      <c r="C614">
        <v>280</v>
      </c>
      <c r="D614" t="s">
        <v>4975</v>
      </c>
      <c r="E614">
        <v>280</v>
      </c>
      <c r="F614" s="1">
        <v>45206</v>
      </c>
      <c r="G614" s="6">
        <v>25.218750000000686</v>
      </c>
      <c r="H614" s="7">
        <v>25.218750000000686</v>
      </c>
      <c r="I614" s="26">
        <v>5.2755000000000001</v>
      </c>
      <c r="J614" s="26">
        <f t="shared" si="25"/>
        <v>-5.2755000000000001</v>
      </c>
    </row>
    <row r="615" spans="1:10" x14ac:dyDescent="0.2">
      <c r="A615" t="s">
        <v>4976</v>
      </c>
      <c r="B615">
        <v>7.4190000000000006E-2</v>
      </c>
      <c r="C615">
        <v>280</v>
      </c>
      <c r="D615" t="s">
        <v>4976</v>
      </c>
      <c r="E615">
        <v>280</v>
      </c>
      <c r="F615" s="1">
        <v>45206</v>
      </c>
      <c r="G615" s="6">
        <v>25.229166666667354</v>
      </c>
      <c r="H615" s="7">
        <v>25.229166666667354</v>
      </c>
      <c r="I615" s="26">
        <v>5.2965</v>
      </c>
      <c r="J615" s="26">
        <f t="shared" si="25"/>
        <v>-5.2965</v>
      </c>
    </row>
    <row r="616" spans="1:10" x14ac:dyDescent="0.2">
      <c r="A616" t="s">
        <v>4977</v>
      </c>
      <c r="B616">
        <v>7.3870000000000005E-2</v>
      </c>
      <c r="C616">
        <v>280</v>
      </c>
      <c r="D616" t="s">
        <v>4977</v>
      </c>
      <c r="E616">
        <v>280</v>
      </c>
      <c r="F616" s="1">
        <v>45206</v>
      </c>
      <c r="G616" s="6">
        <v>25.239583333334021</v>
      </c>
      <c r="H616" s="7">
        <v>25.239583333334021</v>
      </c>
      <c r="I616" s="26">
        <v>5.2729999999999997</v>
      </c>
      <c r="J616" s="26">
        <f t="shared" si="25"/>
        <v>-5.2729999999999997</v>
      </c>
    </row>
    <row r="617" spans="1:10" x14ac:dyDescent="0.2">
      <c r="A617" t="s">
        <v>4978</v>
      </c>
      <c r="B617">
        <v>7.417E-2</v>
      </c>
      <c r="C617">
        <v>280</v>
      </c>
      <c r="D617" t="s">
        <v>4978</v>
      </c>
      <c r="E617">
        <v>280</v>
      </c>
      <c r="F617" s="1">
        <v>45206</v>
      </c>
      <c r="G617" s="6">
        <v>25.250000000000689</v>
      </c>
      <c r="H617" s="7">
        <v>25.250000000000689</v>
      </c>
      <c r="I617" s="26">
        <v>5.2954999999999997</v>
      </c>
      <c r="J617" s="26">
        <f t="shared" si="25"/>
        <v>-5.2954999999999997</v>
      </c>
    </row>
    <row r="618" spans="1:10" x14ac:dyDescent="0.2">
      <c r="A618" t="s">
        <v>4979</v>
      </c>
      <c r="B618">
        <v>7.2465000000000002E-2</v>
      </c>
      <c r="C618">
        <v>280</v>
      </c>
      <c r="D618" t="s">
        <v>4979</v>
      </c>
      <c r="E618">
        <v>280</v>
      </c>
      <c r="F618" s="1">
        <v>45206</v>
      </c>
      <c r="G618" s="6">
        <v>25.260416666667357</v>
      </c>
      <c r="H618" s="7">
        <v>25.260416666667357</v>
      </c>
      <c r="I618" s="26">
        <v>5.1725000000000003</v>
      </c>
      <c r="J618" s="26">
        <f t="shared" si="25"/>
        <v>-5.1725000000000003</v>
      </c>
    </row>
    <row r="619" spans="1:10" x14ac:dyDescent="0.2">
      <c r="A619" t="s">
        <v>4980</v>
      </c>
      <c r="B619">
        <v>7.1809999999999999E-2</v>
      </c>
      <c r="C619">
        <v>280</v>
      </c>
      <c r="D619" t="s">
        <v>4980</v>
      </c>
      <c r="E619">
        <v>280</v>
      </c>
      <c r="F619" s="1">
        <v>45206</v>
      </c>
      <c r="G619" s="6">
        <v>25.270833333334025</v>
      </c>
      <c r="H619" s="7">
        <v>25.270833333334025</v>
      </c>
      <c r="I619" s="26">
        <v>5.1265000000000001</v>
      </c>
      <c r="J619" s="26">
        <f t="shared" si="25"/>
        <v>-5.1265000000000001</v>
      </c>
    </row>
    <row r="620" spans="1:10" x14ac:dyDescent="0.2">
      <c r="A620" t="s">
        <v>4981</v>
      </c>
      <c r="B620">
        <v>7.1360000000000007E-2</v>
      </c>
      <c r="C620">
        <v>280</v>
      </c>
      <c r="D620" t="s">
        <v>4981</v>
      </c>
      <c r="E620">
        <v>280</v>
      </c>
      <c r="F620" s="1">
        <v>45206</v>
      </c>
      <c r="G620" s="6">
        <v>25.281250000000693</v>
      </c>
      <c r="H620" s="7">
        <v>25.281250000000693</v>
      </c>
      <c r="I620" s="26">
        <v>5.0949999999999998</v>
      </c>
      <c r="J620" s="26">
        <f t="shared" si="25"/>
        <v>-5.0949999999999998</v>
      </c>
    </row>
    <row r="621" spans="1:10" x14ac:dyDescent="0.2">
      <c r="A621" t="s">
        <v>4982</v>
      </c>
      <c r="B621">
        <v>7.0855000000000001E-2</v>
      </c>
      <c r="C621">
        <v>280</v>
      </c>
      <c r="D621" t="s">
        <v>4982</v>
      </c>
      <c r="E621">
        <v>280</v>
      </c>
      <c r="F621" s="1">
        <v>45206</v>
      </c>
      <c r="G621" s="6">
        <v>25.291666666667361</v>
      </c>
      <c r="H621" s="7">
        <v>25.291666666667361</v>
      </c>
      <c r="I621" s="26" t="s">
        <v>4983</v>
      </c>
      <c r="J621" s="26">
        <f t="shared" si="25"/>
        <v>-5.0584999999999898</v>
      </c>
    </row>
    <row r="622" spans="1:10" x14ac:dyDescent="0.2">
      <c r="A622" t="s">
        <v>4984</v>
      </c>
      <c r="B622">
        <v>6.9864999999999997E-2</v>
      </c>
      <c r="C622">
        <v>280</v>
      </c>
      <c r="D622" t="s">
        <v>4984</v>
      </c>
      <c r="E622">
        <v>280</v>
      </c>
      <c r="F622" s="1">
        <v>45206</v>
      </c>
      <c r="G622" s="6">
        <v>25.302083333334028</v>
      </c>
      <c r="H622" s="7">
        <v>25.302083333334028</v>
      </c>
      <c r="I622" s="26">
        <v>4.9880000000000004</v>
      </c>
      <c r="J622" s="26">
        <f t="shared" si="25"/>
        <v>-4.9880000000000004</v>
      </c>
    </row>
    <row r="623" spans="1:10" x14ac:dyDescent="0.2">
      <c r="A623" t="s">
        <v>4985</v>
      </c>
      <c r="B623">
        <v>6.8879999999999997E-2</v>
      </c>
      <c r="C623">
        <v>280</v>
      </c>
      <c r="D623" t="s">
        <v>4985</v>
      </c>
      <c r="E623">
        <v>280</v>
      </c>
      <c r="F623" s="1">
        <v>45206</v>
      </c>
      <c r="G623" s="6">
        <v>25.312500000000696</v>
      </c>
      <c r="H623" s="7">
        <v>25.312500000000696</v>
      </c>
      <c r="I623" s="26">
        <v>4.9169999999999998</v>
      </c>
      <c r="J623" s="26">
        <f t="shared" si="25"/>
        <v>-4.9169999999999998</v>
      </c>
    </row>
    <row r="624" spans="1:10" x14ac:dyDescent="0.2">
      <c r="A624" t="s">
        <v>4986</v>
      </c>
      <c r="B624">
        <v>6.8525000000000003E-2</v>
      </c>
      <c r="C624">
        <v>280</v>
      </c>
      <c r="D624" t="s">
        <v>4986</v>
      </c>
      <c r="E624">
        <v>280</v>
      </c>
      <c r="F624" s="1">
        <v>45206</v>
      </c>
      <c r="G624" s="6">
        <v>25.322916666667364</v>
      </c>
      <c r="H624" s="7">
        <v>25.322916666667364</v>
      </c>
      <c r="I624" s="26">
        <v>4.8929999999999998</v>
      </c>
      <c r="J624" s="26">
        <f t="shared" si="25"/>
        <v>-4.8929999999999998</v>
      </c>
    </row>
    <row r="625" spans="1:10" x14ac:dyDescent="0.2">
      <c r="A625" t="s">
        <v>4987</v>
      </c>
      <c r="B625">
        <v>6.7525000000000002E-2</v>
      </c>
      <c r="C625">
        <v>280</v>
      </c>
      <c r="D625" t="s">
        <v>4987</v>
      </c>
      <c r="E625">
        <v>280</v>
      </c>
      <c r="F625" s="1">
        <v>45206</v>
      </c>
      <c r="G625" s="6">
        <v>25.333333333334032</v>
      </c>
      <c r="H625" s="7">
        <v>25.333333333334032</v>
      </c>
      <c r="I625" s="26">
        <v>4.8215000000000003</v>
      </c>
      <c r="J625" s="26">
        <f t="shared" si="25"/>
        <v>-4.8215000000000003</v>
      </c>
    </row>
    <row r="626" spans="1:10" x14ac:dyDescent="0.2">
      <c r="A626" t="s">
        <v>4988</v>
      </c>
      <c r="B626">
        <v>6.6595000000000001E-2</v>
      </c>
      <c r="C626">
        <v>280</v>
      </c>
      <c r="D626" t="s">
        <v>4988</v>
      </c>
      <c r="E626">
        <v>280</v>
      </c>
      <c r="F626" s="1">
        <v>45206</v>
      </c>
      <c r="G626" s="6">
        <v>25.3437500000007</v>
      </c>
      <c r="H626" s="7">
        <v>25.3437500000007</v>
      </c>
      <c r="I626" s="26">
        <v>4.7554999999999996</v>
      </c>
      <c r="J626" s="26">
        <f t="shared" si="25"/>
        <v>-4.7554999999999996</v>
      </c>
    </row>
    <row r="627" spans="1:10" x14ac:dyDescent="0.2">
      <c r="A627" t="s">
        <v>4989</v>
      </c>
      <c r="B627">
        <v>6.6229999999999997E-2</v>
      </c>
      <c r="C627">
        <v>280</v>
      </c>
      <c r="D627" t="s">
        <v>4989</v>
      </c>
      <c r="E627">
        <v>280</v>
      </c>
      <c r="F627" s="1">
        <v>45206</v>
      </c>
      <c r="G627" s="6">
        <v>25.354166666667368</v>
      </c>
      <c r="H627" s="7">
        <v>25.354166666667368</v>
      </c>
      <c r="I627" s="26">
        <v>4.7290000000000001</v>
      </c>
      <c r="J627" s="26">
        <f t="shared" si="25"/>
        <v>-4.7290000000000001</v>
      </c>
    </row>
    <row r="628" spans="1:10" x14ac:dyDescent="0.2">
      <c r="A628" t="s">
        <v>4990</v>
      </c>
      <c r="B628">
        <v>6.5850000000000006E-2</v>
      </c>
      <c r="C628">
        <v>280</v>
      </c>
      <c r="D628" t="s">
        <v>4990</v>
      </c>
      <c r="E628">
        <v>280</v>
      </c>
      <c r="F628" s="1">
        <v>45206</v>
      </c>
      <c r="G628" s="6">
        <v>25.364583333334036</v>
      </c>
      <c r="H628" s="7">
        <v>25.364583333334036</v>
      </c>
      <c r="I628" s="26">
        <v>4.7015000000000002</v>
      </c>
      <c r="J628" s="26">
        <f t="shared" si="25"/>
        <v>-4.7015000000000002</v>
      </c>
    </row>
    <row r="629" spans="1:10" x14ac:dyDescent="0.2">
      <c r="A629" t="s">
        <v>4991</v>
      </c>
      <c r="B629">
        <v>6.5350000000000005E-2</v>
      </c>
      <c r="C629">
        <v>280</v>
      </c>
      <c r="D629" t="s">
        <v>4991</v>
      </c>
      <c r="E629">
        <v>280</v>
      </c>
      <c r="F629" s="1">
        <v>45206</v>
      </c>
      <c r="G629" s="6">
        <v>25.375000000000703</v>
      </c>
      <c r="H629" s="7">
        <v>25.375000000000703</v>
      </c>
      <c r="I629" s="26">
        <v>4.6665000000000001</v>
      </c>
      <c r="J629" s="26">
        <f t="shared" si="25"/>
        <v>-4.6665000000000001</v>
      </c>
    </row>
    <row r="630" spans="1:10" x14ac:dyDescent="0.2">
      <c r="A630" t="s">
        <v>4992</v>
      </c>
      <c r="B630">
        <v>6.5509999999999999E-2</v>
      </c>
      <c r="C630">
        <v>280</v>
      </c>
      <c r="D630" t="s">
        <v>4992</v>
      </c>
      <c r="E630">
        <v>280</v>
      </c>
      <c r="F630" s="1">
        <v>45206</v>
      </c>
      <c r="G630" s="6">
        <v>25.385416666667371</v>
      </c>
      <c r="H630" s="7">
        <v>25.385416666667371</v>
      </c>
      <c r="I630" s="26">
        <v>4.6764999999999999</v>
      </c>
      <c r="J630" s="26">
        <f t="shared" si="25"/>
        <v>-4.6764999999999999</v>
      </c>
    </row>
    <row r="631" spans="1:10" x14ac:dyDescent="0.2">
      <c r="A631" t="s">
        <v>4993</v>
      </c>
      <c r="B631">
        <v>6.5434999999999993E-2</v>
      </c>
      <c r="C631">
        <v>280</v>
      </c>
      <c r="D631" t="s">
        <v>4993</v>
      </c>
      <c r="E631">
        <v>280</v>
      </c>
      <c r="F631" s="1">
        <v>45206</v>
      </c>
      <c r="G631" s="6">
        <v>25.395833333334039</v>
      </c>
      <c r="H631" s="7">
        <v>25.395833333334039</v>
      </c>
      <c r="I631" s="26">
        <v>4.6725000000000003</v>
      </c>
      <c r="J631" s="26">
        <f t="shared" si="25"/>
        <v>-4.6725000000000003</v>
      </c>
    </row>
    <row r="632" spans="1:10" x14ac:dyDescent="0.2">
      <c r="A632" t="s">
        <v>4994</v>
      </c>
      <c r="B632">
        <v>6.5165000000000001E-2</v>
      </c>
      <c r="C632">
        <v>280</v>
      </c>
      <c r="D632" t="s">
        <v>4994</v>
      </c>
      <c r="E632">
        <v>280</v>
      </c>
      <c r="F632" s="1">
        <v>45206</v>
      </c>
      <c r="G632" s="6">
        <v>25.406250000000707</v>
      </c>
      <c r="H632" s="7">
        <v>25.406250000000707</v>
      </c>
      <c r="I632" s="26" t="s">
        <v>4995</v>
      </c>
      <c r="J632" s="26">
        <f t="shared" si="25"/>
        <v>-4.6529999999999996</v>
      </c>
    </row>
    <row r="633" spans="1:10" x14ac:dyDescent="0.2">
      <c r="A633" t="s">
        <v>4996</v>
      </c>
      <c r="B633">
        <v>6.4735000000000001E-2</v>
      </c>
      <c r="C633">
        <v>280</v>
      </c>
      <c r="D633" t="s">
        <v>4996</v>
      </c>
      <c r="E633">
        <v>280</v>
      </c>
      <c r="F633" s="1">
        <v>45206</v>
      </c>
      <c r="G633" s="6">
        <v>25.416666666667375</v>
      </c>
      <c r="H633" s="7">
        <v>25.416666666667375</v>
      </c>
      <c r="I633" s="26">
        <v>4.6210000000000004</v>
      </c>
      <c r="J633" s="26">
        <f t="shared" si="25"/>
        <v>-4.6210000000000004</v>
      </c>
    </row>
    <row r="634" spans="1:10" x14ac:dyDescent="0.2">
      <c r="A634" t="s">
        <v>4997</v>
      </c>
      <c r="B634">
        <v>6.5655000000000005E-2</v>
      </c>
      <c r="C634">
        <v>280</v>
      </c>
      <c r="D634" t="s">
        <v>4997</v>
      </c>
      <c r="E634">
        <v>280</v>
      </c>
      <c r="F634" s="1">
        <v>45206</v>
      </c>
      <c r="G634" s="6">
        <v>25.427083333334043</v>
      </c>
      <c r="H634" s="7">
        <v>25.427083333334043</v>
      </c>
      <c r="I634" s="26">
        <v>4.6870000000000003</v>
      </c>
      <c r="J634" s="26">
        <f t="shared" si="25"/>
        <v>-4.6870000000000003</v>
      </c>
    </row>
    <row r="635" spans="1:10" x14ac:dyDescent="0.2">
      <c r="A635" t="s">
        <v>4998</v>
      </c>
      <c r="B635">
        <v>6.5295000000000006E-2</v>
      </c>
      <c r="C635">
        <v>280</v>
      </c>
      <c r="D635" t="s">
        <v>4998</v>
      </c>
      <c r="E635">
        <v>280</v>
      </c>
      <c r="F635" s="1">
        <v>45206</v>
      </c>
      <c r="G635" s="6">
        <v>25.437500000000711</v>
      </c>
      <c r="H635" s="7">
        <v>25.437500000000711</v>
      </c>
      <c r="I635" s="26">
        <v>4.6615000000000002</v>
      </c>
      <c r="J635" s="26">
        <f t="shared" si="25"/>
        <v>-4.6615000000000002</v>
      </c>
    </row>
    <row r="636" spans="1:10" x14ac:dyDescent="0.2">
      <c r="A636" t="s">
        <v>4999</v>
      </c>
      <c r="B636">
        <v>6.4324999999999993E-2</v>
      </c>
      <c r="C636">
        <v>280</v>
      </c>
      <c r="D636" t="s">
        <v>4999</v>
      </c>
      <c r="E636">
        <v>280</v>
      </c>
      <c r="F636" s="1">
        <v>45206</v>
      </c>
      <c r="G636" s="6">
        <v>25.447916666667378</v>
      </c>
      <c r="H636" s="7">
        <v>25.447916666667378</v>
      </c>
      <c r="I636" s="26">
        <v>4.5925000000000002</v>
      </c>
      <c r="J636" s="26">
        <f t="shared" si="25"/>
        <v>-4.5925000000000002</v>
      </c>
    </row>
    <row r="637" spans="1:10" x14ac:dyDescent="0.2">
      <c r="A637" t="s">
        <v>5000</v>
      </c>
      <c r="B637">
        <v>6.5045000000000006E-2</v>
      </c>
      <c r="C637">
        <v>280</v>
      </c>
      <c r="D637" t="s">
        <v>5000</v>
      </c>
      <c r="E637">
        <v>280</v>
      </c>
      <c r="F637" s="1">
        <v>45206</v>
      </c>
      <c r="G637" s="6">
        <v>25.458333333334046</v>
      </c>
      <c r="H637" s="7">
        <v>25.458333333334046</v>
      </c>
      <c r="I637" s="26">
        <v>4.6429999999999998</v>
      </c>
      <c r="J637" s="26">
        <f t="shared" si="25"/>
        <v>-4.6429999999999998</v>
      </c>
    </row>
    <row r="638" spans="1:10" x14ac:dyDescent="0.2">
      <c r="A638" t="s">
        <v>5001</v>
      </c>
      <c r="B638">
        <v>6.4559999999999895E-2</v>
      </c>
      <c r="C638">
        <v>280</v>
      </c>
      <c r="D638" t="s">
        <v>5001</v>
      </c>
      <c r="E638">
        <v>280</v>
      </c>
      <c r="F638" s="1">
        <v>45206</v>
      </c>
      <c r="G638" s="6">
        <v>25.468750000000714</v>
      </c>
      <c r="H638" s="7">
        <v>25.468750000000714</v>
      </c>
      <c r="I638" s="26">
        <v>4.6115000000000004</v>
      </c>
      <c r="J638" s="26">
        <f t="shared" si="25"/>
        <v>-4.6115000000000004</v>
      </c>
    </row>
    <row r="639" spans="1:10" x14ac:dyDescent="0.2">
      <c r="A639" t="s">
        <v>5002</v>
      </c>
      <c r="B639">
        <v>6.4905000000000004E-2</v>
      </c>
      <c r="C639">
        <v>280</v>
      </c>
      <c r="D639" t="s">
        <v>5002</v>
      </c>
      <c r="E639">
        <v>280</v>
      </c>
      <c r="F639" s="1">
        <v>45206</v>
      </c>
      <c r="G639" s="6">
        <v>25.479166666667382</v>
      </c>
      <c r="H639" s="7">
        <v>25.479166666667382</v>
      </c>
      <c r="I639" s="26">
        <v>4.6345000000000001</v>
      </c>
      <c r="J639" s="26">
        <f t="shared" si="25"/>
        <v>-4.6345000000000001</v>
      </c>
    </row>
    <row r="640" spans="1:10" x14ac:dyDescent="0.2">
      <c r="A640" t="s">
        <v>5003</v>
      </c>
      <c r="B640">
        <v>6.5134999999999998E-2</v>
      </c>
      <c r="C640">
        <v>280</v>
      </c>
      <c r="D640" t="s">
        <v>5003</v>
      </c>
      <c r="E640">
        <v>280</v>
      </c>
      <c r="F640" s="1">
        <v>45206</v>
      </c>
      <c r="G640" s="6">
        <v>25.48958333333405</v>
      </c>
      <c r="H640" s="7">
        <v>25.48958333333405</v>
      </c>
      <c r="I640" s="26">
        <v>4.6505000000000001</v>
      </c>
      <c r="J640" s="26">
        <f t="shared" si="25"/>
        <v>-4.6505000000000001</v>
      </c>
    </row>
    <row r="641" spans="1:10" x14ac:dyDescent="0.2">
      <c r="A641" t="s">
        <v>5004</v>
      </c>
      <c r="B641">
        <v>6.454E-2</v>
      </c>
      <c r="C641">
        <v>280</v>
      </c>
      <c r="D641" t="s">
        <v>5004</v>
      </c>
      <c r="E641">
        <v>280</v>
      </c>
      <c r="F641" s="1">
        <v>45206</v>
      </c>
      <c r="G641" s="6">
        <v>25.500000000000718</v>
      </c>
      <c r="H641" s="7">
        <v>25.500000000000718</v>
      </c>
      <c r="I641" s="26">
        <v>4.6070000000000002</v>
      </c>
      <c r="J641" s="26">
        <f t="shared" si="25"/>
        <v>-4.6070000000000002</v>
      </c>
    </row>
    <row r="642" spans="1:10" x14ac:dyDescent="0.2">
      <c r="A642" t="s">
        <v>5005</v>
      </c>
      <c r="B642">
        <v>6.4339999999999994E-2</v>
      </c>
      <c r="C642">
        <v>280</v>
      </c>
      <c r="D642" t="s">
        <v>5005</v>
      </c>
      <c r="E642">
        <v>280</v>
      </c>
      <c r="F642" s="1">
        <v>45206</v>
      </c>
      <c r="G642" s="6">
        <v>25.510416666667385</v>
      </c>
      <c r="H642" s="7">
        <v>25.510416666667385</v>
      </c>
      <c r="I642" s="26">
        <v>4.593</v>
      </c>
      <c r="J642" s="26">
        <f t="shared" si="25"/>
        <v>-4.593</v>
      </c>
    </row>
    <row r="643" spans="1:10" x14ac:dyDescent="0.2">
      <c r="A643" t="s">
        <v>5006</v>
      </c>
      <c r="B643">
        <v>6.4820000000000003E-2</v>
      </c>
      <c r="C643">
        <v>280</v>
      </c>
      <c r="D643" t="s">
        <v>5006</v>
      </c>
      <c r="E643">
        <v>280</v>
      </c>
      <c r="F643" s="1">
        <v>45206</v>
      </c>
      <c r="G643" s="6">
        <v>25.520833333334053</v>
      </c>
      <c r="H643" s="7">
        <v>25.520833333334053</v>
      </c>
      <c r="I643" s="26">
        <v>4.6284999999999998</v>
      </c>
      <c r="J643" s="26">
        <f t="shared" ref="J643:J706" si="26">-I643</f>
        <v>-4.6284999999999998</v>
      </c>
    </row>
    <row r="644" spans="1:10" x14ac:dyDescent="0.2">
      <c r="A644" t="s">
        <v>5007</v>
      </c>
      <c r="B644">
        <v>6.4805000000000001E-2</v>
      </c>
      <c r="C644">
        <v>280</v>
      </c>
      <c r="D644" t="s">
        <v>5007</v>
      </c>
      <c r="E644">
        <v>280</v>
      </c>
      <c r="F644" s="1">
        <v>45206</v>
      </c>
      <c r="G644" s="6">
        <v>25.531250000000721</v>
      </c>
      <c r="H644" s="7">
        <v>25.531250000000721</v>
      </c>
      <c r="I644" s="26">
        <v>4.6265000000000001</v>
      </c>
      <c r="J644" s="26">
        <f t="shared" si="26"/>
        <v>-4.6265000000000001</v>
      </c>
    </row>
    <row r="645" spans="1:10" x14ac:dyDescent="0.2">
      <c r="A645" t="s">
        <v>5008</v>
      </c>
      <c r="B645">
        <v>6.472E-2</v>
      </c>
      <c r="C645">
        <v>280</v>
      </c>
      <c r="D645" t="s">
        <v>5008</v>
      </c>
      <c r="E645">
        <v>280</v>
      </c>
      <c r="F645" s="1">
        <v>45206</v>
      </c>
      <c r="G645" s="6">
        <v>25.541666666667389</v>
      </c>
      <c r="H645" s="7">
        <v>25.541666666667389</v>
      </c>
      <c r="I645" s="26">
        <v>4.6195000000000004</v>
      </c>
      <c r="J645" s="26">
        <f t="shared" si="26"/>
        <v>-4.6195000000000004</v>
      </c>
    </row>
    <row r="646" spans="1:10" x14ac:dyDescent="0.2">
      <c r="A646" t="s">
        <v>5009</v>
      </c>
      <c r="B646">
        <v>6.4490000000000006E-2</v>
      </c>
      <c r="C646">
        <v>280</v>
      </c>
      <c r="D646" t="s">
        <v>5009</v>
      </c>
      <c r="E646">
        <v>280</v>
      </c>
      <c r="F646" s="1">
        <v>45206</v>
      </c>
      <c r="G646" s="6">
        <v>25.552083333334057</v>
      </c>
      <c r="H646" s="7">
        <v>25.552083333334057</v>
      </c>
      <c r="I646" s="26">
        <v>4.6029999999999998</v>
      </c>
      <c r="J646" s="26">
        <f t="shared" si="26"/>
        <v>-4.6029999999999998</v>
      </c>
    </row>
    <row r="647" spans="1:10" x14ac:dyDescent="0.2">
      <c r="A647" t="s">
        <v>5010</v>
      </c>
      <c r="B647">
        <v>6.4424999999999996E-2</v>
      </c>
      <c r="C647">
        <v>280</v>
      </c>
      <c r="D647" t="s">
        <v>5010</v>
      </c>
      <c r="E647">
        <v>280</v>
      </c>
      <c r="F647" s="1">
        <v>45206</v>
      </c>
      <c r="G647" s="6">
        <v>25.562500000000725</v>
      </c>
      <c r="H647" s="7">
        <v>25.562500000000725</v>
      </c>
      <c r="I647" s="26">
        <v>4.5994999999999999</v>
      </c>
      <c r="J647" s="26">
        <f t="shared" si="26"/>
        <v>-4.5994999999999999</v>
      </c>
    </row>
    <row r="648" spans="1:10" x14ac:dyDescent="0.2">
      <c r="A648" t="s">
        <v>5011</v>
      </c>
      <c r="B648">
        <v>6.5265000000000004E-2</v>
      </c>
      <c r="C648">
        <v>280</v>
      </c>
      <c r="D648" t="s">
        <v>5011</v>
      </c>
      <c r="E648">
        <v>280</v>
      </c>
      <c r="F648" s="1">
        <v>45206</v>
      </c>
      <c r="G648" s="6">
        <v>25.572916666667393</v>
      </c>
      <c r="H648" s="7">
        <v>25.572916666667393</v>
      </c>
      <c r="I648" s="26" t="s">
        <v>5012</v>
      </c>
      <c r="J648" s="26">
        <f t="shared" si="26"/>
        <v>-4.6609999999999996</v>
      </c>
    </row>
    <row r="649" spans="1:10" x14ac:dyDescent="0.2">
      <c r="A649" t="s">
        <v>5013</v>
      </c>
      <c r="B649">
        <v>6.5185000000000007E-2</v>
      </c>
      <c r="C649">
        <v>280</v>
      </c>
      <c r="D649" t="s">
        <v>5013</v>
      </c>
      <c r="E649">
        <v>280</v>
      </c>
      <c r="F649" s="1">
        <v>45206</v>
      </c>
      <c r="G649" s="6">
        <v>25.58333333333406</v>
      </c>
      <c r="H649" s="7">
        <v>25.58333333333406</v>
      </c>
      <c r="I649" s="26">
        <v>4.6535000000000002</v>
      </c>
      <c r="J649" s="26">
        <f t="shared" si="26"/>
        <v>-4.6535000000000002</v>
      </c>
    </row>
    <row r="650" spans="1:10" x14ac:dyDescent="0.2">
      <c r="A650" t="s">
        <v>5014</v>
      </c>
      <c r="B650">
        <v>6.5115000000000006E-2</v>
      </c>
      <c r="C650">
        <v>280</v>
      </c>
      <c r="D650" t="s">
        <v>5014</v>
      </c>
      <c r="E650">
        <v>280</v>
      </c>
      <c r="F650" s="1">
        <v>45206</v>
      </c>
      <c r="G650" s="6">
        <v>25.593750000000728</v>
      </c>
      <c r="H650" s="7">
        <v>25.593750000000728</v>
      </c>
      <c r="I650" s="26">
        <v>4.6485000000000003</v>
      </c>
      <c r="J650" s="26">
        <f t="shared" si="26"/>
        <v>-4.6485000000000003</v>
      </c>
    </row>
    <row r="651" spans="1:10" x14ac:dyDescent="0.2">
      <c r="A651" t="s">
        <v>5015</v>
      </c>
      <c r="B651">
        <v>6.5619999999999998E-2</v>
      </c>
      <c r="C651">
        <v>281</v>
      </c>
      <c r="D651" t="s">
        <v>5015</v>
      </c>
      <c r="E651">
        <v>280</v>
      </c>
      <c r="F651" s="1">
        <v>45206</v>
      </c>
      <c r="G651" s="6">
        <v>25.604166666667396</v>
      </c>
      <c r="H651" s="7">
        <v>25.604166666667396</v>
      </c>
      <c r="I651" s="26">
        <v>4.6840000000000002</v>
      </c>
      <c r="J651" s="26">
        <f t="shared" si="26"/>
        <v>-4.6840000000000002</v>
      </c>
    </row>
    <row r="652" spans="1:10" x14ac:dyDescent="0.2">
      <c r="A652" t="s">
        <v>5016</v>
      </c>
      <c r="B652">
        <v>6.5739999999999896E-2</v>
      </c>
      <c r="C652">
        <v>281</v>
      </c>
      <c r="D652" t="s">
        <v>5016</v>
      </c>
      <c r="E652">
        <v>280</v>
      </c>
      <c r="F652" s="1">
        <v>45206</v>
      </c>
      <c r="G652" s="6">
        <v>25.614583333334064</v>
      </c>
      <c r="H652" s="7">
        <v>25.614583333334064</v>
      </c>
      <c r="I652" s="26">
        <v>4.6944999999999997</v>
      </c>
      <c r="J652" s="26">
        <f t="shared" si="26"/>
        <v>-4.6944999999999997</v>
      </c>
    </row>
    <row r="653" spans="1:10" x14ac:dyDescent="0.2">
      <c r="A653" t="s">
        <v>5017</v>
      </c>
      <c r="B653">
        <v>6.5994999999999998E-2</v>
      </c>
      <c r="C653">
        <v>281</v>
      </c>
      <c r="D653" t="s">
        <v>5017</v>
      </c>
      <c r="E653">
        <v>280</v>
      </c>
      <c r="F653" s="1">
        <v>45206</v>
      </c>
      <c r="G653" s="6">
        <v>25.625000000000732</v>
      </c>
      <c r="H653" s="7">
        <v>25.625000000000732</v>
      </c>
      <c r="I653" s="26">
        <v>4.7115</v>
      </c>
      <c r="J653" s="26">
        <f t="shared" si="26"/>
        <v>-4.7115</v>
      </c>
    </row>
    <row r="654" spans="1:10" x14ac:dyDescent="0.2">
      <c r="A654" t="s">
        <v>5018</v>
      </c>
      <c r="B654">
        <v>6.5839999999999996E-2</v>
      </c>
      <c r="C654">
        <v>281</v>
      </c>
      <c r="D654" t="s">
        <v>5018</v>
      </c>
      <c r="E654">
        <v>280</v>
      </c>
      <c r="F654" s="1">
        <v>45206</v>
      </c>
      <c r="G654" s="6">
        <v>25.6354166666674</v>
      </c>
      <c r="H654" s="7">
        <v>25.6354166666674</v>
      </c>
      <c r="I654" s="26">
        <v>4.7</v>
      </c>
      <c r="J654" s="26">
        <f t="shared" si="26"/>
        <v>-4.7</v>
      </c>
    </row>
    <row r="655" spans="1:10" x14ac:dyDescent="0.2">
      <c r="A655" t="s">
        <v>5019</v>
      </c>
      <c r="B655">
        <v>6.6239999999999993E-2</v>
      </c>
      <c r="C655">
        <v>281</v>
      </c>
      <c r="D655" t="s">
        <v>5019</v>
      </c>
      <c r="E655">
        <v>280</v>
      </c>
      <c r="F655" s="1">
        <v>45206</v>
      </c>
      <c r="G655" s="6">
        <v>25.645833333334068</v>
      </c>
      <c r="H655" s="7">
        <v>25.645833333334068</v>
      </c>
      <c r="I655" s="26">
        <v>4.7285000000000004</v>
      </c>
      <c r="J655" s="26">
        <f t="shared" si="26"/>
        <v>-4.7285000000000004</v>
      </c>
    </row>
    <row r="656" spans="1:10" x14ac:dyDescent="0.2">
      <c r="A656" t="s">
        <v>5020</v>
      </c>
      <c r="B656">
        <v>6.5735000000000002E-2</v>
      </c>
      <c r="C656">
        <v>281</v>
      </c>
      <c r="D656" t="s">
        <v>5020</v>
      </c>
      <c r="E656">
        <v>280</v>
      </c>
      <c r="F656" s="1">
        <v>45206</v>
      </c>
      <c r="G656" s="6">
        <v>25.656250000000735</v>
      </c>
      <c r="H656" s="7">
        <v>25.656250000000735</v>
      </c>
      <c r="I656" s="26">
        <v>4.6924999999999999</v>
      </c>
      <c r="J656" s="26">
        <f t="shared" si="26"/>
        <v>-4.6924999999999999</v>
      </c>
    </row>
    <row r="657" spans="1:10" x14ac:dyDescent="0.2">
      <c r="A657" t="s">
        <v>5021</v>
      </c>
      <c r="B657">
        <v>6.5780000000000005E-2</v>
      </c>
      <c r="C657">
        <v>281</v>
      </c>
      <c r="D657" t="s">
        <v>5021</v>
      </c>
      <c r="E657">
        <v>280</v>
      </c>
      <c r="F657" s="1">
        <v>45206</v>
      </c>
      <c r="G657" s="6">
        <v>25.666666666667403</v>
      </c>
      <c r="H657" s="7">
        <v>25.666666666667403</v>
      </c>
      <c r="I657" s="26">
        <v>4.6955</v>
      </c>
      <c r="J657" s="26">
        <f t="shared" si="26"/>
        <v>-4.6955</v>
      </c>
    </row>
    <row r="658" spans="1:10" x14ac:dyDescent="0.2">
      <c r="A658" t="s">
        <v>5022</v>
      </c>
      <c r="B658">
        <v>6.6839999999999997E-2</v>
      </c>
      <c r="C658">
        <v>281</v>
      </c>
      <c r="D658" t="s">
        <v>5022</v>
      </c>
      <c r="E658">
        <v>280</v>
      </c>
      <c r="F658" s="1">
        <v>45206</v>
      </c>
      <c r="G658" s="6">
        <v>25.677083333334071</v>
      </c>
      <c r="H658" s="7">
        <v>25.677083333334071</v>
      </c>
      <c r="I658" s="26">
        <v>4.7714999999999996</v>
      </c>
      <c r="J658" s="26">
        <f t="shared" si="26"/>
        <v>-4.7714999999999996</v>
      </c>
    </row>
    <row r="659" spans="1:10" x14ac:dyDescent="0.2">
      <c r="A659" t="s">
        <v>5023</v>
      </c>
      <c r="B659">
        <v>6.701E-2</v>
      </c>
      <c r="C659">
        <v>281</v>
      </c>
      <c r="D659" t="s">
        <v>5023</v>
      </c>
      <c r="E659">
        <v>280</v>
      </c>
      <c r="F659" s="1">
        <v>45206</v>
      </c>
      <c r="G659" s="6">
        <v>25.687500000000739</v>
      </c>
      <c r="H659" s="7">
        <v>25.687500000000739</v>
      </c>
      <c r="I659" s="26">
        <v>4.7830000000000004</v>
      </c>
      <c r="J659" s="26">
        <f t="shared" si="26"/>
        <v>-4.7830000000000004</v>
      </c>
    </row>
    <row r="660" spans="1:10" x14ac:dyDescent="0.2">
      <c r="A660" t="s">
        <v>5024</v>
      </c>
      <c r="B660">
        <v>6.7434999999999995E-2</v>
      </c>
      <c r="C660">
        <v>281</v>
      </c>
      <c r="D660" t="s">
        <v>5024</v>
      </c>
      <c r="E660">
        <v>280</v>
      </c>
      <c r="F660" s="1">
        <v>45206</v>
      </c>
      <c r="G660" s="6">
        <v>25.697916666667407</v>
      </c>
      <c r="H660" s="7">
        <v>25.697916666667407</v>
      </c>
      <c r="I660" s="26">
        <v>4.8155000000000001</v>
      </c>
      <c r="J660" s="26">
        <f t="shared" si="26"/>
        <v>-4.8155000000000001</v>
      </c>
    </row>
    <row r="661" spans="1:10" x14ac:dyDescent="0.2">
      <c r="A661" t="s">
        <v>5025</v>
      </c>
      <c r="B661">
        <v>6.7544999999999994E-2</v>
      </c>
      <c r="C661">
        <v>281</v>
      </c>
      <c r="D661" t="s">
        <v>5025</v>
      </c>
      <c r="E661">
        <v>280</v>
      </c>
      <c r="F661" s="1">
        <v>45206</v>
      </c>
      <c r="G661" s="6">
        <v>25.708333333334075</v>
      </c>
      <c r="H661" s="7">
        <v>25.708333333334075</v>
      </c>
      <c r="I661" s="26">
        <v>4.8215000000000003</v>
      </c>
      <c r="J661" s="26">
        <f t="shared" si="26"/>
        <v>-4.8215000000000003</v>
      </c>
    </row>
    <row r="662" spans="1:10" x14ac:dyDescent="0.2">
      <c r="A662" t="s">
        <v>5026</v>
      </c>
      <c r="B662">
        <v>6.8729999999999999E-2</v>
      </c>
      <c r="C662">
        <v>281</v>
      </c>
      <c r="D662" t="s">
        <v>5026</v>
      </c>
      <c r="E662">
        <v>280</v>
      </c>
      <c r="F662" s="1">
        <v>45206</v>
      </c>
      <c r="G662" s="6">
        <v>25.718750000000743</v>
      </c>
      <c r="H662" s="7">
        <v>25.718750000000743</v>
      </c>
      <c r="I662" s="26">
        <v>4.9080000000000004</v>
      </c>
      <c r="J662" s="26">
        <f t="shared" si="26"/>
        <v>-4.9080000000000004</v>
      </c>
    </row>
    <row r="663" spans="1:10" x14ac:dyDescent="0.2">
      <c r="A663" t="s">
        <v>5027</v>
      </c>
      <c r="B663">
        <v>6.898E-2</v>
      </c>
      <c r="C663">
        <v>281</v>
      </c>
      <c r="D663" t="s">
        <v>5027</v>
      </c>
      <c r="E663">
        <v>280</v>
      </c>
      <c r="F663" s="1">
        <v>45206</v>
      </c>
      <c r="G663" s="6">
        <v>25.72916666666741</v>
      </c>
      <c r="H663" s="7">
        <v>25.72916666666741</v>
      </c>
      <c r="I663" s="26">
        <v>4.9249999999999998</v>
      </c>
      <c r="J663" s="26">
        <f t="shared" si="26"/>
        <v>-4.9249999999999998</v>
      </c>
    </row>
    <row r="664" spans="1:10" x14ac:dyDescent="0.2">
      <c r="A664" t="s">
        <v>5028</v>
      </c>
      <c r="B664">
        <v>6.9464999999999999E-2</v>
      </c>
      <c r="C664">
        <v>281</v>
      </c>
      <c r="D664" t="s">
        <v>5028</v>
      </c>
      <c r="E664">
        <v>280</v>
      </c>
      <c r="F664" s="1">
        <v>45206</v>
      </c>
      <c r="G664" s="6">
        <v>25.739583333334078</v>
      </c>
      <c r="H664" s="7">
        <v>25.739583333334078</v>
      </c>
      <c r="I664" s="26">
        <v>4.9584999999999999</v>
      </c>
      <c r="J664" s="26">
        <f t="shared" si="26"/>
        <v>-4.9584999999999999</v>
      </c>
    </row>
    <row r="665" spans="1:10" x14ac:dyDescent="0.2">
      <c r="A665" t="s">
        <v>5029</v>
      </c>
      <c r="B665">
        <v>7.0114999999999997E-2</v>
      </c>
      <c r="C665">
        <v>281</v>
      </c>
      <c r="D665" t="s">
        <v>5029</v>
      </c>
      <c r="E665">
        <v>280</v>
      </c>
      <c r="F665" s="1">
        <v>45206</v>
      </c>
      <c r="G665" s="6">
        <v>25.750000000000746</v>
      </c>
      <c r="H665" s="7">
        <v>25.750000000000746</v>
      </c>
      <c r="I665" s="26">
        <v>5.0060000000000002</v>
      </c>
      <c r="J665" s="26">
        <f t="shared" si="26"/>
        <v>-5.0060000000000002</v>
      </c>
    </row>
    <row r="666" spans="1:10" x14ac:dyDescent="0.2">
      <c r="A666" t="s">
        <v>5030</v>
      </c>
      <c r="B666">
        <v>6.9779999999999995E-2</v>
      </c>
      <c r="C666">
        <v>281</v>
      </c>
      <c r="D666" t="s">
        <v>5030</v>
      </c>
      <c r="E666">
        <v>280</v>
      </c>
      <c r="F666" s="1">
        <v>45206</v>
      </c>
      <c r="G666" s="6">
        <v>25.760416666667414</v>
      </c>
      <c r="H666" s="7">
        <v>25.760416666667414</v>
      </c>
      <c r="I666" s="26">
        <v>4.9824999999999999</v>
      </c>
      <c r="J666" s="26">
        <f t="shared" si="26"/>
        <v>-4.9824999999999999</v>
      </c>
    </row>
    <row r="667" spans="1:10" x14ac:dyDescent="0.2">
      <c r="A667" t="s">
        <v>5031</v>
      </c>
      <c r="B667">
        <v>7.1054999999999993E-2</v>
      </c>
      <c r="C667">
        <v>281</v>
      </c>
      <c r="D667" t="s">
        <v>5031</v>
      </c>
      <c r="E667">
        <v>280</v>
      </c>
      <c r="F667" s="1">
        <v>45206</v>
      </c>
      <c r="G667" s="6">
        <v>25.770833333334082</v>
      </c>
      <c r="H667" s="7">
        <v>25.770833333334082</v>
      </c>
      <c r="I667" s="26">
        <v>5.0720000000000001</v>
      </c>
      <c r="J667" s="26">
        <f t="shared" si="26"/>
        <v>-5.0720000000000001</v>
      </c>
    </row>
    <row r="668" spans="1:10" x14ac:dyDescent="0.2">
      <c r="A668" t="s">
        <v>5032</v>
      </c>
      <c r="B668">
        <v>7.2315000000000004E-2</v>
      </c>
      <c r="C668">
        <v>281</v>
      </c>
      <c r="D668" t="s">
        <v>5032</v>
      </c>
      <c r="E668">
        <v>280</v>
      </c>
      <c r="F668" s="1">
        <v>45206</v>
      </c>
      <c r="G668" s="6">
        <v>25.78125000000075</v>
      </c>
      <c r="H668" s="7">
        <v>25.78125000000075</v>
      </c>
      <c r="I668" s="26">
        <v>5.1615000000000002</v>
      </c>
      <c r="J668" s="26">
        <f t="shared" si="26"/>
        <v>-5.1615000000000002</v>
      </c>
    </row>
    <row r="669" spans="1:10" x14ac:dyDescent="0.2">
      <c r="A669" t="s">
        <v>5033</v>
      </c>
      <c r="B669">
        <v>7.2734999999999994E-2</v>
      </c>
      <c r="C669">
        <v>281</v>
      </c>
      <c r="D669" t="s">
        <v>5033</v>
      </c>
      <c r="E669">
        <v>280</v>
      </c>
      <c r="F669" s="1">
        <v>45206</v>
      </c>
      <c r="G669" s="6">
        <v>25.791666666667417</v>
      </c>
      <c r="H669" s="7">
        <v>25.791666666667417</v>
      </c>
      <c r="I669" s="26">
        <v>5.1920000000000002</v>
      </c>
      <c r="J669" s="26">
        <f t="shared" si="26"/>
        <v>-5.1920000000000002</v>
      </c>
    </row>
    <row r="670" spans="1:10" x14ac:dyDescent="0.2">
      <c r="A670" t="s">
        <v>5034</v>
      </c>
      <c r="B670">
        <v>7.2900000000000006E-2</v>
      </c>
      <c r="C670">
        <v>281</v>
      </c>
      <c r="D670" t="s">
        <v>5034</v>
      </c>
      <c r="E670">
        <v>280</v>
      </c>
      <c r="F670" s="1">
        <v>45206</v>
      </c>
      <c r="G670" s="6">
        <v>25.802083333334085</v>
      </c>
      <c r="H670" s="7">
        <v>25.802083333334085</v>
      </c>
      <c r="I670" s="26">
        <v>5.2050000000000001</v>
      </c>
      <c r="J670" s="26">
        <f t="shared" si="26"/>
        <v>-5.2050000000000001</v>
      </c>
    </row>
    <row r="671" spans="1:10" x14ac:dyDescent="0.2">
      <c r="A671" t="s">
        <v>5035</v>
      </c>
      <c r="B671">
        <v>7.2590000000000002E-2</v>
      </c>
      <c r="C671">
        <v>281</v>
      </c>
      <c r="D671" t="s">
        <v>5035</v>
      </c>
      <c r="E671">
        <v>280</v>
      </c>
      <c r="F671" s="1">
        <v>45206</v>
      </c>
      <c r="G671" s="6">
        <v>25.812500000000753</v>
      </c>
      <c r="H671" s="7">
        <v>25.812500000000753</v>
      </c>
      <c r="I671" s="26">
        <v>5.1825000000000001</v>
      </c>
      <c r="J671" s="26">
        <f t="shared" si="26"/>
        <v>-5.1825000000000001</v>
      </c>
    </row>
    <row r="672" spans="1:10" x14ac:dyDescent="0.2">
      <c r="A672" t="s">
        <v>5036</v>
      </c>
      <c r="B672">
        <v>7.3599999999999999E-2</v>
      </c>
      <c r="C672">
        <v>281</v>
      </c>
      <c r="D672" t="s">
        <v>5036</v>
      </c>
      <c r="E672">
        <v>280</v>
      </c>
      <c r="F672" s="1">
        <v>45206</v>
      </c>
      <c r="G672" s="6">
        <v>25.822916666667421</v>
      </c>
      <c r="H672" s="7">
        <v>25.822916666667421</v>
      </c>
      <c r="I672" s="26">
        <v>5.2549999999999999</v>
      </c>
      <c r="J672" s="26">
        <f t="shared" si="26"/>
        <v>-5.2549999999999999</v>
      </c>
    </row>
    <row r="673" spans="1:10" x14ac:dyDescent="0.2">
      <c r="A673" t="s">
        <v>5037</v>
      </c>
      <c r="B673">
        <v>7.3690000000000005E-2</v>
      </c>
      <c r="C673">
        <v>281</v>
      </c>
      <c r="D673" t="s">
        <v>5037</v>
      </c>
      <c r="E673">
        <v>280</v>
      </c>
      <c r="F673" s="1">
        <v>45206</v>
      </c>
      <c r="G673" s="6">
        <v>25.833333333334089</v>
      </c>
      <c r="H673" s="7">
        <v>25.833333333334089</v>
      </c>
      <c r="I673" s="26">
        <v>5.2605000000000004</v>
      </c>
      <c r="J673" s="26">
        <f t="shared" si="26"/>
        <v>-5.2605000000000004</v>
      </c>
    </row>
    <row r="674" spans="1:10" x14ac:dyDescent="0.2">
      <c r="A674" t="s">
        <v>5038</v>
      </c>
      <c r="B674">
        <v>7.4319999999999997E-2</v>
      </c>
      <c r="C674">
        <v>281</v>
      </c>
      <c r="D674" t="s">
        <v>5038</v>
      </c>
      <c r="E674">
        <v>280</v>
      </c>
      <c r="F674" s="1">
        <v>45206</v>
      </c>
      <c r="G674" s="6">
        <v>25.843750000000757</v>
      </c>
      <c r="H674" s="7">
        <v>25.843750000000757</v>
      </c>
      <c r="I674" s="26">
        <v>5.3070000000000004</v>
      </c>
      <c r="J674" s="26">
        <f t="shared" si="26"/>
        <v>-5.3070000000000004</v>
      </c>
    </row>
    <row r="675" spans="1:10" x14ac:dyDescent="0.2">
      <c r="A675" t="s">
        <v>5039</v>
      </c>
      <c r="B675">
        <v>7.3465000000000003E-2</v>
      </c>
      <c r="C675">
        <v>281</v>
      </c>
      <c r="D675" t="s">
        <v>5039</v>
      </c>
      <c r="E675">
        <v>281</v>
      </c>
      <c r="F675" s="1">
        <v>45207</v>
      </c>
      <c r="G675" s="6">
        <v>25.854166666667425</v>
      </c>
      <c r="H675" s="7">
        <v>25.854166666667425</v>
      </c>
      <c r="I675" s="26">
        <v>5.2439999999999998</v>
      </c>
      <c r="J675" s="26">
        <f t="shared" si="26"/>
        <v>-5.2439999999999998</v>
      </c>
    </row>
    <row r="676" spans="1:10" x14ac:dyDescent="0.2">
      <c r="A676" t="s">
        <v>5040</v>
      </c>
      <c r="B676">
        <v>6.633E-2</v>
      </c>
      <c r="C676">
        <v>281</v>
      </c>
      <c r="D676" t="s">
        <v>5040</v>
      </c>
      <c r="E676">
        <v>281</v>
      </c>
      <c r="F676" s="1">
        <v>45207</v>
      </c>
      <c r="G676" s="6">
        <v>25.864583333334092</v>
      </c>
      <c r="H676" s="7">
        <v>25.864583333334092</v>
      </c>
      <c r="I676" s="26">
        <v>4.7359999999999998</v>
      </c>
      <c r="J676" s="26">
        <f t="shared" si="26"/>
        <v>-4.7359999999999998</v>
      </c>
    </row>
    <row r="677" spans="1:10" x14ac:dyDescent="0.2">
      <c r="A677" t="s">
        <v>5041</v>
      </c>
      <c r="B677">
        <v>7.3959999999999998E-2</v>
      </c>
      <c r="C677">
        <v>281</v>
      </c>
      <c r="D677" t="s">
        <v>5041</v>
      </c>
      <c r="E677">
        <v>281</v>
      </c>
      <c r="F677" s="1">
        <v>45207</v>
      </c>
      <c r="G677" s="6">
        <v>25.87500000000076</v>
      </c>
      <c r="H677" s="7">
        <v>25.87500000000076</v>
      </c>
      <c r="I677" s="26">
        <v>5.2794999999999996</v>
      </c>
      <c r="J677" s="26">
        <f t="shared" si="26"/>
        <v>-5.2794999999999996</v>
      </c>
    </row>
    <row r="678" spans="1:10" x14ac:dyDescent="0.2">
      <c r="A678" t="s">
        <v>5042</v>
      </c>
      <c r="B678">
        <v>7.4314999999999895E-2</v>
      </c>
      <c r="C678">
        <v>281</v>
      </c>
      <c r="D678" t="s">
        <v>5042</v>
      </c>
      <c r="E678">
        <v>281</v>
      </c>
      <c r="F678" s="1">
        <v>45207</v>
      </c>
      <c r="G678" s="6">
        <v>25.885416666667428</v>
      </c>
      <c r="H678" s="7">
        <v>25.885416666667428</v>
      </c>
      <c r="I678" s="26">
        <v>5.306</v>
      </c>
      <c r="J678" s="26">
        <f t="shared" si="26"/>
        <v>-5.306</v>
      </c>
    </row>
    <row r="679" spans="1:10" x14ac:dyDescent="0.2">
      <c r="A679" t="s">
        <v>5043</v>
      </c>
      <c r="B679">
        <v>7.3770000000000002E-2</v>
      </c>
      <c r="C679">
        <v>281</v>
      </c>
      <c r="D679" t="s">
        <v>5043</v>
      </c>
      <c r="E679">
        <v>281</v>
      </c>
      <c r="F679" s="1">
        <v>45207</v>
      </c>
      <c r="G679" s="6">
        <v>25.895833333334096</v>
      </c>
      <c r="H679" s="7">
        <v>25.895833333334096</v>
      </c>
      <c r="I679" s="26">
        <v>5.2664999999999997</v>
      </c>
      <c r="J679" s="26">
        <f t="shared" si="26"/>
        <v>-5.2664999999999997</v>
      </c>
    </row>
    <row r="680" spans="1:10" x14ac:dyDescent="0.2">
      <c r="A680" t="s">
        <v>5044</v>
      </c>
      <c r="B680">
        <v>7.4435000000000001E-2</v>
      </c>
      <c r="C680">
        <v>281</v>
      </c>
      <c r="D680" t="s">
        <v>5044</v>
      </c>
      <c r="E680">
        <v>281</v>
      </c>
      <c r="F680" s="1">
        <v>45207</v>
      </c>
      <c r="G680" s="6">
        <v>25.906250000000764</v>
      </c>
      <c r="H680" s="7">
        <v>25.906250000000764</v>
      </c>
      <c r="I680" s="26">
        <v>5.3135000000000003</v>
      </c>
      <c r="J680" s="26">
        <f t="shared" si="26"/>
        <v>-5.3135000000000003</v>
      </c>
    </row>
    <row r="681" spans="1:10" x14ac:dyDescent="0.2">
      <c r="A681" t="s">
        <v>5045</v>
      </c>
      <c r="B681">
        <v>7.4385000000000007E-2</v>
      </c>
      <c r="C681">
        <v>281</v>
      </c>
      <c r="D681" t="s">
        <v>5045</v>
      </c>
      <c r="E681">
        <v>281</v>
      </c>
      <c r="F681" s="1">
        <v>45207</v>
      </c>
      <c r="G681" s="6">
        <v>25.916666666667432</v>
      </c>
      <c r="H681" s="7">
        <v>25.916666666667432</v>
      </c>
      <c r="I681" s="26">
        <v>5.3105000000000002</v>
      </c>
      <c r="J681" s="26">
        <f t="shared" si="26"/>
        <v>-5.3105000000000002</v>
      </c>
    </row>
    <row r="682" spans="1:10" x14ac:dyDescent="0.2">
      <c r="A682" t="s">
        <v>5046</v>
      </c>
      <c r="B682">
        <v>7.4459999999999998E-2</v>
      </c>
      <c r="C682">
        <v>281</v>
      </c>
      <c r="D682" t="s">
        <v>5046</v>
      </c>
      <c r="E682">
        <v>281</v>
      </c>
      <c r="F682" s="1">
        <v>45207</v>
      </c>
      <c r="G682" s="6">
        <v>25.9270833333341</v>
      </c>
      <c r="H682" s="7">
        <v>25.9270833333341</v>
      </c>
      <c r="I682" s="26">
        <v>5.3164999999999996</v>
      </c>
      <c r="J682" s="26">
        <f t="shared" si="26"/>
        <v>-5.3164999999999996</v>
      </c>
    </row>
    <row r="683" spans="1:10" x14ac:dyDescent="0.2">
      <c r="A683" t="s">
        <v>5047</v>
      </c>
      <c r="B683">
        <v>7.4829999999999994E-2</v>
      </c>
      <c r="C683">
        <v>281</v>
      </c>
      <c r="D683" t="s">
        <v>5047</v>
      </c>
      <c r="E683">
        <v>281</v>
      </c>
      <c r="F683" s="1">
        <v>45207</v>
      </c>
      <c r="G683" s="6">
        <v>25.937500000000767</v>
      </c>
      <c r="H683" s="7">
        <v>25.937500000000767</v>
      </c>
      <c r="I683" s="26" t="s">
        <v>5048</v>
      </c>
      <c r="J683" s="26">
        <f t="shared" si="26"/>
        <v>-5.3419999999999996</v>
      </c>
    </row>
    <row r="684" spans="1:10" x14ac:dyDescent="0.2">
      <c r="A684" t="s">
        <v>5049</v>
      </c>
      <c r="B684">
        <v>7.4469999999999995E-2</v>
      </c>
      <c r="C684">
        <v>281</v>
      </c>
      <c r="D684" t="s">
        <v>5049</v>
      </c>
      <c r="E684">
        <v>281</v>
      </c>
      <c r="F684" s="1">
        <v>45207</v>
      </c>
      <c r="G684" s="6">
        <v>25.947916666667435</v>
      </c>
      <c r="H684" s="7">
        <v>25.947916666667435</v>
      </c>
      <c r="I684" s="26">
        <v>5.3170000000000002</v>
      </c>
      <c r="J684" s="26">
        <f t="shared" si="26"/>
        <v>-5.3170000000000002</v>
      </c>
    </row>
    <row r="685" spans="1:10" x14ac:dyDescent="0.2">
      <c r="A685" t="s">
        <v>5050</v>
      </c>
      <c r="B685">
        <v>7.3419999999999999E-2</v>
      </c>
      <c r="C685">
        <v>281</v>
      </c>
      <c r="D685" t="s">
        <v>5050</v>
      </c>
      <c r="E685">
        <v>281</v>
      </c>
      <c r="F685" s="1">
        <v>45207</v>
      </c>
      <c r="G685" s="6">
        <v>25.958333333334103</v>
      </c>
      <c r="H685" s="7">
        <v>25.958333333334103</v>
      </c>
      <c r="I685" s="26">
        <v>5.242</v>
      </c>
      <c r="J685" s="26">
        <f t="shared" si="26"/>
        <v>-5.242</v>
      </c>
    </row>
    <row r="686" spans="1:10" x14ac:dyDescent="0.2">
      <c r="A686" t="s">
        <v>5051</v>
      </c>
      <c r="B686">
        <v>7.3800000000000004E-2</v>
      </c>
      <c r="C686">
        <v>281</v>
      </c>
      <c r="D686" t="s">
        <v>5051</v>
      </c>
      <c r="E686">
        <v>281</v>
      </c>
      <c r="F686" s="1">
        <v>45207</v>
      </c>
      <c r="G686" s="6">
        <v>25.968750000000771</v>
      </c>
      <c r="H686" s="7">
        <v>25.968750000000771</v>
      </c>
      <c r="I686" s="26">
        <v>5.2685000000000004</v>
      </c>
      <c r="J686" s="26">
        <f t="shared" si="26"/>
        <v>-5.2685000000000004</v>
      </c>
    </row>
    <row r="687" spans="1:10" x14ac:dyDescent="0.2">
      <c r="A687" t="s">
        <v>5052</v>
      </c>
      <c r="B687">
        <v>7.3999999999999996E-2</v>
      </c>
      <c r="C687">
        <v>281</v>
      </c>
      <c r="D687" t="s">
        <v>5052</v>
      </c>
      <c r="E687">
        <v>281</v>
      </c>
      <c r="F687" s="1">
        <v>45207</v>
      </c>
      <c r="G687" s="6">
        <v>25.979166666667439</v>
      </c>
      <c r="H687" s="7">
        <v>25.979166666667439</v>
      </c>
      <c r="I687" s="26">
        <v>5.2835000000000001</v>
      </c>
      <c r="J687" s="26">
        <f t="shared" si="26"/>
        <v>-5.2835000000000001</v>
      </c>
    </row>
    <row r="688" spans="1:10" x14ac:dyDescent="0.2">
      <c r="A688" t="s">
        <v>5053</v>
      </c>
      <c r="B688">
        <v>7.4325000000000002E-2</v>
      </c>
      <c r="C688">
        <v>281</v>
      </c>
      <c r="D688" t="s">
        <v>5053</v>
      </c>
      <c r="E688">
        <v>281</v>
      </c>
      <c r="F688" s="1">
        <v>45207</v>
      </c>
      <c r="G688" s="6">
        <v>25.989583333334107</v>
      </c>
      <c r="H688" s="7">
        <v>25.989583333334107</v>
      </c>
      <c r="I688" s="26">
        <v>5.306</v>
      </c>
      <c r="J688" s="26">
        <f t="shared" si="26"/>
        <v>-5.306</v>
      </c>
    </row>
    <row r="689" spans="1:10" x14ac:dyDescent="0.2">
      <c r="A689" t="s">
        <v>5054</v>
      </c>
      <c r="B689">
        <v>7.3389999999999997E-2</v>
      </c>
      <c r="C689">
        <v>281</v>
      </c>
      <c r="D689" t="s">
        <v>5054</v>
      </c>
      <c r="E689">
        <v>281</v>
      </c>
      <c r="F689" s="1">
        <v>45207</v>
      </c>
      <c r="G689" s="6">
        <v>26.000000000000774</v>
      </c>
      <c r="H689" s="7">
        <v>26.000000000000774</v>
      </c>
      <c r="I689" s="26">
        <v>5.2409999999999997</v>
      </c>
      <c r="J689" s="26">
        <f t="shared" si="26"/>
        <v>-5.2409999999999997</v>
      </c>
    </row>
    <row r="690" spans="1:10" x14ac:dyDescent="0.2">
      <c r="A690" t="s">
        <v>5055</v>
      </c>
      <c r="B690">
        <v>7.4289999999999995E-2</v>
      </c>
      <c r="C690">
        <v>281</v>
      </c>
      <c r="D690" t="s">
        <v>5055</v>
      </c>
      <c r="E690">
        <v>281</v>
      </c>
      <c r="F690" s="1">
        <v>45207</v>
      </c>
      <c r="G690" s="6">
        <v>26.010416666667442</v>
      </c>
      <c r="H690" s="7">
        <v>26.010416666667442</v>
      </c>
      <c r="I690" s="26">
        <v>5.3029999999999999</v>
      </c>
      <c r="J690" s="26">
        <f t="shared" si="26"/>
        <v>-5.3029999999999999</v>
      </c>
    </row>
    <row r="691" spans="1:10" x14ac:dyDescent="0.2">
      <c r="A691" t="s">
        <v>5056</v>
      </c>
      <c r="B691">
        <v>7.3859999999999995E-2</v>
      </c>
      <c r="C691">
        <v>281</v>
      </c>
      <c r="D691" t="s">
        <v>5056</v>
      </c>
      <c r="E691">
        <v>281</v>
      </c>
      <c r="F691" s="1">
        <v>45207</v>
      </c>
      <c r="G691" s="6">
        <v>26.02083333333411</v>
      </c>
      <c r="H691" s="7">
        <v>26.02083333333411</v>
      </c>
      <c r="I691" s="26">
        <v>5.2735000000000003</v>
      </c>
      <c r="J691" s="26">
        <f t="shared" si="26"/>
        <v>-5.2735000000000003</v>
      </c>
    </row>
    <row r="692" spans="1:10" x14ac:dyDescent="0.2">
      <c r="A692" t="s">
        <v>5057</v>
      </c>
      <c r="B692">
        <v>7.3514999999999997E-2</v>
      </c>
      <c r="C692">
        <v>281</v>
      </c>
      <c r="D692" t="s">
        <v>5057</v>
      </c>
      <c r="E692">
        <v>281</v>
      </c>
      <c r="F692" s="1">
        <v>45207</v>
      </c>
      <c r="G692" s="6">
        <v>26.031250000000778</v>
      </c>
      <c r="H692" s="7">
        <v>26.031250000000778</v>
      </c>
      <c r="I692" s="26">
        <v>5.2484999999999999</v>
      </c>
      <c r="J692" s="26">
        <f t="shared" si="26"/>
        <v>-5.2484999999999999</v>
      </c>
    </row>
    <row r="693" spans="1:10" x14ac:dyDescent="0.2">
      <c r="A693" t="s">
        <v>5058</v>
      </c>
      <c r="B693">
        <v>7.3770000000000002E-2</v>
      </c>
      <c r="C693">
        <v>281</v>
      </c>
      <c r="D693" t="s">
        <v>5058</v>
      </c>
      <c r="E693">
        <v>281</v>
      </c>
      <c r="F693" s="1">
        <v>45207</v>
      </c>
      <c r="G693" s="6">
        <v>26.041666666667446</v>
      </c>
      <c r="H693" s="7">
        <v>26.041666666667446</v>
      </c>
      <c r="I693" s="26" t="s">
        <v>5059</v>
      </c>
      <c r="J693" s="26">
        <f t="shared" si="26"/>
        <v>-5.2669999999999897</v>
      </c>
    </row>
    <row r="694" spans="1:10" x14ac:dyDescent="0.2">
      <c r="A694" t="s">
        <v>5060</v>
      </c>
      <c r="B694">
        <v>7.3675000000000004E-2</v>
      </c>
      <c r="C694">
        <v>281</v>
      </c>
      <c r="D694" t="s">
        <v>5060</v>
      </c>
      <c r="E694">
        <v>281</v>
      </c>
      <c r="F694" s="1">
        <v>45207</v>
      </c>
      <c r="G694" s="6">
        <v>26.052083333334114</v>
      </c>
      <c r="H694" s="7">
        <v>26.052083333334114</v>
      </c>
      <c r="I694" s="26" t="s">
        <v>3945</v>
      </c>
      <c r="J694" s="26">
        <f t="shared" si="26"/>
        <v>-5.2619999999999996</v>
      </c>
    </row>
    <row r="695" spans="1:10" x14ac:dyDescent="0.2">
      <c r="A695" t="s">
        <v>5061</v>
      </c>
      <c r="B695">
        <v>7.3469999999999994E-2</v>
      </c>
      <c r="C695">
        <v>281</v>
      </c>
      <c r="D695" t="s">
        <v>5061</v>
      </c>
      <c r="E695">
        <v>281</v>
      </c>
      <c r="F695" s="1">
        <v>45207</v>
      </c>
      <c r="G695" s="6">
        <v>26.062500000000782</v>
      </c>
      <c r="H695" s="7">
        <v>26.062500000000782</v>
      </c>
      <c r="I695" s="26">
        <v>5.2450000000000001</v>
      </c>
      <c r="J695" s="26">
        <f t="shared" si="26"/>
        <v>-5.2450000000000001</v>
      </c>
    </row>
    <row r="696" spans="1:10" x14ac:dyDescent="0.2">
      <c r="A696" t="s">
        <v>5062</v>
      </c>
      <c r="B696">
        <v>7.3205000000000006E-2</v>
      </c>
      <c r="C696">
        <v>281</v>
      </c>
      <c r="D696" t="s">
        <v>5062</v>
      </c>
      <c r="E696">
        <v>281</v>
      </c>
      <c r="F696" s="1">
        <v>45207</v>
      </c>
      <c r="G696" s="6">
        <v>26.072916666667449</v>
      </c>
      <c r="H696" s="7">
        <v>26.072916666667449</v>
      </c>
      <c r="I696" s="26">
        <v>5.2275</v>
      </c>
      <c r="J696" s="26">
        <f t="shared" si="26"/>
        <v>-5.2275</v>
      </c>
    </row>
    <row r="697" spans="1:10" x14ac:dyDescent="0.2">
      <c r="A697" t="s">
        <v>5063</v>
      </c>
      <c r="B697">
        <v>7.3675000000000004E-2</v>
      </c>
      <c r="C697">
        <v>281</v>
      </c>
      <c r="D697" t="s">
        <v>5063</v>
      </c>
      <c r="E697">
        <v>281</v>
      </c>
      <c r="F697" s="1">
        <v>45207</v>
      </c>
      <c r="G697" s="6">
        <v>26.083333333334117</v>
      </c>
      <c r="H697" s="7">
        <v>26.083333333334117</v>
      </c>
      <c r="I697" s="26">
        <v>5.2584999999999997</v>
      </c>
      <c r="J697" s="26">
        <f t="shared" si="26"/>
        <v>-5.2584999999999997</v>
      </c>
    </row>
    <row r="698" spans="1:10" x14ac:dyDescent="0.2">
      <c r="A698" t="s">
        <v>5064</v>
      </c>
      <c r="B698">
        <v>7.2569999999999996E-2</v>
      </c>
      <c r="C698">
        <v>281</v>
      </c>
      <c r="D698" t="s">
        <v>5064</v>
      </c>
      <c r="E698">
        <v>281</v>
      </c>
      <c r="F698" s="1">
        <v>45207</v>
      </c>
      <c r="G698" s="6">
        <v>26.093750000000785</v>
      </c>
      <c r="H698" s="7">
        <v>26.093750000000785</v>
      </c>
      <c r="I698" s="26">
        <v>5.18</v>
      </c>
      <c r="J698" s="26">
        <f t="shared" si="26"/>
        <v>-5.18</v>
      </c>
    </row>
    <row r="699" spans="1:10" x14ac:dyDescent="0.2">
      <c r="A699" t="s">
        <v>5065</v>
      </c>
      <c r="B699">
        <v>7.3160000000000003E-2</v>
      </c>
      <c r="C699">
        <v>281</v>
      </c>
      <c r="D699" t="s">
        <v>5065</v>
      </c>
      <c r="E699">
        <v>281</v>
      </c>
      <c r="F699" s="1">
        <v>45207</v>
      </c>
      <c r="G699" s="6">
        <v>26.104166666667453</v>
      </c>
      <c r="H699" s="7">
        <v>26.104166666667453</v>
      </c>
      <c r="I699" s="26">
        <v>5.2244999999999999</v>
      </c>
      <c r="J699" s="26">
        <f t="shared" si="26"/>
        <v>-5.2244999999999999</v>
      </c>
    </row>
    <row r="700" spans="1:10" x14ac:dyDescent="0.2">
      <c r="A700" t="s">
        <v>5066</v>
      </c>
      <c r="B700">
        <v>7.2984999999999994E-2</v>
      </c>
      <c r="C700">
        <v>281</v>
      </c>
      <c r="D700" t="s">
        <v>5066</v>
      </c>
      <c r="E700">
        <v>281</v>
      </c>
      <c r="F700" s="1">
        <v>45207</v>
      </c>
      <c r="G700" s="6">
        <v>26.114583333334121</v>
      </c>
      <c r="H700" s="7">
        <v>26.114583333334121</v>
      </c>
      <c r="I700" s="26">
        <v>5.2104999999999997</v>
      </c>
      <c r="J700" s="26">
        <f t="shared" si="26"/>
        <v>-5.2104999999999997</v>
      </c>
    </row>
    <row r="701" spans="1:10" x14ac:dyDescent="0.2">
      <c r="A701" t="s">
        <v>5067</v>
      </c>
      <c r="B701">
        <v>7.3279999999999998E-2</v>
      </c>
      <c r="C701">
        <v>281</v>
      </c>
      <c r="D701" t="s">
        <v>5067</v>
      </c>
      <c r="E701">
        <v>281</v>
      </c>
      <c r="F701" s="1">
        <v>45207</v>
      </c>
      <c r="G701" s="6">
        <v>26.125000000000789</v>
      </c>
      <c r="H701" s="7">
        <v>26.125000000000789</v>
      </c>
      <c r="I701" s="26">
        <v>5.2320000000000002</v>
      </c>
      <c r="J701" s="26">
        <f t="shared" si="26"/>
        <v>-5.2320000000000002</v>
      </c>
    </row>
    <row r="702" spans="1:10" x14ac:dyDescent="0.2">
      <c r="A702" t="s">
        <v>5068</v>
      </c>
      <c r="B702">
        <v>7.3499999999999996E-2</v>
      </c>
      <c r="C702">
        <v>281</v>
      </c>
      <c r="D702" t="s">
        <v>5068</v>
      </c>
      <c r="E702">
        <v>281</v>
      </c>
      <c r="F702" s="1">
        <v>45207</v>
      </c>
      <c r="G702" s="6">
        <v>26.135416666667457</v>
      </c>
      <c r="H702" s="7">
        <v>26.135416666667457</v>
      </c>
      <c r="I702" s="26">
        <v>5.2480000000000002</v>
      </c>
      <c r="J702" s="26">
        <f t="shared" si="26"/>
        <v>-5.2480000000000002</v>
      </c>
    </row>
    <row r="703" spans="1:10" x14ac:dyDescent="0.2">
      <c r="A703" t="s">
        <v>5069</v>
      </c>
      <c r="B703">
        <v>7.2830000000000006E-2</v>
      </c>
      <c r="C703">
        <v>281</v>
      </c>
      <c r="D703" t="s">
        <v>5069</v>
      </c>
      <c r="E703">
        <v>281</v>
      </c>
      <c r="F703" s="1">
        <v>45207</v>
      </c>
      <c r="G703" s="6">
        <v>26.145833333334124</v>
      </c>
      <c r="H703" s="7">
        <v>26.145833333334124</v>
      </c>
      <c r="I703" s="26">
        <v>5.1989999999999998</v>
      </c>
      <c r="J703" s="26">
        <f t="shared" si="26"/>
        <v>-5.1989999999999998</v>
      </c>
    </row>
    <row r="704" spans="1:10" x14ac:dyDescent="0.2">
      <c r="A704" t="s">
        <v>5070</v>
      </c>
      <c r="B704">
        <v>7.2779999999999997E-2</v>
      </c>
      <c r="C704">
        <v>281</v>
      </c>
      <c r="D704" t="s">
        <v>5070</v>
      </c>
      <c r="E704">
        <v>281</v>
      </c>
      <c r="F704" s="1">
        <v>45207</v>
      </c>
      <c r="G704" s="6">
        <v>26.156250000000792</v>
      </c>
      <c r="H704" s="7">
        <v>26.156250000000792</v>
      </c>
      <c r="I704" s="26">
        <v>5.194</v>
      </c>
      <c r="J704" s="26">
        <f t="shared" si="26"/>
        <v>-5.194</v>
      </c>
    </row>
    <row r="705" spans="1:10" x14ac:dyDescent="0.2">
      <c r="A705" t="s">
        <v>5071</v>
      </c>
      <c r="B705">
        <v>7.349E-2</v>
      </c>
      <c r="C705">
        <v>281</v>
      </c>
      <c r="D705" t="s">
        <v>5071</v>
      </c>
      <c r="E705">
        <v>281</v>
      </c>
      <c r="F705" s="1">
        <v>45207</v>
      </c>
      <c r="G705" s="6">
        <v>26.16666666666746</v>
      </c>
      <c r="H705" s="7">
        <v>26.16666666666746</v>
      </c>
      <c r="I705" s="26">
        <v>5.2465000000000002</v>
      </c>
      <c r="J705" s="26">
        <f t="shared" si="26"/>
        <v>-5.2465000000000002</v>
      </c>
    </row>
    <row r="706" spans="1:10" x14ac:dyDescent="0.2">
      <c r="A706" t="s">
        <v>5072</v>
      </c>
      <c r="B706">
        <v>7.2455000000000006E-2</v>
      </c>
      <c r="C706">
        <v>281</v>
      </c>
      <c r="D706" t="s">
        <v>5072</v>
      </c>
      <c r="E706">
        <v>281</v>
      </c>
      <c r="F706" s="1">
        <v>45207</v>
      </c>
      <c r="G706" s="6">
        <v>26.177083333334128</v>
      </c>
      <c r="H706" s="7">
        <v>26.177083333334128</v>
      </c>
      <c r="I706" s="26">
        <v>5.1725000000000003</v>
      </c>
      <c r="J706" s="26">
        <f t="shared" si="26"/>
        <v>-5.1725000000000003</v>
      </c>
    </row>
    <row r="707" spans="1:10" x14ac:dyDescent="0.2">
      <c r="A707" t="s">
        <v>5073</v>
      </c>
      <c r="B707">
        <v>7.1800000000000003E-2</v>
      </c>
      <c r="C707">
        <v>281</v>
      </c>
      <c r="D707" t="s">
        <v>5073</v>
      </c>
      <c r="E707">
        <v>281</v>
      </c>
      <c r="F707" s="1">
        <v>45207</v>
      </c>
      <c r="G707" s="6">
        <v>26.187500000000796</v>
      </c>
      <c r="H707" s="7">
        <v>26.187500000000796</v>
      </c>
      <c r="I707" s="26">
        <v>5.1260000000000003</v>
      </c>
      <c r="J707" s="26">
        <f t="shared" ref="J707:J770" si="27">-I707</f>
        <v>-5.1260000000000003</v>
      </c>
    </row>
    <row r="708" spans="1:10" x14ac:dyDescent="0.2">
      <c r="A708" t="s">
        <v>5074</v>
      </c>
      <c r="B708">
        <v>7.1480000000000002E-2</v>
      </c>
      <c r="C708">
        <v>281</v>
      </c>
      <c r="D708" t="s">
        <v>5074</v>
      </c>
      <c r="E708">
        <v>281</v>
      </c>
      <c r="F708" s="1">
        <v>45207</v>
      </c>
      <c r="G708" s="6">
        <v>26.197916666667464</v>
      </c>
      <c r="H708" s="7">
        <v>26.197916666667464</v>
      </c>
      <c r="I708" s="26">
        <v>5.1025</v>
      </c>
      <c r="J708" s="26">
        <f t="shared" si="27"/>
        <v>-5.1025</v>
      </c>
    </row>
    <row r="709" spans="1:10" x14ac:dyDescent="0.2">
      <c r="A709" t="s">
        <v>5075</v>
      </c>
      <c r="B709">
        <v>7.2425000000000003E-2</v>
      </c>
      <c r="C709">
        <v>281</v>
      </c>
      <c r="D709" t="s">
        <v>5075</v>
      </c>
      <c r="E709">
        <v>281</v>
      </c>
      <c r="F709" s="1">
        <v>45207</v>
      </c>
      <c r="G709" s="6">
        <v>26.208333333334132</v>
      </c>
      <c r="H709" s="7">
        <v>26.208333333334132</v>
      </c>
      <c r="I709" s="26">
        <v>5.1695000000000002</v>
      </c>
      <c r="J709" s="26">
        <f t="shared" si="27"/>
        <v>-5.1695000000000002</v>
      </c>
    </row>
    <row r="710" spans="1:10" x14ac:dyDescent="0.2">
      <c r="A710" t="s">
        <v>5076</v>
      </c>
      <c r="B710">
        <v>7.2444999999999996E-2</v>
      </c>
      <c r="C710">
        <v>281</v>
      </c>
      <c r="D710" t="s">
        <v>5076</v>
      </c>
      <c r="E710">
        <v>281</v>
      </c>
      <c r="F710" s="1">
        <v>45207</v>
      </c>
      <c r="G710" s="6">
        <v>26.218750000000799</v>
      </c>
      <c r="H710" s="7">
        <v>26.218750000000799</v>
      </c>
      <c r="I710" s="26">
        <v>5.1715</v>
      </c>
      <c r="J710" s="26">
        <f t="shared" si="27"/>
        <v>-5.1715</v>
      </c>
    </row>
    <row r="711" spans="1:10" x14ac:dyDescent="0.2">
      <c r="A711" t="s">
        <v>5077</v>
      </c>
      <c r="B711">
        <v>7.1184999999999998E-2</v>
      </c>
      <c r="C711">
        <v>281</v>
      </c>
      <c r="D711" t="s">
        <v>5077</v>
      </c>
      <c r="E711">
        <v>281</v>
      </c>
      <c r="F711" s="1">
        <v>45207</v>
      </c>
      <c r="G711" s="6">
        <v>26.229166666667467</v>
      </c>
      <c r="H711" s="7">
        <v>26.229166666667467</v>
      </c>
      <c r="I711" s="26">
        <v>5.0824999999999996</v>
      </c>
      <c r="J711" s="26">
        <f t="shared" si="27"/>
        <v>-5.0824999999999996</v>
      </c>
    </row>
    <row r="712" spans="1:10" x14ac:dyDescent="0.2">
      <c r="A712" t="s">
        <v>5078</v>
      </c>
      <c r="B712">
        <v>7.1415000000000006E-2</v>
      </c>
      <c r="C712">
        <v>281</v>
      </c>
      <c r="D712" t="s">
        <v>5078</v>
      </c>
      <c r="E712">
        <v>281</v>
      </c>
      <c r="F712" s="1">
        <v>45207</v>
      </c>
      <c r="G712" s="6">
        <v>26.239583333334135</v>
      </c>
      <c r="H712" s="7">
        <v>26.239583333334135</v>
      </c>
      <c r="I712" s="26">
        <v>5.0984999999999996</v>
      </c>
      <c r="J712" s="26">
        <f t="shared" si="27"/>
        <v>-5.0984999999999996</v>
      </c>
    </row>
    <row r="713" spans="1:10" x14ac:dyDescent="0.2">
      <c r="A713" t="s">
        <v>5079</v>
      </c>
      <c r="B713">
        <v>7.0294999999999996E-2</v>
      </c>
      <c r="C713">
        <v>281</v>
      </c>
      <c r="D713" t="s">
        <v>5079</v>
      </c>
      <c r="E713">
        <v>281</v>
      </c>
      <c r="F713" s="1">
        <v>45207</v>
      </c>
      <c r="G713" s="6">
        <v>26.250000000000803</v>
      </c>
      <c r="H713" s="7">
        <v>26.250000000000803</v>
      </c>
      <c r="I713" s="26">
        <v>5.0194999999999999</v>
      </c>
      <c r="J713" s="26">
        <f t="shared" si="27"/>
        <v>-5.0194999999999999</v>
      </c>
    </row>
    <row r="714" spans="1:10" x14ac:dyDescent="0.2">
      <c r="A714" t="s">
        <v>5080</v>
      </c>
      <c r="B714">
        <v>6.9815000000000002E-2</v>
      </c>
      <c r="C714">
        <v>281</v>
      </c>
      <c r="D714" t="s">
        <v>5080</v>
      </c>
      <c r="E714">
        <v>281</v>
      </c>
      <c r="F714" s="1">
        <v>45207</v>
      </c>
      <c r="G714" s="6">
        <v>26.260416666667471</v>
      </c>
      <c r="H714" s="7">
        <v>26.260416666667471</v>
      </c>
      <c r="I714" s="26">
        <v>4.9855</v>
      </c>
      <c r="J714" s="26">
        <f t="shared" si="27"/>
        <v>-4.9855</v>
      </c>
    </row>
    <row r="715" spans="1:10" x14ac:dyDescent="0.2">
      <c r="A715" t="s">
        <v>5081</v>
      </c>
      <c r="B715">
        <v>6.9235000000000005E-2</v>
      </c>
      <c r="C715">
        <v>281</v>
      </c>
      <c r="D715" t="s">
        <v>5081</v>
      </c>
      <c r="E715">
        <v>281</v>
      </c>
      <c r="F715" s="1">
        <v>45207</v>
      </c>
      <c r="G715" s="6">
        <v>26.270833333334139</v>
      </c>
      <c r="H715" s="7">
        <v>26.270833333334139</v>
      </c>
      <c r="I715" s="26">
        <v>4.9435000000000002</v>
      </c>
      <c r="J715" s="26">
        <f t="shared" si="27"/>
        <v>-4.9435000000000002</v>
      </c>
    </row>
    <row r="716" spans="1:10" x14ac:dyDescent="0.2">
      <c r="A716" t="s">
        <v>5082</v>
      </c>
      <c r="B716">
        <v>6.8739999999999996E-2</v>
      </c>
      <c r="C716">
        <v>281</v>
      </c>
      <c r="D716" t="s">
        <v>5082</v>
      </c>
      <c r="E716">
        <v>281</v>
      </c>
      <c r="F716" s="1">
        <v>45207</v>
      </c>
      <c r="G716" s="6">
        <v>26.281250000000806</v>
      </c>
      <c r="H716" s="7">
        <v>26.281250000000806</v>
      </c>
      <c r="I716" s="26">
        <v>4.9074999999999998</v>
      </c>
      <c r="J716" s="26">
        <f t="shared" si="27"/>
        <v>-4.9074999999999998</v>
      </c>
    </row>
    <row r="717" spans="1:10" x14ac:dyDescent="0.2">
      <c r="A717" t="s">
        <v>5083</v>
      </c>
      <c r="B717">
        <v>6.7784999999999998E-2</v>
      </c>
      <c r="C717">
        <v>281</v>
      </c>
      <c r="D717" t="s">
        <v>5083</v>
      </c>
      <c r="E717">
        <v>281</v>
      </c>
      <c r="F717" s="1">
        <v>45207</v>
      </c>
      <c r="G717" s="6">
        <v>26.291666666667474</v>
      </c>
      <c r="H717" s="7">
        <v>26.291666666667474</v>
      </c>
      <c r="I717" s="26">
        <v>4.8410000000000002</v>
      </c>
      <c r="J717" s="26">
        <f t="shared" si="27"/>
        <v>-4.8410000000000002</v>
      </c>
    </row>
    <row r="718" spans="1:10" x14ac:dyDescent="0.2">
      <c r="A718" t="s">
        <v>5084</v>
      </c>
      <c r="B718">
        <v>6.7500000000000004E-2</v>
      </c>
      <c r="C718">
        <v>281</v>
      </c>
      <c r="D718" t="s">
        <v>5084</v>
      </c>
      <c r="E718">
        <v>281</v>
      </c>
      <c r="F718" s="1">
        <v>45207</v>
      </c>
      <c r="G718" s="6">
        <v>26.302083333334142</v>
      </c>
      <c r="H718" s="7">
        <v>26.302083333334142</v>
      </c>
      <c r="I718" s="26">
        <v>4.8185000000000002</v>
      </c>
      <c r="J718" s="26">
        <f t="shared" si="27"/>
        <v>-4.8185000000000002</v>
      </c>
    </row>
    <row r="719" spans="1:10" x14ac:dyDescent="0.2">
      <c r="A719" t="s">
        <v>5085</v>
      </c>
      <c r="B719">
        <v>6.6750000000000004E-2</v>
      </c>
      <c r="C719">
        <v>281</v>
      </c>
      <c r="D719" t="s">
        <v>5085</v>
      </c>
      <c r="E719">
        <v>281</v>
      </c>
      <c r="F719" s="1">
        <v>45207</v>
      </c>
      <c r="G719" s="6">
        <v>26.31250000000081</v>
      </c>
      <c r="H719" s="7">
        <v>26.31250000000081</v>
      </c>
      <c r="I719" s="26">
        <v>4.766</v>
      </c>
      <c r="J719" s="26">
        <f t="shared" si="27"/>
        <v>-4.766</v>
      </c>
    </row>
    <row r="720" spans="1:10" x14ac:dyDescent="0.2">
      <c r="A720" t="s">
        <v>5086</v>
      </c>
      <c r="B720">
        <v>6.5079999999999999E-2</v>
      </c>
      <c r="C720">
        <v>281</v>
      </c>
      <c r="D720" t="s">
        <v>5086</v>
      </c>
      <c r="E720">
        <v>281</v>
      </c>
      <c r="F720" s="1">
        <v>45207</v>
      </c>
      <c r="G720" s="6">
        <v>26.322916666667478</v>
      </c>
      <c r="H720" s="7">
        <v>26.322916666667478</v>
      </c>
      <c r="I720" s="26">
        <v>4.6455000000000002</v>
      </c>
      <c r="J720" s="26">
        <f t="shared" si="27"/>
        <v>-4.6455000000000002</v>
      </c>
    </row>
    <row r="721" spans="1:10" x14ac:dyDescent="0.2">
      <c r="A721" t="s">
        <v>5087</v>
      </c>
      <c r="B721">
        <v>6.4509999999999998E-2</v>
      </c>
      <c r="C721">
        <v>281</v>
      </c>
      <c r="D721" t="s">
        <v>5087</v>
      </c>
      <c r="E721">
        <v>281</v>
      </c>
      <c r="F721" s="1">
        <v>45207</v>
      </c>
      <c r="G721" s="6">
        <v>26.333333333334146</v>
      </c>
      <c r="H721" s="7">
        <v>26.333333333334146</v>
      </c>
      <c r="I721" s="26">
        <v>4.6050000000000004</v>
      </c>
      <c r="J721" s="26">
        <f t="shared" si="27"/>
        <v>-4.6050000000000004</v>
      </c>
    </row>
    <row r="722" spans="1:10" x14ac:dyDescent="0.2">
      <c r="A722" t="s">
        <v>5088</v>
      </c>
      <c r="B722">
        <v>6.5144999999999995E-2</v>
      </c>
      <c r="C722">
        <v>281</v>
      </c>
      <c r="D722" t="s">
        <v>5088</v>
      </c>
      <c r="E722">
        <v>281</v>
      </c>
      <c r="F722" s="1">
        <v>45207</v>
      </c>
      <c r="G722" s="6">
        <v>26.343750000000814</v>
      </c>
      <c r="H722" s="7">
        <v>26.343750000000814</v>
      </c>
      <c r="I722" s="26">
        <v>4.6520000000000001</v>
      </c>
      <c r="J722" s="26">
        <f t="shared" si="27"/>
        <v>-4.6520000000000001</v>
      </c>
    </row>
    <row r="723" spans="1:10" x14ac:dyDescent="0.2">
      <c r="A723" t="s">
        <v>5089</v>
      </c>
      <c r="B723">
        <v>6.4195000000000002E-2</v>
      </c>
      <c r="C723">
        <v>281</v>
      </c>
      <c r="D723" t="s">
        <v>5089</v>
      </c>
      <c r="E723">
        <v>281</v>
      </c>
      <c r="F723" s="1">
        <v>45207</v>
      </c>
      <c r="G723" s="6">
        <v>26.354166666667481</v>
      </c>
      <c r="H723" s="7">
        <v>26.354166666667481</v>
      </c>
      <c r="I723" s="26">
        <v>4.5834999999999999</v>
      </c>
      <c r="J723" s="26">
        <f t="shared" si="27"/>
        <v>-4.5834999999999999</v>
      </c>
    </row>
    <row r="724" spans="1:10" x14ac:dyDescent="0.2">
      <c r="A724" t="s">
        <v>5090</v>
      </c>
      <c r="B724">
        <v>6.2890000000000001E-2</v>
      </c>
      <c r="C724">
        <v>281</v>
      </c>
      <c r="D724" t="s">
        <v>5090</v>
      </c>
      <c r="E724">
        <v>281</v>
      </c>
      <c r="F724" s="1">
        <v>45207</v>
      </c>
      <c r="G724" s="6">
        <v>26.364583333334149</v>
      </c>
      <c r="H724" s="7">
        <v>26.364583333334149</v>
      </c>
      <c r="I724" s="26">
        <v>4.4904999999999999</v>
      </c>
      <c r="J724" s="26">
        <f t="shared" si="27"/>
        <v>-4.4904999999999999</v>
      </c>
    </row>
    <row r="725" spans="1:10" x14ac:dyDescent="0.2">
      <c r="A725" t="s">
        <v>5091</v>
      </c>
      <c r="B725">
        <v>6.3365000000000005E-2</v>
      </c>
      <c r="C725">
        <v>281</v>
      </c>
      <c r="D725" t="s">
        <v>5091</v>
      </c>
      <c r="E725">
        <v>281</v>
      </c>
      <c r="F725" s="1">
        <v>45207</v>
      </c>
      <c r="G725" s="6">
        <v>26.375000000000817</v>
      </c>
      <c r="H725" s="7">
        <v>26.375000000000817</v>
      </c>
      <c r="I725" s="26">
        <v>4.5235000000000003</v>
      </c>
      <c r="J725" s="26">
        <f t="shared" si="27"/>
        <v>-4.5235000000000003</v>
      </c>
    </row>
    <row r="726" spans="1:10" x14ac:dyDescent="0.2">
      <c r="A726" t="s">
        <v>5092</v>
      </c>
      <c r="B726">
        <v>6.3045000000000004E-2</v>
      </c>
      <c r="C726">
        <v>281</v>
      </c>
      <c r="D726" t="s">
        <v>5092</v>
      </c>
      <c r="E726">
        <v>281</v>
      </c>
      <c r="F726" s="1">
        <v>45207</v>
      </c>
      <c r="G726" s="6">
        <v>26.385416666667485</v>
      </c>
      <c r="H726" s="7">
        <v>26.385416666667485</v>
      </c>
      <c r="I726" s="26">
        <v>4.5015000000000001</v>
      </c>
      <c r="J726" s="26">
        <f t="shared" si="27"/>
        <v>-4.5015000000000001</v>
      </c>
    </row>
    <row r="727" spans="1:10" x14ac:dyDescent="0.2">
      <c r="A727" t="s">
        <v>5093</v>
      </c>
      <c r="B727">
        <v>6.2875E-2</v>
      </c>
      <c r="C727">
        <v>281</v>
      </c>
      <c r="D727" t="s">
        <v>5093</v>
      </c>
      <c r="E727">
        <v>281</v>
      </c>
      <c r="F727" s="1">
        <v>45207</v>
      </c>
      <c r="G727" s="6">
        <v>26.395833333334153</v>
      </c>
      <c r="H727" s="7">
        <v>26.395833333334153</v>
      </c>
      <c r="I727" s="26">
        <v>4.4880000000000004</v>
      </c>
      <c r="J727" s="26">
        <f t="shared" si="27"/>
        <v>-4.4880000000000004</v>
      </c>
    </row>
    <row r="728" spans="1:10" x14ac:dyDescent="0.2">
      <c r="A728" t="s">
        <v>5094</v>
      </c>
      <c r="B728">
        <v>6.2399999999999997E-2</v>
      </c>
      <c r="C728">
        <v>281</v>
      </c>
      <c r="D728" t="s">
        <v>5094</v>
      </c>
      <c r="E728">
        <v>281</v>
      </c>
      <c r="F728" s="1">
        <v>45207</v>
      </c>
      <c r="G728" s="6">
        <v>26.406250000000821</v>
      </c>
      <c r="H728" s="7">
        <v>26.406250000000821</v>
      </c>
      <c r="I728" s="26">
        <v>4.4539999999999997</v>
      </c>
      <c r="J728" s="26">
        <f t="shared" si="27"/>
        <v>-4.4539999999999997</v>
      </c>
    </row>
    <row r="729" spans="1:10" x14ac:dyDescent="0.2">
      <c r="A729" t="s">
        <v>5095</v>
      </c>
      <c r="B729">
        <v>6.2445000000000001E-2</v>
      </c>
      <c r="C729">
        <v>281</v>
      </c>
      <c r="D729" t="s">
        <v>5095</v>
      </c>
      <c r="E729">
        <v>281</v>
      </c>
      <c r="F729" s="1">
        <v>45207</v>
      </c>
      <c r="G729" s="6">
        <v>26.416666666667489</v>
      </c>
      <c r="H729" s="7">
        <v>26.416666666667489</v>
      </c>
      <c r="I729" s="26">
        <v>4.4580000000000002</v>
      </c>
      <c r="J729" s="26">
        <f t="shared" si="27"/>
        <v>-4.4580000000000002</v>
      </c>
    </row>
    <row r="730" spans="1:10" x14ac:dyDescent="0.2">
      <c r="A730" t="s">
        <v>5096</v>
      </c>
      <c r="B730">
        <v>6.3009999999999997E-2</v>
      </c>
      <c r="C730">
        <v>281</v>
      </c>
      <c r="D730" t="s">
        <v>5096</v>
      </c>
      <c r="E730">
        <v>281</v>
      </c>
      <c r="F730" s="1">
        <v>45207</v>
      </c>
      <c r="G730" s="6">
        <v>26.427083333334156</v>
      </c>
      <c r="H730" s="7">
        <v>26.427083333334156</v>
      </c>
      <c r="I730" s="26">
        <v>4.5</v>
      </c>
      <c r="J730" s="26">
        <f t="shared" si="27"/>
        <v>-4.5</v>
      </c>
    </row>
    <row r="731" spans="1:10" x14ac:dyDescent="0.2">
      <c r="A731" t="s">
        <v>5097</v>
      </c>
      <c r="B731">
        <v>6.2744999999999995E-2</v>
      </c>
      <c r="C731">
        <v>281</v>
      </c>
      <c r="D731" t="s">
        <v>5097</v>
      </c>
      <c r="E731">
        <v>281</v>
      </c>
      <c r="F731" s="1">
        <v>45207</v>
      </c>
      <c r="G731" s="6">
        <v>26.437500000000824</v>
      </c>
      <c r="H731" s="7">
        <v>26.437500000000824</v>
      </c>
      <c r="I731" s="26">
        <v>4.4790000000000001</v>
      </c>
      <c r="J731" s="26">
        <f t="shared" si="27"/>
        <v>-4.4790000000000001</v>
      </c>
    </row>
    <row r="732" spans="1:10" x14ac:dyDescent="0.2">
      <c r="A732" t="s">
        <v>5098</v>
      </c>
      <c r="B732">
        <v>6.2979999999999994E-2</v>
      </c>
      <c r="C732">
        <v>281</v>
      </c>
      <c r="D732" t="s">
        <v>5098</v>
      </c>
      <c r="E732">
        <v>281</v>
      </c>
      <c r="F732" s="1">
        <v>45207</v>
      </c>
      <c r="G732" s="6">
        <v>26.447916666667492</v>
      </c>
      <c r="H732" s="7">
        <v>26.447916666667492</v>
      </c>
      <c r="I732" s="26">
        <v>4.4965000000000002</v>
      </c>
      <c r="J732" s="26">
        <f t="shared" si="27"/>
        <v>-4.4965000000000002</v>
      </c>
    </row>
    <row r="733" spans="1:10" x14ac:dyDescent="0.2">
      <c r="A733" t="s">
        <v>5099</v>
      </c>
      <c r="B733">
        <v>6.2394999999999999E-2</v>
      </c>
      <c r="C733">
        <v>281</v>
      </c>
      <c r="D733" t="s">
        <v>5099</v>
      </c>
      <c r="E733">
        <v>281</v>
      </c>
      <c r="F733" s="1">
        <v>45207</v>
      </c>
      <c r="G733" s="6">
        <v>26.45833333333416</v>
      </c>
      <c r="H733" s="7">
        <v>26.45833333333416</v>
      </c>
      <c r="I733" s="26">
        <v>4.4545000000000003</v>
      </c>
      <c r="J733" s="26">
        <f t="shared" si="27"/>
        <v>-4.4545000000000003</v>
      </c>
    </row>
    <row r="734" spans="1:10" x14ac:dyDescent="0.2">
      <c r="A734" t="s">
        <v>5100</v>
      </c>
      <c r="B734">
        <v>6.2449999999999999E-2</v>
      </c>
      <c r="C734">
        <v>281</v>
      </c>
      <c r="D734" t="s">
        <v>5100</v>
      </c>
      <c r="E734">
        <v>281</v>
      </c>
      <c r="F734" s="1">
        <v>45207</v>
      </c>
      <c r="G734" s="6">
        <v>26.468750000000828</v>
      </c>
      <c r="H734" s="7">
        <v>26.468750000000828</v>
      </c>
      <c r="I734" s="26">
        <v>4.4569999999999999</v>
      </c>
      <c r="J734" s="26">
        <f t="shared" si="27"/>
        <v>-4.4569999999999999</v>
      </c>
    </row>
    <row r="735" spans="1:10" x14ac:dyDescent="0.2">
      <c r="A735" t="s">
        <v>5101</v>
      </c>
      <c r="B735">
        <v>6.2524999999999997E-2</v>
      </c>
      <c r="C735">
        <v>281</v>
      </c>
      <c r="D735" t="s">
        <v>5101</v>
      </c>
      <c r="E735">
        <v>281</v>
      </c>
      <c r="F735" s="1">
        <v>45207</v>
      </c>
      <c r="G735" s="6">
        <v>26.479166666667496</v>
      </c>
      <c r="H735" s="7">
        <v>26.479166666667496</v>
      </c>
      <c r="I735" s="26">
        <v>4.4640000000000004</v>
      </c>
      <c r="J735" s="26">
        <f t="shared" si="27"/>
        <v>-4.4640000000000004</v>
      </c>
    </row>
    <row r="736" spans="1:10" x14ac:dyDescent="0.2">
      <c r="A736" t="s">
        <v>5102</v>
      </c>
      <c r="B736">
        <v>6.3365000000000005E-2</v>
      </c>
      <c r="C736">
        <v>281</v>
      </c>
      <c r="D736" t="s">
        <v>5102</v>
      </c>
      <c r="E736">
        <v>281</v>
      </c>
      <c r="F736" s="1">
        <v>45207</v>
      </c>
      <c r="G736" s="6">
        <v>26.489583333334163</v>
      </c>
      <c r="H736" s="7">
        <v>26.489583333334163</v>
      </c>
      <c r="I736" s="26">
        <v>4.5235000000000003</v>
      </c>
      <c r="J736" s="26">
        <f t="shared" si="27"/>
        <v>-4.5235000000000003</v>
      </c>
    </row>
    <row r="737" spans="1:10" x14ac:dyDescent="0.2">
      <c r="A737" t="s">
        <v>5103</v>
      </c>
      <c r="B737">
        <v>6.2935000000000005E-2</v>
      </c>
      <c r="C737">
        <v>281</v>
      </c>
      <c r="D737" t="s">
        <v>5103</v>
      </c>
      <c r="E737">
        <v>281</v>
      </c>
      <c r="F737" s="1">
        <v>45207</v>
      </c>
      <c r="G737" s="6">
        <v>26.500000000000831</v>
      </c>
      <c r="H737" s="7">
        <v>26.500000000000831</v>
      </c>
      <c r="I737" s="26">
        <v>4.4939999999999998</v>
      </c>
      <c r="J737" s="26">
        <f t="shared" si="27"/>
        <v>-4.4939999999999998</v>
      </c>
    </row>
    <row r="738" spans="1:10" x14ac:dyDescent="0.2">
      <c r="A738" t="s">
        <v>5104</v>
      </c>
      <c r="B738">
        <v>6.2564999999999996E-2</v>
      </c>
      <c r="C738">
        <v>281</v>
      </c>
      <c r="D738" t="s">
        <v>5104</v>
      </c>
      <c r="E738">
        <v>281</v>
      </c>
      <c r="F738" s="1">
        <v>45207</v>
      </c>
      <c r="G738" s="6">
        <v>26.510416666667499</v>
      </c>
      <c r="H738" s="7">
        <v>26.510416666667499</v>
      </c>
      <c r="I738" s="26">
        <v>4.4664999999999999</v>
      </c>
      <c r="J738" s="26">
        <f t="shared" si="27"/>
        <v>-4.4664999999999999</v>
      </c>
    </row>
    <row r="739" spans="1:10" x14ac:dyDescent="0.2">
      <c r="A739" t="s">
        <v>5105</v>
      </c>
      <c r="B739">
        <v>6.2909999999999994E-2</v>
      </c>
      <c r="C739">
        <v>281</v>
      </c>
      <c r="D739" t="s">
        <v>5105</v>
      </c>
      <c r="E739">
        <v>281</v>
      </c>
      <c r="F739" s="1">
        <v>45207</v>
      </c>
      <c r="G739" s="6">
        <v>26.520833333334167</v>
      </c>
      <c r="H739" s="7">
        <v>26.520833333334167</v>
      </c>
      <c r="I739" s="26">
        <v>4.4909999999999997</v>
      </c>
      <c r="J739" s="26">
        <f t="shared" si="27"/>
        <v>-4.4909999999999997</v>
      </c>
    </row>
    <row r="740" spans="1:10" x14ac:dyDescent="0.2">
      <c r="A740" t="s">
        <v>5106</v>
      </c>
      <c r="B740">
        <v>6.2630000000000005E-2</v>
      </c>
      <c r="C740">
        <v>281</v>
      </c>
      <c r="D740" t="s">
        <v>5106</v>
      </c>
      <c r="E740">
        <v>281</v>
      </c>
      <c r="F740" s="1">
        <v>45207</v>
      </c>
      <c r="G740" s="6">
        <v>26.531250000000835</v>
      </c>
      <c r="H740" s="7">
        <v>26.531250000000835</v>
      </c>
      <c r="I740" s="26">
        <v>4.4720000000000004</v>
      </c>
      <c r="J740" s="26">
        <f t="shared" si="27"/>
        <v>-4.4720000000000004</v>
      </c>
    </row>
    <row r="741" spans="1:10" x14ac:dyDescent="0.2">
      <c r="A741" t="s">
        <v>5107</v>
      </c>
      <c r="B741">
        <v>6.2254999999999998E-2</v>
      </c>
      <c r="C741">
        <v>281</v>
      </c>
      <c r="D741" t="s">
        <v>5107</v>
      </c>
      <c r="E741">
        <v>281</v>
      </c>
      <c r="F741" s="1">
        <v>45207</v>
      </c>
      <c r="G741" s="6">
        <v>26.541666666667503</v>
      </c>
      <c r="H741" s="7">
        <v>26.541666666667503</v>
      </c>
      <c r="I741" s="26">
        <v>4.444</v>
      </c>
      <c r="J741" s="26">
        <f t="shared" si="27"/>
        <v>-4.444</v>
      </c>
    </row>
    <row r="742" spans="1:10" x14ac:dyDescent="0.2">
      <c r="A742" t="s">
        <v>5108</v>
      </c>
      <c r="B742">
        <v>6.3204999999999997E-2</v>
      </c>
      <c r="C742">
        <v>281</v>
      </c>
      <c r="D742" t="s">
        <v>5108</v>
      </c>
      <c r="E742">
        <v>281</v>
      </c>
      <c r="F742" s="1">
        <v>45207</v>
      </c>
      <c r="G742" s="6">
        <v>26.552083333334171</v>
      </c>
      <c r="H742" s="7">
        <v>26.552083333334171</v>
      </c>
      <c r="I742" s="26" t="s">
        <v>1421</v>
      </c>
      <c r="J742" s="26">
        <f t="shared" si="27"/>
        <v>-4.5119999999999996</v>
      </c>
    </row>
    <row r="743" spans="1:10" x14ac:dyDescent="0.2">
      <c r="A743" t="s">
        <v>5109</v>
      </c>
      <c r="B743">
        <v>6.2309999999999997E-2</v>
      </c>
      <c r="C743">
        <v>281</v>
      </c>
      <c r="D743" t="s">
        <v>5109</v>
      </c>
      <c r="E743">
        <v>281</v>
      </c>
      <c r="F743" s="1">
        <v>45207</v>
      </c>
      <c r="G743" s="6">
        <v>26.562500000000838</v>
      </c>
      <c r="H743" s="7">
        <v>26.562500000000838</v>
      </c>
      <c r="I743" s="26">
        <v>4.4485000000000001</v>
      </c>
      <c r="J743" s="26">
        <f t="shared" si="27"/>
        <v>-4.4485000000000001</v>
      </c>
    </row>
    <row r="744" spans="1:10" x14ac:dyDescent="0.2">
      <c r="A744" t="s">
        <v>5110</v>
      </c>
      <c r="B744">
        <v>6.2909999999999994E-2</v>
      </c>
      <c r="C744">
        <v>281</v>
      </c>
      <c r="D744" t="s">
        <v>5110</v>
      </c>
      <c r="E744">
        <v>281</v>
      </c>
      <c r="F744" s="1">
        <v>45207</v>
      </c>
      <c r="G744" s="6">
        <v>26.572916666667506</v>
      </c>
      <c r="H744" s="7">
        <v>26.572916666667506</v>
      </c>
      <c r="I744" s="26">
        <v>4.4915000000000003</v>
      </c>
      <c r="J744" s="26">
        <f t="shared" si="27"/>
        <v>-4.4915000000000003</v>
      </c>
    </row>
    <row r="745" spans="1:10" x14ac:dyDescent="0.2">
      <c r="A745" t="s">
        <v>5111</v>
      </c>
      <c r="B745">
        <v>6.2725000000000003E-2</v>
      </c>
      <c r="C745">
        <v>281</v>
      </c>
      <c r="D745" t="s">
        <v>5111</v>
      </c>
      <c r="E745">
        <v>281</v>
      </c>
      <c r="F745" s="1">
        <v>45207</v>
      </c>
      <c r="G745" s="6">
        <v>26.583333333334174</v>
      </c>
      <c r="H745" s="7">
        <v>26.583333333334174</v>
      </c>
      <c r="I745" s="26">
        <v>4.4775</v>
      </c>
      <c r="J745" s="26">
        <f t="shared" si="27"/>
        <v>-4.4775</v>
      </c>
    </row>
    <row r="746" spans="1:10" x14ac:dyDescent="0.2">
      <c r="A746" t="s">
        <v>5112</v>
      </c>
      <c r="B746">
        <v>6.2899999999999998E-2</v>
      </c>
      <c r="C746">
        <v>281</v>
      </c>
      <c r="D746" t="s">
        <v>5112</v>
      </c>
      <c r="E746">
        <v>281</v>
      </c>
      <c r="F746" s="1">
        <v>45207</v>
      </c>
      <c r="G746" s="6">
        <v>26.593750000000842</v>
      </c>
      <c r="H746" s="7">
        <v>26.593750000000842</v>
      </c>
      <c r="I746" s="26">
        <v>4.4915000000000003</v>
      </c>
      <c r="J746" s="26">
        <f t="shared" si="27"/>
        <v>-4.4915000000000003</v>
      </c>
    </row>
    <row r="747" spans="1:10" x14ac:dyDescent="0.2">
      <c r="A747" t="s">
        <v>5113</v>
      </c>
      <c r="B747">
        <v>6.3295000000000004E-2</v>
      </c>
      <c r="C747">
        <v>282</v>
      </c>
      <c r="D747" t="s">
        <v>5113</v>
      </c>
      <c r="E747">
        <v>281</v>
      </c>
      <c r="F747" s="1">
        <v>45207</v>
      </c>
      <c r="G747" s="6">
        <v>26.60416666666751</v>
      </c>
      <c r="H747" s="7">
        <v>26.60416666666751</v>
      </c>
      <c r="I747" s="26">
        <v>4.5179999999999998</v>
      </c>
      <c r="J747" s="26">
        <f t="shared" si="27"/>
        <v>-4.5179999999999998</v>
      </c>
    </row>
    <row r="748" spans="1:10" x14ac:dyDescent="0.2">
      <c r="A748" t="s">
        <v>5114</v>
      </c>
      <c r="B748">
        <v>6.3469999999999999E-2</v>
      </c>
      <c r="C748">
        <v>282</v>
      </c>
      <c r="D748" t="s">
        <v>5114</v>
      </c>
      <c r="E748">
        <v>281</v>
      </c>
      <c r="F748" s="1">
        <v>45207</v>
      </c>
      <c r="G748" s="6">
        <v>26.614583333334178</v>
      </c>
      <c r="H748" s="7">
        <v>26.614583333334178</v>
      </c>
      <c r="I748" s="26">
        <v>4.5315000000000003</v>
      </c>
      <c r="J748" s="26">
        <f t="shared" si="27"/>
        <v>-4.5315000000000003</v>
      </c>
    </row>
    <row r="749" spans="1:10" x14ac:dyDescent="0.2">
      <c r="A749" t="s">
        <v>5115</v>
      </c>
      <c r="B749">
        <v>6.3329999999999997E-2</v>
      </c>
      <c r="C749">
        <v>282</v>
      </c>
      <c r="D749" t="s">
        <v>5115</v>
      </c>
      <c r="E749">
        <v>281</v>
      </c>
      <c r="F749" s="1">
        <v>45207</v>
      </c>
      <c r="G749" s="6">
        <v>26.625000000000846</v>
      </c>
      <c r="H749" s="7">
        <v>26.625000000000846</v>
      </c>
      <c r="I749" s="26">
        <v>4.5214999999999996</v>
      </c>
      <c r="J749" s="26">
        <f t="shared" si="27"/>
        <v>-4.5214999999999996</v>
      </c>
    </row>
    <row r="750" spans="1:10" x14ac:dyDescent="0.2">
      <c r="A750" t="s">
        <v>5116</v>
      </c>
      <c r="B750">
        <v>6.3174999999999995E-2</v>
      </c>
      <c r="C750">
        <v>282</v>
      </c>
      <c r="D750" t="s">
        <v>5116</v>
      </c>
      <c r="E750">
        <v>281</v>
      </c>
      <c r="F750" s="1">
        <v>45207</v>
      </c>
      <c r="G750" s="6">
        <v>26.635416666667513</v>
      </c>
      <c r="H750" s="7">
        <v>26.635416666667513</v>
      </c>
      <c r="I750" s="26">
        <v>4.5114999999999998</v>
      </c>
      <c r="J750" s="26">
        <f t="shared" si="27"/>
        <v>-4.5114999999999998</v>
      </c>
    </row>
    <row r="751" spans="1:10" x14ac:dyDescent="0.2">
      <c r="A751" t="s">
        <v>5117</v>
      </c>
      <c r="B751">
        <v>6.3795000000000004E-2</v>
      </c>
      <c r="C751">
        <v>282</v>
      </c>
      <c r="D751" t="s">
        <v>5117</v>
      </c>
      <c r="E751">
        <v>281</v>
      </c>
      <c r="F751" s="1">
        <v>45207</v>
      </c>
      <c r="G751" s="6">
        <v>26.645833333334181</v>
      </c>
      <c r="H751" s="7">
        <v>26.645833333334181</v>
      </c>
      <c r="I751" s="26">
        <v>4.5555000000000003</v>
      </c>
      <c r="J751" s="26">
        <f t="shared" si="27"/>
        <v>-4.5555000000000003</v>
      </c>
    </row>
    <row r="752" spans="1:10" x14ac:dyDescent="0.2">
      <c r="A752" t="s">
        <v>5118</v>
      </c>
      <c r="B752">
        <v>6.3744999999999996E-2</v>
      </c>
      <c r="C752">
        <v>282</v>
      </c>
      <c r="D752" t="s">
        <v>5118</v>
      </c>
      <c r="E752">
        <v>281</v>
      </c>
      <c r="F752" s="1">
        <v>45207</v>
      </c>
      <c r="G752" s="6">
        <v>26.656250000000849</v>
      </c>
      <c r="H752" s="7">
        <v>26.656250000000849</v>
      </c>
      <c r="I752" s="26">
        <v>4.5514999999999999</v>
      </c>
      <c r="J752" s="26">
        <f t="shared" si="27"/>
        <v>-4.5514999999999999</v>
      </c>
    </row>
    <row r="753" spans="1:10" x14ac:dyDescent="0.2">
      <c r="A753" t="s">
        <v>5119</v>
      </c>
      <c r="B753">
        <v>6.3824999999999896E-2</v>
      </c>
      <c r="C753">
        <v>282</v>
      </c>
      <c r="D753" t="s">
        <v>5119</v>
      </c>
      <c r="E753">
        <v>281</v>
      </c>
      <c r="F753" s="1">
        <v>45207</v>
      </c>
      <c r="G753" s="6">
        <v>26.666666666667517</v>
      </c>
      <c r="H753" s="7">
        <v>26.666666666667517</v>
      </c>
      <c r="I753" s="26">
        <v>4.5549999999999997</v>
      </c>
      <c r="J753" s="26">
        <f t="shared" si="27"/>
        <v>-4.5549999999999997</v>
      </c>
    </row>
    <row r="754" spans="1:10" x14ac:dyDescent="0.2">
      <c r="A754" t="s">
        <v>5120</v>
      </c>
      <c r="B754">
        <v>6.4189999999999997E-2</v>
      </c>
      <c r="C754">
        <v>282</v>
      </c>
      <c r="D754" t="s">
        <v>5120</v>
      </c>
      <c r="E754">
        <v>281</v>
      </c>
      <c r="F754" s="1">
        <v>45207</v>
      </c>
      <c r="G754" s="6">
        <v>26.677083333334185</v>
      </c>
      <c r="H754" s="7">
        <v>26.677083333334185</v>
      </c>
      <c r="I754" s="26">
        <v>4.5819999999999999</v>
      </c>
      <c r="J754" s="26">
        <f t="shared" si="27"/>
        <v>-4.5819999999999999</v>
      </c>
    </row>
    <row r="755" spans="1:10" x14ac:dyDescent="0.2">
      <c r="A755" t="s">
        <v>5121</v>
      </c>
      <c r="B755">
        <v>6.4354999999999996E-2</v>
      </c>
      <c r="C755">
        <v>282</v>
      </c>
      <c r="D755" t="s">
        <v>5121</v>
      </c>
      <c r="E755">
        <v>281</v>
      </c>
      <c r="F755" s="1">
        <v>45207</v>
      </c>
      <c r="G755" s="6">
        <v>26.687500000000853</v>
      </c>
      <c r="H755" s="7">
        <v>26.687500000000853</v>
      </c>
      <c r="I755" s="26">
        <v>4.5964999999999998</v>
      </c>
      <c r="J755" s="26">
        <f t="shared" si="27"/>
        <v>-4.5964999999999998</v>
      </c>
    </row>
    <row r="756" spans="1:10" x14ac:dyDescent="0.2">
      <c r="A756" t="s">
        <v>5122</v>
      </c>
      <c r="B756">
        <v>6.5015000000000003E-2</v>
      </c>
      <c r="C756">
        <v>282</v>
      </c>
      <c r="D756" t="s">
        <v>5122</v>
      </c>
      <c r="E756">
        <v>281</v>
      </c>
      <c r="F756" s="1">
        <v>45207</v>
      </c>
      <c r="G756" s="6">
        <v>26.697916666667521</v>
      </c>
      <c r="H756" s="7">
        <v>26.697916666667521</v>
      </c>
      <c r="I756" s="26">
        <v>4.641</v>
      </c>
      <c r="J756" s="26">
        <f t="shared" si="27"/>
        <v>-4.641</v>
      </c>
    </row>
    <row r="757" spans="1:10" x14ac:dyDescent="0.2">
      <c r="A757" t="s">
        <v>5123</v>
      </c>
      <c r="B757">
        <v>6.5865000000000007E-2</v>
      </c>
      <c r="C757">
        <v>282</v>
      </c>
      <c r="D757" t="s">
        <v>5123</v>
      </c>
      <c r="E757">
        <v>281</v>
      </c>
      <c r="F757" s="1">
        <v>45207</v>
      </c>
      <c r="G757" s="6">
        <v>26.708333333334188</v>
      </c>
      <c r="H757" s="7">
        <v>26.708333333334188</v>
      </c>
      <c r="I757" s="26">
        <v>4.702</v>
      </c>
      <c r="J757" s="26">
        <f t="shared" si="27"/>
        <v>-4.702</v>
      </c>
    </row>
    <row r="758" spans="1:10" x14ac:dyDescent="0.2">
      <c r="A758" t="s">
        <v>5124</v>
      </c>
      <c r="B758">
        <v>6.6244999999999998E-2</v>
      </c>
      <c r="C758">
        <v>282</v>
      </c>
      <c r="D758" t="s">
        <v>5124</v>
      </c>
      <c r="E758">
        <v>281</v>
      </c>
      <c r="F758" s="1">
        <v>45207</v>
      </c>
      <c r="G758" s="6">
        <v>26.718750000000856</v>
      </c>
      <c r="H758" s="7">
        <v>26.718750000000856</v>
      </c>
      <c r="I758" s="26">
        <v>4.7294999999999998</v>
      </c>
      <c r="J758" s="26">
        <f t="shared" si="27"/>
        <v>-4.7294999999999998</v>
      </c>
    </row>
    <row r="759" spans="1:10" x14ac:dyDescent="0.2">
      <c r="A759" t="s">
        <v>5125</v>
      </c>
      <c r="B759">
        <v>6.6235000000000002E-2</v>
      </c>
      <c r="C759">
        <v>282</v>
      </c>
      <c r="D759" t="s">
        <v>5125</v>
      </c>
      <c r="E759">
        <v>281</v>
      </c>
      <c r="F759" s="1">
        <v>45207</v>
      </c>
      <c r="G759" s="6">
        <v>26.729166666667524</v>
      </c>
      <c r="H759" s="7">
        <v>26.729166666667524</v>
      </c>
      <c r="I759" s="26">
        <v>4.7300000000000004</v>
      </c>
      <c r="J759" s="26">
        <f t="shared" si="27"/>
        <v>-4.7300000000000004</v>
      </c>
    </row>
    <row r="760" spans="1:10" x14ac:dyDescent="0.2">
      <c r="A760" t="s">
        <v>5126</v>
      </c>
      <c r="B760">
        <v>6.6394999999999996E-2</v>
      </c>
      <c r="C760">
        <v>282</v>
      </c>
      <c r="D760" t="s">
        <v>5126</v>
      </c>
      <c r="E760">
        <v>281</v>
      </c>
      <c r="F760" s="1">
        <v>45207</v>
      </c>
      <c r="G760" s="6">
        <v>26.739583333334192</v>
      </c>
      <c r="H760" s="7">
        <v>26.739583333334192</v>
      </c>
      <c r="I760" s="26">
        <v>4.7385000000000002</v>
      </c>
      <c r="J760" s="26">
        <f t="shared" si="27"/>
        <v>-4.7385000000000002</v>
      </c>
    </row>
    <row r="761" spans="1:10" x14ac:dyDescent="0.2">
      <c r="A761" t="s">
        <v>5127</v>
      </c>
      <c r="B761">
        <v>6.7080000000000001E-2</v>
      </c>
      <c r="C761">
        <v>282</v>
      </c>
      <c r="D761" t="s">
        <v>5127</v>
      </c>
      <c r="E761">
        <v>281</v>
      </c>
      <c r="F761" s="1">
        <v>45207</v>
      </c>
      <c r="G761" s="6">
        <v>26.75000000000086</v>
      </c>
      <c r="H761" s="7">
        <v>26.75000000000086</v>
      </c>
      <c r="I761" s="26">
        <v>4.7889999999999997</v>
      </c>
      <c r="J761" s="26">
        <f t="shared" si="27"/>
        <v>-4.7889999999999997</v>
      </c>
    </row>
    <row r="762" spans="1:10" x14ac:dyDescent="0.2">
      <c r="A762" t="s">
        <v>5128</v>
      </c>
      <c r="B762">
        <v>6.8495E-2</v>
      </c>
      <c r="C762">
        <v>282</v>
      </c>
      <c r="D762" t="s">
        <v>5128</v>
      </c>
      <c r="E762">
        <v>281</v>
      </c>
      <c r="F762" s="1">
        <v>45207</v>
      </c>
      <c r="G762" s="6">
        <v>26.760416666667528</v>
      </c>
      <c r="H762" s="7">
        <v>26.760416666667528</v>
      </c>
      <c r="I762" s="26">
        <v>4.8905000000000003</v>
      </c>
      <c r="J762" s="26">
        <f t="shared" si="27"/>
        <v>-4.8905000000000003</v>
      </c>
    </row>
    <row r="763" spans="1:10" x14ac:dyDescent="0.2">
      <c r="A763" t="s">
        <v>5129</v>
      </c>
      <c r="B763">
        <v>6.8529999999999994E-2</v>
      </c>
      <c r="C763">
        <v>282</v>
      </c>
      <c r="D763" t="s">
        <v>5129</v>
      </c>
      <c r="E763">
        <v>281</v>
      </c>
      <c r="F763" s="1">
        <v>45207</v>
      </c>
      <c r="G763" s="6">
        <v>26.770833333334195</v>
      </c>
      <c r="H763" s="7">
        <v>26.770833333334195</v>
      </c>
      <c r="I763" s="26">
        <v>4.8920000000000003</v>
      </c>
      <c r="J763" s="26">
        <f t="shared" si="27"/>
        <v>-4.8920000000000003</v>
      </c>
    </row>
    <row r="764" spans="1:10" x14ac:dyDescent="0.2">
      <c r="A764" t="s">
        <v>5130</v>
      </c>
      <c r="B764">
        <v>6.9055000000000005E-2</v>
      </c>
      <c r="C764">
        <v>282</v>
      </c>
      <c r="D764" t="s">
        <v>5130</v>
      </c>
      <c r="E764">
        <v>281</v>
      </c>
      <c r="F764" s="1">
        <v>45207</v>
      </c>
      <c r="G764" s="6">
        <v>26.781250000000863</v>
      </c>
      <c r="H764" s="7">
        <v>26.781250000000863</v>
      </c>
      <c r="I764" s="26">
        <v>4.9305000000000003</v>
      </c>
      <c r="J764" s="26">
        <f t="shared" si="27"/>
        <v>-4.9305000000000003</v>
      </c>
    </row>
    <row r="765" spans="1:10" x14ac:dyDescent="0.2">
      <c r="A765" t="s">
        <v>5131</v>
      </c>
      <c r="B765">
        <v>6.9889999999999994E-2</v>
      </c>
      <c r="C765">
        <v>282</v>
      </c>
      <c r="D765" t="s">
        <v>5131</v>
      </c>
      <c r="E765">
        <v>281</v>
      </c>
      <c r="F765" s="1">
        <v>45207</v>
      </c>
      <c r="G765" s="6">
        <v>26.791666666667531</v>
      </c>
      <c r="H765" s="7">
        <v>26.791666666667531</v>
      </c>
      <c r="I765" s="26">
        <v>4.9894999999999996</v>
      </c>
      <c r="J765" s="26">
        <f t="shared" si="27"/>
        <v>-4.9894999999999996</v>
      </c>
    </row>
    <row r="766" spans="1:10" x14ac:dyDescent="0.2">
      <c r="A766" t="s">
        <v>5132</v>
      </c>
      <c r="B766">
        <v>6.9324999999999998E-2</v>
      </c>
      <c r="C766">
        <v>282</v>
      </c>
      <c r="D766" t="s">
        <v>5132</v>
      </c>
      <c r="E766">
        <v>281</v>
      </c>
      <c r="F766" s="1">
        <v>45207</v>
      </c>
      <c r="G766" s="6">
        <v>26.802083333334199</v>
      </c>
      <c r="H766" s="7">
        <v>26.802083333334199</v>
      </c>
      <c r="I766" s="26">
        <v>4.9504999999999999</v>
      </c>
      <c r="J766" s="26">
        <f t="shared" si="27"/>
        <v>-4.9504999999999999</v>
      </c>
    </row>
    <row r="767" spans="1:10" x14ac:dyDescent="0.2">
      <c r="A767" t="s">
        <v>5133</v>
      </c>
      <c r="B767">
        <v>7.0440000000000003E-2</v>
      </c>
      <c r="C767">
        <v>282</v>
      </c>
      <c r="D767" t="s">
        <v>5133</v>
      </c>
      <c r="E767">
        <v>281</v>
      </c>
      <c r="F767" s="1">
        <v>45207</v>
      </c>
      <c r="G767" s="6">
        <v>26.812500000000867</v>
      </c>
      <c r="H767" s="7">
        <v>26.812500000000867</v>
      </c>
      <c r="I767" s="26">
        <v>5.0289999999999999</v>
      </c>
      <c r="J767" s="26">
        <f t="shared" si="27"/>
        <v>-5.0289999999999999</v>
      </c>
    </row>
    <row r="768" spans="1:10" x14ac:dyDescent="0.2">
      <c r="A768" t="s">
        <v>5134</v>
      </c>
      <c r="B768">
        <v>7.0330000000000004E-2</v>
      </c>
      <c r="C768">
        <v>282</v>
      </c>
      <c r="D768" t="s">
        <v>5134</v>
      </c>
      <c r="E768">
        <v>281</v>
      </c>
      <c r="F768" s="1">
        <v>45207</v>
      </c>
      <c r="G768" s="6">
        <v>26.822916666667535</v>
      </c>
      <c r="H768" s="7">
        <v>26.822916666667535</v>
      </c>
      <c r="I768" s="26">
        <v>5.0214999999999996</v>
      </c>
      <c r="J768" s="26">
        <f t="shared" si="27"/>
        <v>-5.0214999999999996</v>
      </c>
    </row>
    <row r="769" spans="1:10" x14ac:dyDescent="0.2">
      <c r="A769" t="s">
        <v>5135</v>
      </c>
      <c r="B769">
        <v>7.0455000000000004E-2</v>
      </c>
      <c r="C769">
        <v>282</v>
      </c>
      <c r="D769" t="s">
        <v>5135</v>
      </c>
      <c r="E769">
        <v>281</v>
      </c>
      <c r="F769" s="1">
        <v>45207</v>
      </c>
      <c r="G769" s="6">
        <v>26.833333333334203</v>
      </c>
      <c r="H769" s="7">
        <v>26.833333333334203</v>
      </c>
      <c r="I769" s="26">
        <v>5.0289999999999999</v>
      </c>
      <c r="J769" s="26">
        <f t="shared" si="27"/>
        <v>-5.0289999999999999</v>
      </c>
    </row>
    <row r="770" spans="1:10" x14ac:dyDescent="0.2">
      <c r="A770" t="s">
        <v>5136</v>
      </c>
      <c r="B770">
        <v>7.0944999999999994E-2</v>
      </c>
      <c r="C770">
        <v>282</v>
      </c>
      <c r="D770" t="s">
        <v>5136</v>
      </c>
      <c r="E770">
        <v>281</v>
      </c>
      <c r="F770" s="1">
        <v>45207</v>
      </c>
      <c r="G770" s="6">
        <v>26.84375000000087</v>
      </c>
      <c r="H770" s="7">
        <v>26.84375000000087</v>
      </c>
      <c r="I770" s="26">
        <v>5.0655000000000001</v>
      </c>
      <c r="J770" s="26">
        <f t="shared" si="27"/>
        <v>-5.0655000000000001</v>
      </c>
    </row>
    <row r="771" spans="1:10" x14ac:dyDescent="0.2">
      <c r="A771" t="s">
        <v>5137</v>
      </c>
      <c r="B771">
        <v>7.0745000000000002E-2</v>
      </c>
      <c r="C771">
        <v>282</v>
      </c>
      <c r="D771" t="s">
        <v>5137</v>
      </c>
      <c r="E771">
        <v>282</v>
      </c>
      <c r="F771" s="1">
        <v>45208</v>
      </c>
      <c r="G771" s="6">
        <v>26.854166666667538</v>
      </c>
      <c r="H771" s="7">
        <v>26.854166666667538</v>
      </c>
      <c r="I771" s="26">
        <v>5.05</v>
      </c>
      <c r="J771" s="26">
        <f t="shared" ref="J771:J834" si="28">-I771</f>
        <v>-5.05</v>
      </c>
    </row>
    <row r="772" spans="1:10" x14ac:dyDescent="0.2">
      <c r="A772" t="s">
        <v>5138</v>
      </c>
      <c r="B772">
        <v>7.1344999999999895E-2</v>
      </c>
      <c r="C772">
        <v>282</v>
      </c>
      <c r="D772" t="s">
        <v>5138</v>
      </c>
      <c r="E772">
        <v>282</v>
      </c>
      <c r="F772" s="1">
        <v>45208</v>
      </c>
      <c r="G772" s="6">
        <v>26.864583333334206</v>
      </c>
      <c r="H772" s="7">
        <v>26.864583333334206</v>
      </c>
      <c r="I772" s="26">
        <v>5.093</v>
      </c>
      <c r="J772" s="26">
        <f t="shared" si="28"/>
        <v>-5.093</v>
      </c>
    </row>
    <row r="773" spans="1:10" x14ac:dyDescent="0.2">
      <c r="A773" t="s">
        <v>5139</v>
      </c>
      <c r="B773">
        <v>7.177E-2</v>
      </c>
      <c r="C773">
        <v>282</v>
      </c>
      <c r="D773" t="s">
        <v>5139</v>
      </c>
      <c r="E773">
        <v>282</v>
      </c>
      <c r="F773" s="1">
        <v>45208</v>
      </c>
      <c r="G773" s="6">
        <v>26.875000000000874</v>
      </c>
      <c r="H773" s="7">
        <v>26.875000000000874</v>
      </c>
      <c r="I773" s="26">
        <v>5.1239999999999997</v>
      </c>
      <c r="J773" s="26">
        <f t="shared" si="28"/>
        <v>-5.1239999999999997</v>
      </c>
    </row>
    <row r="774" spans="1:10" x14ac:dyDescent="0.2">
      <c r="A774" t="s">
        <v>5140</v>
      </c>
      <c r="B774">
        <v>7.1650000000000005E-2</v>
      </c>
      <c r="C774">
        <v>282</v>
      </c>
      <c r="D774" t="s">
        <v>5140</v>
      </c>
      <c r="E774">
        <v>282</v>
      </c>
      <c r="F774" s="1">
        <v>45208</v>
      </c>
      <c r="G774" s="6">
        <v>26.885416666667542</v>
      </c>
      <c r="H774" s="7">
        <v>26.885416666667542</v>
      </c>
      <c r="I774" s="26">
        <v>5.1150000000000002</v>
      </c>
      <c r="J774" s="26">
        <f t="shared" si="28"/>
        <v>-5.1150000000000002</v>
      </c>
    </row>
    <row r="775" spans="1:10" x14ac:dyDescent="0.2">
      <c r="A775" t="s">
        <v>5141</v>
      </c>
      <c r="B775">
        <v>7.1389999999999995E-2</v>
      </c>
      <c r="C775">
        <v>282</v>
      </c>
      <c r="D775" t="s">
        <v>5141</v>
      </c>
      <c r="E775">
        <v>282</v>
      </c>
      <c r="F775" s="1">
        <v>45208</v>
      </c>
      <c r="G775" s="6">
        <v>26.89583333333421</v>
      </c>
      <c r="H775" s="7">
        <v>26.89583333333421</v>
      </c>
      <c r="I775" s="26">
        <v>5.0979999999999999</v>
      </c>
      <c r="J775" s="26">
        <f t="shared" si="28"/>
        <v>-5.0979999999999999</v>
      </c>
    </row>
    <row r="776" spans="1:10" x14ac:dyDescent="0.2">
      <c r="A776" t="s">
        <v>5142</v>
      </c>
      <c r="B776">
        <v>7.1525000000000005E-2</v>
      </c>
      <c r="C776">
        <v>282</v>
      </c>
      <c r="D776" t="s">
        <v>5142</v>
      </c>
      <c r="E776">
        <v>282</v>
      </c>
      <c r="F776" s="1">
        <v>45208</v>
      </c>
      <c r="G776" s="6">
        <v>26.906250000000878</v>
      </c>
      <c r="H776" s="7">
        <v>26.906250000000878</v>
      </c>
      <c r="I776" s="26">
        <v>5.1079999999999997</v>
      </c>
      <c r="J776" s="26">
        <f t="shared" si="28"/>
        <v>-5.1079999999999997</v>
      </c>
    </row>
    <row r="777" spans="1:10" x14ac:dyDescent="0.2">
      <c r="A777" t="s">
        <v>5143</v>
      </c>
      <c r="B777">
        <v>7.1425000000000002E-2</v>
      </c>
      <c r="C777">
        <v>282</v>
      </c>
      <c r="D777" t="s">
        <v>5143</v>
      </c>
      <c r="E777">
        <v>282</v>
      </c>
      <c r="F777" s="1">
        <v>45208</v>
      </c>
      <c r="G777" s="6">
        <v>26.916666666667545</v>
      </c>
      <c r="H777" s="7">
        <v>26.916666666667545</v>
      </c>
      <c r="I777" s="26">
        <v>5.0999999999999996</v>
      </c>
      <c r="J777" s="26">
        <f t="shared" si="28"/>
        <v>-5.0999999999999996</v>
      </c>
    </row>
    <row r="778" spans="1:10" x14ac:dyDescent="0.2">
      <c r="A778" t="s">
        <v>5144</v>
      </c>
      <c r="B778">
        <v>7.0855000000000001E-2</v>
      </c>
      <c r="C778">
        <v>282</v>
      </c>
      <c r="D778" t="s">
        <v>5144</v>
      </c>
      <c r="E778">
        <v>282</v>
      </c>
      <c r="F778" s="1">
        <v>45208</v>
      </c>
      <c r="G778" s="6">
        <v>26.927083333334213</v>
      </c>
      <c r="H778" s="7">
        <v>26.927083333334213</v>
      </c>
      <c r="I778" s="26">
        <v>5.0594999999999999</v>
      </c>
      <c r="J778" s="26">
        <f t="shared" si="28"/>
        <v>-5.0594999999999999</v>
      </c>
    </row>
    <row r="779" spans="1:10" x14ac:dyDescent="0.2">
      <c r="A779" t="s">
        <v>5145</v>
      </c>
      <c r="B779">
        <v>7.0970000000000005E-2</v>
      </c>
      <c r="C779">
        <v>282</v>
      </c>
      <c r="D779" t="s">
        <v>5145</v>
      </c>
      <c r="E779">
        <v>282</v>
      </c>
      <c r="F779" s="1">
        <v>45208</v>
      </c>
      <c r="G779" s="6">
        <v>26.937500000000881</v>
      </c>
      <c r="H779" s="7">
        <v>26.937500000000881</v>
      </c>
      <c r="I779" s="26">
        <v>5.0685000000000002</v>
      </c>
      <c r="J779" s="26">
        <f t="shared" si="28"/>
        <v>-5.0685000000000002</v>
      </c>
    </row>
    <row r="780" spans="1:10" x14ac:dyDescent="0.2">
      <c r="A780" t="s">
        <v>5146</v>
      </c>
      <c r="B780">
        <v>7.1355000000000002E-2</v>
      </c>
      <c r="C780">
        <v>282</v>
      </c>
      <c r="D780" t="s">
        <v>5146</v>
      </c>
      <c r="E780">
        <v>282</v>
      </c>
      <c r="F780" s="1">
        <v>45208</v>
      </c>
      <c r="G780" s="6">
        <v>26.947916666667549</v>
      </c>
      <c r="H780" s="7">
        <v>26.947916666667549</v>
      </c>
      <c r="I780" s="26">
        <v>5.0949999999999998</v>
      </c>
      <c r="J780" s="26">
        <f t="shared" si="28"/>
        <v>-5.0949999999999998</v>
      </c>
    </row>
    <row r="781" spans="1:10" x14ac:dyDescent="0.2">
      <c r="A781" t="s">
        <v>5147</v>
      </c>
      <c r="B781">
        <v>7.1215000000000001E-2</v>
      </c>
      <c r="C781">
        <v>282</v>
      </c>
      <c r="D781" t="s">
        <v>5147</v>
      </c>
      <c r="E781">
        <v>282</v>
      </c>
      <c r="F781" s="1">
        <v>45208</v>
      </c>
      <c r="G781" s="6">
        <v>26.958333333334217</v>
      </c>
      <c r="H781" s="7">
        <v>26.958333333334217</v>
      </c>
      <c r="I781" s="26">
        <v>5.0839999999999996</v>
      </c>
      <c r="J781" s="26">
        <f t="shared" si="28"/>
        <v>-5.0839999999999996</v>
      </c>
    </row>
    <row r="782" spans="1:10" x14ac:dyDescent="0.2">
      <c r="A782" t="s">
        <v>5148</v>
      </c>
      <c r="B782">
        <v>7.2755E-2</v>
      </c>
      <c r="C782">
        <v>282</v>
      </c>
      <c r="D782" t="s">
        <v>5148</v>
      </c>
      <c r="E782">
        <v>282</v>
      </c>
      <c r="F782" s="1">
        <v>45208</v>
      </c>
      <c r="G782" s="6">
        <v>26.968750000000885</v>
      </c>
      <c r="H782" s="7">
        <v>26.968750000000885</v>
      </c>
      <c r="I782" s="26">
        <v>5.1935000000000002</v>
      </c>
      <c r="J782" s="26">
        <f t="shared" si="28"/>
        <v>-5.1935000000000002</v>
      </c>
    </row>
    <row r="783" spans="1:10" x14ac:dyDescent="0.2">
      <c r="A783" t="s">
        <v>5149</v>
      </c>
      <c r="B783">
        <v>7.152E-2</v>
      </c>
      <c r="C783">
        <v>282</v>
      </c>
      <c r="D783" t="s">
        <v>5149</v>
      </c>
      <c r="E783">
        <v>282</v>
      </c>
      <c r="F783" s="1">
        <v>45208</v>
      </c>
      <c r="G783" s="6">
        <v>26.979166666667552</v>
      </c>
      <c r="H783" s="7">
        <v>26.979166666667552</v>
      </c>
      <c r="I783" s="26">
        <v>5.1059999999999999</v>
      </c>
      <c r="J783" s="26">
        <f t="shared" si="28"/>
        <v>-5.1059999999999999</v>
      </c>
    </row>
    <row r="784" spans="1:10" x14ac:dyDescent="0.2">
      <c r="A784" t="s">
        <v>5150</v>
      </c>
      <c r="B784">
        <v>7.1014999999999995E-2</v>
      </c>
      <c r="C784">
        <v>282</v>
      </c>
      <c r="D784" t="s">
        <v>5150</v>
      </c>
      <c r="E784">
        <v>282</v>
      </c>
      <c r="F784" s="1">
        <v>45208</v>
      </c>
      <c r="G784" s="6">
        <v>26.98958333333422</v>
      </c>
      <c r="H784" s="7">
        <v>26.98958333333422</v>
      </c>
      <c r="I784" s="26">
        <v>5.0705</v>
      </c>
      <c r="J784" s="26">
        <f t="shared" si="28"/>
        <v>-5.0705</v>
      </c>
    </row>
    <row r="785" spans="1:10" x14ac:dyDescent="0.2">
      <c r="A785" t="s">
        <v>5151</v>
      </c>
      <c r="B785">
        <v>7.0910000000000001E-2</v>
      </c>
      <c r="C785">
        <v>282</v>
      </c>
      <c r="D785" t="s">
        <v>5151</v>
      </c>
      <c r="E785">
        <v>282</v>
      </c>
      <c r="F785" s="1">
        <v>45208</v>
      </c>
      <c r="G785" s="6">
        <v>27.000000000000888</v>
      </c>
      <c r="H785" s="7">
        <v>27.000000000000888</v>
      </c>
      <c r="I785" s="26">
        <v>5.0640000000000001</v>
      </c>
      <c r="J785" s="26">
        <f t="shared" si="28"/>
        <v>-5.0640000000000001</v>
      </c>
    </row>
    <row r="786" spans="1:10" x14ac:dyDescent="0.2">
      <c r="A786" t="s">
        <v>5152</v>
      </c>
      <c r="B786">
        <v>7.1099999999999997E-2</v>
      </c>
      <c r="C786">
        <v>282</v>
      </c>
      <c r="D786" t="s">
        <v>5152</v>
      </c>
      <c r="E786">
        <v>282</v>
      </c>
      <c r="F786" s="1">
        <v>45208</v>
      </c>
      <c r="G786" s="6">
        <v>27.010416666667556</v>
      </c>
      <c r="H786" s="7">
        <v>27.010416666667556</v>
      </c>
      <c r="I786" s="26">
        <v>5.0765000000000002</v>
      </c>
      <c r="J786" s="26">
        <f t="shared" si="28"/>
        <v>-5.0765000000000002</v>
      </c>
    </row>
    <row r="787" spans="1:10" x14ac:dyDescent="0.2">
      <c r="A787" t="s">
        <v>5153</v>
      </c>
      <c r="B787">
        <v>7.1014999999999995E-2</v>
      </c>
      <c r="C787">
        <v>282</v>
      </c>
      <c r="D787" t="s">
        <v>5153</v>
      </c>
      <c r="E787">
        <v>282</v>
      </c>
      <c r="F787" s="1">
        <v>45208</v>
      </c>
      <c r="G787" s="6">
        <v>27.020833333334224</v>
      </c>
      <c r="H787" s="7">
        <v>27.020833333334224</v>
      </c>
      <c r="I787" s="26">
        <v>5.0705</v>
      </c>
      <c r="J787" s="26">
        <f t="shared" si="28"/>
        <v>-5.0705</v>
      </c>
    </row>
    <row r="788" spans="1:10" x14ac:dyDescent="0.2">
      <c r="A788" t="s">
        <v>5154</v>
      </c>
      <c r="B788">
        <v>7.0999999999999994E-2</v>
      </c>
      <c r="C788">
        <v>282</v>
      </c>
      <c r="D788" t="s">
        <v>5154</v>
      </c>
      <c r="E788">
        <v>282</v>
      </c>
      <c r="F788" s="1">
        <v>45208</v>
      </c>
      <c r="G788" s="6">
        <v>27.031250000000892</v>
      </c>
      <c r="H788" s="7">
        <v>27.031250000000892</v>
      </c>
      <c r="I788" s="26">
        <v>5.0679999999999996</v>
      </c>
      <c r="J788" s="26">
        <f t="shared" si="28"/>
        <v>-5.0679999999999996</v>
      </c>
    </row>
    <row r="789" spans="1:10" x14ac:dyDescent="0.2">
      <c r="A789" t="s">
        <v>5155</v>
      </c>
      <c r="B789">
        <v>7.1650000000000005E-2</v>
      </c>
      <c r="C789">
        <v>282</v>
      </c>
      <c r="D789" t="s">
        <v>5155</v>
      </c>
      <c r="E789">
        <v>282</v>
      </c>
      <c r="F789" s="1">
        <v>45208</v>
      </c>
      <c r="G789" s="6">
        <v>27.04166666666756</v>
      </c>
      <c r="H789" s="7">
        <v>27.04166666666756</v>
      </c>
      <c r="I789" s="26">
        <v>5.1150000000000002</v>
      </c>
      <c r="J789" s="26">
        <f t="shared" si="28"/>
        <v>-5.1150000000000002</v>
      </c>
    </row>
    <row r="790" spans="1:10" x14ac:dyDescent="0.2">
      <c r="A790" t="s">
        <v>5156</v>
      </c>
      <c r="B790">
        <v>7.0694999999999994E-2</v>
      </c>
      <c r="C790">
        <v>282</v>
      </c>
      <c r="D790" t="s">
        <v>5156</v>
      </c>
      <c r="E790">
        <v>282</v>
      </c>
      <c r="F790" s="1">
        <v>45208</v>
      </c>
      <c r="G790" s="6">
        <v>27.052083333334227</v>
      </c>
      <c r="H790" s="7">
        <v>27.052083333334227</v>
      </c>
      <c r="I790" s="26">
        <v>5.048</v>
      </c>
      <c r="J790" s="26">
        <f t="shared" si="28"/>
        <v>-5.048</v>
      </c>
    </row>
    <row r="791" spans="1:10" x14ac:dyDescent="0.2">
      <c r="A791" t="s">
        <v>5157</v>
      </c>
      <c r="B791">
        <v>7.1150000000000005E-2</v>
      </c>
      <c r="C791">
        <v>282</v>
      </c>
      <c r="D791" t="s">
        <v>5157</v>
      </c>
      <c r="E791">
        <v>282</v>
      </c>
      <c r="F791" s="1">
        <v>45208</v>
      </c>
      <c r="G791" s="6">
        <v>27.062500000000895</v>
      </c>
      <c r="H791" s="7">
        <v>27.062500000000895</v>
      </c>
      <c r="I791" s="26">
        <v>5.08</v>
      </c>
      <c r="J791" s="26">
        <f t="shared" si="28"/>
        <v>-5.08</v>
      </c>
    </row>
    <row r="792" spans="1:10" x14ac:dyDescent="0.2">
      <c r="A792" t="s">
        <v>5158</v>
      </c>
      <c r="B792">
        <v>7.1165000000000006E-2</v>
      </c>
      <c r="C792">
        <v>282</v>
      </c>
      <c r="D792" t="s">
        <v>5158</v>
      </c>
      <c r="E792">
        <v>282</v>
      </c>
      <c r="F792" s="1">
        <v>45208</v>
      </c>
      <c r="G792" s="6">
        <v>27.072916666667563</v>
      </c>
      <c r="H792" s="7">
        <v>27.072916666667563</v>
      </c>
      <c r="I792" s="26">
        <v>5.0830000000000002</v>
      </c>
      <c r="J792" s="26">
        <f t="shared" si="28"/>
        <v>-5.0830000000000002</v>
      </c>
    </row>
    <row r="793" spans="1:10" x14ac:dyDescent="0.2">
      <c r="A793" t="s">
        <v>5159</v>
      </c>
      <c r="B793">
        <v>7.1319999999999995E-2</v>
      </c>
      <c r="C793">
        <v>282</v>
      </c>
      <c r="D793" t="s">
        <v>5159</v>
      </c>
      <c r="E793">
        <v>282</v>
      </c>
      <c r="F793" s="1">
        <v>45208</v>
      </c>
      <c r="G793" s="6">
        <v>27.083333333334231</v>
      </c>
      <c r="H793" s="7">
        <v>27.083333333334231</v>
      </c>
      <c r="I793" s="26">
        <v>5.0925000000000002</v>
      </c>
      <c r="J793" s="26">
        <f t="shared" si="28"/>
        <v>-5.0925000000000002</v>
      </c>
    </row>
    <row r="794" spans="1:10" x14ac:dyDescent="0.2">
      <c r="A794" t="s">
        <v>5160</v>
      </c>
      <c r="B794">
        <v>7.1069999999999994E-2</v>
      </c>
      <c r="C794">
        <v>282</v>
      </c>
      <c r="D794" t="s">
        <v>5160</v>
      </c>
      <c r="E794">
        <v>282</v>
      </c>
      <c r="F794" s="1">
        <v>45208</v>
      </c>
      <c r="G794" s="6">
        <v>27.093750000000899</v>
      </c>
      <c r="H794" s="7">
        <v>27.093750000000899</v>
      </c>
      <c r="I794" s="26" t="s">
        <v>5161</v>
      </c>
      <c r="J794" s="26">
        <f t="shared" si="28"/>
        <v>-5.0744999999999996</v>
      </c>
    </row>
    <row r="795" spans="1:10" x14ac:dyDescent="0.2">
      <c r="A795" t="s">
        <v>5162</v>
      </c>
      <c r="B795">
        <v>7.1419999999999997E-2</v>
      </c>
      <c r="C795">
        <v>282</v>
      </c>
      <c r="D795" t="s">
        <v>5162</v>
      </c>
      <c r="E795">
        <v>282</v>
      </c>
      <c r="F795" s="1">
        <v>45208</v>
      </c>
      <c r="G795" s="6">
        <v>27.104166666667567</v>
      </c>
      <c r="H795" s="7">
        <v>27.104166666667567</v>
      </c>
      <c r="I795" s="26">
        <v>5.0984999999999996</v>
      </c>
      <c r="J795" s="26">
        <f t="shared" si="28"/>
        <v>-5.0984999999999996</v>
      </c>
    </row>
    <row r="796" spans="1:10" x14ac:dyDescent="0.2">
      <c r="A796" t="s">
        <v>5163</v>
      </c>
      <c r="B796">
        <v>7.0809999999999998E-2</v>
      </c>
      <c r="C796">
        <v>282</v>
      </c>
      <c r="D796" t="s">
        <v>5163</v>
      </c>
      <c r="E796">
        <v>282</v>
      </c>
      <c r="F796" s="1">
        <v>45208</v>
      </c>
      <c r="G796" s="6">
        <v>27.114583333334235</v>
      </c>
      <c r="H796" s="7">
        <v>27.114583333334235</v>
      </c>
      <c r="I796" s="26">
        <v>5.0545</v>
      </c>
      <c r="J796" s="26">
        <f t="shared" si="28"/>
        <v>-5.0545</v>
      </c>
    </row>
    <row r="797" spans="1:10" x14ac:dyDescent="0.2">
      <c r="A797" t="s">
        <v>5164</v>
      </c>
      <c r="B797">
        <v>7.0879999999999999E-2</v>
      </c>
      <c r="C797">
        <v>282</v>
      </c>
      <c r="D797" t="s">
        <v>5164</v>
      </c>
      <c r="E797">
        <v>282</v>
      </c>
      <c r="F797" s="1">
        <v>45208</v>
      </c>
      <c r="G797" s="6">
        <v>27.125000000000902</v>
      </c>
      <c r="H797" s="7">
        <v>27.125000000000902</v>
      </c>
      <c r="I797" s="26">
        <v>5.0609999999999999</v>
      </c>
      <c r="J797" s="26">
        <f t="shared" si="28"/>
        <v>-5.0609999999999999</v>
      </c>
    </row>
    <row r="798" spans="1:10" x14ac:dyDescent="0.2">
      <c r="A798" t="s">
        <v>5165</v>
      </c>
      <c r="B798">
        <v>7.1230000000000002E-2</v>
      </c>
      <c r="C798">
        <v>282</v>
      </c>
      <c r="D798" t="s">
        <v>5165</v>
      </c>
      <c r="E798">
        <v>282</v>
      </c>
      <c r="F798" s="1">
        <v>45208</v>
      </c>
      <c r="G798" s="6">
        <v>27.13541666666757</v>
      </c>
      <c r="H798" s="7">
        <v>27.13541666666757</v>
      </c>
      <c r="I798" s="26">
        <v>5.0860000000000003</v>
      </c>
      <c r="J798" s="26">
        <f t="shared" si="28"/>
        <v>-5.0860000000000003</v>
      </c>
    </row>
    <row r="799" spans="1:10" x14ac:dyDescent="0.2">
      <c r="A799" t="s">
        <v>5166</v>
      </c>
      <c r="B799">
        <v>7.1160000000000001E-2</v>
      </c>
      <c r="C799">
        <v>282</v>
      </c>
      <c r="D799" t="s">
        <v>5166</v>
      </c>
      <c r="E799">
        <v>282</v>
      </c>
      <c r="F799" s="1">
        <v>45208</v>
      </c>
      <c r="G799" s="6">
        <v>27.145833333334238</v>
      </c>
      <c r="H799" s="7">
        <v>27.145833333334238</v>
      </c>
      <c r="I799" s="26">
        <v>5.0804999999999998</v>
      </c>
      <c r="J799" s="26">
        <f t="shared" si="28"/>
        <v>-5.0804999999999998</v>
      </c>
    </row>
    <row r="800" spans="1:10" x14ac:dyDescent="0.2">
      <c r="A800" t="s">
        <v>5167</v>
      </c>
      <c r="B800">
        <v>7.0934999999999998E-2</v>
      </c>
      <c r="C800">
        <v>282</v>
      </c>
      <c r="D800" t="s">
        <v>5167</v>
      </c>
      <c r="E800">
        <v>282</v>
      </c>
      <c r="F800" s="1">
        <v>45208</v>
      </c>
      <c r="G800" s="6">
        <v>27.156250000000906</v>
      </c>
      <c r="H800" s="7">
        <v>27.156250000000906</v>
      </c>
      <c r="I800" s="26">
        <v>5.0640000000000001</v>
      </c>
      <c r="J800" s="26">
        <f t="shared" si="28"/>
        <v>-5.0640000000000001</v>
      </c>
    </row>
    <row r="801" spans="1:10" x14ac:dyDescent="0.2">
      <c r="A801" t="s">
        <v>5168</v>
      </c>
      <c r="B801">
        <v>7.1565000000000004E-2</v>
      </c>
      <c r="C801">
        <v>282</v>
      </c>
      <c r="D801" t="s">
        <v>5168</v>
      </c>
      <c r="E801">
        <v>282</v>
      </c>
      <c r="F801" s="1">
        <v>45208</v>
      </c>
      <c r="G801" s="6">
        <v>27.166666666667574</v>
      </c>
      <c r="H801" s="7">
        <v>27.166666666667574</v>
      </c>
      <c r="I801" s="26">
        <v>5.1085000000000003</v>
      </c>
      <c r="J801" s="26">
        <f t="shared" si="28"/>
        <v>-5.1085000000000003</v>
      </c>
    </row>
    <row r="802" spans="1:10" x14ac:dyDescent="0.2">
      <c r="A802" t="s">
        <v>5169</v>
      </c>
      <c r="B802">
        <v>7.1419999999999997E-2</v>
      </c>
      <c r="C802">
        <v>282</v>
      </c>
      <c r="D802" t="s">
        <v>5169</v>
      </c>
      <c r="E802">
        <v>282</v>
      </c>
      <c r="F802" s="1">
        <v>45208</v>
      </c>
      <c r="G802" s="6">
        <v>27.177083333334242</v>
      </c>
      <c r="H802" s="7">
        <v>27.177083333334242</v>
      </c>
      <c r="I802" s="26">
        <v>5.0994999999999999</v>
      </c>
      <c r="J802" s="26">
        <f t="shared" si="28"/>
        <v>-5.0994999999999999</v>
      </c>
    </row>
    <row r="803" spans="1:10" x14ac:dyDescent="0.2">
      <c r="A803" t="s">
        <v>5170</v>
      </c>
      <c r="B803">
        <v>7.0709999999999995E-2</v>
      </c>
      <c r="C803">
        <v>282</v>
      </c>
      <c r="D803" t="s">
        <v>5170</v>
      </c>
      <c r="E803">
        <v>282</v>
      </c>
      <c r="F803" s="1">
        <v>45208</v>
      </c>
      <c r="G803" s="6">
        <v>27.187500000000909</v>
      </c>
      <c r="H803" s="7">
        <v>27.187500000000909</v>
      </c>
      <c r="I803" s="26" t="s">
        <v>5171</v>
      </c>
      <c r="J803" s="26">
        <f t="shared" si="28"/>
        <v>-5.0489999999999897</v>
      </c>
    </row>
    <row r="804" spans="1:10" x14ac:dyDescent="0.2">
      <c r="A804" t="s">
        <v>5172</v>
      </c>
      <c r="B804">
        <v>7.084E-2</v>
      </c>
      <c r="C804">
        <v>282</v>
      </c>
      <c r="D804" t="s">
        <v>5172</v>
      </c>
      <c r="E804">
        <v>282</v>
      </c>
      <c r="F804" s="1">
        <v>45208</v>
      </c>
      <c r="G804" s="6">
        <v>27.197916666667577</v>
      </c>
      <c r="H804" s="7">
        <v>27.197916666667577</v>
      </c>
      <c r="I804" s="26">
        <v>5.0579999999999998</v>
      </c>
      <c r="J804" s="26">
        <f t="shared" si="28"/>
        <v>-5.0579999999999998</v>
      </c>
    </row>
    <row r="805" spans="1:10" x14ac:dyDescent="0.2">
      <c r="A805" t="s">
        <v>5173</v>
      </c>
      <c r="B805">
        <v>7.0915000000000006E-2</v>
      </c>
      <c r="C805">
        <v>282</v>
      </c>
      <c r="D805" t="s">
        <v>5173</v>
      </c>
      <c r="E805">
        <v>282</v>
      </c>
      <c r="F805" s="1">
        <v>45208</v>
      </c>
      <c r="G805" s="6">
        <v>27.208333333334245</v>
      </c>
      <c r="H805" s="7">
        <v>27.208333333334245</v>
      </c>
      <c r="I805" s="26">
        <v>5.0629999999999997</v>
      </c>
      <c r="J805" s="26">
        <f t="shared" si="28"/>
        <v>-5.0629999999999997</v>
      </c>
    </row>
    <row r="806" spans="1:10" x14ac:dyDescent="0.2">
      <c r="A806" t="s">
        <v>5174</v>
      </c>
      <c r="B806" t="s">
        <v>5175</v>
      </c>
      <c r="C806">
        <v>282</v>
      </c>
      <c r="D806" t="s">
        <v>5174</v>
      </c>
      <c r="E806">
        <v>282</v>
      </c>
      <c r="F806" s="1">
        <v>45208</v>
      </c>
      <c r="G806" s="6">
        <v>27.218750000000913</v>
      </c>
      <c r="H806" s="7">
        <v>27.218750000000913</v>
      </c>
      <c r="I806" s="26">
        <v>5.0650000000000004</v>
      </c>
      <c r="J806" s="26">
        <f t="shared" si="28"/>
        <v>-5.0650000000000004</v>
      </c>
    </row>
    <row r="807" spans="1:10" x14ac:dyDescent="0.2">
      <c r="A807" t="s">
        <v>5176</v>
      </c>
      <c r="B807">
        <v>7.0940000000000003E-2</v>
      </c>
      <c r="C807">
        <v>282</v>
      </c>
      <c r="D807" t="s">
        <v>5176</v>
      </c>
      <c r="E807">
        <v>282</v>
      </c>
      <c r="F807" s="1">
        <v>45208</v>
      </c>
      <c r="G807" s="6">
        <v>27.229166666667581</v>
      </c>
      <c r="H807" s="7">
        <v>27.229166666667581</v>
      </c>
      <c r="I807" s="26">
        <v>5.0640000000000001</v>
      </c>
      <c r="J807" s="26">
        <f t="shared" si="28"/>
        <v>-5.0640000000000001</v>
      </c>
    </row>
    <row r="808" spans="1:10" x14ac:dyDescent="0.2">
      <c r="A808" t="s">
        <v>5177</v>
      </c>
      <c r="B808">
        <v>7.0095000000000005E-2</v>
      </c>
      <c r="C808">
        <v>282</v>
      </c>
      <c r="D808" t="s">
        <v>5177</v>
      </c>
      <c r="E808">
        <v>282</v>
      </c>
      <c r="F808" s="1">
        <v>45208</v>
      </c>
      <c r="G808" s="6">
        <v>27.239583333334249</v>
      </c>
      <c r="H808" s="7">
        <v>27.239583333334249</v>
      </c>
      <c r="I808" s="26" t="s">
        <v>4285</v>
      </c>
      <c r="J808" s="26">
        <f t="shared" si="28"/>
        <v>-5.0039999999999996</v>
      </c>
    </row>
    <row r="809" spans="1:10" x14ac:dyDescent="0.2">
      <c r="A809" t="s">
        <v>5178</v>
      </c>
      <c r="B809">
        <v>6.9595000000000004E-2</v>
      </c>
      <c r="C809">
        <v>282</v>
      </c>
      <c r="D809" t="s">
        <v>5178</v>
      </c>
      <c r="E809">
        <v>282</v>
      </c>
      <c r="F809" s="1">
        <v>45208</v>
      </c>
      <c r="G809" s="6">
        <v>27.250000000000917</v>
      </c>
      <c r="H809" s="7">
        <v>27.250000000000917</v>
      </c>
      <c r="I809" s="26">
        <v>4.9669999999999996</v>
      </c>
      <c r="J809" s="26">
        <f t="shared" si="28"/>
        <v>-4.9669999999999996</v>
      </c>
    </row>
    <row r="810" spans="1:10" x14ac:dyDescent="0.2">
      <c r="A810" t="s">
        <v>5179</v>
      </c>
      <c r="B810">
        <v>6.8845000000000003E-2</v>
      </c>
      <c r="C810">
        <v>282</v>
      </c>
      <c r="D810" t="s">
        <v>5179</v>
      </c>
      <c r="E810">
        <v>282</v>
      </c>
      <c r="F810" s="1">
        <v>45208</v>
      </c>
      <c r="G810" s="6">
        <v>27.260416666667584</v>
      </c>
      <c r="H810" s="7">
        <v>27.260416666667584</v>
      </c>
      <c r="I810" s="26">
        <v>4.9139999999999997</v>
      </c>
      <c r="J810" s="26">
        <f t="shared" si="28"/>
        <v>-4.9139999999999997</v>
      </c>
    </row>
    <row r="811" spans="1:10" x14ac:dyDescent="0.2">
      <c r="A811" t="s">
        <v>5180</v>
      </c>
      <c r="B811">
        <v>6.8430000000000005E-2</v>
      </c>
      <c r="C811">
        <v>282</v>
      </c>
      <c r="D811" t="s">
        <v>5180</v>
      </c>
      <c r="E811">
        <v>282</v>
      </c>
      <c r="F811" s="1">
        <v>45208</v>
      </c>
      <c r="G811" s="6">
        <v>27.270833333334252</v>
      </c>
      <c r="H811" s="7">
        <v>27.270833333334252</v>
      </c>
      <c r="I811" s="26">
        <v>4.8864999999999998</v>
      </c>
      <c r="J811" s="26">
        <f t="shared" si="28"/>
        <v>-4.8864999999999998</v>
      </c>
    </row>
    <row r="812" spans="1:10" x14ac:dyDescent="0.2">
      <c r="A812" t="s">
        <v>5181</v>
      </c>
      <c r="B812">
        <v>6.7864999999999995E-2</v>
      </c>
      <c r="C812">
        <v>282</v>
      </c>
      <c r="D812" t="s">
        <v>5181</v>
      </c>
      <c r="E812">
        <v>282</v>
      </c>
      <c r="F812" s="1">
        <v>45208</v>
      </c>
      <c r="G812" s="6">
        <v>27.28125000000092</v>
      </c>
      <c r="H812" s="7">
        <v>27.28125000000092</v>
      </c>
      <c r="I812" s="26">
        <v>4.8445</v>
      </c>
      <c r="J812" s="26">
        <f t="shared" si="28"/>
        <v>-4.8445</v>
      </c>
    </row>
    <row r="813" spans="1:10" x14ac:dyDescent="0.2">
      <c r="A813" t="s">
        <v>5182</v>
      </c>
      <c r="B813">
        <v>6.6809999999999994E-2</v>
      </c>
      <c r="C813">
        <v>282</v>
      </c>
      <c r="D813" t="s">
        <v>5182</v>
      </c>
      <c r="E813">
        <v>282</v>
      </c>
      <c r="F813" s="1">
        <v>45208</v>
      </c>
      <c r="G813" s="6">
        <v>27.291666666667588</v>
      </c>
      <c r="H813" s="7">
        <v>27.291666666667588</v>
      </c>
      <c r="I813" s="26">
        <v>4.7694999999999999</v>
      </c>
      <c r="J813" s="26">
        <f t="shared" si="28"/>
        <v>-4.7694999999999999</v>
      </c>
    </row>
    <row r="814" spans="1:10" x14ac:dyDescent="0.2">
      <c r="A814" t="s">
        <v>5183</v>
      </c>
      <c r="B814">
        <v>6.7100000000000007E-2</v>
      </c>
      <c r="C814">
        <v>282</v>
      </c>
      <c r="D814" t="s">
        <v>5183</v>
      </c>
      <c r="E814">
        <v>282</v>
      </c>
      <c r="F814" s="1">
        <v>45208</v>
      </c>
      <c r="G814" s="6">
        <v>27.302083333334256</v>
      </c>
      <c r="H814" s="7">
        <v>27.302083333334256</v>
      </c>
      <c r="I814" s="26">
        <v>4.79</v>
      </c>
      <c r="J814" s="26">
        <f t="shared" si="28"/>
        <v>-4.79</v>
      </c>
    </row>
    <row r="815" spans="1:10" x14ac:dyDescent="0.2">
      <c r="A815" t="s">
        <v>5184</v>
      </c>
      <c r="B815">
        <v>6.5989999999999993E-2</v>
      </c>
      <c r="C815">
        <v>282</v>
      </c>
      <c r="D815" t="s">
        <v>5184</v>
      </c>
      <c r="E815">
        <v>282</v>
      </c>
      <c r="F815" s="1">
        <v>45208</v>
      </c>
      <c r="G815" s="6">
        <v>27.312500000000924</v>
      </c>
      <c r="H815" s="7">
        <v>27.312500000000924</v>
      </c>
      <c r="I815" s="26">
        <v>4.7110000000000003</v>
      </c>
      <c r="J815" s="26">
        <f t="shared" si="28"/>
        <v>-4.7110000000000003</v>
      </c>
    </row>
    <row r="816" spans="1:10" x14ac:dyDescent="0.2">
      <c r="A816" t="s">
        <v>5185</v>
      </c>
      <c r="B816">
        <v>6.5314999999999998E-2</v>
      </c>
      <c r="C816">
        <v>282</v>
      </c>
      <c r="D816" t="s">
        <v>5185</v>
      </c>
      <c r="E816">
        <v>282</v>
      </c>
      <c r="F816" s="1">
        <v>45208</v>
      </c>
      <c r="G816" s="6">
        <v>27.322916666667592</v>
      </c>
      <c r="H816" s="7">
        <v>27.322916666667592</v>
      </c>
      <c r="I816" s="26">
        <v>4.6635</v>
      </c>
      <c r="J816" s="26">
        <f t="shared" si="28"/>
        <v>-4.6635</v>
      </c>
    </row>
    <row r="817" spans="1:10" x14ac:dyDescent="0.2">
      <c r="A817" t="s">
        <v>5186</v>
      </c>
      <c r="B817">
        <v>6.4945000000000003E-2</v>
      </c>
      <c r="C817">
        <v>282</v>
      </c>
      <c r="D817" t="s">
        <v>5186</v>
      </c>
      <c r="E817">
        <v>282</v>
      </c>
      <c r="F817" s="1">
        <v>45208</v>
      </c>
      <c r="G817" s="6">
        <v>27.333333333334259</v>
      </c>
      <c r="H817" s="7">
        <v>27.333333333334259</v>
      </c>
      <c r="I817" s="26">
        <v>4.6360000000000001</v>
      </c>
      <c r="J817" s="26">
        <f t="shared" si="28"/>
        <v>-4.6360000000000001</v>
      </c>
    </row>
    <row r="818" spans="1:10" x14ac:dyDescent="0.2">
      <c r="A818" t="s">
        <v>5187</v>
      </c>
      <c r="B818">
        <v>6.3100000000000003E-2</v>
      </c>
      <c r="C818">
        <v>282</v>
      </c>
      <c r="D818" t="s">
        <v>5187</v>
      </c>
      <c r="E818">
        <v>282</v>
      </c>
      <c r="F818" s="1">
        <v>45208</v>
      </c>
      <c r="G818" s="6">
        <v>27.343750000000927</v>
      </c>
      <c r="H818" s="7">
        <v>27.343750000000927</v>
      </c>
      <c r="I818" s="26">
        <v>4.5049999999999999</v>
      </c>
      <c r="J818" s="26">
        <f t="shared" si="28"/>
        <v>-4.5049999999999999</v>
      </c>
    </row>
    <row r="819" spans="1:10" x14ac:dyDescent="0.2">
      <c r="A819" t="s">
        <v>5188</v>
      </c>
      <c r="B819">
        <v>6.3390000000000002E-2</v>
      </c>
      <c r="C819">
        <v>282</v>
      </c>
      <c r="D819" t="s">
        <v>5188</v>
      </c>
      <c r="E819">
        <v>282</v>
      </c>
      <c r="F819" s="1">
        <v>45208</v>
      </c>
      <c r="G819" s="6">
        <v>27.354166666667595</v>
      </c>
      <c r="H819" s="7">
        <v>27.354166666667595</v>
      </c>
      <c r="I819" s="26" t="s">
        <v>5189</v>
      </c>
      <c r="J819" s="26">
        <f t="shared" si="28"/>
        <v>-4.5249999999999897</v>
      </c>
    </row>
    <row r="820" spans="1:10" x14ac:dyDescent="0.2">
      <c r="A820" t="s">
        <v>5190</v>
      </c>
      <c r="B820">
        <v>6.2489999999999997E-2</v>
      </c>
      <c r="C820">
        <v>282</v>
      </c>
      <c r="D820" t="s">
        <v>5190</v>
      </c>
      <c r="E820">
        <v>282</v>
      </c>
      <c r="F820" s="1">
        <v>45208</v>
      </c>
      <c r="G820" s="6">
        <v>27.364583333334263</v>
      </c>
      <c r="H820" s="7">
        <v>27.364583333334263</v>
      </c>
      <c r="I820" s="26">
        <v>4.46</v>
      </c>
      <c r="J820" s="26">
        <f t="shared" si="28"/>
        <v>-4.46</v>
      </c>
    </row>
    <row r="821" spans="1:10" x14ac:dyDescent="0.2">
      <c r="A821" t="s">
        <v>5191</v>
      </c>
      <c r="B821">
        <v>6.2425000000000001E-2</v>
      </c>
      <c r="C821">
        <v>282</v>
      </c>
      <c r="D821" t="s">
        <v>5191</v>
      </c>
      <c r="E821">
        <v>282</v>
      </c>
      <c r="F821" s="1">
        <v>45208</v>
      </c>
      <c r="G821" s="6">
        <v>27.375000000000931</v>
      </c>
      <c r="H821" s="7">
        <v>27.375000000000931</v>
      </c>
      <c r="I821" s="26">
        <v>4.4580000000000002</v>
      </c>
      <c r="J821" s="26">
        <f t="shared" si="28"/>
        <v>-4.4580000000000002</v>
      </c>
    </row>
    <row r="822" spans="1:10" x14ac:dyDescent="0.2">
      <c r="A822" t="s">
        <v>5192</v>
      </c>
      <c r="B822">
        <v>6.1824999999999998E-2</v>
      </c>
      <c r="C822">
        <v>282</v>
      </c>
      <c r="D822" t="s">
        <v>5192</v>
      </c>
      <c r="E822">
        <v>282</v>
      </c>
      <c r="F822" s="1">
        <v>45208</v>
      </c>
      <c r="G822" s="6">
        <v>27.385416666667599</v>
      </c>
      <c r="H822" s="7">
        <v>27.385416666667599</v>
      </c>
      <c r="I822" s="26">
        <v>4.415</v>
      </c>
      <c r="J822" s="26">
        <f t="shared" si="28"/>
        <v>-4.415</v>
      </c>
    </row>
    <row r="823" spans="1:10" x14ac:dyDescent="0.2">
      <c r="A823" t="s">
        <v>5193</v>
      </c>
      <c r="B823">
        <v>6.1534999999999999E-2</v>
      </c>
      <c r="C823">
        <v>282</v>
      </c>
      <c r="D823" t="s">
        <v>5193</v>
      </c>
      <c r="E823">
        <v>282</v>
      </c>
      <c r="F823" s="1">
        <v>45208</v>
      </c>
      <c r="G823" s="6">
        <v>27.395833333334267</v>
      </c>
      <c r="H823" s="7">
        <v>27.395833333334267</v>
      </c>
      <c r="I823" s="26">
        <v>4.3944999999999999</v>
      </c>
      <c r="J823" s="26">
        <f t="shared" si="28"/>
        <v>-4.3944999999999999</v>
      </c>
    </row>
    <row r="824" spans="1:10" x14ac:dyDescent="0.2">
      <c r="A824" t="s">
        <v>5194</v>
      </c>
      <c r="B824">
        <v>6.1874999999999999E-2</v>
      </c>
      <c r="C824">
        <v>282</v>
      </c>
      <c r="D824" t="s">
        <v>5194</v>
      </c>
      <c r="E824">
        <v>282</v>
      </c>
      <c r="F824" s="1">
        <v>45208</v>
      </c>
      <c r="G824" s="6">
        <v>27.406250000000934</v>
      </c>
      <c r="H824" s="7">
        <v>27.406250000000934</v>
      </c>
      <c r="I824" s="26">
        <v>4.4175000000000004</v>
      </c>
      <c r="J824" s="26">
        <f t="shared" si="28"/>
        <v>-4.4175000000000004</v>
      </c>
    </row>
    <row r="825" spans="1:10" x14ac:dyDescent="0.2">
      <c r="A825" t="s">
        <v>5195</v>
      </c>
      <c r="B825">
        <v>6.1249999999999999E-2</v>
      </c>
      <c r="C825">
        <v>282</v>
      </c>
      <c r="D825" t="s">
        <v>5195</v>
      </c>
      <c r="E825">
        <v>282</v>
      </c>
      <c r="F825" s="1">
        <v>45208</v>
      </c>
      <c r="G825" s="6">
        <v>27.416666666667602</v>
      </c>
      <c r="H825" s="7">
        <v>27.416666666667602</v>
      </c>
      <c r="I825" s="26">
        <v>4.3739999999999997</v>
      </c>
      <c r="J825" s="26">
        <f t="shared" si="28"/>
        <v>-4.3739999999999997</v>
      </c>
    </row>
    <row r="826" spans="1:10" x14ac:dyDescent="0.2">
      <c r="A826" t="s">
        <v>5196</v>
      </c>
      <c r="B826">
        <v>6.1164999999999997E-2</v>
      </c>
      <c r="C826">
        <v>282</v>
      </c>
      <c r="D826" t="s">
        <v>5196</v>
      </c>
      <c r="E826">
        <v>282</v>
      </c>
      <c r="F826" s="1">
        <v>45208</v>
      </c>
      <c r="G826" s="6">
        <v>27.42708333333427</v>
      </c>
      <c r="H826" s="7">
        <v>27.42708333333427</v>
      </c>
      <c r="I826" s="26">
        <v>4.3654999999999999</v>
      </c>
      <c r="J826" s="26">
        <f t="shared" si="28"/>
        <v>-4.3654999999999999</v>
      </c>
    </row>
    <row r="827" spans="1:10" x14ac:dyDescent="0.2">
      <c r="A827" t="s">
        <v>5197</v>
      </c>
      <c r="B827">
        <v>6.1054999999999998E-2</v>
      </c>
      <c r="C827">
        <v>282</v>
      </c>
      <c r="D827" t="s">
        <v>5197</v>
      </c>
      <c r="E827">
        <v>282</v>
      </c>
      <c r="F827" s="1">
        <v>45208</v>
      </c>
      <c r="G827" s="6">
        <v>27.437500000000938</v>
      </c>
      <c r="H827" s="7">
        <v>27.437500000000938</v>
      </c>
      <c r="I827" s="26">
        <v>4.3600000000000003</v>
      </c>
      <c r="J827" s="26">
        <f t="shared" si="28"/>
        <v>-4.3600000000000003</v>
      </c>
    </row>
    <row r="828" spans="1:10" x14ac:dyDescent="0.2">
      <c r="A828" t="s">
        <v>5198</v>
      </c>
      <c r="B828">
        <v>6.1129999999999997E-2</v>
      </c>
      <c r="C828">
        <v>282</v>
      </c>
      <c r="D828" t="s">
        <v>5198</v>
      </c>
      <c r="E828">
        <v>282</v>
      </c>
      <c r="F828" s="1">
        <v>45208</v>
      </c>
      <c r="G828" s="6">
        <v>27.447916666667606</v>
      </c>
      <c r="H828" s="7">
        <v>27.447916666667606</v>
      </c>
      <c r="I828" s="26">
        <v>4.3635000000000002</v>
      </c>
      <c r="J828" s="26">
        <f t="shared" si="28"/>
        <v>-4.3635000000000002</v>
      </c>
    </row>
    <row r="829" spans="1:10" x14ac:dyDescent="0.2">
      <c r="A829" t="s">
        <v>5199</v>
      </c>
      <c r="B829">
        <v>6.1815000000000002E-2</v>
      </c>
      <c r="C829">
        <v>282</v>
      </c>
      <c r="D829" t="s">
        <v>5199</v>
      </c>
      <c r="E829">
        <v>282</v>
      </c>
      <c r="F829" s="1">
        <v>45208</v>
      </c>
      <c r="G829" s="6">
        <v>27.458333333334274</v>
      </c>
      <c r="H829" s="7">
        <v>27.458333333334274</v>
      </c>
      <c r="I829" s="26">
        <v>4.4130000000000003</v>
      </c>
      <c r="J829" s="26">
        <f t="shared" si="28"/>
        <v>-4.4130000000000003</v>
      </c>
    </row>
    <row r="830" spans="1:10" x14ac:dyDescent="0.2">
      <c r="A830" t="s">
        <v>5200</v>
      </c>
      <c r="B830">
        <v>6.1995000000000001E-2</v>
      </c>
      <c r="C830">
        <v>282</v>
      </c>
      <c r="D830" t="s">
        <v>5200</v>
      </c>
      <c r="E830">
        <v>282</v>
      </c>
      <c r="F830" s="1">
        <v>45208</v>
      </c>
      <c r="G830" s="6">
        <v>27.468750000000941</v>
      </c>
      <c r="H830" s="7">
        <v>27.468750000000941</v>
      </c>
      <c r="I830" s="26">
        <v>4.4255000000000004</v>
      </c>
      <c r="J830" s="26">
        <f t="shared" si="28"/>
        <v>-4.4255000000000004</v>
      </c>
    </row>
    <row r="831" spans="1:10" x14ac:dyDescent="0.2">
      <c r="A831" t="s">
        <v>5201</v>
      </c>
      <c r="B831">
        <v>6.105E-2</v>
      </c>
      <c r="C831">
        <v>282</v>
      </c>
      <c r="D831" t="s">
        <v>5201</v>
      </c>
      <c r="E831">
        <v>282</v>
      </c>
      <c r="F831" s="1">
        <v>45208</v>
      </c>
      <c r="G831" s="6">
        <v>27.479166666667609</v>
      </c>
      <c r="H831" s="7">
        <v>27.479166666667609</v>
      </c>
      <c r="I831" s="26">
        <v>4.3574999999999999</v>
      </c>
      <c r="J831" s="26">
        <f t="shared" si="28"/>
        <v>-4.3574999999999999</v>
      </c>
    </row>
    <row r="832" spans="1:10" x14ac:dyDescent="0.2">
      <c r="A832" t="s">
        <v>5202</v>
      </c>
      <c r="B832">
        <v>6.1019999999999998E-2</v>
      </c>
      <c r="C832">
        <v>282</v>
      </c>
      <c r="D832" t="s">
        <v>5202</v>
      </c>
      <c r="E832">
        <v>282</v>
      </c>
      <c r="F832" s="1">
        <v>45208</v>
      </c>
      <c r="G832" s="6">
        <v>27.489583333334277</v>
      </c>
      <c r="H832" s="7">
        <v>27.489583333334277</v>
      </c>
      <c r="I832" s="26">
        <v>4.3570000000000002</v>
      </c>
      <c r="J832" s="26">
        <f t="shared" si="28"/>
        <v>-4.3570000000000002</v>
      </c>
    </row>
    <row r="833" spans="1:10" x14ac:dyDescent="0.2">
      <c r="A833" t="s">
        <v>5203</v>
      </c>
      <c r="B833">
        <v>6.2125E-2</v>
      </c>
      <c r="C833">
        <v>282</v>
      </c>
      <c r="D833" t="s">
        <v>5203</v>
      </c>
      <c r="E833">
        <v>282</v>
      </c>
      <c r="F833" s="1">
        <v>45208</v>
      </c>
      <c r="G833" s="6">
        <v>27.500000000000945</v>
      </c>
      <c r="H833" s="7">
        <v>27.500000000000945</v>
      </c>
      <c r="I833" s="26">
        <v>4.4359999999999999</v>
      </c>
      <c r="J833" s="26">
        <f t="shared" si="28"/>
        <v>-4.4359999999999999</v>
      </c>
    </row>
    <row r="834" spans="1:10" x14ac:dyDescent="0.2">
      <c r="A834" t="s">
        <v>5204</v>
      </c>
      <c r="B834">
        <v>6.2059999999999997E-2</v>
      </c>
      <c r="C834">
        <v>282</v>
      </c>
      <c r="D834" t="s">
        <v>5204</v>
      </c>
      <c r="E834">
        <v>282</v>
      </c>
      <c r="F834" s="1">
        <v>45208</v>
      </c>
      <c r="G834" s="6">
        <v>27.510416666667613</v>
      </c>
      <c r="H834" s="7">
        <v>27.510416666667613</v>
      </c>
      <c r="I834" s="26">
        <v>4.4305000000000003</v>
      </c>
      <c r="J834" s="26">
        <f t="shared" si="28"/>
        <v>-4.4305000000000003</v>
      </c>
    </row>
    <row r="835" spans="1:10" x14ac:dyDescent="0.2">
      <c r="A835" t="s">
        <v>5205</v>
      </c>
      <c r="B835">
        <v>6.1080000000000002E-2</v>
      </c>
      <c r="C835">
        <v>282</v>
      </c>
      <c r="D835" t="s">
        <v>5205</v>
      </c>
      <c r="E835">
        <v>282</v>
      </c>
      <c r="F835" s="1">
        <v>45208</v>
      </c>
      <c r="G835" s="6">
        <v>27.520833333334281</v>
      </c>
      <c r="H835" s="7">
        <v>27.520833333334281</v>
      </c>
      <c r="I835" s="26">
        <v>4.3594999999999997</v>
      </c>
      <c r="J835" s="26">
        <f t="shared" ref="J835:J898" si="29">-I835</f>
        <v>-4.3594999999999997</v>
      </c>
    </row>
    <row r="836" spans="1:10" x14ac:dyDescent="0.2">
      <c r="A836" t="s">
        <v>5206</v>
      </c>
      <c r="B836">
        <v>6.1839999999999999E-2</v>
      </c>
      <c r="C836">
        <v>282</v>
      </c>
      <c r="D836" t="s">
        <v>5206</v>
      </c>
      <c r="E836">
        <v>282</v>
      </c>
      <c r="F836" s="1">
        <v>45208</v>
      </c>
      <c r="G836" s="6">
        <v>27.531250000000949</v>
      </c>
      <c r="H836" s="7">
        <v>27.531250000000949</v>
      </c>
      <c r="I836" s="26">
        <v>4.4154999999999998</v>
      </c>
      <c r="J836" s="26">
        <f t="shared" si="29"/>
        <v>-4.4154999999999998</v>
      </c>
    </row>
    <row r="837" spans="1:10" x14ac:dyDescent="0.2">
      <c r="A837" t="s">
        <v>5207</v>
      </c>
      <c r="B837">
        <v>6.1445E-2</v>
      </c>
      <c r="C837">
        <v>282</v>
      </c>
      <c r="D837" t="s">
        <v>5207</v>
      </c>
      <c r="E837">
        <v>282</v>
      </c>
      <c r="F837" s="1">
        <v>45208</v>
      </c>
      <c r="G837" s="6">
        <v>27.541666666667616</v>
      </c>
      <c r="H837" s="7">
        <v>27.541666666667616</v>
      </c>
      <c r="I837" s="26" t="s">
        <v>5208</v>
      </c>
      <c r="J837" s="26">
        <f t="shared" si="29"/>
        <v>-4.3869999999999996</v>
      </c>
    </row>
    <row r="838" spans="1:10" x14ac:dyDescent="0.2">
      <c r="A838" t="s">
        <v>5209</v>
      </c>
      <c r="B838">
        <v>6.1699999999999998E-2</v>
      </c>
      <c r="C838">
        <v>282</v>
      </c>
      <c r="D838" t="s">
        <v>5209</v>
      </c>
      <c r="E838">
        <v>282</v>
      </c>
      <c r="F838" s="1">
        <v>45208</v>
      </c>
      <c r="G838" s="6">
        <v>27.552083333334284</v>
      </c>
      <c r="H838" s="7">
        <v>27.552083333334284</v>
      </c>
      <c r="I838" s="26">
        <v>4.4055</v>
      </c>
      <c r="J838" s="26">
        <f t="shared" si="29"/>
        <v>-4.4055</v>
      </c>
    </row>
    <row r="839" spans="1:10" x14ac:dyDescent="0.2">
      <c r="A839" t="s">
        <v>5210</v>
      </c>
      <c r="B839">
        <v>6.1725000000000002E-2</v>
      </c>
      <c r="C839">
        <v>282</v>
      </c>
      <c r="D839" t="s">
        <v>5210</v>
      </c>
      <c r="E839">
        <v>282</v>
      </c>
      <c r="F839" s="1">
        <v>45208</v>
      </c>
      <c r="G839" s="6">
        <v>27.562500000000952</v>
      </c>
      <c r="H839" s="7">
        <v>27.562500000000952</v>
      </c>
      <c r="I839" s="26">
        <v>4.4074999999999998</v>
      </c>
      <c r="J839" s="26">
        <f t="shared" si="29"/>
        <v>-4.4074999999999998</v>
      </c>
    </row>
    <row r="840" spans="1:10" x14ac:dyDescent="0.2">
      <c r="A840" t="s">
        <v>5211</v>
      </c>
      <c r="B840">
        <v>6.2480000000000001E-2</v>
      </c>
      <c r="C840">
        <v>282</v>
      </c>
      <c r="D840" t="s">
        <v>5211</v>
      </c>
      <c r="E840">
        <v>282</v>
      </c>
      <c r="F840" s="1">
        <v>45208</v>
      </c>
      <c r="G840" s="6">
        <v>27.57291666666762</v>
      </c>
      <c r="H840" s="7">
        <v>27.57291666666762</v>
      </c>
      <c r="I840" s="26">
        <v>4.4589999999999996</v>
      </c>
      <c r="J840" s="26">
        <f t="shared" si="29"/>
        <v>-4.4589999999999996</v>
      </c>
    </row>
    <row r="841" spans="1:10" x14ac:dyDescent="0.2">
      <c r="A841" t="s">
        <v>5212</v>
      </c>
      <c r="B841">
        <v>6.2274999999999997E-2</v>
      </c>
      <c r="C841">
        <v>282</v>
      </c>
      <c r="D841" t="s">
        <v>5212</v>
      </c>
      <c r="E841">
        <v>282</v>
      </c>
      <c r="F841" s="1">
        <v>45208</v>
      </c>
      <c r="G841" s="6">
        <v>27.583333333334288</v>
      </c>
      <c r="H841" s="7">
        <v>27.583333333334288</v>
      </c>
      <c r="I841" s="26">
        <v>4.4465000000000003</v>
      </c>
      <c r="J841" s="26">
        <f t="shared" si="29"/>
        <v>-4.4465000000000003</v>
      </c>
    </row>
    <row r="842" spans="1:10" x14ac:dyDescent="0.2">
      <c r="A842" t="s">
        <v>5213</v>
      </c>
      <c r="B842">
        <v>6.1574999999999998E-2</v>
      </c>
      <c r="C842">
        <v>282</v>
      </c>
      <c r="D842" t="s">
        <v>5213</v>
      </c>
      <c r="E842">
        <v>282</v>
      </c>
      <c r="F842" s="1">
        <v>45208</v>
      </c>
      <c r="G842" s="6">
        <v>27.593750000000956</v>
      </c>
      <c r="H842" s="7">
        <v>27.593750000000956</v>
      </c>
      <c r="I842" s="26" t="s">
        <v>5214</v>
      </c>
      <c r="J842" s="26">
        <f t="shared" si="29"/>
        <v>-4.3949999999999996</v>
      </c>
    </row>
    <row r="843" spans="1:10" x14ac:dyDescent="0.2">
      <c r="A843" t="s">
        <v>5215</v>
      </c>
      <c r="B843">
        <v>6.275E-2</v>
      </c>
      <c r="C843">
        <v>283</v>
      </c>
      <c r="D843" t="s">
        <v>5215</v>
      </c>
      <c r="E843">
        <v>282</v>
      </c>
      <c r="F843" s="1">
        <v>45208</v>
      </c>
      <c r="G843" s="6">
        <v>27.604166666667624</v>
      </c>
      <c r="H843" s="7">
        <v>27.604166666667624</v>
      </c>
      <c r="I843" s="26">
        <v>4.4794999999999998</v>
      </c>
      <c r="J843" s="26">
        <f t="shared" si="29"/>
        <v>-4.4794999999999998</v>
      </c>
    </row>
    <row r="844" spans="1:10" x14ac:dyDescent="0.2">
      <c r="A844" t="s">
        <v>5216</v>
      </c>
      <c r="B844">
        <v>6.2359999999999999E-2</v>
      </c>
      <c r="C844">
        <v>283</v>
      </c>
      <c r="D844" t="s">
        <v>5216</v>
      </c>
      <c r="E844">
        <v>282</v>
      </c>
      <c r="F844" s="1">
        <v>45208</v>
      </c>
      <c r="G844" s="6">
        <v>27.614583333334291</v>
      </c>
      <c r="H844" s="7">
        <v>27.614583333334291</v>
      </c>
      <c r="I844" s="26">
        <v>4.4524999999999997</v>
      </c>
      <c r="J844" s="26">
        <f t="shared" si="29"/>
        <v>-4.4524999999999997</v>
      </c>
    </row>
    <row r="845" spans="1:10" x14ac:dyDescent="0.2">
      <c r="A845" t="s">
        <v>5217</v>
      </c>
      <c r="B845">
        <v>6.3414999999999999E-2</v>
      </c>
      <c r="C845">
        <v>283</v>
      </c>
      <c r="D845" t="s">
        <v>5217</v>
      </c>
      <c r="E845">
        <v>282</v>
      </c>
      <c r="F845" s="1">
        <v>45208</v>
      </c>
      <c r="G845" s="6">
        <v>27.625000000000959</v>
      </c>
      <c r="H845" s="7">
        <v>27.625000000000959</v>
      </c>
      <c r="I845" s="26">
        <v>4.5274999999999999</v>
      </c>
      <c r="J845" s="26">
        <f t="shared" si="29"/>
        <v>-4.5274999999999999</v>
      </c>
    </row>
    <row r="846" spans="1:10" x14ac:dyDescent="0.2">
      <c r="A846" t="s">
        <v>5218</v>
      </c>
      <c r="B846">
        <v>6.3305E-2</v>
      </c>
      <c r="C846">
        <v>283</v>
      </c>
      <c r="D846" t="s">
        <v>5218</v>
      </c>
      <c r="E846">
        <v>282</v>
      </c>
      <c r="F846" s="1">
        <v>45208</v>
      </c>
      <c r="G846" s="6">
        <v>27.635416666667627</v>
      </c>
      <c r="H846" s="7">
        <v>27.635416666667627</v>
      </c>
      <c r="I846" s="26">
        <v>4.5194999999999999</v>
      </c>
      <c r="J846" s="26">
        <f t="shared" si="29"/>
        <v>-4.5194999999999999</v>
      </c>
    </row>
    <row r="847" spans="1:10" x14ac:dyDescent="0.2">
      <c r="A847" t="s">
        <v>5219</v>
      </c>
      <c r="B847">
        <v>6.3354999999999995E-2</v>
      </c>
      <c r="C847">
        <v>283</v>
      </c>
      <c r="D847" t="s">
        <v>5219</v>
      </c>
      <c r="E847">
        <v>282</v>
      </c>
      <c r="F847" s="1">
        <v>45208</v>
      </c>
      <c r="G847" s="6">
        <v>27.645833333334295</v>
      </c>
      <c r="H847" s="7">
        <v>27.645833333334295</v>
      </c>
      <c r="I847" s="26">
        <v>4.5229999999999997</v>
      </c>
      <c r="J847" s="26">
        <f t="shared" si="29"/>
        <v>-4.5229999999999997</v>
      </c>
    </row>
    <row r="848" spans="1:10" x14ac:dyDescent="0.2">
      <c r="A848" t="s">
        <v>5220</v>
      </c>
      <c r="B848">
        <v>6.2784999999999994E-2</v>
      </c>
      <c r="C848">
        <v>283</v>
      </c>
      <c r="D848" t="s">
        <v>5220</v>
      </c>
      <c r="E848">
        <v>282</v>
      </c>
      <c r="F848" s="1">
        <v>45208</v>
      </c>
      <c r="G848" s="6">
        <v>27.656250000000963</v>
      </c>
      <c r="H848" s="7">
        <v>27.656250000000963</v>
      </c>
      <c r="I848" s="26">
        <v>4.4824999999999999</v>
      </c>
      <c r="J848" s="26">
        <f t="shared" si="29"/>
        <v>-4.4824999999999999</v>
      </c>
    </row>
    <row r="849" spans="1:10" x14ac:dyDescent="0.2">
      <c r="A849" t="s">
        <v>5221</v>
      </c>
      <c r="B849">
        <v>6.2695000000000001E-2</v>
      </c>
      <c r="C849">
        <v>283</v>
      </c>
      <c r="D849" t="s">
        <v>5221</v>
      </c>
      <c r="E849">
        <v>282</v>
      </c>
      <c r="F849" s="1">
        <v>45208</v>
      </c>
      <c r="G849" s="6">
        <v>27.666666666667631</v>
      </c>
      <c r="H849" s="7">
        <v>27.666666666667631</v>
      </c>
      <c r="I849" s="26">
        <v>4.4755000000000003</v>
      </c>
      <c r="J849" s="26">
        <f t="shared" si="29"/>
        <v>-4.4755000000000003</v>
      </c>
    </row>
    <row r="850" spans="1:10" x14ac:dyDescent="0.2">
      <c r="A850" t="s">
        <v>5222</v>
      </c>
      <c r="B850">
        <v>6.2725000000000003E-2</v>
      </c>
      <c r="C850">
        <v>283</v>
      </c>
      <c r="D850" t="s">
        <v>5222</v>
      </c>
      <c r="E850">
        <v>282</v>
      </c>
      <c r="F850" s="1">
        <v>45208</v>
      </c>
      <c r="G850" s="6">
        <v>27.677083333334298</v>
      </c>
      <c r="H850" s="7">
        <v>27.677083333334298</v>
      </c>
      <c r="I850" s="26">
        <v>4.4785000000000004</v>
      </c>
      <c r="J850" s="26">
        <f t="shared" si="29"/>
        <v>-4.4785000000000004</v>
      </c>
    </row>
    <row r="851" spans="1:10" x14ac:dyDescent="0.2">
      <c r="A851" t="s">
        <v>5223</v>
      </c>
      <c r="B851">
        <v>6.2549999999999994E-2</v>
      </c>
      <c r="C851">
        <v>283</v>
      </c>
      <c r="D851" t="s">
        <v>5223</v>
      </c>
      <c r="E851">
        <v>282</v>
      </c>
      <c r="F851" s="1">
        <v>45208</v>
      </c>
      <c r="G851" s="6">
        <v>27.687500000000966</v>
      </c>
      <c r="H851" s="7">
        <v>27.687500000000966</v>
      </c>
      <c r="I851" s="26">
        <v>4.4660000000000002</v>
      </c>
      <c r="J851" s="26">
        <f t="shared" si="29"/>
        <v>-4.4660000000000002</v>
      </c>
    </row>
    <row r="852" spans="1:10" x14ac:dyDescent="0.2">
      <c r="A852" t="s">
        <v>5224</v>
      </c>
      <c r="B852">
        <v>6.3735E-2</v>
      </c>
      <c r="C852">
        <v>283</v>
      </c>
      <c r="D852" t="s">
        <v>5224</v>
      </c>
      <c r="E852">
        <v>282</v>
      </c>
      <c r="F852" s="1">
        <v>45208</v>
      </c>
      <c r="G852" s="6">
        <v>27.697916666667634</v>
      </c>
      <c r="H852" s="7">
        <v>27.697916666667634</v>
      </c>
      <c r="I852" s="26">
        <v>4.55</v>
      </c>
      <c r="J852" s="26">
        <f t="shared" si="29"/>
        <v>-4.55</v>
      </c>
    </row>
    <row r="853" spans="1:10" x14ac:dyDescent="0.2">
      <c r="A853" t="s">
        <v>5225</v>
      </c>
      <c r="B853">
        <v>6.59E-2</v>
      </c>
      <c r="C853">
        <v>283</v>
      </c>
      <c r="D853" t="s">
        <v>5225</v>
      </c>
      <c r="E853">
        <v>282</v>
      </c>
      <c r="F853" s="1">
        <v>45208</v>
      </c>
      <c r="G853" s="6">
        <v>27.708333333334302</v>
      </c>
      <c r="H853" s="7">
        <v>27.708333333334302</v>
      </c>
      <c r="I853" s="26">
        <v>4.7050000000000001</v>
      </c>
      <c r="J853" s="26">
        <f t="shared" si="29"/>
        <v>-4.7050000000000001</v>
      </c>
    </row>
    <row r="854" spans="1:10" x14ac:dyDescent="0.2">
      <c r="A854" t="s">
        <v>5226</v>
      </c>
      <c r="B854">
        <v>6.6089999999999996E-2</v>
      </c>
      <c r="C854">
        <v>283</v>
      </c>
      <c r="D854" t="s">
        <v>5226</v>
      </c>
      <c r="E854">
        <v>282</v>
      </c>
      <c r="F854" s="1">
        <v>45208</v>
      </c>
      <c r="G854" s="6">
        <v>27.71875000000097</v>
      </c>
      <c r="H854" s="7">
        <v>27.71875000000097</v>
      </c>
      <c r="I854" s="26">
        <v>4.7190000000000003</v>
      </c>
      <c r="J854" s="26">
        <f t="shared" si="29"/>
        <v>-4.7190000000000003</v>
      </c>
    </row>
    <row r="855" spans="1:10" x14ac:dyDescent="0.2">
      <c r="A855" t="s">
        <v>5227</v>
      </c>
      <c r="B855">
        <v>6.6619999999999999E-2</v>
      </c>
      <c r="C855">
        <v>283</v>
      </c>
      <c r="D855" t="s">
        <v>5227</v>
      </c>
      <c r="E855">
        <v>282</v>
      </c>
      <c r="F855" s="1">
        <v>45208</v>
      </c>
      <c r="G855" s="6">
        <v>27.729166666667638</v>
      </c>
      <c r="H855" s="7">
        <v>27.729166666667638</v>
      </c>
      <c r="I855" s="26">
        <v>4.7560000000000002</v>
      </c>
      <c r="J855" s="26">
        <f t="shared" si="29"/>
        <v>-4.7560000000000002</v>
      </c>
    </row>
    <row r="856" spans="1:10" x14ac:dyDescent="0.2">
      <c r="A856" t="s">
        <v>5228</v>
      </c>
      <c r="B856">
        <v>6.7290000000000003E-2</v>
      </c>
      <c r="C856">
        <v>283</v>
      </c>
      <c r="D856" t="s">
        <v>5228</v>
      </c>
      <c r="E856">
        <v>282</v>
      </c>
      <c r="F856" s="1">
        <v>45208</v>
      </c>
      <c r="G856" s="6">
        <v>27.739583333334306</v>
      </c>
      <c r="H856" s="7">
        <v>27.739583333334306</v>
      </c>
      <c r="I856" s="26">
        <v>4.8034999999999997</v>
      </c>
      <c r="J856" s="26">
        <f t="shared" si="29"/>
        <v>-4.8034999999999997</v>
      </c>
    </row>
    <row r="857" spans="1:10" x14ac:dyDescent="0.2">
      <c r="A857" t="s">
        <v>5229</v>
      </c>
      <c r="B857">
        <v>6.6890000000000005E-2</v>
      </c>
      <c r="C857">
        <v>283</v>
      </c>
      <c r="D857" t="s">
        <v>5229</v>
      </c>
      <c r="E857">
        <v>282</v>
      </c>
      <c r="F857" s="1">
        <v>45208</v>
      </c>
      <c r="G857" s="6">
        <v>27.750000000000973</v>
      </c>
      <c r="H857" s="7">
        <v>27.750000000000973</v>
      </c>
      <c r="I857" s="26" t="s">
        <v>5230</v>
      </c>
      <c r="J857" s="26">
        <f t="shared" si="29"/>
        <v>-4.7764999999999898</v>
      </c>
    </row>
    <row r="858" spans="1:10" x14ac:dyDescent="0.2">
      <c r="A858" t="s">
        <v>5231</v>
      </c>
      <c r="B858">
        <v>6.8339999999999998E-2</v>
      </c>
      <c r="C858">
        <v>283</v>
      </c>
      <c r="D858" t="s">
        <v>5231</v>
      </c>
      <c r="E858">
        <v>282</v>
      </c>
      <c r="F858" s="1">
        <v>45208</v>
      </c>
      <c r="G858" s="6">
        <v>27.760416666667641</v>
      </c>
      <c r="H858" s="7">
        <v>27.760416666667641</v>
      </c>
      <c r="I858" s="26">
        <v>4.88</v>
      </c>
      <c r="J858" s="26">
        <f t="shared" si="29"/>
        <v>-4.88</v>
      </c>
    </row>
    <row r="859" spans="1:10" x14ac:dyDescent="0.2">
      <c r="A859" t="s">
        <v>5232</v>
      </c>
      <c r="B859">
        <v>6.8695000000000006E-2</v>
      </c>
      <c r="C859">
        <v>283</v>
      </c>
      <c r="D859" t="s">
        <v>5232</v>
      </c>
      <c r="E859">
        <v>282</v>
      </c>
      <c r="F859" s="1">
        <v>45208</v>
      </c>
      <c r="G859" s="6">
        <v>27.770833333334309</v>
      </c>
      <c r="H859" s="7">
        <v>27.770833333334309</v>
      </c>
      <c r="I859" s="26">
        <v>4.9044999999999996</v>
      </c>
      <c r="J859" s="26">
        <f t="shared" si="29"/>
        <v>-4.9044999999999996</v>
      </c>
    </row>
    <row r="860" spans="1:10" x14ac:dyDescent="0.2">
      <c r="A860" t="s">
        <v>5233</v>
      </c>
      <c r="B860">
        <v>6.8775000000000003E-2</v>
      </c>
      <c r="C860">
        <v>283</v>
      </c>
      <c r="D860" t="s">
        <v>5233</v>
      </c>
      <c r="E860">
        <v>282</v>
      </c>
      <c r="F860" s="1">
        <v>45208</v>
      </c>
      <c r="G860" s="6">
        <v>27.781250000000977</v>
      </c>
      <c r="H860" s="7">
        <v>27.781250000000977</v>
      </c>
      <c r="I860" s="26">
        <v>4.9104999999999999</v>
      </c>
      <c r="J860" s="26">
        <f t="shared" si="29"/>
        <v>-4.9104999999999999</v>
      </c>
    </row>
    <row r="861" spans="1:10" x14ac:dyDescent="0.2">
      <c r="A861" t="s">
        <v>5234</v>
      </c>
      <c r="B861">
        <v>6.9000000000000006E-2</v>
      </c>
      <c r="C861">
        <v>283</v>
      </c>
      <c r="D861" t="s">
        <v>5234</v>
      </c>
      <c r="E861">
        <v>282</v>
      </c>
      <c r="F861" s="1">
        <v>45208</v>
      </c>
      <c r="G861" s="6">
        <v>27.791666666667645</v>
      </c>
      <c r="H861" s="7">
        <v>27.791666666667645</v>
      </c>
      <c r="I861" s="26">
        <v>4.9264999999999999</v>
      </c>
      <c r="J861" s="26">
        <f t="shared" si="29"/>
        <v>-4.9264999999999999</v>
      </c>
    </row>
    <row r="862" spans="1:10" x14ac:dyDescent="0.2">
      <c r="A862" t="s">
        <v>5235</v>
      </c>
      <c r="B862">
        <v>6.9919999999999996E-2</v>
      </c>
      <c r="C862">
        <v>283</v>
      </c>
      <c r="D862" t="s">
        <v>5235</v>
      </c>
      <c r="E862">
        <v>282</v>
      </c>
      <c r="F862" s="1">
        <v>45208</v>
      </c>
      <c r="G862" s="6">
        <v>27.802083333334313</v>
      </c>
      <c r="H862" s="7">
        <v>27.802083333334313</v>
      </c>
      <c r="I862" s="26">
        <v>4.9915000000000003</v>
      </c>
      <c r="J862" s="26">
        <f t="shared" si="29"/>
        <v>-4.9915000000000003</v>
      </c>
    </row>
    <row r="863" spans="1:10" x14ac:dyDescent="0.2">
      <c r="A863" t="s">
        <v>5236</v>
      </c>
      <c r="B863">
        <v>6.9184999999999997E-2</v>
      </c>
      <c r="C863">
        <v>283</v>
      </c>
      <c r="D863" t="s">
        <v>5236</v>
      </c>
      <c r="E863">
        <v>282</v>
      </c>
      <c r="F863" s="1">
        <v>45208</v>
      </c>
      <c r="G863" s="6">
        <v>27.812500000000981</v>
      </c>
      <c r="H863" s="7">
        <v>27.812500000000981</v>
      </c>
      <c r="I863" s="26">
        <v>4.9390000000000001</v>
      </c>
      <c r="J863" s="26">
        <f t="shared" si="29"/>
        <v>-4.9390000000000001</v>
      </c>
    </row>
    <row r="864" spans="1:10" x14ac:dyDescent="0.2">
      <c r="A864" t="s">
        <v>5237</v>
      </c>
      <c r="B864">
        <v>6.9455000000000003E-2</v>
      </c>
      <c r="C864">
        <v>283</v>
      </c>
      <c r="D864" t="s">
        <v>5237</v>
      </c>
      <c r="E864">
        <v>282</v>
      </c>
      <c r="F864" s="1">
        <v>45208</v>
      </c>
      <c r="G864" s="6">
        <v>27.822916666667648</v>
      </c>
      <c r="H864" s="7">
        <v>27.822916666667648</v>
      </c>
      <c r="I864" s="26">
        <v>4.9589999999999996</v>
      </c>
      <c r="J864" s="26">
        <f t="shared" si="29"/>
        <v>-4.9589999999999996</v>
      </c>
    </row>
    <row r="865" spans="1:10" x14ac:dyDescent="0.2">
      <c r="A865" t="s">
        <v>5238</v>
      </c>
      <c r="B865">
        <v>6.8860000000000005E-2</v>
      </c>
      <c r="C865">
        <v>283</v>
      </c>
      <c r="D865" t="s">
        <v>5238</v>
      </c>
      <c r="E865">
        <v>282</v>
      </c>
      <c r="F865" s="1">
        <v>45208</v>
      </c>
      <c r="G865" s="6">
        <v>27.833333333334316</v>
      </c>
      <c r="H865" s="7">
        <v>27.833333333334316</v>
      </c>
      <c r="I865" s="26">
        <v>4.9160000000000004</v>
      </c>
      <c r="J865" s="26">
        <f t="shared" si="29"/>
        <v>-4.9160000000000004</v>
      </c>
    </row>
    <row r="866" spans="1:10" x14ac:dyDescent="0.2">
      <c r="A866" t="s">
        <v>5239</v>
      </c>
      <c r="B866">
        <v>6.8385000000000001E-2</v>
      </c>
      <c r="C866">
        <v>283</v>
      </c>
      <c r="D866" t="s">
        <v>5239</v>
      </c>
      <c r="E866">
        <v>282</v>
      </c>
      <c r="F866" s="1">
        <v>45208</v>
      </c>
      <c r="G866" s="6">
        <v>27.843750000000984</v>
      </c>
      <c r="H866" s="7">
        <v>27.843750000000984</v>
      </c>
      <c r="I866" s="26">
        <v>4.8815</v>
      </c>
      <c r="J866" s="26">
        <f t="shared" si="29"/>
        <v>-4.8815</v>
      </c>
    </row>
    <row r="867" spans="1:10" x14ac:dyDescent="0.2">
      <c r="A867" t="s">
        <v>5240</v>
      </c>
      <c r="B867">
        <v>6.9709999999999994E-2</v>
      </c>
      <c r="C867">
        <v>283</v>
      </c>
      <c r="D867" t="s">
        <v>5240</v>
      </c>
      <c r="E867">
        <v>283</v>
      </c>
      <c r="F867" s="1">
        <v>45209</v>
      </c>
      <c r="G867" s="6">
        <v>27.854166666667652</v>
      </c>
      <c r="H867" s="7">
        <v>27.854166666667652</v>
      </c>
      <c r="I867" s="26">
        <v>4.9775</v>
      </c>
      <c r="J867" s="26">
        <f t="shared" si="29"/>
        <v>-4.9775</v>
      </c>
    </row>
    <row r="868" spans="1:10" x14ac:dyDescent="0.2">
      <c r="A868" t="s">
        <v>5241</v>
      </c>
      <c r="B868">
        <v>7.0800000000000002E-2</v>
      </c>
      <c r="C868">
        <v>283</v>
      </c>
      <c r="D868" t="s">
        <v>5241</v>
      </c>
      <c r="E868">
        <v>283</v>
      </c>
      <c r="F868" s="1">
        <v>45209</v>
      </c>
      <c r="G868" s="6">
        <v>27.86458333333432</v>
      </c>
      <c r="H868" s="7">
        <v>27.86458333333432</v>
      </c>
      <c r="I868" s="26">
        <v>5.0555000000000003</v>
      </c>
      <c r="J868" s="26">
        <f t="shared" si="29"/>
        <v>-5.0555000000000003</v>
      </c>
    </row>
    <row r="869" spans="1:10" x14ac:dyDescent="0.2">
      <c r="A869" t="s">
        <v>5242</v>
      </c>
      <c r="B869">
        <v>6.9690000000000002E-2</v>
      </c>
      <c r="C869">
        <v>283</v>
      </c>
      <c r="D869" t="s">
        <v>5242</v>
      </c>
      <c r="E869">
        <v>283</v>
      </c>
      <c r="F869" s="1">
        <v>45209</v>
      </c>
      <c r="G869" s="6">
        <v>27.875000000000988</v>
      </c>
      <c r="H869" s="7">
        <v>27.875000000000988</v>
      </c>
      <c r="I869" s="26">
        <v>4.976</v>
      </c>
      <c r="J869" s="26">
        <f t="shared" si="29"/>
        <v>-4.976</v>
      </c>
    </row>
    <row r="870" spans="1:10" x14ac:dyDescent="0.2">
      <c r="A870" t="s">
        <v>5243</v>
      </c>
      <c r="B870">
        <v>7.0599999999999996E-2</v>
      </c>
      <c r="C870">
        <v>283</v>
      </c>
      <c r="D870" t="s">
        <v>5243</v>
      </c>
      <c r="E870">
        <v>283</v>
      </c>
      <c r="F870" s="1">
        <v>45209</v>
      </c>
      <c r="G870" s="6">
        <v>27.885416666667656</v>
      </c>
      <c r="H870" s="7">
        <v>27.885416666667656</v>
      </c>
      <c r="I870" s="26">
        <v>5.0404999999999998</v>
      </c>
      <c r="J870" s="26">
        <f t="shared" si="29"/>
        <v>-5.0404999999999998</v>
      </c>
    </row>
    <row r="871" spans="1:10" x14ac:dyDescent="0.2">
      <c r="A871" t="s">
        <v>5244</v>
      </c>
      <c r="B871">
        <v>6.862E-2</v>
      </c>
      <c r="C871">
        <v>283</v>
      </c>
      <c r="D871" t="s">
        <v>5244</v>
      </c>
      <c r="E871">
        <v>283</v>
      </c>
      <c r="F871" s="1">
        <v>45209</v>
      </c>
      <c r="G871" s="6">
        <v>27.895833333334323</v>
      </c>
      <c r="H871" s="7">
        <v>27.895833333334323</v>
      </c>
      <c r="I871" s="26">
        <v>4.8985000000000003</v>
      </c>
      <c r="J871" s="26">
        <f t="shared" si="29"/>
        <v>-4.8985000000000003</v>
      </c>
    </row>
    <row r="872" spans="1:10" x14ac:dyDescent="0.2">
      <c r="A872" t="s">
        <v>5245</v>
      </c>
      <c r="B872">
        <v>7.0120000000000002E-2</v>
      </c>
      <c r="C872">
        <v>283</v>
      </c>
      <c r="D872" t="s">
        <v>5245</v>
      </c>
      <c r="E872">
        <v>283</v>
      </c>
      <c r="F872" s="1">
        <v>45209</v>
      </c>
      <c r="G872" s="6">
        <v>27.906250000000991</v>
      </c>
      <c r="H872" s="7">
        <v>27.906250000000991</v>
      </c>
      <c r="I872" s="26">
        <v>5.0049999999999999</v>
      </c>
      <c r="J872" s="26">
        <f t="shared" si="29"/>
        <v>-5.0049999999999999</v>
      </c>
    </row>
    <row r="873" spans="1:10" x14ac:dyDescent="0.2">
      <c r="A873" t="s">
        <v>5246</v>
      </c>
      <c r="B873">
        <v>7.0724999999999996E-2</v>
      </c>
      <c r="C873">
        <v>283</v>
      </c>
      <c r="D873" t="s">
        <v>5246</v>
      </c>
      <c r="E873">
        <v>283</v>
      </c>
      <c r="F873" s="1">
        <v>45209</v>
      </c>
      <c r="G873" s="6">
        <v>27.916666666667659</v>
      </c>
      <c r="H873" s="7">
        <v>27.916666666667659</v>
      </c>
      <c r="I873" s="26" t="s">
        <v>5171</v>
      </c>
      <c r="J873" s="26">
        <f t="shared" si="29"/>
        <v>-5.0489999999999897</v>
      </c>
    </row>
    <row r="874" spans="1:10" x14ac:dyDescent="0.2">
      <c r="A874" t="s">
        <v>5247</v>
      </c>
      <c r="B874">
        <v>7.0485000000000006E-2</v>
      </c>
      <c r="C874">
        <v>283</v>
      </c>
      <c r="D874" t="s">
        <v>5247</v>
      </c>
      <c r="E874">
        <v>283</v>
      </c>
      <c r="F874" s="1">
        <v>45209</v>
      </c>
      <c r="G874" s="6">
        <v>27.927083333334327</v>
      </c>
      <c r="H874" s="7">
        <v>27.927083333334327</v>
      </c>
      <c r="I874" s="26">
        <v>5.0315000000000003</v>
      </c>
      <c r="J874" s="26">
        <f t="shared" si="29"/>
        <v>-5.0315000000000003</v>
      </c>
    </row>
    <row r="875" spans="1:10" x14ac:dyDescent="0.2">
      <c r="A875" t="s">
        <v>5248</v>
      </c>
      <c r="B875">
        <v>7.0809999999999998E-2</v>
      </c>
      <c r="C875">
        <v>283</v>
      </c>
      <c r="D875" t="s">
        <v>5248</v>
      </c>
      <c r="E875">
        <v>283</v>
      </c>
      <c r="F875" s="1">
        <v>45209</v>
      </c>
      <c r="G875" s="6">
        <v>27.937500000000995</v>
      </c>
      <c r="H875" s="7">
        <v>27.937500000000995</v>
      </c>
      <c r="I875" s="26">
        <v>5.0564999999999998</v>
      </c>
      <c r="J875" s="26">
        <f t="shared" si="29"/>
        <v>-5.0564999999999998</v>
      </c>
    </row>
    <row r="876" spans="1:10" x14ac:dyDescent="0.2">
      <c r="A876" t="s">
        <v>5249</v>
      </c>
      <c r="B876">
        <v>6.9190000000000002E-2</v>
      </c>
      <c r="C876">
        <v>283</v>
      </c>
      <c r="D876" t="s">
        <v>5249</v>
      </c>
      <c r="E876">
        <v>283</v>
      </c>
      <c r="F876" s="1">
        <v>45209</v>
      </c>
      <c r="G876" s="6">
        <v>27.947916666667663</v>
      </c>
      <c r="H876" s="7">
        <v>27.947916666667663</v>
      </c>
      <c r="I876" s="26">
        <v>4.9394999999999998</v>
      </c>
      <c r="J876" s="26">
        <f t="shared" si="29"/>
        <v>-4.9394999999999998</v>
      </c>
    </row>
    <row r="877" spans="1:10" x14ac:dyDescent="0.2">
      <c r="A877" t="s">
        <v>5250</v>
      </c>
      <c r="B877">
        <v>6.8915000000000004E-2</v>
      </c>
      <c r="C877">
        <v>283</v>
      </c>
      <c r="D877" t="s">
        <v>5250</v>
      </c>
      <c r="E877">
        <v>283</v>
      </c>
      <c r="F877" s="1">
        <v>45209</v>
      </c>
      <c r="G877" s="6">
        <v>27.95833333333433</v>
      </c>
      <c r="H877" s="7">
        <v>27.95833333333433</v>
      </c>
      <c r="I877" s="26">
        <v>4.9195000000000002</v>
      </c>
      <c r="J877" s="26">
        <f t="shared" si="29"/>
        <v>-4.9195000000000002</v>
      </c>
    </row>
    <row r="878" spans="1:10" x14ac:dyDescent="0.2">
      <c r="A878" t="s">
        <v>5251</v>
      </c>
      <c r="B878">
        <v>6.8434999999999996E-2</v>
      </c>
      <c r="C878">
        <v>283</v>
      </c>
      <c r="D878" t="s">
        <v>5251</v>
      </c>
      <c r="E878">
        <v>283</v>
      </c>
      <c r="F878" s="1">
        <v>45209</v>
      </c>
      <c r="G878" s="6">
        <v>27.968750000000998</v>
      </c>
      <c r="H878" s="7">
        <v>27.968750000000998</v>
      </c>
      <c r="I878" s="26">
        <v>4.8860000000000001</v>
      </c>
      <c r="J878" s="26">
        <f t="shared" si="29"/>
        <v>-4.8860000000000001</v>
      </c>
    </row>
    <row r="879" spans="1:10" x14ac:dyDescent="0.2">
      <c r="A879" t="s">
        <v>5252</v>
      </c>
      <c r="B879">
        <v>6.8669999999999995E-2</v>
      </c>
      <c r="C879">
        <v>283</v>
      </c>
      <c r="D879" t="s">
        <v>5252</v>
      </c>
      <c r="E879">
        <v>283</v>
      </c>
      <c r="F879" s="1">
        <v>45209</v>
      </c>
      <c r="G879" s="6">
        <v>27.979166666667666</v>
      </c>
      <c r="H879" s="7">
        <v>27.979166666667666</v>
      </c>
      <c r="I879" s="26">
        <v>4.9035000000000002</v>
      </c>
      <c r="J879" s="26">
        <f t="shared" si="29"/>
        <v>-4.9035000000000002</v>
      </c>
    </row>
    <row r="880" spans="1:10" x14ac:dyDescent="0.2">
      <c r="A880" t="s">
        <v>5253</v>
      </c>
      <c r="B880">
        <v>6.9184999999999997E-2</v>
      </c>
      <c r="C880">
        <v>283</v>
      </c>
      <c r="D880" t="s">
        <v>5253</v>
      </c>
      <c r="E880">
        <v>283</v>
      </c>
      <c r="F880" s="1">
        <v>45209</v>
      </c>
      <c r="G880" s="6">
        <v>27.989583333334334</v>
      </c>
      <c r="H880" s="7">
        <v>27.989583333334334</v>
      </c>
      <c r="I880" s="26">
        <v>4.9390000000000001</v>
      </c>
      <c r="J880" s="26">
        <f t="shared" si="29"/>
        <v>-4.9390000000000001</v>
      </c>
    </row>
    <row r="881" spans="1:10" x14ac:dyDescent="0.2">
      <c r="A881" t="s">
        <v>5254</v>
      </c>
      <c r="B881">
        <v>6.8095000000000003E-2</v>
      </c>
      <c r="C881">
        <v>283</v>
      </c>
      <c r="D881" t="s">
        <v>5254</v>
      </c>
      <c r="E881">
        <v>283</v>
      </c>
      <c r="F881" s="1">
        <v>45209</v>
      </c>
      <c r="G881" s="6">
        <v>28.000000000001002</v>
      </c>
      <c r="H881" s="7">
        <v>28.000000000001002</v>
      </c>
      <c r="I881" s="26">
        <v>4.8620000000000001</v>
      </c>
      <c r="J881" s="26">
        <f t="shared" si="29"/>
        <v>-4.8620000000000001</v>
      </c>
    </row>
    <row r="882" spans="1:10" x14ac:dyDescent="0.2">
      <c r="A882" t="s">
        <v>5255</v>
      </c>
      <c r="B882">
        <v>6.9394999999999998E-2</v>
      </c>
      <c r="C882">
        <v>283</v>
      </c>
      <c r="D882" t="s">
        <v>5255</v>
      </c>
      <c r="E882">
        <v>283</v>
      </c>
      <c r="F882" s="1">
        <v>45209</v>
      </c>
      <c r="G882" s="6">
        <v>28.01041666666767</v>
      </c>
      <c r="H882" s="7">
        <v>28.01041666666767</v>
      </c>
      <c r="I882" s="26">
        <v>4.9545000000000003</v>
      </c>
      <c r="J882" s="26">
        <f t="shared" si="29"/>
        <v>-4.9545000000000003</v>
      </c>
    </row>
    <row r="883" spans="1:10" x14ac:dyDescent="0.2">
      <c r="A883" t="s">
        <v>5256</v>
      </c>
      <c r="B883">
        <v>6.8135000000000001E-2</v>
      </c>
      <c r="C883">
        <v>283</v>
      </c>
      <c r="D883" t="s">
        <v>5256</v>
      </c>
      <c r="E883">
        <v>283</v>
      </c>
      <c r="F883" s="1">
        <v>45209</v>
      </c>
      <c r="G883" s="6">
        <v>28.020833333334338</v>
      </c>
      <c r="H883" s="7">
        <v>28.020833333334338</v>
      </c>
      <c r="I883" s="26">
        <v>4.8654999999999999</v>
      </c>
      <c r="J883" s="26">
        <f t="shared" si="29"/>
        <v>-4.8654999999999999</v>
      </c>
    </row>
    <row r="884" spans="1:10" x14ac:dyDescent="0.2">
      <c r="A884" t="s">
        <v>5257</v>
      </c>
      <c r="B884">
        <v>6.9055000000000005E-2</v>
      </c>
      <c r="C884">
        <v>283</v>
      </c>
      <c r="D884" t="s">
        <v>5257</v>
      </c>
      <c r="E884">
        <v>283</v>
      </c>
      <c r="F884" s="1">
        <v>45209</v>
      </c>
      <c r="G884" s="6">
        <v>28.031250000001005</v>
      </c>
      <c r="H884" s="7">
        <v>28.031250000001005</v>
      </c>
      <c r="I884" s="26">
        <v>4.931</v>
      </c>
      <c r="J884" s="26">
        <f t="shared" si="29"/>
        <v>-4.931</v>
      </c>
    </row>
    <row r="885" spans="1:10" x14ac:dyDescent="0.2">
      <c r="A885" t="s">
        <v>5258</v>
      </c>
      <c r="B885">
        <v>6.9034999999999999E-2</v>
      </c>
      <c r="C885">
        <v>283</v>
      </c>
      <c r="D885" t="s">
        <v>5258</v>
      </c>
      <c r="E885">
        <v>283</v>
      </c>
      <c r="F885" s="1">
        <v>45209</v>
      </c>
      <c r="G885" s="6">
        <v>28.041666666667673</v>
      </c>
      <c r="H885" s="7">
        <v>28.041666666667673</v>
      </c>
      <c r="I885" s="26">
        <v>4.9295</v>
      </c>
      <c r="J885" s="26">
        <f t="shared" si="29"/>
        <v>-4.9295</v>
      </c>
    </row>
    <row r="886" spans="1:10" x14ac:dyDescent="0.2">
      <c r="A886" t="s">
        <v>5259</v>
      </c>
      <c r="B886">
        <v>6.8754999999999997E-2</v>
      </c>
      <c r="C886">
        <v>283</v>
      </c>
      <c r="D886" t="s">
        <v>5259</v>
      </c>
      <c r="E886">
        <v>283</v>
      </c>
      <c r="F886" s="1">
        <v>45209</v>
      </c>
      <c r="G886" s="6">
        <v>28.052083333334341</v>
      </c>
      <c r="H886" s="7">
        <v>28.052083333334341</v>
      </c>
      <c r="I886" s="26">
        <v>4.9089999999999998</v>
      </c>
      <c r="J886" s="26">
        <f t="shared" si="29"/>
        <v>-4.9089999999999998</v>
      </c>
    </row>
    <row r="887" spans="1:10" x14ac:dyDescent="0.2">
      <c r="A887" t="s">
        <v>5260</v>
      </c>
      <c r="B887">
        <v>6.8540000000000004E-2</v>
      </c>
      <c r="C887">
        <v>283</v>
      </c>
      <c r="D887" t="s">
        <v>5260</v>
      </c>
      <c r="E887">
        <v>283</v>
      </c>
      <c r="F887" s="1">
        <v>45209</v>
      </c>
      <c r="G887" s="6">
        <v>28.062500000001009</v>
      </c>
      <c r="H887" s="7">
        <v>28.062500000001009</v>
      </c>
      <c r="I887" s="26">
        <v>4.8925000000000001</v>
      </c>
      <c r="J887" s="26">
        <f t="shared" si="29"/>
        <v>-4.8925000000000001</v>
      </c>
    </row>
    <row r="888" spans="1:10" x14ac:dyDescent="0.2">
      <c r="A888" t="s">
        <v>5261</v>
      </c>
      <c r="B888">
        <v>6.8890000000000007E-2</v>
      </c>
      <c r="C888">
        <v>283</v>
      </c>
      <c r="D888" t="s">
        <v>5261</v>
      </c>
      <c r="E888">
        <v>283</v>
      </c>
      <c r="F888" s="1">
        <v>45209</v>
      </c>
      <c r="G888" s="6">
        <v>28.072916666667677</v>
      </c>
      <c r="H888" s="7">
        <v>28.072916666667677</v>
      </c>
      <c r="I888" s="26">
        <v>4.9184999999999999</v>
      </c>
      <c r="J888" s="26">
        <f t="shared" si="29"/>
        <v>-4.9184999999999999</v>
      </c>
    </row>
    <row r="889" spans="1:10" x14ac:dyDescent="0.2">
      <c r="A889" t="s">
        <v>5262</v>
      </c>
      <c r="B889">
        <v>6.9735000000000005E-2</v>
      </c>
      <c r="C889">
        <v>283</v>
      </c>
      <c r="D889" t="s">
        <v>5262</v>
      </c>
      <c r="E889">
        <v>283</v>
      </c>
      <c r="F889" s="1">
        <v>45209</v>
      </c>
      <c r="G889" s="6">
        <v>28.083333333334345</v>
      </c>
      <c r="H889" s="7">
        <v>28.083333333334345</v>
      </c>
      <c r="I889" s="26">
        <v>4.9785000000000004</v>
      </c>
      <c r="J889" s="26">
        <f t="shared" si="29"/>
        <v>-4.9785000000000004</v>
      </c>
    </row>
    <row r="890" spans="1:10" x14ac:dyDescent="0.2">
      <c r="A890" t="s">
        <v>5263</v>
      </c>
      <c r="B890">
        <v>6.9680000000000006E-2</v>
      </c>
      <c r="C890">
        <v>283</v>
      </c>
      <c r="D890" t="s">
        <v>5263</v>
      </c>
      <c r="E890">
        <v>283</v>
      </c>
      <c r="F890" s="1">
        <v>45209</v>
      </c>
      <c r="G890" s="6">
        <v>28.093750000001013</v>
      </c>
      <c r="H890" s="7">
        <v>28.093750000001013</v>
      </c>
      <c r="I890" s="26">
        <v>4.9755000000000003</v>
      </c>
      <c r="J890" s="26">
        <f t="shared" si="29"/>
        <v>-4.9755000000000003</v>
      </c>
    </row>
    <row r="891" spans="1:10" x14ac:dyDescent="0.2">
      <c r="A891" t="s">
        <v>5264</v>
      </c>
      <c r="B891">
        <v>6.991E-2</v>
      </c>
      <c r="C891">
        <v>283</v>
      </c>
      <c r="D891" t="s">
        <v>5264</v>
      </c>
      <c r="E891">
        <v>283</v>
      </c>
      <c r="F891" s="1">
        <v>45209</v>
      </c>
      <c r="G891" s="6">
        <v>28.10416666666768</v>
      </c>
      <c r="H891" s="7">
        <v>28.10416666666768</v>
      </c>
      <c r="I891" s="26">
        <v>4.9904999999999999</v>
      </c>
      <c r="J891" s="26">
        <f t="shared" si="29"/>
        <v>-4.9904999999999999</v>
      </c>
    </row>
    <row r="892" spans="1:10" x14ac:dyDescent="0.2">
      <c r="A892" t="s">
        <v>5265</v>
      </c>
      <c r="B892">
        <v>6.9309999999999997E-2</v>
      </c>
      <c r="C892">
        <v>283</v>
      </c>
      <c r="D892" t="s">
        <v>5265</v>
      </c>
      <c r="E892">
        <v>283</v>
      </c>
      <c r="F892" s="1">
        <v>45209</v>
      </c>
      <c r="G892" s="6">
        <v>28.114583333334348</v>
      </c>
      <c r="H892" s="7">
        <v>28.114583333334348</v>
      </c>
      <c r="I892" s="26">
        <v>4.95</v>
      </c>
      <c r="J892" s="26">
        <f t="shared" si="29"/>
        <v>-4.95</v>
      </c>
    </row>
    <row r="893" spans="1:10" x14ac:dyDescent="0.2">
      <c r="A893" t="s">
        <v>5266</v>
      </c>
      <c r="B893">
        <v>6.9459999999999994E-2</v>
      </c>
      <c r="C893">
        <v>283</v>
      </c>
      <c r="D893" t="s">
        <v>5266</v>
      </c>
      <c r="E893">
        <v>283</v>
      </c>
      <c r="F893" s="1">
        <v>45209</v>
      </c>
      <c r="G893" s="6">
        <v>28.125000000001016</v>
      </c>
      <c r="H893" s="7">
        <v>28.125000000001016</v>
      </c>
      <c r="I893" s="26">
        <v>4.9574999999999996</v>
      </c>
      <c r="J893" s="26">
        <f t="shared" si="29"/>
        <v>-4.9574999999999996</v>
      </c>
    </row>
    <row r="894" spans="1:10" x14ac:dyDescent="0.2">
      <c r="A894" t="s">
        <v>5267</v>
      </c>
      <c r="B894">
        <v>6.9309999999999997E-2</v>
      </c>
      <c r="C894">
        <v>283</v>
      </c>
      <c r="D894" t="s">
        <v>5267</v>
      </c>
      <c r="E894">
        <v>283</v>
      </c>
      <c r="F894" s="1">
        <v>45209</v>
      </c>
      <c r="G894" s="6">
        <v>28.135416666667684</v>
      </c>
      <c r="H894" s="7">
        <v>28.135416666667684</v>
      </c>
      <c r="I894" s="26">
        <v>4.9480000000000004</v>
      </c>
      <c r="J894" s="26">
        <f t="shared" si="29"/>
        <v>-4.9480000000000004</v>
      </c>
    </row>
    <row r="895" spans="1:10" x14ac:dyDescent="0.2">
      <c r="A895" t="s">
        <v>5268</v>
      </c>
      <c r="B895">
        <v>6.9525000000000003E-2</v>
      </c>
      <c r="C895">
        <v>283</v>
      </c>
      <c r="D895" t="s">
        <v>5268</v>
      </c>
      <c r="E895">
        <v>283</v>
      </c>
      <c r="F895" s="1">
        <v>45209</v>
      </c>
      <c r="G895" s="6">
        <v>28.145833333334352</v>
      </c>
      <c r="H895" s="7">
        <v>28.145833333334352</v>
      </c>
      <c r="I895" s="26">
        <v>4.9630000000000001</v>
      </c>
      <c r="J895" s="26">
        <f t="shared" si="29"/>
        <v>-4.9630000000000001</v>
      </c>
    </row>
    <row r="896" spans="1:10" x14ac:dyDescent="0.2">
      <c r="A896" t="s">
        <v>5269</v>
      </c>
      <c r="B896">
        <v>6.9074999999999998E-2</v>
      </c>
      <c r="C896">
        <v>283</v>
      </c>
      <c r="D896" t="s">
        <v>5269</v>
      </c>
      <c r="E896">
        <v>283</v>
      </c>
      <c r="F896" s="1">
        <v>45209</v>
      </c>
      <c r="G896" s="6">
        <v>28.15625000000102</v>
      </c>
      <c r="H896" s="7">
        <v>28.15625000000102</v>
      </c>
      <c r="I896" s="26">
        <v>4.9314999999999998</v>
      </c>
      <c r="J896" s="26">
        <f t="shared" si="29"/>
        <v>-4.9314999999999998</v>
      </c>
    </row>
    <row r="897" spans="1:10" x14ac:dyDescent="0.2">
      <c r="A897" t="s">
        <v>5270</v>
      </c>
      <c r="B897">
        <v>6.9305000000000005E-2</v>
      </c>
      <c r="C897">
        <v>283</v>
      </c>
      <c r="D897" t="s">
        <v>5270</v>
      </c>
      <c r="E897">
        <v>283</v>
      </c>
      <c r="F897" s="1">
        <v>45209</v>
      </c>
      <c r="G897" s="6">
        <v>28.166666666667687</v>
      </c>
      <c r="H897" s="7">
        <v>28.166666666667687</v>
      </c>
      <c r="I897" s="26">
        <v>4.9480000000000004</v>
      </c>
      <c r="J897" s="26">
        <f t="shared" si="29"/>
        <v>-4.9480000000000004</v>
      </c>
    </row>
    <row r="898" spans="1:10" x14ac:dyDescent="0.2">
      <c r="A898" t="s">
        <v>5271</v>
      </c>
      <c r="B898">
        <v>6.8754999999999997E-2</v>
      </c>
      <c r="C898">
        <v>283</v>
      </c>
      <c r="D898" t="s">
        <v>5271</v>
      </c>
      <c r="E898">
        <v>283</v>
      </c>
      <c r="F898" s="1">
        <v>45209</v>
      </c>
      <c r="G898" s="6">
        <v>28.177083333334355</v>
      </c>
      <c r="H898" s="7">
        <v>28.177083333334355</v>
      </c>
      <c r="I898" s="26">
        <v>4.9080000000000004</v>
      </c>
      <c r="J898" s="26">
        <f t="shared" si="29"/>
        <v>-4.9080000000000004</v>
      </c>
    </row>
    <row r="899" spans="1:10" x14ac:dyDescent="0.2">
      <c r="A899" t="s">
        <v>5272</v>
      </c>
      <c r="B899">
        <v>7.0084999999999995E-2</v>
      </c>
      <c r="C899">
        <v>283</v>
      </c>
      <c r="D899" t="s">
        <v>5272</v>
      </c>
      <c r="E899">
        <v>283</v>
      </c>
      <c r="F899" s="1">
        <v>45209</v>
      </c>
      <c r="G899" s="6">
        <v>28.187500000001023</v>
      </c>
      <c r="H899" s="7">
        <v>28.187500000001023</v>
      </c>
      <c r="I899" s="26">
        <v>5.0034999999999998</v>
      </c>
      <c r="J899" s="26">
        <f t="shared" ref="J899:J907" si="30">-I899</f>
        <v>-5.0034999999999998</v>
      </c>
    </row>
    <row r="900" spans="1:10" x14ac:dyDescent="0.2">
      <c r="A900" t="s">
        <v>5273</v>
      </c>
      <c r="B900">
        <v>7.0470000000000005E-2</v>
      </c>
      <c r="C900">
        <v>283</v>
      </c>
      <c r="D900" t="s">
        <v>5273</v>
      </c>
      <c r="E900">
        <v>283</v>
      </c>
      <c r="F900" s="1">
        <v>45209</v>
      </c>
      <c r="G900" s="6">
        <v>28.197916666667691</v>
      </c>
      <c r="H900" s="7">
        <v>28.197916666667691</v>
      </c>
      <c r="I900" s="26">
        <v>5.0305</v>
      </c>
      <c r="J900" s="26">
        <f t="shared" si="30"/>
        <v>-5.0305</v>
      </c>
    </row>
    <row r="901" spans="1:10" x14ac:dyDescent="0.2">
      <c r="A901" t="s">
        <v>5274</v>
      </c>
      <c r="B901">
        <v>6.8750000000000006E-2</v>
      </c>
      <c r="C901">
        <v>283</v>
      </c>
      <c r="D901" t="s">
        <v>5274</v>
      </c>
      <c r="E901">
        <v>283</v>
      </c>
      <c r="F901" s="1">
        <v>45209</v>
      </c>
      <c r="G901" s="6">
        <v>28.208333333334359</v>
      </c>
      <c r="H901" s="7">
        <v>28.208333333334359</v>
      </c>
      <c r="I901" s="26">
        <v>4.9089999999999998</v>
      </c>
      <c r="J901" s="26">
        <f t="shared" si="30"/>
        <v>-4.9089999999999998</v>
      </c>
    </row>
    <row r="902" spans="1:10" x14ac:dyDescent="0.2">
      <c r="A902" t="s">
        <v>5275</v>
      </c>
      <c r="B902">
        <v>6.8430000000000005E-2</v>
      </c>
      <c r="C902">
        <v>283</v>
      </c>
      <c r="D902" t="s">
        <v>5275</v>
      </c>
      <c r="E902">
        <v>283</v>
      </c>
      <c r="F902" s="1">
        <v>45209</v>
      </c>
      <c r="G902" s="6">
        <v>28.218750000001027</v>
      </c>
      <c r="H902" s="7">
        <v>28.218750000001027</v>
      </c>
      <c r="I902" s="26">
        <v>4.8860000000000001</v>
      </c>
      <c r="J902" s="26">
        <f t="shared" si="30"/>
        <v>-4.8860000000000001</v>
      </c>
    </row>
    <row r="903" spans="1:10" x14ac:dyDescent="0.2">
      <c r="A903" t="s">
        <v>5276</v>
      </c>
      <c r="B903">
        <v>6.8195000000000006E-2</v>
      </c>
      <c r="C903">
        <v>283</v>
      </c>
      <c r="D903" t="s">
        <v>5276</v>
      </c>
      <c r="E903">
        <v>283</v>
      </c>
      <c r="F903" s="1">
        <v>45209</v>
      </c>
      <c r="G903" s="6">
        <v>28.229166666667695</v>
      </c>
      <c r="H903" s="7">
        <v>28.229166666667695</v>
      </c>
      <c r="I903" s="26">
        <v>4.867</v>
      </c>
      <c r="J903" s="26">
        <f t="shared" si="30"/>
        <v>-4.867</v>
      </c>
    </row>
    <row r="904" spans="1:10" x14ac:dyDescent="0.2">
      <c r="A904" t="s">
        <v>5277</v>
      </c>
      <c r="B904">
        <v>6.5920000000000006E-2</v>
      </c>
      <c r="C904">
        <v>283</v>
      </c>
      <c r="D904" t="s">
        <v>5277</v>
      </c>
      <c r="E904">
        <v>283</v>
      </c>
      <c r="F904" s="1">
        <v>45209</v>
      </c>
      <c r="G904" s="6">
        <v>28.239583333334362</v>
      </c>
      <c r="H904" s="7">
        <v>28.239583333334362</v>
      </c>
      <c r="I904" s="26">
        <v>4.7069999999999999</v>
      </c>
      <c r="J904" s="26">
        <f t="shared" si="30"/>
        <v>-4.7069999999999999</v>
      </c>
    </row>
    <row r="905" spans="1:10" x14ac:dyDescent="0.2">
      <c r="A905" t="s">
        <v>5278</v>
      </c>
      <c r="B905">
        <v>6.8934999999999996E-2</v>
      </c>
      <c r="C905">
        <v>283</v>
      </c>
      <c r="D905" t="s">
        <v>5278</v>
      </c>
      <c r="E905">
        <v>283</v>
      </c>
      <c r="F905" s="1">
        <v>45209</v>
      </c>
      <c r="G905" s="6">
        <v>28.25000000000103</v>
      </c>
      <c r="H905" s="7">
        <v>28.25000000000103</v>
      </c>
      <c r="I905" s="26">
        <v>4.9219999999999997</v>
      </c>
      <c r="J905" s="26">
        <f t="shared" si="30"/>
        <v>-4.9219999999999997</v>
      </c>
    </row>
    <row r="906" spans="1:10" x14ac:dyDescent="0.2">
      <c r="A906" t="s">
        <v>5279</v>
      </c>
      <c r="B906">
        <v>6.8165000000000003E-2</v>
      </c>
      <c r="C906">
        <v>283</v>
      </c>
      <c r="D906" t="s">
        <v>5279</v>
      </c>
      <c r="E906">
        <v>283</v>
      </c>
      <c r="F906" s="1">
        <v>45209</v>
      </c>
      <c r="G906" s="6">
        <v>28.260416666667698</v>
      </c>
      <c r="H906" s="7">
        <v>28.260416666667698</v>
      </c>
      <c r="I906" s="26">
        <v>4.867</v>
      </c>
      <c r="J906" s="26">
        <f t="shared" si="30"/>
        <v>-4.867</v>
      </c>
    </row>
    <row r="907" spans="1:10" x14ac:dyDescent="0.2">
      <c r="A907" t="s">
        <v>5280</v>
      </c>
      <c r="B907">
        <v>6.9339999999999999E-2</v>
      </c>
      <c r="C907">
        <v>283</v>
      </c>
      <c r="D907" t="s">
        <v>5280</v>
      </c>
      <c r="E907">
        <v>283</v>
      </c>
      <c r="F907" s="1">
        <v>45209</v>
      </c>
      <c r="G907" s="6">
        <v>28.270833333334366</v>
      </c>
      <c r="H907" s="7">
        <v>28.270833333334366</v>
      </c>
      <c r="I907" s="26">
        <v>4.9509999999999996</v>
      </c>
      <c r="J907" s="26">
        <f t="shared" si="30"/>
        <v>-4.9509999999999996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selection activeCell="E7" sqref="E7"/>
    </sheetView>
  </sheetViews>
  <sheetFormatPr baseColWidth="10" defaultRowHeight="16" x14ac:dyDescent="0.2"/>
  <sheetData>
    <row r="1" spans="1:8" x14ac:dyDescent="0.2">
      <c r="A1" t="s">
        <v>6430</v>
      </c>
      <c r="D1" t="s">
        <v>6429</v>
      </c>
      <c r="F1" t="s">
        <v>6424</v>
      </c>
    </row>
    <row r="2" spans="1:8" x14ac:dyDescent="0.2">
      <c r="B2" t="s">
        <v>6425</v>
      </c>
      <c r="C2" s="25" t="s">
        <v>6426</v>
      </c>
      <c r="F2" t="s">
        <v>6425</v>
      </c>
      <c r="G2">
        <v>0.63900000000000001</v>
      </c>
    </row>
    <row r="3" spans="1:8" ht="17" thickBot="1" x14ac:dyDescent="0.25">
      <c r="B3" s="22">
        <v>45574</v>
      </c>
      <c r="C3" s="22">
        <v>45574</v>
      </c>
      <c r="D3" s="23"/>
      <c r="E3" s="23"/>
      <c r="F3" t="s">
        <v>6426</v>
      </c>
      <c r="G3">
        <v>0.55859999999999999</v>
      </c>
      <c r="H3" t="s">
        <v>6428</v>
      </c>
    </row>
    <row r="4" spans="1:8" ht="17" thickTop="1" x14ac:dyDescent="0.2">
      <c r="B4">
        <v>0.38</v>
      </c>
      <c r="C4">
        <v>0.1</v>
      </c>
    </row>
    <row r="5" spans="1:8" x14ac:dyDescent="0.2">
      <c r="B5">
        <v>0.42</v>
      </c>
      <c r="C5">
        <v>0.8</v>
      </c>
    </row>
    <row r="6" spans="1:8" x14ac:dyDescent="0.2">
      <c r="B6">
        <v>0.46</v>
      </c>
      <c r="C6">
        <v>0.36</v>
      </c>
    </row>
    <row r="7" spans="1:8" x14ac:dyDescent="0.2">
      <c r="B7">
        <v>0.52</v>
      </c>
      <c r="C7">
        <v>0.4</v>
      </c>
    </row>
    <row r="8" spans="1:8" x14ac:dyDescent="0.2">
      <c r="B8">
        <v>0.56000000000000005</v>
      </c>
      <c r="C8">
        <v>0.44</v>
      </c>
    </row>
    <row r="9" spans="1:8" x14ac:dyDescent="0.2">
      <c r="B9">
        <v>0.56000000000000005</v>
      </c>
      <c r="C9">
        <v>0.42</v>
      </c>
    </row>
    <row r="10" spans="1:8" x14ac:dyDescent="0.2">
      <c r="B10">
        <v>0.54</v>
      </c>
      <c r="C10">
        <v>0.44</v>
      </c>
    </row>
    <row r="11" spans="1:8" x14ac:dyDescent="0.2">
      <c r="B11">
        <v>0.54</v>
      </c>
      <c r="C11">
        <v>0.44</v>
      </c>
    </row>
    <row r="12" spans="1:8" x14ac:dyDescent="0.2">
      <c r="B12">
        <v>0.52</v>
      </c>
      <c r="C12">
        <v>0.44</v>
      </c>
    </row>
    <row r="13" spans="1:8" x14ac:dyDescent="0.2">
      <c r="B13">
        <v>0.5</v>
      </c>
      <c r="C13">
        <v>0.44</v>
      </c>
    </row>
    <row r="14" spans="1:8" x14ac:dyDescent="0.2">
      <c r="B14">
        <v>0.46</v>
      </c>
      <c r="C14">
        <v>0.44</v>
      </c>
    </row>
    <row r="15" spans="1:8" x14ac:dyDescent="0.2">
      <c r="B15">
        <v>0.42</v>
      </c>
      <c r="C15">
        <v>0.46</v>
      </c>
    </row>
    <row r="16" spans="1:8" x14ac:dyDescent="0.2">
      <c r="B16">
        <v>0.4</v>
      </c>
      <c r="C16">
        <v>0.48</v>
      </c>
    </row>
    <row r="17" spans="1:3" x14ac:dyDescent="0.2">
      <c r="B17">
        <v>0.38</v>
      </c>
      <c r="C17">
        <v>0.48</v>
      </c>
    </row>
    <row r="18" spans="1:3" x14ac:dyDescent="0.2">
      <c r="B18">
        <v>0.34</v>
      </c>
      <c r="C18">
        <v>0.48</v>
      </c>
    </row>
    <row r="19" spans="1:3" x14ac:dyDescent="0.2">
      <c r="B19">
        <v>0.32</v>
      </c>
      <c r="C19">
        <v>0.5</v>
      </c>
    </row>
    <row r="20" spans="1:3" x14ac:dyDescent="0.2">
      <c r="B20">
        <v>0.32</v>
      </c>
      <c r="C20">
        <v>0.5</v>
      </c>
    </row>
    <row r="21" spans="1:3" x14ac:dyDescent="0.2">
      <c r="B21">
        <v>0.3</v>
      </c>
      <c r="C21">
        <v>0.55000000000000004</v>
      </c>
    </row>
    <row r="22" spans="1:3" x14ac:dyDescent="0.2">
      <c r="B22">
        <v>0.26</v>
      </c>
      <c r="C22">
        <v>0.57999999999999996</v>
      </c>
    </row>
    <row r="23" spans="1:3" x14ac:dyDescent="0.2">
      <c r="B23">
        <v>0.22</v>
      </c>
      <c r="C23">
        <v>0.6</v>
      </c>
    </row>
    <row r="24" spans="1:3" x14ac:dyDescent="0.2">
      <c r="B24">
        <v>0.2</v>
      </c>
      <c r="C24">
        <v>0.6</v>
      </c>
    </row>
    <row r="25" spans="1:3" x14ac:dyDescent="0.2">
      <c r="B25">
        <v>0.18</v>
      </c>
      <c r="C25">
        <v>0.6</v>
      </c>
    </row>
    <row r="26" spans="1:3" x14ac:dyDescent="0.2">
      <c r="B26">
        <v>0.16</v>
      </c>
      <c r="C26">
        <v>0.62</v>
      </c>
    </row>
    <row r="27" spans="1:3" x14ac:dyDescent="0.2">
      <c r="B27">
        <v>0.14000000000000001</v>
      </c>
      <c r="C27">
        <v>0.6</v>
      </c>
    </row>
    <row r="28" spans="1:3" x14ac:dyDescent="0.2">
      <c r="C28">
        <v>0.56000000000000005</v>
      </c>
    </row>
    <row r="29" spans="1:3" x14ac:dyDescent="0.2">
      <c r="A29" t="s">
        <v>6427</v>
      </c>
      <c r="B29" s="24">
        <f>AVERAGE(B4:B27)</f>
        <v>0.37916666666666671</v>
      </c>
      <c r="C29">
        <v>0.54</v>
      </c>
    </row>
    <row r="30" spans="1:3" x14ac:dyDescent="0.2">
      <c r="C30">
        <v>0.54</v>
      </c>
    </row>
    <row r="31" spans="1:3" x14ac:dyDescent="0.2">
      <c r="C31">
        <v>0.52</v>
      </c>
    </row>
    <row r="32" spans="1:3" x14ac:dyDescent="0.2">
      <c r="C32">
        <v>0.5</v>
      </c>
    </row>
    <row r="33" spans="1:3" x14ac:dyDescent="0.2">
      <c r="C33">
        <v>0.48</v>
      </c>
    </row>
    <row r="34" spans="1:3" x14ac:dyDescent="0.2">
      <c r="C34">
        <v>0.45</v>
      </c>
    </row>
    <row r="35" spans="1:3" x14ac:dyDescent="0.2">
      <c r="C35">
        <v>0.44</v>
      </c>
    </row>
    <row r="36" spans="1:3" x14ac:dyDescent="0.2">
      <c r="C36">
        <v>0.42</v>
      </c>
    </row>
    <row r="37" spans="1:3" x14ac:dyDescent="0.2">
      <c r="C37">
        <v>0.4</v>
      </c>
    </row>
    <row r="38" spans="1:3" x14ac:dyDescent="0.2">
      <c r="C38">
        <v>0.38</v>
      </c>
    </row>
    <row r="39" spans="1:3" x14ac:dyDescent="0.2">
      <c r="C39">
        <v>0.38</v>
      </c>
    </row>
    <row r="40" spans="1:3" x14ac:dyDescent="0.2">
      <c r="C40">
        <v>0.3</v>
      </c>
    </row>
    <row r="42" spans="1:3" x14ac:dyDescent="0.2">
      <c r="A42" t="s">
        <v>6427</v>
      </c>
      <c r="C42" s="24">
        <f>AVERAGE(C4:C40)</f>
        <v>0.47783783783783773</v>
      </c>
    </row>
  </sheetData>
  <pageMargins left="0.7" right="0.7" top="0.75" bottom="0.75" header="0.3" footer="0.3"/>
  <ignoredErrors>
    <ignoredError sqref="B29 C4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F337-A731-274F-B22C-4E5210E6B16C}">
  <dimension ref="A1:N9"/>
  <sheetViews>
    <sheetView tabSelected="1" workbookViewId="0">
      <selection activeCell="C10" sqref="C10"/>
    </sheetView>
  </sheetViews>
  <sheetFormatPr baseColWidth="10" defaultRowHeight="16" x14ac:dyDescent="0.2"/>
  <cols>
    <col min="2" max="2" width="20.1640625" customWidth="1"/>
    <col min="3" max="3" width="18.5" customWidth="1"/>
    <col min="9" max="9" width="19.5" style="6" customWidth="1"/>
    <col min="10" max="10" width="23.6640625" customWidth="1"/>
  </cols>
  <sheetData>
    <row r="1" spans="1:14" x14ac:dyDescent="0.2">
      <c r="A1" s="25" t="s">
        <v>6436</v>
      </c>
    </row>
    <row r="2" spans="1:14" x14ac:dyDescent="0.2">
      <c r="B2" t="s">
        <v>6435</v>
      </c>
      <c r="C2" t="s">
        <v>6438</v>
      </c>
      <c r="D2" t="s">
        <v>6439</v>
      </c>
      <c r="E2" t="s">
        <v>6450</v>
      </c>
      <c r="F2" t="s">
        <v>6442</v>
      </c>
      <c r="G2" t="s">
        <v>6440</v>
      </c>
      <c r="H2" t="s">
        <v>6433</v>
      </c>
      <c r="I2" t="s">
        <v>6441</v>
      </c>
    </row>
    <row r="3" spans="1:14" x14ac:dyDescent="0.2">
      <c r="A3" t="s">
        <v>6434</v>
      </c>
      <c r="B3">
        <v>0.47</v>
      </c>
      <c r="C3">
        <v>2.76</v>
      </c>
      <c r="D3">
        <v>0.5</v>
      </c>
      <c r="E3">
        <v>1000</v>
      </c>
      <c r="F3">
        <f>C3*E3/D3</f>
        <v>5520</v>
      </c>
      <c r="G3">
        <v>12.01</v>
      </c>
      <c r="H3">
        <f>F3/G3</f>
        <v>459.61698584512908</v>
      </c>
      <c r="I3">
        <f>0.5*H3/20</f>
        <v>11.490424646128227</v>
      </c>
    </row>
    <row r="4" spans="1:14" x14ac:dyDescent="0.2">
      <c r="I4"/>
    </row>
    <row r="5" spans="1:14" x14ac:dyDescent="0.2">
      <c r="A5" t="s">
        <v>6437</v>
      </c>
      <c r="B5">
        <v>0.37</v>
      </c>
      <c r="C5">
        <v>2.66</v>
      </c>
      <c r="D5">
        <v>0.5</v>
      </c>
      <c r="E5">
        <v>1000</v>
      </c>
      <c r="F5">
        <f>C5*E5/D5</f>
        <v>5320</v>
      </c>
      <c r="G5">
        <v>12.01</v>
      </c>
      <c r="H5">
        <f>F5/G5</f>
        <v>442.96419650291426</v>
      </c>
      <c r="I5">
        <f>0.5*H5/20</f>
        <v>11.074104912572857</v>
      </c>
    </row>
    <row r="8" spans="1:14" x14ac:dyDescent="0.2">
      <c r="K8" t="s">
        <v>6443</v>
      </c>
      <c r="L8" t="s">
        <v>6445</v>
      </c>
      <c r="M8" t="s">
        <v>6448</v>
      </c>
      <c r="N8" t="s">
        <v>6449</v>
      </c>
    </row>
    <row r="9" spans="1:14" x14ac:dyDescent="0.2">
      <c r="C9">
        <f>C3/32</f>
        <v>8.6249999999999993E-2</v>
      </c>
      <c r="K9" t="s">
        <v>6444</v>
      </c>
      <c r="L9" t="s">
        <v>6446</v>
      </c>
      <c r="M9" t="s">
        <v>6447</v>
      </c>
      <c r="N9" t="s">
        <v>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SUNA_data_averaged</vt:lpstr>
      <vt:lpstr>BC_Aug</vt:lpstr>
      <vt:lpstr>BC_Oct</vt:lpstr>
      <vt:lpstr>MF_Sept</vt:lpstr>
      <vt:lpstr>BC depth and Q</vt:lpstr>
      <vt:lpstr>conversion for GPP-N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2024-02-13T21:59:17Z</dcterms:created>
  <dcterms:modified xsi:type="dcterms:W3CDTF">2024-02-16T18:56:09Z</dcterms:modified>
</cp:coreProperties>
</file>