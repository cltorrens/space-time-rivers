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/field_data_workup/data/data_Q/"/>
    </mc:Choice>
  </mc:AlternateContent>
  <xr:revisionPtr revIDLastSave="0" documentId="13_ncr:9_{0144E8F6-ED0D-5A43-B667-7CCC8503770D}" xr6:coauthVersionLast="47" xr6:coauthVersionMax="47" xr10:uidLastSave="{00000000-0000-0000-0000-000000000000}"/>
  <bookViews>
    <workbookView xWindow="1080" yWindow="520" windowWidth="25040" windowHeight="13800" xr2:uid="{B3242844-7038-8348-91B7-024869B3FA86}"/>
  </bookViews>
  <sheets>
    <sheet name="202407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Q26" i="1"/>
  <c r="P14" i="1" l="1"/>
  <c r="P13" i="1"/>
  <c r="P4" i="1"/>
  <c r="P9" i="1" s="1"/>
  <c r="P19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3" i="1"/>
  <c r="I4" i="1" s="1"/>
  <c r="I13" i="1" l="1"/>
  <c r="I9" i="1"/>
  <c r="I5" i="1"/>
  <c r="P15" i="1"/>
  <c r="P18" i="1" s="1"/>
  <c r="P6" i="1"/>
  <c r="P10" i="1" s="1"/>
  <c r="P17" i="1" s="1"/>
  <c r="R23" i="1" s="1"/>
  <c r="P12" i="1"/>
  <c r="P16" i="1" s="1"/>
  <c r="P20" i="1" s="1"/>
  <c r="R24" i="1" s="1"/>
  <c r="I103" i="1"/>
  <c r="I99" i="1"/>
  <c r="I95" i="1"/>
  <c r="I91" i="1"/>
  <c r="I87" i="1"/>
  <c r="I83" i="1"/>
  <c r="I79" i="1"/>
  <c r="I75" i="1"/>
  <c r="I71" i="1"/>
  <c r="I67" i="1"/>
  <c r="I63" i="1"/>
  <c r="I59" i="1"/>
  <c r="I55" i="1"/>
  <c r="I51" i="1"/>
  <c r="I47" i="1"/>
  <c r="I43" i="1"/>
  <c r="I39" i="1"/>
  <c r="I35" i="1"/>
  <c r="I31" i="1"/>
  <c r="I27" i="1"/>
  <c r="I23" i="1"/>
  <c r="I19" i="1"/>
  <c r="I15" i="1"/>
  <c r="I11" i="1"/>
  <c r="I7" i="1"/>
  <c r="I102" i="1"/>
  <c r="I98" i="1"/>
  <c r="I94" i="1"/>
  <c r="I90" i="1"/>
  <c r="I86" i="1"/>
  <c r="I82" i="1"/>
  <c r="I78" i="1"/>
  <c r="I74" i="1"/>
  <c r="I70" i="1"/>
  <c r="I66" i="1"/>
  <c r="I62" i="1"/>
  <c r="I58" i="1"/>
  <c r="I54" i="1"/>
  <c r="I50" i="1"/>
  <c r="I46" i="1"/>
  <c r="I42" i="1"/>
  <c r="I38" i="1"/>
  <c r="I34" i="1"/>
  <c r="I30" i="1"/>
  <c r="I26" i="1"/>
  <c r="I22" i="1"/>
  <c r="I18" i="1"/>
  <c r="I14" i="1"/>
  <c r="I10" i="1"/>
  <c r="I6" i="1"/>
  <c r="I3" i="1"/>
  <c r="I105" i="1"/>
  <c r="I101" i="1"/>
  <c r="I97" i="1"/>
  <c r="I93" i="1"/>
  <c r="I89" i="1"/>
  <c r="I85" i="1"/>
  <c r="I81" i="1"/>
  <c r="I77" i="1"/>
  <c r="I73" i="1"/>
  <c r="I69" i="1"/>
  <c r="I65" i="1"/>
  <c r="I61" i="1"/>
  <c r="I57" i="1"/>
  <c r="I53" i="1"/>
  <c r="I49" i="1"/>
  <c r="I45" i="1"/>
  <c r="I41" i="1"/>
  <c r="I37" i="1"/>
  <c r="I33" i="1"/>
  <c r="I29" i="1"/>
  <c r="I25" i="1"/>
  <c r="I21" i="1"/>
  <c r="I17" i="1"/>
  <c r="I104" i="1"/>
  <c r="I100" i="1"/>
  <c r="I96" i="1"/>
  <c r="I92" i="1"/>
  <c r="I88" i="1"/>
  <c r="I84" i="1"/>
  <c r="I80" i="1"/>
  <c r="I76" i="1"/>
  <c r="I72" i="1"/>
  <c r="I68" i="1"/>
  <c r="I64" i="1"/>
  <c r="I60" i="1"/>
  <c r="I56" i="1"/>
  <c r="I52" i="1"/>
  <c r="I48" i="1"/>
  <c r="I44" i="1"/>
  <c r="I40" i="1"/>
  <c r="I36" i="1"/>
  <c r="I32" i="1"/>
  <c r="I28" i="1"/>
  <c r="I24" i="1"/>
  <c r="I20" i="1"/>
  <c r="I16" i="1"/>
  <c r="I12" i="1"/>
  <c r="I8" i="1"/>
  <c r="P7" i="1" l="1"/>
  <c r="P8" i="1" s="1"/>
  <c r="J38" i="1" s="1"/>
  <c r="J57" i="1"/>
  <c r="J74" i="1" l="1"/>
  <c r="J94" i="1"/>
  <c r="J21" i="1"/>
  <c r="J30" i="1"/>
  <c r="J82" i="1"/>
  <c r="P27" i="1"/>
  <c r="J60" i="1"/>
  <c r="J78" i="1"/>
  <c r="J68" i="1"/>
  <c r="J16" i="1"/>
  <c r="J40" i="1"/>
  <c r="S13" i="1"/>
  <c r="J14" i="1"/>
  <c r="J101" i="1"/>
  <c r="J65" i="1"/>
  <c r="S12" i="1"/>
  <c r="J73" i="1"/>
  <c r="J84" i="1"/>
  <c r="J7" i="1"/>
  <c r="J10" i="1"/>
  <c r="J37" i="1"/>
  <c r="J48" i="1"/>
  <c r="J54" i="1"/>
  <c r="J81" i="1"/>
  <c r="J92" i="1"/>
  <c r="J98" i="1"/>
  <c r="J18" i="1"/>
  <c r="J29" i="1"/>
  <c r="J104" i="1"/>
  <c r="J62" i="1"/>
  <c r="J105" i="1"/>
  <c r="J41" i="1"/>
  <c r="J36" i="1"/>
  <c r="J58" i="1"/>
  <c r="J85" i="1"/>
  <c r="J80" i="1"/>
  <c r="J102" i="1"/>
  <c r="J22" i="1"/>
  <c r="J33" i="1"/>
  <c r="J44" i="1"/>
  <c r="J66" i="1"/>
  <c r="J93" i="1"/>
  <c r="J56" i="1"/>
  <c r="J46" i="1"/>
  <c r="J89" i="1"/>
  <c r="J100" i="1"/>
  <c r="J20" i="1"/>
  <c r="J42" i="1"/>
  <c r="J53" i="1"/>
  <c r="J64" i="1"/>
  <c r="J86" i="1"/>
  <c r="J97" i="1"/>
  <c r="J17" i="1"/>
  <c r="J28" i="1"/>
  <c r="J34" i="1"/>
  <c r="J77" i="1"/>
  <c r="R8" i="1"/>
  <c r="J2" i="1"/>
  <c r="K2" i="1" s="1"/>
  <c r="J95" i="1"/>
  <c r="J79" i="1"/>
  <c r="J63" i="1"/>
  <c r="J47" i="1"/>
  <c r="J31" i="1"/>
  <c r="J15" i="1"/>
  <c r="J5" i="1"/>
  <c r="J4" i="1"/>
  <c r="J91" i="1"/>
  <c r="J75" i="1"/>
  <c r="J59" i="1"/>
  <c r="J43" i="1"/>
  <c r="J27" i="1"/>
  <c r="J11" i="1"/>
  <c r="J103" i="1"/>
  <c r="J87" i="1"/>
  <c r="J71" i="1"/>
  <c r="J55" i="1"/>
  <c r="J39" i="1"/>
  <c r="J23" i="1"/>
  <c r="J13" i="1"/>
  <c r="J99" i="1"/>
  <c r="J83" i="1"/>
  <c r="J67" i="1"/>
  <c r="J51" i="1"/>
  <c r="J35" i="1"/>
  <c r="J19" i="1"/>
  <c r="J9" i="1"/>
  <c r="J61" i="1"/>
  <c r="J88" i="1"/>
  <c r="J24" i="1"/>
  <c r="J25" i="1"/>
  <c r="J52" i="1"/>
  <c r="J90" i="1"/>
  <c r="J26" i="1"/>
  <c r="J69" i="1"/>
  <c r="J96" i="1"/>
  <c r="J32" i="1"/>
  <c r="J70" i="1"/>
  <c r="J6" i="1"/>
  <c r="J49" i="1"/>
  <c r="J76" i="1"/>
  <c r="J12" i="1"/>
  <c r="J50" i="1"/>
  <c r="J3" i="1"/>
  <c r="J45" i="1"/>
  <c r="J72" i="1"/>
  <c r="J8" i="1"/>
  <c r="K3" i="1" l="1"/>
  <c r="K4" i="1" s="1"/>
  <c r="K5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</calcChain>
</file>

<file path=xl/sharedStrings.xml><?xml version="1.0" encoding="utf-8"?>
<sst xmlns="http://schemas.openxmlformats.org/spreadsheetml/2006/main" count="154" uniqueCount="50">
  <si>
    <t>Date</t>
  </si>
  <si>
    <t>clock_time</t>
  </si>
  <si>
    <t>spc</t>
  </si>
  <si>
    <t>corr_spc</t>
  </si>
  <si>
    <t>n_conc</t>
  </si>
  <si>
    <t>corr_n_conc</t>
  </si>
  <si>
    <t>22/07/2024</t>
  </si>
  <si>
    <t>corr_nacl_conc</t>
  </si>
  <si>
    <t>reach length</t>
  </si>
  <si>
    <t>width</t>
  </si>
  <si>
    <t>nacl to sc conversion</t>
  </si>
  <si>
    <t>22/07/2023</t>
  </si>
  <si>
    <t>nacl_conc_dt (s)</t>
  </si>
  <si>
    <t>mass_passing</t>
  </si>
  <si>
    <t>CUM mass passing</t>
  </si>
  <si>
    <t>nacl_add (g)</t>
  </si>
  <si>
    <t>Q</t>
  </si>
  <si>
    <t>g/ L/sec</t>
  </si>
  <si>
    <t>L/s</t>
  </si>
  <si>
    <t>cms</t>
  </si>
  <si>
    <t>ratio_add</t>
  </si>
  <si>
    <t>AUC nacl conc</t>
  </si>
  <si>
    <t>AUC corr spc</t>
  </si>
  <si>
    <t>AUC corr no3</t>
  </si>
  <si>
    <t>ratio end</t>
  </si>
  <si>
    <t>no3_add (g)</t>
  </si>
  <si>
    <t>spc_add</t>
  </si>
  <si>
    <t>(1-minute blocks)</t>
  </si>
  <si>
    <t>recoverd (some error but close-ish?)</t>
  </si>
  <si>
    <t>ln R0</t>
  </si>
  <si>
    <t>ln Rx</t>
  </si>
  <si>
    <t xml:space="preserve">ln(Rx) = ln(R0) - kx ==&gt; </t>
  </si>
  <si>
    <t xml:space="preserve">kx = ln(R0) - ln(Rx) ==&gt; </t>
  </si>
  <si>
    <t xml:space="preserve">k = [ln(Ro) - ln(Rx)]/x  ==&gt; </t>
  </si>
  <si>
    <t xml:space="preserve">k = </t>
  </si>
  <si>
    <t>AUC corr nacl conc</t>
  </si>
  <si>
    <t>ratio_add_conc</t>
  </si>
  <si>
    <t>ln R0 conc</t>
  </si>
  <si>
    <t>ln Rx conc</t>
  </si>
  <si>
    <t>ratio end conc</t>
  </si>
  <si>
    <t xml:space="preserve">k_conc = </t>
  </si>
  <si>
    <t>Vf = Qk/w</t>
  </si>
  <si>
    <t>m</t>
  </si>
  <si>
    <t xml:space="preserve">eff depth = </t>
  </si>
  <si>
    <t>elapsed_time_min</t>
  </si>
  <si>
    <t>peak</t>
  </si>
  <si>
    <t>time to peak</t>
  </si>
  <si>
    <t>76 min</t>
  </si>
  <si>
    <t>sec. @ peak</t>
  </si>
  <si>
    <t>Q in cms = A*velocity ==&gt; Q = w*d*vel ==&gt; d = Q*s/(w*l)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</si>
</sst>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1" fontId="0" fillId="0" borderId="0" xfId="0" applyNumberFormat="1"/>
    <xf numFmtId="20" fontId="0" fillId="0" borderId="0" xfId="0" applyNumberFormat="1"/>
    <xf numFmtId="2" fontId="0" fillId="0" borderId="0" xfId="0" applyNumberFormat="1"/>
    <xf numFmtId="16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94C3-92C9-594C-A94D-CF40BC43780E}">
  <dimension ref="A1:T105"/>
  <sheetViews>
    <sheetView tabSelected="1" topLeftCell="G9" zoomScale="101" workbookViewId="0">
      <selection activeCell="P29" sqref="P29"/>
    </sheetView>
  </sheetViews>
  <sheetFormatPr baseColWidth="10" defaultRowHeight="16" x14ac:dyDescent="0.2"/>
  <cols>
    <col min="6" max="6" width="11.6640625" customWidth="1"/>
    <col min="9" max="9" width="10.83203125" style="3"/>
    <col min="16" max="16" width="11.1640625" bestFit="1" customWidth="1"/>
  </cols>
  <sheetData>
    <row r="1" spans="1:20" x14ac:dyDescent="0.2">
      <c r="A1" t="s">
        <v>0</v>
      </c>
      <c r="B1" t="s">
        <v>1</v>
      </c>
      <c r="C1" t="s">
        <v>44</v>
      </c>
      <c r="D1" t="s">
        <v>2</v>
      </c>
      <c r="E1" t="s">
        <v>3</v>
      </c>
      <c r="F1" t="s">
        <v>7</v>
      </c>
      <c r="G1" t="s">
        <v>4</v>
      </c>
      <c r="H1" t="s">
        <v>5</v>
      </c>
      <c r="I1" s="3" t="s">
        <v>12</v>
      </c>
      <c r="J1" t="s">
        <v>13</v>
      </c>
      <c r="K1" t="s">
        <v>14</v>
      </c>
      <c r="O1" t="s">
        <v>8</v>
      </c>
      <c r="P1">
        <v>600</v>
      </c>
    </row>
    <row r="2" spans="1:20" x14ac:dyDescent="0.2">
      <c r="A2" t="s">
        <v>11</v>
      </c>
      <c r="B2" s="1">
        <v>0.56388888888888888</v>
      </c>
      <c r="C2" s="2">
        <v>3.2638888888888891E-2</v>
      </c>
      <c r="D2">
        <v>197</v>
      </c>
      <c r="E2">
        <v>0</v>
      </c>
      <c r="F2">
        <v>0</v>
      </c>
      <c r="G2">
        <v>7.8</v>
      </c>
      <c r="H2">
        <v>0</v>
      </c>
      <c r="I2" s="3">
        <v>0</v>
      </c>
      <c r="J2">
        <f>I2*$P$8</f>
        <v>0</v>
      </c>
      <c r="K2">
        <f>J2</f>
        <v>0</v>
      </c>
      <c r="O2" t="s">
        <v>9</v>
      </c>
      <c r="P2">
        <v>17</v>
      </c>
      <c r="Q2" t="s">
        <v>42</v>
      </c>
    </row>
    <row r="3" spans="1:20" x14ac:dyDescent="0.2">
      <c r="A3" t="s">
        <v>6</v>
      </c>
      <c r="B3" s="1">
        <v>0.56458333333333333</v>
      </c>
      <c r="C3" s="2">
        <v>3.3333333333333333E-2</v>
      </c>
      <c r="D3">
        <v>197.8</v>
      </c>
      <c r="E3">
        <v>0.8</v>
      </c>
      <c r="F3">
        <f>E3/$P$5</f>
        <v>3.8834951456310682E-4</v>
      </c>
      <c r="G3">
        <v>7.9</v>
      </c>
      <c r="H3">
        <v>0.1</v>
      </c>
      <c r="I3" s="3">
        <f>AVERAGE(F2:F3)*(60)</f>
        <v>1.1650485436893204E-2</v>
      </c>
      <c r="J3">
        <f t="shared" ref="J3:J66" si="0">I3*$P$8</f>
        <v>9.3762656946132097</v>
      </c>
      <c r="K3">
        <f>J3+K2</f>
        <v>9.3762656946132097</v>
      </c>
      <c r="O3" t="s">
        <v>25</v>
      </c>
      <c r="P3">
        <v>1200</v>
      </c>
    </row>
    <row r="4" spans="1:20" x14ac:dyDescent="0.2">
      <c r="A4" t="s">
        <v>6</v>
      </c>
      <c r="B4" s="1">
        <v>0.56527777777777777</v>
      </c>
      <c r="C4" s="2">
        <v>3.4027777777777775E-2</v>
      </c>
      <c r="D4">
        <v>198.1</v>
      </c>
      <c r="E4">
        <v>1.1000000000000001</v>
      </c>
      <c r="F4">
        <f t="shared" ref="F4:F67" si="1">E4/$P$5</f>
        <v>5.3398058252427185E-4</v>
      </c>
      <c r="G4">
        <v>8.0399999999999991</v>
      </c>
      <c r="H4">
        <v>0.24</v>
      </c>
      <c r="I4" s="3">
        <f t="shared" ref="I4:I67" si="2">AVERAGE(F3:F4)*(60)</f>
        <v>2.766990291262136E-2</v>
      </c>
      <c r="J4">
        <f t="shared" si="0"/>
        <v>22.268631024706373</v>
      </c>
      <c r="K4">
        <f t="shared" ref="K4:K67" si="3">J4+K3</f>
        <v>31.644896719319583</v>
      </c>
      <c r="O4" t="s">
        <v>15</v>
      </c>
      <c r="P4">
        <f>(23.23-0.08)*1000</f>
        <v>23150.000000000004</v>
      </c>
    </row>
    <row r="5" spans="1:20" x14ac:dyDescent="0.2">
      <c r="A5" t="s">
        <v>6</v>
      </c>
      <c r="B5" s="1">
        <v>0.56597222222222221</v>
      </c>
      <c r="C5" s="2">
        <v>3.4722222222222224E-2</v>
      </c>
      <c r="D5">
        <v>197.9</v>
      </c>
      <c r="E5">
        <v>0.9</v>
      </c>
      <c r="F5">
        <f t="shared" si="1"/>
        <v>4.3689320388349515E-4</v>
      </c>
      <c r="G5">
        <v>8.1999999999999993</v>
      </c>
      <c r="H5">
        <v>0.4</v>
      </c>
      <c r="I5" s="3">
        <f t="shared" si="2"/>
        <v>2.9126213592233007E-2</v>
      </c>
      <c r="J5">
        <f t="shared" si="0"/>
        <v>23.440664236533021</v>
      </c>
      <c r="K5">
        <f t="shared" si="3"/>
        <v>55.0855609558526</v>
      </c>
      <c r="O5" t="s">
        <v>10</v>
      </c>
      <c r="P5">
        <v>2060</v>
      </c>
      <c r="Q5" t="s">
        <v>17</v>
      </c>
    </row>
    <row r="6" spans="1:20" x14ac:dyDescent="0.2">
      <c r="A6" t="s">
        <v>6</v>
      </c>
      <c r="B6" s="1">
        <v>0.56666666666666665</v>
      </c>
      <c r="C6" s="2">
        <v>3.5416666666666666E-2</v>
      </c>
      <c r="D6">
        <v>201.7</v>
      </c>
      <c r="E6">
        <v>4.7</v>
      </c>
      <c r="F6">
        <f t="shared" si="1"/>
        <v>2.2815533980582526E-3</v>
      </c>
      <c r="G6">
        <v>8.67</v>
      </c>
      <c r="H6">
        <v>0.87</v>
      </c>
      <c r="I6" s="3">
        <f t="shared" si="2"/>
        <v>8.155339805825243E-2</v>
      </c>
      <c r="J6">
        <f t="shared" si="0"/>
        <v>65.633859862292468</v>
      </c>
      <c r="K6">
        <f t="shared" si="3"/>
        <v>120.71942081814507</v>
      </c>
      <c r="O6" t="s">
        <v>26</v>
      </c>
      <c r="P6">
        <f>P4*P5</f>
        <v>47689000.000000007</v>
      </c>
    </row>
    <row r="7" spans="1:20" x14ac:dyDescent="0.2">
      <c r="A7" t="s">
        <v>6</v>
      </c>
      <c r="B7" s="1">
        <v>0.56736111111111109</v>
      </c>
      <c r="C7" s="2">
        <v>3.6111111111111108E-2</v>
      </c>
      <c r="D7">
        <v>201.8</v>
      </c>
      <c r="E7">
        <v>4.8</v>
      </c>
      <c r="F7">
        <f t="shared" si="1"/>
        <v>2.3300970873786405E-3</v>
      </c>
      <c r="G7">
        <v>9.1999999999999993</v>
      </c>
      <c r="H7">
        <v>1.4</v>
      </c>
      <c r="I7" s="3">
        <f t="shared" si="2"/>
        <v>0.13834951456310679</v>
      </c>
      <c r="J7">
        <f t="shared" si="0"/>
        <v>111.34315512353186</v>
      </c>
      <c r="K7">
        <f t="shared" si="3"/>
        <v>232.06257594167693</v>
      </c>
      <c r="O7" t="s">
        <v>21</v>
      </c>
      <c r="P7" s="3">
        <f>SUM(I:I)</f>
        <v>28.765048543689307</v>
      </c>
    </row>
    <row r="8" spans="1:20" x14ac:dyDescent="0.2">
      <c r="A8" t="s">
        <v>6</v>
      </c>
      <c r="B8" s="1">
        <v>0.56805555555555554</v>
      </c>
      <c r="C8" s="2">
        <v>3.6805555555555557E-2</v>
      </c>
      <c r="D8">
        <v>205.2</v>
      </c>
      <c r="E8">
        <v>8.1999999999999993</v>
      </c>
      <c r="F8">
        <f t="shared" si="1"/>
        <v>3.9805825242718446E-3</v>
      </c>
      <c r="G8">
        <v>9.83</v>
      </c>
      <c r="H8">
        <v>2.0299999999999998</v>
      </c>
      <c r="I8" s="3">
        <f t="shared" si="2"/>
        <v>0.18932038834951456</v>
      </c>
      <c r="J8">
        <f t="shared" si="0"/>
        <v>152.36431753746464</v>
      </c>
      <c r="K8">
        <f t="shared" si="3"/>
        <v>384.42689347914154</v>
      </c>
      <c r="O8" t="s">
        <v>16</v>
      </c>
      <c r="P8" s="3">
        <f>P4/P7</f>
        <v>804.79613878763382</v>
      </c>
      <c r="Q8" t="s">
        <v>18</v>
      </c>
      <c r="R8">
        <f>P8/1000</f>
        <v>0.80479613878763379</v>
      </c>
      <c r="S8" t="s">
        <v>19</v>
      </c>
    </row>
    <row r="9" spans="1:20" x14ac:dyDescent="0.2">
      <c r="A9" t="s">
        <v>6</v>
      </c>
      <c r="B9" s="1">
        <v>0.56874999999999998</v>
      </c>
      <c r="C9" s="2">
        <v>3.7499999999999999E-2</v>
      </c>
      <c r="D9">
        <v>209.1</v>
      </c>
      <c r="E9">
        <v>12.1</v>
      </c>
      <c r="F9">
        <f t="shared" si="1"/>
        <v>5.8737864077669901E-3</v>
      </c>
      <c r="G9">
        <v>10.53</v>
      </c>
      <c r="H9">
        <v>2.73</v>
      </c>
      <c r="I9" s="3">
        <f t="shared" si="2"/>
        <v>0.29563106796116501</v>
      </c>
      <c r="J9">
        <f t="shared" si="0"/>
        <v>237.92274200081016</v>
      </c>
      <c r="K9">
        <f t="shared" si="3"/>
        <v>622.34963547995176</v>
      </c>
      <c r="O9" t="s">
        <v>36</v>
      </c>
      <c r="P9" s="3">
        <f>P3/P4</f>
        <v>5.1835853131749453E-2</v>
      </c>
    </row>
    <row r="10" spans="1:20" x14ac:dyDescent="0.2">
      <c r="A10" t="s">
        <v>6</v>
      </c>
      <c r="B10" s="1">
        <v>0.56944444444444442</v>
      </c>
      <c r="C10" s="2">
        <v>3.8194444444444448E-2</v>
      </c>
      <c r="D10">
        <v>211.2</v>
      </c>
      <c r="E10">
        <v>14.2</v>
      </c>
      <c r="F10">
        <f t="shared" si="1"/>
        <v>6.8932038834951456E-3</v>
      </c>
      <c r="G10">
        <v>10.68</v>
      </c>
      <c r="H10">
        <v>2.88</v>
      </c>
      <c r="I10" s="3">
        <f t="shared" si="2"/>
        <v>0.38300970873786405</v>
      </c>
      <c r="J10">
        <f t="shared" si="0"/>
        <v>308.24473471040926</v>
      </c>
      <c r="K10">
        <f t="shared" si="3"/>
        <v>930.59437019036102</v>
      </c>
      <c r="O10" t="s">
        <v>20</v>
      </c>
      <c r="P10">
        <f>P3/P6</f>
        <v>2.5163035500849249E-5</v>
      </c>
    </row>
    <row r="11" spans="1:20" x14ac:dyDescent="0.2">
      <c r="A11" t="s">
        <v>6</v>
      </c>
      <c r="B11" s="1">
        <v>0.57013888888888886</v>
      </c>
      <c r="C11" s="2">
        <v>3.888888888888889E-2</v>
      </c>
      <c r="D11">
        <v>210.1</v>
      </c>
      <c r="E11">
        <v>13.1</v>
      </c>
      <c r="F11">
        <f t="shared" si="1"/>
        <v>6.3592233009708739E-3</v>
      </c>
      <c r="G11">
        <v>10.92</v>
      </c>
      <c r="H11">
        <v>3.12</v>
      </c>
      <c r="I11" s="3">
        <f t="shared" si="2"/>
        <v>0.39757281553398061</v>
      </c>
      <c r="J11">
        <f t="shared" si="0"/>
        <v>319.96506682867579</v>
      </c>
      <c r="K11">
        <f t="shared" si="3"/>
        <v>1250.5594370190367</v>
      </c>
    </row>
    <row r="12" spans="1:20" x14ac:dyDescent="0.2">
      <c r="A12" t="s">
        <v>6</v>
      </c>
      <c r="B12" s="1">
        <v>0.5708333333333333</v>
      </c>
      <c r="C12" s="2">
        <v>3.9583333333333331E-2</v>
      </c>
      <c r="D12">
        <v>212.1</v>
      </c>
      <c r="E12">
        <v>15.1</v>
      </c>
      <c r="F12">
        <f t="shared" si="1"/>
        <v>7.3300970873786406E-3</v>
      </c>
      <c r="G12">
        <v>11.23</v>
      </c>
      <c r="H12">
        <v>3.43</v>
      </c>
      <c r="I12" s="3">
        <f t="shared" si="2"/>
        <v>0.41067961165048539</v>
      </c>
      <c r="J12">
        <f t="shared" si="0"/>
        <v>330.5133657351156</v>
      </c>
      <c r="K12">
        <f t="shared" si="3"/>
        <v>1581.0728027541522</v>
      </c>
      <c r="O12" t="s">
        <v>35</v>
      </c>
      <c r="P12">
        <f>SUM(F:F)</f>
        <v>0.48009708737864099</v>
      </c>
      <c r="S12">
        <f>P12*60*P8</f>
        <v>23182.81692993117</v>
      </c>
    </row>
    <row r="13" spans="1:20" x14ac:dyDescent="0.2">
      <c r="A13" t="s">
        <v>6</v>
      </c>
      <c r="B13" s="1">
        <v>0.57152777777777775</v>
      </c>
      <c r="C13" s="2">
        <v>4.027777777777778E-2</v>
      </c>
      <c r="D13">
        <v>211.5</v>
      </c>
      <c r="E13">
        <v>14.5</v>
      </c>
      <c r="F13">
        <f t="shared" si="1"/>
        <v>7.0388349514563103E-3</v>
      </c>
      <c r="G13">
        <v>11.37</v>
      </c>
      <c r="H13">
        <v>3.57</v>
      </c>
      <c r="I13" s="3">
        <f t="shared" si="2"/>
        <v>0.43106796116504853</v>
      </c>
      <c r="J13">
        <f t="shared" si="0"/>
        <v>346.92183070068876</v>
      </c>
      <c r="K13">
        <f t="shared" si="3"/>
        <v>1927.9946334548411</v>
      </c>
      <c r="O13" t="s">
        <v>22</v>
      </c>
      <c r="P13">
        <f>SUM(E:E)</f>
        <v>989.00000000000068</v>
      </c>
      <c r="Q13" t="s">
        <v>27</v>
      </c>
      <c r="S13">
        <f>P13*60*P8</f>
        <v>47756602.875658229</v>
      </c>
      <c r="T13" t="s">
        <v>28</v>
      </c>
    </row>
    <row r="14" spans="1:20" x14ac:dyDescent="0.2">
      <c r="A14" t="s">
        <v>6</v>
      </c>
      <c r="B14" s="1">
        <v>0.57222222222222219</v>
      </c>
      <c r="C14" s="2">
        <v>4.0972222222222222E-2</v>
      </c>
      <c r="D14">
        <v>212.9</v>
      </c>
      <c r="E14">
        <v>15.9</v>
      </c>
      <c r="F14">
        <f t="shared" si="1"/>
        <v>7.7184466019417476E-3</v>
      </c>
      <c r="G14">
        <v>11.87</v>
      </c>
      <c r="H14">
        <v>4.07</v>
      </c>
      <c r="I14" s="3">
        <f t="shared" si="2"/>
        <v>0.44271844660194171</v>
      </c>
      <c r="J14">
        <f t="shared" si="0"/>
        <v>356.29809639530191</v>
      </c>
      <c r="K14">
        <f t="shared" si="3"/>
        <v>2284.2927298501431</v>
      </c>
      <c r="O14" t="s">
        <v>23</v>
      </c>
      <c r="P14">
        <f>SUM(H:H)</f>
        <v>251.12999999999985</v>
      </c>
    </row>
    <row r="15" spans="1:20" x14ac:dyDescent="0.2">
      <c r="A15" t="s">
        <v>6</v>
      </c>
      <c r="B15" s="1">
        <v>0.57291666666666663</v>
      </c>
      <c r="C15" s="2">
        <v>4.1666666666666664E-2</v>
      </c>
      <c r="D15">
        <v>216.2</v>
      </c>
      <c r="E15">
        <v>19.2</v>
      </c>
      <c r="F15">
        <f t="shared" si="1"/>
        <v>9.320388349514562E-3</v>
      </c>
      <c r="G15">
        <v>12.15</v>
      </c>
      <c r="H15">
        <v>4.3499999999999996</v>
      </c>
      <c r="I15" s="3">
        <f t="shared" si="2"/>
        <v>0.51116504854368927</v>
      </c>
      <c r="J15">
        <f t="shared" si="0"/>
        <v>411.38365735115451</v>
      </c>
      <c r="K15">
        <f t="shared" si="3"/>
        <v>2695.6763872012975</v>
      </c>
      <c r="O15" t="s">
        <v>24</v>
      </c>
      <c r="P15" s="4">
        <f>P14/P13</f>
        <v>0.25392315470171861</v>
      </c>
    </row>
    <row r="16" spans="1:20" x14ac:dyDescent="0.2">
      <c r="A16" t="s">
        <v>6</v>
      </c>
      <c r="B16" s="1">
        <v>0.57361111111111107</v>
      </c>
      <c r="C16" s="2">
        <v>4.2361111111111113E-2</v>
      </c>
      <c r="D16">
        <v>216.1</v>
      </c>
      <c r="E16">
        <v>19.100000000000001</v>
      </c>
      <c r="F16">
        <f t="shared" si="1"/>
        <v>9.2718446601941749E-3</v>
      </c>
      <c r="G16">
        <v>12.27</v>
      </c>
      <c r="H16">
        <v>4.47</v>
      </c>
      <c r="I16" s="3">
        <f t="shared" si="2"/>
        <v>0.55776699029126209</v>
      </c>
      <c r="J16">
        <f t="shared" si="0"/>
        <v>448.88872012960735</v>
      </c>
      <c r="K16">
        <f t="shared" si="3"/>
        <v>3144.565107330905</v>
      </c>
      <c r="O16" t="s">
        <v>39</v>
      </c>
      <c r="P16">
        <f>P14/P12</f>
        <v>523.08169868554046</v>
      </c>
    </row>
    <row r="17" spans="1:18" x14ac:dyDescent="0.2">
      <c r="A17" t="s">
        <v>6</v>
      </c>
      <c r="B17" s="1">
        <v>0.57430555555555551</v>
      </c>
      <c r="C17" s="2">
        <v>4.3055555555555555E-2</v>
      </c>
      <c r="D17">
        <v>215.1</v>
      </c>
      <c r="E17">
        <v>18.100000000000001</v>
      </c>
      <c r="F17">
        <f t="shared" si="1"/>
        <v>8.786407766990292E-3</v>
      </c>
      <c r="G17">
        <v>12.26</v>
      </c>
      <c r="H17">
        <v>4.46</v>
      </c>
      <c r="I17" s="3">
        <f t="shared" si="2"/>
        <v>0.54174757281553398</v>
      </c>
      <c r="J17">
        <f t="shared" si="0"/>
        <v>435.99635479951422</v>
      </c>
      <c r="K17">
        <f t="shared" si="3"/>
        <v>3580.5614621304194</v>
      </c>
      <c r="O17" t="s">
        <v>29</v>
      </c>
      <c r="P17">
        <f>LN(P10)</f>
        <v>-10.590134485521915</v>
      </c>
    </row>
    <row r="18" spans="1:18" x14ac:dyDescent="0.2">
      <c r="A18" t="s">
        <v>6</v>
      </c>
      <c r="B18" s="1">
        <v>0.57499999999999996</v>
      </c>
      <c r="C18" s="2">
        <v>4.3749999999999997E-2</v>
      </c>
      <c r="D18">
        <v>216.1</v>
      </c>
      <c r="E18">
        <v>19.100000000000001</v>
      </c>
      <c r="F18">
        <f t="shared" si="1"/>
        <v>9.2718446601941749E-3</v>
      </c>
      <c r="G18">
        <v>12.17</v>
      </c>
      <c r="H18">
        <v>4.37</v>
      </c>
      <c r="I18" s="3">
        <f t="shared" si="2"/>
        <v>0.54174757281553398</v>
      </c>
      <c r="J18">
        <f t="shared" si="0"/>
        <v>435.99635479951422</v>
      </c>
      <c r="K18">
        <f t="shared" si="3"/>
        <v>4016.5578169299338</v>
      </c>
      <c r="O18" t="s">
        <v>30</v>
      </c>
      <c r="P18">
        <f>LN(P15)</f>
        <v>-1.3707235982826387</v>
      </c>
    </row>
    <row r="19" spans="1:18" x14ac:dyDescent="0.2">
      <c r="A19" t="s">
        <v>6</v>
      </c>
      <c r="B19" s="1">
        <v>0.5756944444444444</v>
      </c>
      <c r="C19" s="2">
        <v>4.4444444444444446E-2</v>
      </c>
      <c r="D19">
        <v>214.7</v>
      </c>
      <c r="E19">
        <v>17.7</v>
      </c>
      <c r="F19">
        <f t="shared" si="1"/>
        <v>8.5922330097087368E-3</v>
      </c>
      <c r="G19">
        <v>12.21</v>
      </c>
      <c r="H19">
        <v>4.41</v>
      </c>
      <c r="I19" s="3">
        <f t="shared" si="2"/>
        <v>0.53592233009708734</v>
      </c>
      <c r="J19">
        <f t="shared" si="0"/>
        <v>431.30822195220759</v>
      </c>
      <c r="K19">
        <f t="shared" si="3"/>
        <v>4447.8660388821418</v>
      </c>
      <c r="O19" t="s">
        <v>37</v>
      </c>
      <c r="P19">
        <f>LN(P9)</f>
        <v>-2.9596732237382888</v>
      </c>
    </row>
    <row r="20" spans="1:18" x14ac:dyDescent="0.2">
      <c r="A20" t="s">
        <v>6</v>
      </c>
      <c r="B20" s="1">
        <v>0.57638888888888884</v>
      </c>
      <c r="C20" s="2">
        <v>4.5138888888888888E-2</v>
      </c>
      <c r="D20">
        <v>216</v>
      </c>
      <c r="E20">
        <v>19</v>
      </c>
      <c r="F20">
        <f t="shared" si="1"/>
        <v>9.2233009708737861E-3</v>
      </c>
      <c r="G20">
        <v>12.62</v>
      </c>
      <c r="H20">
        <v>4.82</v>
      </c>
      <c r="I20" s="3">
        <f t="shared" si="2"/>
        <v>0.53446601941747574</v>
      </c>
      <c r="J20">
        <f t="shared" si="0"/>
        <v>430.13618874038099</v>
      </c>
      <c r="K20">
        <f t="shared" si="3"/>
        <v>4878.0022276225227</v>
      </c>
      <c r="O20" t="s">
        <v>38</v>
      </c>
      <c r="P20">
        <f>LN(P16)</f>
        <v>6.2597376635009887</v>
      </c>
    </row>
    <row r="21" spans="1:18" x14ac:dyDescent="0.2">
      <c r="A21" t="s">
        <v>6</v>
      </c>
      <c r="B21" s="1">
        <v>0.57708333333333328</v>
      </c>
      <c r="C21" s="2">
        <v>4.583333333333333E-2</v>
      </c>
      <c r="D21">
        <v>216.6</v>
      </c>
      <c r="E21">
        <v>19.600000000000001</v>
      </c>
      <c r="F21">
        <f t="shared" si="1"/>
        <v>9.5145631067961173E-3</v>
      </c>
      <c r="G21">
        <v>12.61</v>
      </c>
      <c r="H21">
        <v>4.8099999999999996</v>
      </c>
      <c r="I21" s="3">
        <f t="shared" si="2"/>
        <v>0.56213592233009713</v>
      </c>
      <c r="J21">
        <f t="shared" si="0"/>
        <v>452.40481976508738</v>
      </c>
      <c r="K21">
        <f t="shared" si="3"/>
        <v>5330.40704738761</v>
      </c>
      <c r="L21" s="5" t="s">
        <v>45</v>
      </c>
    </row>
    <row r="22" spans="1:18" x14ac:dyDescent="0.2">
      <c r="A22" t="s">
        <v>6</v>
      </c>
      <c r="B22" s="1">
        <v>0.57777777777777772</v>
      </c>
      <c r="C22" s="2">
        <v>4.6527777777777779E-2</v>
      </c>
      <c r="D22">
        <v>216</v>
      </c>
      <c r="E22">
        <v>19</v>
      </c>
      <c r="F22">
        <f t="shared" si="1"/>
        <v>9.2233009708737861E-3</v>
      </c>
      <c r="G22">
        <v>12.49</v>
      </c>
      <c r="H22">
        <v>4.6900000000000004</v>
      </c>
      <c r="I22" s="3">
        <f t="shared" si="2"/>
        <v>0.56213592233009713</v>
      </c>
      <c r="J22">
        <f t="shared" si="0"/>
        <v>452.40481976508738</v>
      </c>
      <c r="K22">
        <f t="shared" si="3"/>
        <v>5782.8118671526972</v>
      </c>
      <c r="O22" t="s">
        <v>31</v>
      </c>
      <c r="Q22" t="s">
        <v>32</v>
      </c>
    </row>
    <row r="23" spans="1:18" x14ac:dyDescent="0.2">
      <c r="A23" t="s">
        <v>6</v>
      </c>
      <c r="B23" s="1">
        <v>0.57847222222222228</v>
      </c>
      <c r="C23" s="2">
        <v>4.7222222222222221E-2</v>
      </c>
      <c r="D23">
        <v>215.3</v>
      </c>
      <c r="E23">
        <v>18.3</v>
      </c>
      <c r="F23">
        <f t="shared" si="1"/>
        <v>8.8834951456310679E-3</v>
      </c>
      <c r="G23">
        <v>12.45</v>
      </c>
      <c r="H23">
        <v>4.6500000000000004</v>
      </c>
      <c r="I23" s="3">
        <f t="shared" si="2"/>
        <v>0.5432038834951457</v>
      </c>
      <c r="J23">
        <f t="shared" si="0"/>
        <v>437.16838801134094</v>
      </c>
      <c r="K23">
        <f t="shared" si="3"/>
        <v>6219.9802551640378</v>
      </c>
      <c r="O23" t="s">
        <v>33</v>
      </c>
      <c r="Q23" t="s">
        <v>34</v>
      </c>
      <c r="R23">
        <f>(P17-P18)/P1</f>
        <v>-1.5365684812065459E-2</v>
      </c>
    </row>
    <row r="24" spans="1:18" x14ac:dyDescent="0.2">
      <c r="A24" t="s">
        <v>6</v>
      </c>
      <c r="B24" s="1">
        <v>0.57916666666666672</v>
      </c>
      <c r="C24" s="2">
        <v>4.791666666666667E-2</v>
      </c>
      <c r="D24">
        <v>215.5</v>
      </c>
      <c r="E24">
        <v>18.5</v>
      </c>
      <c r="F24">
        <f t="shared" si="1"/>
        <v>8.9805825242718438E-3</v>
      </c>
      <c r="G24">
        <v>12.58</v>
      </c>
      <c r="H24">
        <v>4.78</v>
      </c>
      <c r="I24" s="3">
        <f t="shared" si="2"/>
        <v>0.53592233009708734</v>
      </c>
      <c r="J24">
        <f t="shared" si="0"/>
        <v>431.30822195220759</v>
      </c>
      <c r="K24">
        <f t="shared" si="3"/>
        <v>6651.2884771162453</v>
      </c>
      <c r="Q24" t="s">
        <v>40</v>
      </c>
      <c r="R24">
        <f>(P19-P20)/P1</f>
        <v>-1.5365684812065463E-2</v>
      </c>
    </row>
    <row r="25" spans="1:18" x14ac:dyDescent="0.2">
      <c r="A25" t="s">
        <v>6</v>
      </c>
      <c r="B25" s="1">
        <v>0.57986111111111116</v>
      </c>
      <c r="C25" s="2">
        <v>4.8611111111111112E-2</v>
      </c>
      <c r="D25">
        <v>215.6</v>
      </c>
      <c r="E25">
        <v>18.600000000000001</v>
      </c>
      <c r="F25">
        <f t="shared" si="1"/>
        <v>9.0291262135922343E-3</v>
      </c>
      <c r="G25">
        <v>12.47</v>
      </c>
      <c r="H25">
        <v>4.67</v>
      </c>
      <c r="I25" s="3">
        <f t="shared" si="2"/>
        <v>0.54029126213592238</v>
      </c>
      <c r="J25">
        <f t="shared" si="0"/>
        <v>434.82432158768762</v>
      </c>
      <c r="K25">
        <f t="shared" si="3"/>
        <v>7086.1127987039326</v>
      </c>
      <c r="Q25" t="s">
        <v>45</v>
      </c>
    </row>
    <row r="26" spans="1:18" x14ac:dyDescent="0.2">
      <c r="A26" t="s">
        <v>6</v>
      </c>
      <c r="B26" s="1">
        <v>0.5805555555555556</v>
      </c>
      <c r="C26" s="2">
        <v>4.9305555555555554E-2</v>
      </c>
      <c r="D26">
        <v>214.8</v>
      </c>
      <c r="E26">
        <v>17.8</v>
      </c>
      <c r="F26">
        <f t="shared" si="1"/>
        <v>8.6407766990291273E-3</v>
      </c>
      <c r="G26">
        <v>12.34</v>
      </c>
      <c r="H26">
        <v>4.54</v>
      </c>
      <c r="I26" s="3">
        <f t="shared" si="2"/>
        <v>0.53009708737864081</v>
      </c>
      <c r="J26">
        <f t="shared" si="0"/>
        <v>426.62008910490107</v>
      </c>
      <c r="K26">
        <f t="shared" si="3"/>
        <v>7512.7328878088338</v>
      </c>
      <c r="O26" t="s">
        <v>46</v>
      </c>
      <c r="P26" t="s">
        <v>47</v>
      </c>
      <c r="Q26">
        <f>76*60</f>
        <v>4560</v>
      </c>
      <c r="R26" t="s">
        <v>48</v>
      </c>
    </row>
    <row r="27" spans="1:18" x14ac:dyDescent="0.2">
      <c r="A27" t="s">
        <v>6</v>
      </c>
      <c r="B27" s="1">
        <v>0.58125000000000004</v>
      </c>
      <c r="C27" s="2">
        <v>0.05</v>
      </c>
      <c r="D27">
        <v>214.8</v>
      </c>
      <c r="E27">
        <v>17.8</v>
      </c>
      <c r="F27">
        <f t="shared" si="1"/>
        <v>8.6407766990291273E-3</v>
      </c>
      <c r="G27">
        <v>12.33</v>
      </c>
      <c r="H27">
        <v>4.53</v>
      </c>
      <c r="I27" s="3">
        <f t="shared" si="2"/>
        <v>0.51844660194174763</v>
      </c>
      <c r="J27">
        <f t="shared" si="0"/>
        <v>417.24382341028786</v>
      </c>
      <c r="K27">
        <f t="shared" si="3"/>
        <v>7929.9767112191221</v>
      </c>
      <c r="O27" t="s">
        <v>41</v>
      </c>
      <c r="P27">
        <f>P8*R23/P2</f>
        <v>-0.72742610626929827</v>
      </c>
    </row>
    <row r="28" spans="1:18" x14ac:dyDescent="0.2">
      <c r="A28" t="s">
        <v>6</v>
      </c>
      <c r="B28" s="1">
        <v>0.58194444444444449</v>
      </c>
      <c r="C28" s="2">
        <v>5.0694444444444445E-2</v>
      </c>
      <c r="D28">
        <v>214.8</v>
      </c>
      <c r="E28">
        <v>17.8</v>
      </c>
      <c r="F28">
        <f t="shared" si="1"/>
        <v>8.6407766990291273E-3</v>
      </c>
      <c r="G28">
        <v>12.35</v>
      </c>
      <c r="H28">
        <v>4.55</v>
      </c>
      <c r="I28" s="3">
        <f t="shared" si="2"/>
        <v>0.51844660194174763</v>
      </c>
      <c r="J28">
        <f t="shared" si="0"/>
        <v>417.24382341028786</v>
      </c>
      <c r="K28">
        <f t="shared" si="3"/>
        <v>8347.2205346294104</v>
      </c>
      <c r="O28" t="s">
        <v>49</v>
      </c>
    </row>
    <row r="29" spans="1:18" x14ac:dyDescent="0.2">
      <c r="A29" t="s">
        <v>6</v>
      </c>
      <c r="B29" s="1">
        <v>0.58263888888888893</v>
      </c>
      <c r="C29" s="2">
        <v>5.1388888888888887E-2</v>
      </c>
      <c r="D29">
        <v>214.7</v>
      </c>
      <c r="E29">
        <v>17.7</v>
      </c>
      <c r="F29">
        <f t="shared" si="1"/>
        <v>8.5922330097087368E-3</v>
      </c>
      <c r="G29">
        <v>12.34</v>
      </c>
      <c r="H29">
        <v>4.54</v>
      </c>
      <c r="I29" s="3">
        <f t="shared" si="2"/>
        <v>0.51699029126213591</v>
      </c>
      <c r="J29">
        <f t="shared" si="0"/>
        <v>416.07179019846114</v>
      </c>
      <c r="K29">
        <f t="shared" si="3"/>
        <v>8763.2923248278712</v>
      </c>
      <c r="O29" s="5" t="s">
        <v>43</v>
      </c>
      <c r="P29" s="5">
        <f>R8*Q26/(P2*P1)</f>
        <v>0.35979121498741273</v>
      </c>
      <c r="Q29" s="5" t="s">
        <v>42</v>
      </c>
    </row>
    <row r="30" spans="1:18" x14ac:dyDescent="0.2">
      <c r="A30" t="s">
        <v>6</v>
      </c>
      <c r="B30" s="1">
        <v>0.58333333333333337</v>
      </c>
      <c r="C30" s="2">
        <v>5.2083333333333336E-2</v>
      </c>
      <c r="D30">
        <v>213.9</v>
      </c>
      <c r="E30">
        <v>16.899999999999999</v>
      </c>
      <c r="F30">
        <f t="shared" si="1"/>
        <v>8.2038834951456297E-3</v>
      </c>
      <c r="G30">
        <v>12.22</v>
      </c>
      <c r="H30">
        <v>4.42</v>
      </c>
      <c r="I30" s="3">
        <f t="shared" si="2"/>
        <v>0.50388349514563102</v>
      </c>
      <c r="J30">
        <f t="shared" si="0"/>
        <v>405.52349129202128</v>
      </c>
      <c r="K30">
        <f t="shared" si="3"/>
        <v>9168.8158161198917</v>
      </c>
    </row>
    <row r="31" spans="1:18" x14ac:dyDescent="0.2">
      <c r="A31" t="s">
        <v>6</v>
      </c>
      <c r="B31" s="1">
        <v>0.58402777777777781</v>
      </c>
      <c r="C31" s="2">
        <v>5.2777777777777778E-2</v>
      </c>
      <c r="D31">
        <v>213.9</v>
      </c>
      <c r="E31">
        <v>16.899999999999999</v>
      </c>
      <c r="F31">
        <f t="shared" si="1"/>
        <v>8.2038834951456297E-3</v>
      </c>
      <c r="G31">
        <v>12.16</v>
      </c>
      <c r="H31">
        <v>4.3600000000000003</v>
      </c>
      <c r="I31" s="3">
        <f t="shared" si="2"/>
        <v>0.49223300970873779</v>
      </c>
      <c r="J31">
        <f t="shared" si="0"/>
        <v>396.14722559740807</v>
      </c>
      <c r="K31">
        <f t="shared" si="3"/>
        <v>9564.9630417172993</v>
      </c>
    </row>
    <row r="32" spans="1:18" x14ac:dyDescent="0.2">
      <c r="A32" t="s">
        <v>6</v>
      </c>
      <c r="B32" s="1">
        <v>0.58472222222222225</v>
      </c>
      <c r="C32" s="2">
        <v>5.347222222222222E-2</v>
      </c>
      <c r="D32">
        <v>213.6</v>
      </c>
      <c r="E32">
        <v>16.600000000000001</v>
      </c>
      <c r="F32">
        <f t="shared" si="1"/>
        <v>8.0582524271844667E-3</v>
      </c>
      <c r="G32">
        <v>12.13</v>
      </c>
      <c r="H32">
        <v>4.33</v>
      </c>
      <c r="I32" s="3">
        <f t="shared" si="2"/>
        <v>0.48786407766990292</v>
      </c>
      <c r="J32">
        <f t="shared" si="0"/>
        <v>392.63112596192815</v>
      </c>
      <c r="K32">
        <f t="shared" si="3"/>
        <v>9957.5941676792281</v>
      </c>
    </row>
    <row r="33" spans="1:11" x14ac:dyDescent="0.2">
      <c r="A33" t="s">
        <v>6</v>
      </c>
      <c r="B33" s="1">
        <v>0.5854166666666667</v>
      </c>
      <c r="C33" s="2">
        <v>5.4166666666666669E-2</v>
      </c>
      <c r="D33">
        <v>213.8</v>
      </c>
      <c r="E33">
        <v>16.8</v>
      </c>
      <c r="F33">
        <f t="shared" si="1"/>
        <v>8.1553398058252426E-3</v>
      </c>
      <c r="G33">
        <v>12.14</v>
      </c>
      <c r="H33">
        <v>4.34</v>
      </c>
      <c r="I33" s="3">
        <f t="shared" si="2"/>
        <v>0.4864077669902912</v>
      </c>
      <c r="J33">
        <f t="shared" si="0"/>
        <v>391.45909275010143</v>
      </c>
      <c r="K33">
        <f t="shared" si="3"/>
        <v>10349.053260429329</v>
      </c>
    </row>
    <row r="34" spans="1:11" x14ac:dyDescent="0.2">
      <c r="A34" t="s">
        <v>6</v>
      </c>
      <c r="B34" s="1">
        <v>0.58611111111111114</v>
      </c>
      <c r="C34" s="2">
        <v>5.486111111111111E-2</v>
      </c>
      <c r="D34">
        <v>213.3</v>
      </c>
      <c r="E34">
        <v>16.3</v>
      </c>
      <c r="F34">
        <f t="shared" si="1"/>
        <v>7.912621359223302E-3</v>
      </c>
      <c r="G34">
        <v>12.05</v>
      </c>
      <c r="H34">
        <v>4.25</v>
      </c>
      <c r="I34" s="3">
        <f t="shared" si="2"/>
        <v>0.48203883495145627</v>
      </c>
      <c r="J34">
        <f t="shared" si="0"/>
        <v>387.94299311462152</v>
      </c>
      <c r="K34">
        <f t="shared" si="3"/>
        <v>10736.996253543952</v>
      </c>
    </row>
    <row r="35" spans="1:11" x14ac:dyDescent="0.2">
      <c r="A35" t="s">
        <v>6</v>
      </c>
      <c r="B35" s="1">
        <v>0.58680555555555558</v>
      </c>
      <c r="C35" s="2">
        <v>5.5555555555555552E-2</v>
      </c>
      <c r="D35">
        <v>213.1</v>
      </c>
      <c r="E35">
        <v>16.100000000000001</v>
      </c>
      <c r="F35">
        <f t="shared" si="1"/>
        <v>7.8155339805825244E-3</v>
      </c>
      <c r="G35">
        <v>12.04</v>
      </c>
      <c r="H35">
        <v>4.24</v>
      </c>
      <c r="I35" s="3">
        <f t="shared" si="2"/>
        <v>0.47184466019417481</v>
      </c>
      <c r="J35">
        <f t="shared" si="0"/>
        <v>379.73876063183502</v>
      </c>
      <c r="K35">
        <f t="shared" si="3"/>
        <v>11116.735014175787</v>
      </c>
    </row>
    <row r="36" spans="1:11" x14ac:dyDescent="0.2">
      <c r="A36" t="s">
        <v>6</v>
      </c>
      <c r="B36" s="1">
        <v>0.58750000000000002</v>
      </c>
      <c r="C36" s="2">
        <v>5.6250000000000001E-2</v>
      </c>
      <c r="D36">
        <v>212.4</v>
      </c>
      <c r="E36">
        <v>15.4</v>
      </c>
      <c r="F36">
        <f t="shared" si="1"/>
        <v>7.4757281553398062E-3</v>
      </c>
      <c r="G36">
        <v>11.85</v>
      </c>
      <c r="H36">
        <v>4.05</v>
      </c>
      <c r="I36" s="3">
        <f t="shared" si="2"/>
        <v>0.45873786407766992</v>
      </c>
      <c r="J36">
        <f t="shared" si="0"/>
        <v>369.19046172539515</v>
      </c>
      <c r="K36">
        <f t="shared" si="3"/>
        <v>11485.925475901182</v>
      </c>
    </row>
    <row r="37" spans="1:11" x14ac:dyDescent="0.2">
      <c r="A37" t="s">
        <v>6</v>
      </c>
      <c r="B37" s="1">
        <v>0.58819444444444446</v>
      </c>
      <c r="C37" s="2">
        <v>5.6944444444444443E-2</v>
      </c>
      <c r="D37">
        <v>212.2</v>
      </c>
      <c r="E37">
        <v>15.2</v>
      </c>
      <c r="F37">
        <f t="shared" si="1"/>
        <v>7.3786407766990286E-3</v>
      </c>
      <c r="G37">
        <v>11.78</v>
      </c>
      <c r="H37">
        <v>3.98</v>
      </c>
      <c r="I37" s="3">
        <f t="shared" si="2"/>
        <v>0.44563106796116503</v>
      </c>
      <c r="J37">
        <f t="shared" si="0"/>
        <v>358.64216281895523</v>
      </c>
      <c r="K37">
        <f t="shared" si="3"/>
        <v>11844.567638720137</v>
      </c>
    </row>
    <row r="38" spans="1:11" x14ac:dyDescent="0.2">
      <c r="A38" t="s">
        <v>6</v>
      </c>
      <c r="B38" s="1">
        <v>0.58888888888888891</v>
      </c>
      <c r="C38" s="2">
        <v>5.7638888888888892E-2</v>
      </c>
      <c r="D38">
        <v>212</v>
      </c>
      <c r="E38">
        <v>15</v>
      </c>
      <c r="F38">
        <f t="shared" si="1"/>
        <v>7.2815533980582527E-3</v>
      </c>
      <c r="G38">
        <v>11.69</v>
      </c>
      <c r="H38">
        <v>3.89</v>
      </c>
      <c r="I38" s="3">
        <f t="shared" si="2"/>
        <v>0.43980582524271844</v>
      </c>
      <c r="J38">
        <f t="shared" si="0"/>
        <v>353.95402997164865</v>
      </c>
      <c r="K38">
        <f t="shared" si="3"/>
        <v>12198.521668691785</v>
      </c>
    </row>
    <row r="39" spans="1:11" x14ac:dyDescent="0.2">
      <c r="A39" t="s">
        <v>6</v>
      </c>
      <c r="B39" s="1">
        <v>0.58958333333333335</v>
      </c>
      <c r="C39" s="2">
        <v>5.8333333333333334E-2</v>
      </c>
      <c r="D39">
        <v>211.5</v>
      </c>
      <c r="E39">
        <v>14.5</v>
      </c>
      <c r="F39">
        <f t="shared" si="1"/>
        <v>7.0388349514563103E-3</v>
      </c>
      <c r="G39">
        <v>11.5</v>
      </c>
      <c r="H39">
        <v>3.7</v>
      </c>
      <c r="I39" s="3">
        <f t="shared" si="2"/>
        <v>0.42961165048543687</v>
      </c>
      <c r="J39">
        <f t="shared" si="0"/>
        <v>345.7497974888621</v>
      </c>
      <c r="K39">
        <f t="shared" si="3"/>
        <v>12544.271466180648</v>
      </c>
    </row>
    <row r="40" spans="1:11" x14ac:dyDescent="0.2">
      <c r="A40" t="s">
        <v>6</v>
      </c>
      <c r="B40" s="1">
        <v>0.59027777777777779</v>
      </c>
      <c r="C40" s="2">
        <v>5.9027777777777776E-2</v>
      </c>
      <c r="D40">
        <v>211.1</v>
      </c>
      <c r="E40">
        <v>14.1</v>
      </c>
      <c r="F40">
        <f t="shared" si="1"/>
        <v>6.8446601941747568E-3</v>
      </c>
      <c r="G40">
        <v>11.49</v>
      </c>
      <c r="H40">
        <v>3.69</v>
      </c>
      <c r="I40" s="3">
        <f t="shared" si="2"/>
        <v>0.41650485436893203</v>
      </c>
      <c r="J40">
        <f t="shared" si="0"/>
        <v>335.20149858242223</v>
      </c>
      <c r="K40">
        <f t="shared" si="3"/>
        <v>12879.47296476307</v>
      </c>
    </row>
    <row r="41" spans="1:11" x14ac:dyDescent="0.2">
      <c r="A41" t="s">
        <v>6</v>
      </c>
      <c r="B41" s="1">
        <v>0.59097222222222223</v>
      </c>
      <c r="C41" s="2">
        <v>5.9722222222222225E-2</v>
      </c>
      <c r="D41">
        <v>210.9</v>
      </c>
      <c r="E41">
        <v>13.9</v>
      </c>
      <c r="F41">
        <f t="shared" si="1"/>
        <v>6.7475728155339809E-3</v>
      </c>
      <c r="G41">
        <v>11.47</v>
      </c>
      <c r="H41">
        <v>3.67</v>
      </c>
      <c r="I41" s="3">
        <f t="shared" si="2"/>
        <v>0.40776699029126212</v>
      </c>
      <c r="J41">
        <f t="shared" si="0"/>
        <v>328.16929931146234</v>
      </c>
      <c r="K41">
        <f t="shared" si="3"/>
        <v>13207.642264074533</v>
      </c>
    </row>
    <row r="42" spans="1:11" x14ac:dyDescent="0.2">
      <c r="A42" t="s">
        <v>6</v>
      </c>
      <c r="B42" s="1">
        <v>0.59166666666666667</v>
      </c>
      <c r="C42" s="2">
        <v>6.0416666666666667E-2</v>
      </c>
      <c r="D42">
        <v>210.6</v>
      </c>
      <c r="E42">
        <v>13.6</v>
      </c>
      <c r="F42">
        <f t="shared" si="1"/>
        <v>6.6019417475728153E-3</v>
      </c>
      <c r="G42">
        <v>11.38</v>
      </c>
      <c r="H42">
        <v>3.58</v>
      </c>
      <c r="I42" s="3">
        <f t="shared" si="2"/>
        <v>0.40048543689320393</v>
      </c>
      <c r="J42">
        <f t="shared" si="0"/>
        <v>322.3091332523291</v>
      </c>
      <c r="K42">
        <f t="shared" si="3"/>
        <v>13529.951397326862</v>
      </c>
    </row>
    <row r="43" spans="1:11" x14ac:dyDescent="0.2">
      <c r="A43" t="s">
        <v>6</v>
      </c>
      <c r="B43" s="1">
        <v>0.59236111111111112</v>
      </c>
      <c r="C43" s="2">
        <v>6.1111111111111109E-2</v>
      </c>
      <c r="D43">
        <v>210</v>
      </c>
      <c r="E43">
        <v>13</v>
      </c>
      <c r="F43">
        <f t="shared" si="1"/>
        <v>6.3106796116504851E-3</v>
      </c>
      <c r="G43">
        <v>11.24</v>
      </c>
      <c r="H43">
        <v>3.44</v>
      </c>
      <c r="I43" s="3">
        <f t="shared" si="2"/>
        <v>0.38737864077669898</v>
      </c>
      <c r="J43">
        <f t="shared" si="0"/>
        <v>311.76083434588918</v>
      </c>
      <c r="K43">
        <f t="shared" si="3"/>
        <v>13841.712231672751</v>
      </c>
    </row>
    <row r="44" spans="1:11" x14ac:dyDescent="0.2">
      <c r="A44" t="s">
        <v>6</v>
      </c>
      <c r="B44" s="1">
        <v>0.59305555555555556</v>
      </c>
      <c r="C44" s="2">
        <v>6.1805555555555558E-2</v>
      </c>
      <c r="D44">
        <v>209.7</v>
      </c>
      <c r="E44">
        <v>12.7</v>
      </c>
      <c r="F44">
        <f t="shared" si="1"/>
        <v>6.1650485436893204E-3</v>
      </c>
      <c r="G44">
        <v>11.19</v>
      </c>
      <c r="H44">
        <v>3.39</v>
      </c>
      <c r="I44" s="3">
        <f t="shared" si="2"/>
        <v>0.37427184466019414</v>
      </c>
      <c r="J44">
        <f t="shared" si="0"/>
        <v>301.21253543944931</v>
      </c>
      <c r="K44">
        <f t="shared" si="3"/>
        <v>14142.924767112199</v>
      </c>
    </row>
    <row r="45" spans="1:11" x14ac:dyDescent="0.2">
      <c r="A45" t="s">
        <v>6</v>
      </c>
      <c r="B45" s="1">
        <v>0.59375</v>
      </c>
      <c r="C45" s="2">
        <v>6.25E-2</v>
      </c>
      <c r="D45">
        <v>209.9</v>
      </c>
      <c r="E45">
        <v>12.9</v>
      </c>
      <c r="F45">
        <f t="shared" si="1"/>
        <v>6.2621359223300971E-3</v>
      </c>
      <c r="G45">
        <v>11.05</v>
      </c>
      <c r="H45">
        <v>3.25</v>
      </c>
      <c r="I45" s="3">
        <f t="shared" si="2"/>
        <v>0.37281553398058254</v>
      </c>
      <c r="J45">
        <f t="shared" si="0"/>
        <v>300.04050222762271</v>
      </c>
      <c r="K45">
        <f t="shared" si="3"/>
        <v>14442.965269339822</v>
      </c>
    </row>
    <row r="46" spans="1:11" x14ac:dyDescent="0.2">
      <c r="A46" t="s">
        <v>6</v>
      </c>
      <c r="B46" s="1">
        <v>0.59444444444444444</v>
      </c>
      <c r="C46" s="2">
        <v>6.3194444444444442E-2</v>
      </c>
      <c r="D46">
        <v>208.6</v>
      </c>
      <c r="E46">
        <v>11.6</v>
      </c>
      <c r="F46">
        <f t="shared" si="1"/>
        <v>5.6310679611650486E-3</v>
      </c>
      <c r="G46">
        <v>10.95</v>
      </c>
      <c r="H46">
        <v>3.15</v>
      </c>
      <c r="I46" s="3">
        <f t="shared" si="2"/>
        <v>0.35679611650485438</v>
      </c>
      <c r="J46">
        <f t="shared" si="0"/>
        <v>287.14813689752953</v>
      </c>
      <c r="K46">
        <f t="shared" si="3"/>
        <v>14730.113406237351</v>
      </c>
    </row>
    <row r="47" spans="1:11" x14ac:dyDescent="0.2">
      <c r="A47" t="s">
        <v>6</v>
      </c>
      <c r="B47" s="1">
        <v>0.59513888888888888</v>
      </c>
      <c r="C47" s="2">
        <v>6.3888888888888884E-2</v>
      </c>
      <c r="D47">
        <v>208.5</v>
      </c>
      <c r="E47">
        <v>11.5</v>
      </c>
      <c r="F47">
        <f t="shared" si="1"/>
        <v>5.5825242718446598E-3</v>
      </c>
      <c r="G47">
        <v>10.79</v>
      </c>
      <c r="H47">
        <v>2.99</v>
      </c>
      <c r="I47" s="3">
        <f t="shared" si="2"/>
        <v>0.33640776699029123</v>
      </c>
      <c r="J47">
        <f t="shared" si="0"/>
        <v>270.73967193195642</v>
      </c>
      <c r="K47">
        <f t="shared" si="3"/>
        <v>15000.853078169308</v>
      </c>
    </row>
    <row r="48" spans="1:11" x14ac:dyDescent="0.2">
      <c r="A48" t="s">
        <v>6</v>
      </c>
      <c r="B48" s="1">
        <v>0.59583333333333333</v>
      </c>
      <c r="C48" s="2">
        <v>6.458333333333334E-2</v>
      </c>
      <c r="D48">
        <v>208.1</v>
      </c>
      <c r="E48">
        <v>11.1</v>
      </c>
      <c r="F48">
        <f t="shared" si="1"/>
        <v>5.3883495145631063E-3</v>
      </c>
      <c r="G48">
        <v>10.71</v>
      </c>
      <c r="H48">
        <v>2.91</v>
      </c>
      <c r="I48" s="3">
        <f t="shared" si="2"/>
        <v>0.32912621359223299</v>
      </c>
      <c r="J48">
        <f t="shared" si="0"/>
        <v>264.87950587282313</v>
      </c>
      <c r="K48">
        <f t="shared" si="3"/>
        <v>15265.732584042131</v>
      </c>
    </row>
    <row r="49" spans="1:11" x14ac:dyDescent="0.2">
      <c r="A49" t="s">
        <v>6</v>
      </c>
      <c r="B49" s="1">
        <v>0.59652777777777777</v>
      </c>
      <c r="C49" s="2">
        <v>6.5277777777777782E-2</v>
      </c>
      <c r="D49">
        <v>207.5</v>
      </c>
      <c r="E49">
        <v>10.5</v>
      </c>
      <c r="F49">
        <f t="shared" si="1"/>
        <v>5.0970873786407769E-3</v>
      </c>
      <c r="G49">
        <v>10.64</v>
      </c>
      <c r="H49">
        <v>2.84</v>
      </c>
      <c r="I49" s="3">
        <f t="shared" si="2"/>
        <v>0.31456310679611649</v>
      </c>
      <c r="J49">
        <f t="shared" si="0"/>
        <v>253.15917375455663</v>
      </c>
      <c r="K49">
        <f t="shared" si="3"/>
        <v>15518.891757796688</v>
      </c>
    </row>
    <row r="50" spans="1:11" x14ac:dyDescent="0.2">
      <c r="A50" t="s">
        <v>6</v>
      </c>
      <c r="B50" s="1">
        <v>0.59722222222222221</v>
      </c>
      <c r="C50" s="2">
        <v>6.5972222222222224E-2</v>
      </c>
      <c r="D50">
        <v>207.7</v>
      </c>
      <c r="E50">
        <v>10.7</v>
      </c>
      <c r="F50">
        <f t="shared" si="1"/>
        <v>5.1941747572815528E-3</v>
      </c>
      <c r="G50">
        <v>10.63</v>
      </c>
      <c r="H50">
        <v>2.83</v>
      </c>
      <c r="I50" s="3">
        <f t="shared" si="2"/>
        <v>0.3087378640776699</v>
      </c>
      <c r="J50">
        <f t="shared" si="0"/>
        <v>248.47104090725006</v>
      </c>
      <c r="K50">
        <f t="shared" si="3"/>
        <v>15767.362798703938</v>
      </c>
    </row>
    <row r="51" spans="1:11" x14ac:dyDescent="0.2">
      <c r="A51" t="s">
        <v>6</v>
      </c>
      <c r="B51" s="1">
        <v>0.59791666666666665</v>
      </c>
      <c r="C51" s="2">
        <v>6.6666666666666666E-2</v>
      </c>
      <c r="D51">
        <v>207</v>
      </c>
      <c r="E51">
        <v>10</v>
      </c>
      <c r="F51">
        <f t="shared" si="1"/>
        <v>4.8543689320388345E-3</v>
      </c>
      <c r="G51">
        <v>10.53</v>
      </c>
      <c r="H51">
        <v>2.73</v>
      </c>
      <c r="I51" s="3">
        <f t="shared" si="2"/>
        <v>0.30145631067961159</v>
      </c>
      <c r="J51">
        <f t="shared" si="0"/>
        <v>242.61087484811677</v>
      </c>
      <c r="K51">
        <f t="shared" si="3"/>
        <v>16009.973673552055</v>
      </c>
    </row>
    <row r="52" spans="1:11" x14ac:dyDescent="0.2">
      <c r="A52" t="s">
        <v>6</v>
      </c>
      <c r="B52" s="1">
        <v>0.59861111111111109</v>
      </c>
      <c r="C52" s="2">
        <v>6.7361111111111108E-2</v>
      </c>
      <c r="D52">
        <v>207.1</v>
      </c>
      <c r="E52">
        <v>10.1</v>
      </c>
      <c r="F52">
        <f t="shared" si="1"/>
        <v>4.9029126213592233E-3</v>
      </c>
      <c r="G52">
        <v>10.49</v>
      </c>
      <c r="H52">
        <v>2.69</v>
      </c>
      <c r="I52" s="3">
        <f t="shared" si="2"/>
        <v>0.29271844660194174</v>
      </c>
      <c r="J52">
        <f t="shared" si="0"/>
        <v>235.57867557715687</v>
      </c>
      <c r="K52">
        <f t="shared" si="3"/>
        <v>16245.552349129212</v>
      </c>
    </row>
    <row r="53" spans="1:11" x14ac:dyDescent="0.2">
      <c r="A53" t="s">
        <v>6</v>
      </c>
      <c r="B53" s="1">
        <v>0.59930555555555554</v>
      </c>
      <c r="C53" s="2">
        <v>6.805555555555555E-2</v>
      </c>
      <c r="D53">
        <v>207</v>
      </c>
      <c r="E53">
        <v>10</v>
      </c>
      <c r="F53">
        <f t="shared" si="1"/>
        <v>4.8543689320388345E-3</v>
      </c>
      <c r="G53">
        <v>10.46</v>
      </c>
      <c r="H53">
        <v>2.66</v>
      </c>
      <c r="I53" s="3">
        <f t="shared" si="2"/>
        <v>0.29271844660194174</v>
      </c>
      <c r="J53">
        <f t="shared" si="0"/>
        <v>235.57867557715687</v>
      </c>
      <c r="K53">
        <f t="shared" si="3"/>
        <v>16481.131024706367</v>
      </c>
    </row>
    <row r="54" spans="1:11" x14ac:dyDescent="0.2">
      <c r="A54" t="s">
        <v>6</v>
      </c>
      <c r="B54" s="1">
        <v>0.6</v>
      </c>
      <c r="C54" s="2">
        <v>6.8750000000000006E-2</v>
      </c>
      <c r="D54">
        <v>206.8</v>
      </c>
      <c r="E54">
        <v>9.8000000000000007</v>
      </c>
      <c r="F54">
        <f t="shared" si="1"/>
        <v>4.7572815533980586E-3</v>
      </c>
      <c r="G54">
        <v>10.38</v>
      </c>
      <c r="H54">
        <v>2.58</v>
      </c>
      <c r="I54" s="3">
        <f t="shared" si="2"/>
        <v>0.28834951456310681</v>
      </c>
      <c r="J54">
        <f t="shared" si="0"/>
        <v>232.06257594167695</v>
      </c>
      <c r="K54">
        <f t="shared" si="3"/>
        <v>16713.193600648043</v>
      </c>
    </row>
    <row r="55" spans="1:11" x14ac:dyDescent="0.2">
      <c r="A55" t="s">
        <v>6</v>
      </c>
      <c r="B55" s="1">
        <v>0.60069444444444442</v>
      </c>
      <c r="C55" s="2">
        <v>6.9444444444444448E-2</v>
      </c>
      <c r="D55">
        <v>206.4</v>
      </c>
      <c r="E55">
        <v>9.4</v>
      </c>
      <c r="F55">
        <f t="shared" si="1"/>
        <v>4.5631067961165051E-3</v>
      </c>
      <c r="G55">
        <v>10.28</v>
      </c>
      <c r="H55">
        <v>2.48</v>
      </c>
      <c r="I55" s="3">
        <f t="shared" si="2"/>
        <v>0.2796116504854369</v>
      </c>
      <c r="J55">
        <f t="shared" si="0"/>
        <v>225.03037667071703</v>
      </c>
      <c r="K55">
        <f t="shared" si="3"/>
        <v>16938.223977318761</v>
      </c>
    </row>
    <row r="56" spans="1:11" x14ac:dyDescent="0.2">
      <c r="A56" t="s">
        <v>6</v>
      </c>
      <c r="B56" s="1">
        <v>0.60138888888888886</v>
      </c>
      <c r="C56" s="2">
        <v>7.013888888888889E-2</v>
      </c>
      <c r="D56">
        <v>206.2</v>
      </c>
      <c r="E56">
        <v>9.1999999999999993</v>
      </c>
      <c r="F56">
        <f t="shared" si="1"/>
        <v>4.4660194174757275E-3</v>
      </c>
      <c r="G56">
        <v>10.19</v>
      </c>
      <c r="H56">
        <v>2.39</v>
      </c>
      <c r="I56" s="3">
        <f t="shared" si="2"/>
        <v>0.27087378640776699</v>
      </c>
      <c r="J56">
        <f t="shared" si="0"/>
        <v>217.99817739975711</v>
      </c>
      <c r="K56">
        <f t="shared" si="3"/>
        <v>17156.222154718518</v>
      </c>
    </row>
    <row r="57" spans="1:11" x14ac:dyDescent="0.2">
      <c r="A57" t="s">
        <v>6</v>
      </c>
      <c r="B57" s="1">
        <v>0.6020833333333333</v>
      </c>
      <c r="C57" s="2">
        <v>7.0833333333333331E-2</v>
      </c>
      <c r="D57">
        <v>205.7</v>
      </c>
      <c r="E57">
        <v>8.6999999999999993</v>
      </c>
      <c r="F57">
        <f t="shared" si="1"/>
        <v>4.223300970873786E-3</v>
      </c>
      <c r="G57">
        <v>10.17</v>
      </c>
      <c r="H57">
        <v>2.37</v>
      </c>
      <c r="I57" s="3">
        <f t="shared" si="2"/>
        <v>0.26067961165048537</v>
      </c>
      <c r="J57">
        <f t="shared" si="0"/>
        <v>209.7939449169705</v>
      </c>
      <c r="K57">
        <f t="shared" si="3"/>
        <v>17366.01609963549</v>
      </c>
    </row>
    <row r="58" spans="1:11" x14ac:dyDescent="0.2">
      <c r="A58" t="s">
        <v>6</v>
      </c>
      <c r="B58" s="1">
        <v>0.60277777777777775</v>
      </c>
      <c r="C58" s="2">
        <v>7.1527777777777773E-2</v>
      </c>
      <c r="D58">
        <v>205.6</v>
      </c>
      <c r="E58">
        <v>8.6</v>
      </c>
      <c r="F58">
        <f t="shared" si="1"/>
        <v>4.1747572815533981E-3</v>
      </c>
      <c r="G58">
        <v>10.09</v>
      </c>
      <c r="H58">
        <v>2.29</v>
      </c>
      <c r="I58" s="3">
        <f t="shared" si="2"/>
        <v>0.25194174757281551</v>
      </c>
      <c r="J58">
        <f t="shared" si="0"/>
        <v>202.76174564601064</v>
      </c>
      <c r="K58">
        <f t="shared" si="3"/>
        <v>17568.7778452815</v>
      </c>
    </row>
    <row r="59" spans="1:11" x14ac:dyDescent="0.2">
      <c r="A59" t="s">
        <v>6</v>
      </c>
      <c r="B59" s="1">
        <v>0.60347222222222219</v>
      </c>
      <c r="C59" s="2">
        <v>7.2222222222222215E-2</v>
      </c>
      <c r="D59">
        <v>205.4</v>
      </c>
      <c r="E59">
        <v>8.4</v>
      </c>
      <c r="F59">
        <f t="shared" si="1"/>
        <v>4.0776699029126213E-3</v>
      </c>
      <c r="G59">
        <v>10.029999999999999</v>
      </c>
      <c r="H59">
        <v>2.23</v>
      </c>
      <c r="I59" s="3">
        <f t="shared" si="2"/>
        <v>0.24757281553398056</v>
      </c>
      <c r="J59">
        <f t="shared" si="0"/>
        <v>199.24564601053069</v>
      </c>
      <c r="K59">
        <f t="shared" si="3"/>
        <v>17768.023491292031</v>
      </c>
    </row>
    <row r="60" spans="1:11" x14ac:dyDescent="0.2">
      <c r="A60" t="s">
        <v>6</v>
      </c>
      <c r="B60" s="1">
        <v>0.60416666666666663</v>
      </c>
      <c r="C60" s="2">
        <v>7.2916666666666671E-2</v>
      </c>
      <c r="D60">
        <v>205.2</v>
      </c>
      <c r="E60">
        <v>8.1999999999999993</v>
      </c>
      <c r="F60">
        <f t="shared" si="1"/>
        <v>3.9805825242718446E-3</v>
      </c>
      <c r="G60">
        <v>10</v>
      </c>
      <c r="H60">
        <v>2.2000000000000002</v>
      </c>
      <c r="I60" s="3">
        <f t="shared" si="2"/>
        <v>0.241747572815534</v>
      </c>
      <c r="J60">
        <f t="shared" si="0"/>
        <v>194.55751316322412</v>
      </c>
      <c r="K60">
        <f t="shared" si="3"/>
        <v>17962.581004455256</v>
      </c>
    </row>
    <row r="61" spans="1:11" x14ac:dyDescent="0.2">
      <c r="A61" t="s">
        <v>6</v>
      </c>
      <c r="B61" s="1">
        <v>0.60486111111111107</v>
      </c>
      <c r="C61" s="2">
        <v>7.3611111111111113E-2</v>
      </c>
      <c r="D61">
        <v>205.3</v>
      </c>
      <c r="E61">
        <v>8.3000000000000007</v>
      </c>
      <c r="F61">
        <f t="shared" si="1"/>
        <v>4.0291262135922334E-3</v>
      </c>
      <c r="G61">
        <v>9.91</v>
      </c>
      <c r="H61">
        <v>2.11</v>
      </c>
      <c r="I61" s="3">
        <f t="shared" si="2"/>
        <v>0.24029126213592233</v>
      </c>
      <c r="J61">
        <f t="shared" si="0"/>
        <v>193.38547995139746</v>
      </c>
      <c r="K61">
        <f t="shared" si="3"/>
        <v>18155.966484406654</v>
      </c>
    </row>
    <row r="62" spans="1:11" x14ac:dyDescent="0.2">
      <c r="A62" t="s">
        <v>6</v>
      </c>
      <c r="B62" s="1">
        <v>0.60555555555555551</v>
      </c>
      <c r="C62" s="2">
        <v>7.4305555555555555E-2</v>
      </c>
      <c r="D62">
        <v>204.7</v>
      </c>
      <c r="E62">
        <v>7.7</v>
      </c>
      <c r="F62">
        <f t="shared" si="1"/>
        <v>3.7378640776699031E-3</v>
      </c>
      <c r="G62">
        <v>9.84</v>
      </c>
      <c r="H62">
        <v>2.04</v>
      </c>
      <c r="I62" s="3">
        <f t="shared" si="2"/>
        <v>0.23300970873786409</v>
      </c>
      <c r="J62">
        <f t="shared" si="0"/>
        <v>187.52531389226419</v>
      </c>
      <c r="K62">
        <f t="shared" si="3"/>
        <v>18343.491798298917</v>
      </c>
    </row>
    <row r="63" spans="1:11" x14ac:dyDescent="0.2">
      <c r="A63" t="s">
        <v>6</v>
      </c>
      <c r="B63" s="1">
        <v>0.60624999999999996</v>
      </c>
      <c r="C63" s="2">
        <v>7.4999999999999997E-2</v>
      </c>
      <c r="D63">
        <v>204.9</v>
      </c>
      <c r="E63">
        <v>7.9</v>
      </c>
      <c r="F63">
        <f t="shared" si="1"/>
        <v>3.8349514563106799E-3</v>
      </c>
      <c r="G63">
        <v>9.84</v>
      </c>
      <c r="H63">
        <v>2.04</v>
      </c>
      <c r="I63" s="3">
        <f t="shared" si="2"/>
        <v>0.2271844660194175</v>
      </c>
      <c r="J63">
        <f t="shared" si="0"/>
        <v>182.83718104495762</v>
      </c>
      <c r="K63">
        <f t="shared" si="3"/>
        <v>18526.328979343874</v>
      </c>
    </row>
    <row r="64" spans="1:11" x14ac:dyDescent="0.2">
      <c r="A64" t="s">
        <v>6</v>
      </c>
      <c r="B64" s="1">
        <v>0.6069444444444444</v>
      </c>
      <c r="C64" s="2">
        <v>7.5694444444444439E-2</v>
      </c>
      <c r="D64">
        <v>204.2</v>
      </c>
      <c r="E64">
        <v>7.2</v>
      </c>
      <c r="F64">
        <f t="shared" si="1"/>
        <v>3.4951456310679612E-3</v>
      </c>
      <c r="G64">
        <v>9.7200000000000006</v>
      </c>
      <c r="H64">
        <v>1.92</v>
      </c>
      <c r="I64" s="3">
        <f t="shared" si="2"/>
        <v>0.21990291262135925</v>
      </c>
      <c r="J64">
        <f t="shared" si="0"/>
        <v>176.97701498582435</v>
      </c>
      <c r="K64">
        <f t="shared" si="3"/>
        <v>18703.305994329698</v>
      </c>
    </row>
    <row r="65" spans="1:11" x14ac:dyDescent="0.2">
      <c r="A65" t="s">
        <v>6</v>
      </c>
      <c r="B65" s="1">
        <v>0.60763888888888884</v>
      </c>
      <c r="C65" s="2">
        <v>7.6388888888888895E-2</v>
      </c>
      <c r="D65">
        <v>204.4</v>
      </c>
      <c r="E65">
        <v>7.4</v>
      </c>
      <c r="F65">
        <f t="shared" si="1"/>
        <v>3.592233009708738E-3</v>
      </c>
      <c r="G65">
        <v>9.74</v>
      </c>
      <c r="H65">
        <v>1.94</v>
      </c>
      <c r="I65" s="3">
        <f t="shared" si="2"/>
        <v>0.21262135922330097</v>
      </c>
      <c r="J65">
        <f t="shared" si="0"/>
        <v>171.11684892669106</v>
      </c>
      <c r="K65">
        <f t="shared" si="3"/>
        <v>18874.422843256387</v>
      </c>
    </row>
    <row r="66" spans="1:11" x14ac:dyDescent="0.2">
      <c r="A66" t="s">
        <v>6</v>
      </c>
      <c r="B66" s="1">
        <v>0.60833333333333328</v>
      </c>
      <c r="C66" s="2">
        <v>7.7083333333333337E-2</v>
      </c>
      <c r="D66">
        <v>204.5</v>
      </c>
      <c r="E66">
        <v>7.5</v>
      </c>
      <c r="F66">
        <f t="shared" si="1"/>
        <v>3.6407766990291263E-3</v>
      </c>
      <c r="G66">
        <v>9.7200000000000006</v>
      </c>
      <c r="H66">
        <v>1.92</v>
      </c>
      <c r="I66" s="3">
        <f t="shared" si="2"/>
        <v>0.21699029126213593</v>
      </c>
      <c r="J66">
        <f t="shared" si="0"/>
        <v>174.63294856217104</v>
      </c>
      <c r="K66">
        <f t="shared" si="3"/>
        <v>19049.055791818559</v>
      </c>
    </row>
    <row r="67" spans="1:11" x14ac:dyDescent="0.2">
      <c r="A67" t="s">
        <v>6</v>
      </c>
      <c r="B67" s="1">
        <v>0.60902777777777772</v>
      </c>
      <c r="C67" s="2">
        <v>7.7777777777777779E-2</v>
      </c>
      <c r="D67">
        <v>204.2</v>
      </c>
      <c r="E67">
        <v>7.2</v>
      </c>
      <c r="F67">
        <f t="shared" si="1"/>
        <v>3.4951456310679612E-3</v>
      </c>
      <c r="G67">
        <v>9.66</v>
      </c>
      <c r="H67">
        <v>1.86</v>
      </c>
      <c r="I67" s="3">
        <f t="shared" si="2"/>
        <v>0.21407766990291263</v>
      </c>
      <c r="J67">
        <f t="shared" ref="J67:J105" si="4">I67*$P$8</f>
        <v>172.28888213851772</v>
      </c>
      <c r="K67">
        <f t="shared" si="3"/>
        <v>19221.344673957075</v>
      </c>
    </row>
    <row r="68" spans="1:11" x14ac:dyDescent="0.2">
      <c r="A68" t="s">
        <v>6</v>
      </c>
      <c r="B68" s="1">
        <v>0.60972222222222228</v>
      </c>
      <c r="C68" s="2">
        <v>7.8472222222222221E-2</v>
      </c>
      <c r="D68">
        <v>203.8</v>
      </c>
      <c r="E68">
        <v>6.8</v>
      </c>
      <c r="F68">
        <f t="shared" ref="F68:F105" si="5">E68/$P$5</f>
        <v>3.3009708737864077E-3</v>
      </c>
      <c r="G68">
        <v>9.5299999999999994</v>
      </c>
      <c r="H68">
        <v>1.73</v>
      </c>
      <c r="I68" s="3">
        <f t="shared" ref="I68:I105" si="6">AVERAGE(F67:F68)*(60)</f>
        <v>0.20388349514563106</v>
      </c>
      <c r="J68">
        <f t="shared" si="4"/>
        <v>164.08464965573117</v>
      </c>
      <c r="K68">
        <f t="shared" ref="K68:K105" si="7">J68+K67</f>
        <v>19385.429323612807</v>
      </c>
    </row>
    <row r="69" spans="1:11" x14ac:dyDescent="0.2">
      <c r="A69" t="s">
        <v>6</v>
      </c>
      <c r="B69" s="1">
        <v>0.61041666666666672</v>
      </c>
      <c r="C69" s="2">
        <v>7.9166666666666663E-2</v>
      </c>
      <c r="D69">
        <v>203.6</v>
      </c>
      <c r="E69">
        <v>6.6</v>
      </c>
      <c r="F69">
        <f t="shared" si="5"/>
        <v>3.2038834951456309E-3</v>
      </c>
      <c r="G69">
        <v>9.5399999999999991</v>
      </c>
      <c r="H69">
        <v>1.74</v>
      </c>
      <c r="I69" s="3">
        <f t="shared" si="6"/>
        <v>0.19514563106796115</v>
      </c>
      <c r="J69">
        <f t="shared" si="4"/>
        <v>157.05245038477125</v>
      </c>
      <c r="K69">
        <f t="shared" si="7"/>
        <v>19542.481773997577</v>
      </c>
    </row>
    <row r="70" spans="1:11" x14ac:dyDescent="0.2">
      <c r="A70" t="s">
        <v>6</v>
      </c>
      <c r="B70" s="1">
        <v>0.61111111111111116</v>
      </c>
      <c r="C70" s="2">
        <v>7.9861111111111105E-2</v>
      </c>
      <c r="D70">
        <v>203.7</v>
      </c>
      <c r="E70">
        <v>6.7</v>
      </c>
      <c r="F70">
        <f t="shared" si="5"/>
        <v>3.2524271844660193E-3</v>
      </c>
      <c r="G70">
        <v>9.52</v>
      </c>
      <c r="H70">
        <v>1.72</v>
      </c>
      <c r="I70" s="3">
        <f t="shared" si="6"/>
        <v>0.19368932038834949</v>
      </c>
      <c r="J70">
        <f t="shared" si="4"/>
        <v>155.88041717294459</v>
      </c>
      <c r="K70">
        <f t="shared" si="7"/>
        <v>19698.362191170523</v>
      </c>
    </row>
    <row r="71" spans="1:11" x14ac:dyDescent="0.2">
      <c r="A71" t="s">
        <v>6</v>
      </c>
      <c r="B71" s="1">
        <v>0.6118055555555556</v>
      </c>
      <c r="C71" s="2">
        <v>8.0555555555555561E-2</v>
      </c>
      <c r="D71">
        <v>203.7</v>
      </c>
      <c r="E71">
        <v>6.7</v>
      </c>
      <c r="F71">
        <f t="shared" si="5"/>
        <v>3.2524271844660193E-3</v>
      </c>
      <c r="G71">
        <v>9.52</v>
      </c>
      <c r="H71">
        <v>1.72</v>
      </c>
      <c r="I71" s="3">
        <f t="shared" si="6"/>
        <v>0.19514563106796115</v>
      </c>
      <c r="J71">
        <f t="shared" si="4"/>
        <v>157.05245038477125</v>
      </c>
      <c r="K71">
        <f t="shared" si="7"/>
        <v>19855.414641555293</v>
      </c>
    </row>
    <row r="72" spans="1:11" x14ac:dyDescent="0.2">
      <c r="A72" t="s">
        <v>6</v>
      </c>
      <c r="B72" s="1">
        <v>0.61250000000000004</v>
      </c>
      <c r="C72" s="2">
        <v>8.1250000000000003E-2</v>
      </c>
      <c r="D72">
        <v>203.4</v>
      </c>
      <c r="E72">
        <v>6.4</v>
      </c>
      <c r="F72">
        <f t="shared" si="5"/>
        <v>3.1067961165048546E-3</v>
      </c>
      <c r="G72">
        <v>9.4700000000000006</v>
      </c>
      <c r="H72">
        <v>1.67</v>
      </c>
      <c r="I72" s="3">
        <f t="shared" si="6"/>
        <v>0.19077669902912622</v>
      </c>
      <c r="J72">
        <f t="shared" si="4"/>
        <v>153.5363507492913</v>
      </c>
      <c r="K72">
        <f t="shared" si="7"/>
        <v>20008.950992304584</v>
      </c>
    </row>
    <row r="73" spans="1:11" x14ac:dyDescent="0.2">
      <c r="A73" t="s">
        <v>6</v>
      </c>
      <c r="B73" s="1">
        <v>0.61319444444444449</v>
      </c>
      <c r="C73" s="2">
        <v>8.1944444444444445E-2</v>
      </c>
      <c r="D73">
        <v>203.1</v>
      </c>
      <c r="E73">
        <v>6.1</v>
      </c>
      <c r="F73">
        <f t="shared" si="5"/>
        <v>2.961165048543689E-3</v>
      </c>
      <c r="G73">
        <v>9.42</v>
      </c>
      <c r="H73">
        <v>1.62</v>
      </c>
      <c r="I73" s="3">
        <f t="shared" si="6"/>
        <v>0.18203883495145631</v>
      </c>
      <c r="J73">
        <f t="shared" si="4"/>
        <v>146.50415147833141</v>
      </c>
      <c r="K73">
        <f t="shared" si="7"/>
        <v>20155.455143782914</v>
      </c>
    </row>
    <row r="74" spans="1:11" x14ac:dyDescent="0.2">
      <c r="A74" t="s">
        <v>6</v>
      </c>
      <c r="B74" s="1">
        <v>0.61388888888888893</v>
      </c>
      <c r="C74" s="2">
        <v>8.2638888888888887E-2</v>
      </c>
      <c r="D74">
        <v>202.7</v>
      </c>
      <c r="E74">
        <v>5.7</v>
      </c>
      <c r="F74">
        <f t="shared" si="5"/>
        <v>2.7669902912621359E-3</v>
      </c>
      <c r="G74">
        <v>9.2899999999999991</v>
      </c>
      <c r="H74">
        <v>1.49</v>
      </c>
      <c r="I74" s="3">
        <f t="shared" si="6"/>
        <v>0.17184466019417474</v>
      </c>
      <c r="J74">
        <f t="shared" si="4"/>
        <v>138.29991899554483</v>
      </c>
      <c r="K74">
        <f t="shared" si="7"/>
        <v>20293.755062778459</v>
      </c>
    </row>
    <row r="75" spans="1:11" x14ac:dyDescent="0.2">
      <c r="A75" t="s">
        <v>6</v>
      </c>
      <c r="B75" s="1">
        <v>0.61458333333333337</v>
      </c>
      <c r="C75" s="2">
        <v>8.3333333333333329E-2</v>
      </c>
      <c r="D75">
        <v>202.6</v>
      </c>
      <c r="E75">
        <v>5.6</v>
      </c>
      <c r="F75">
        <f t="shared" si="5"/>
        <v>2.7184466019417475E-3</v>
      </c>
      <c r="G75">
        <v>9.18</v>
      </c>
      <c r="H75">
        <v>1.38</v>
      </c>
      <c r="I75" s="3">
        <f t="shared" si="6"/>
        <v>0.16456310679611652</v>
      </c>
      <c r="J75">
        <f t="shared" si="4"/>
        <v>132.43975293641159</v>
      </c>
      <c r="K75">
        <f t="shared" si="7"/>
        <v>20426.194815714869</v>
      </c>
    </row>
    <row r="76" spans="1:11" x14ac:dyDescent="0.2">
      <c r="A76" t="s">
        <v>6</v>
      </c>
      <c r="B76" s="1">
        <v>0.61527777777777781</v>
      </c>
      <c r="C76" s="2">
        <v>8.4027777777777785E-2</v>
      </c>
      <c r="D76">
        <v>202.3</v>
      </c>
      <c r="E76">
        <v>5.3</v>
      </c>
      <c r="F76">
        <f t="shared" si="5"/>
        <v>2.5728155339805824E-3</v>
      </c>
      <c r="G76">
        <v>9.2100000000000009</v>
      </c>
      <c r="H76">
        <v>1.41</v>
      </c>
      <c r="I76" s="3">
        <f t="shared" si="6"/>
        <v>0.1587378640776699</v>
      </c>
      <c r="J76">
        <f t="shared" si="4"/>
        <v>127.75162008910497</v>
      </c>
      <c r="K76">
        <f t="shared" si="7"/>
        <v>20553.946435803973</v>
      </c>
    </row>
    <row r="77" spans="1:11" x14ac:dyDescent="0.2">
      <c r="A77" t="s">
        <v>6</v>
      </c>
      <c r="B77" s="1">
        <v>0.61597222222222225</v>
      </c>
      <c r="C77" s="2">
        <v>8.4722222222222227E-2</v>
      </c>
      <c r="D77">
        <v>202.2</v>
      </c>
      <c r="E77">
        <v>5.2</v>
      </c>
      <c r="F77">
        <f t="shared" si="5"/>
        <v>2.5242718446601945E-3</v>
      </c>
      <c r="G77">
        <v>9.19</v>
      </c>
      <c r="H77">
        <v>1.39</v>
      </c>
      <c r="I77" s="3">
        <f t="shared" si="6"/>
        <v>0.15291262135922332</v>
      </c>
      <c r="J77">
        <f t="shared" si="4"/>
        <v>123.06348724179838</v>
      </c>
      <c r="K77">
        <f t="shared" si="7"/>
        <v>20677.009923045771</v>
      </c>
    </row>
    <row r="78" spans="1:11" x14ac:dyDescent="0.2">
      <c r="A78" t="s">
        <v>6</v>
      </c>
      <c r="B78" s="1">
        <v>0.6166666666666667</v>
      </c>
      <c r="C78" s="2">
        <v>8.5416666666666669E-2</v>
      </c>
      <c r="D78">
        <v>202.6</v>
      </c>
      <c r="E78">
        <v>5.6</v>
      </c>
      <c r="F78">
        <f t="shared" si="5"/>
        <v>2.7184466019417475E-3</v>
      </c>
      <c r="G78">
        <v>9.2899999999999991</v>
      </c>
      <c r="H78">
        <v>1.49</v>
      </c>
      <c r="I78" s="3">
        <f t="shared" si="6"/>
        <v>0.15728155339805824</v>
      </c>
      <c r="J78">
        <f t="shared" si="4"/>
        <v>126.57958687727832</v>
      </c>
      <c r="K78">
        <f t="shared" si="7"/>
        <v>20803.589509923047</v>
      </c>
    </row>
    <row r="79" spans="1:11" x14ac:dyDescent="0.2">
      <c r="A79" t="s">
        <v>6</v>
      </c>
      <c r="B79" s="1">
        <v>0.61736111111111114</v>
      </c>
      <c r="C79" s="2">
        <v>8.611111111111111E-2</v>
      </c>
      <c r="D79">
        <v>201.9</v>
      </c>
      <c r="E79">
        <v>4.9000000000000004</v>
      </c>
      <c r="F79">
        <f t="shared" si="5"/>
        <v>2.3786407766990293E-3</v>
      </c>
      <c r="G79">
        <v>9.1</v>
      </c>
      <c r="H79">
        <v>1.3</v>
      </c>
      <c r="I79" s="3">
        <f t="shared" si="6"/>
        <v>0.15291262135922332</v>
      </c>
      <c r="J79">
        <f t="shared" si="4"/>
        <v>123.06348724179838</v>
      </c>
      <c r="K79">
        <f t="shared" si="7"/>
        <v>20926.652997164845</v>
      </c>
    </row>
    <row r="80" spans="1:11" x14ac:dyDescent="0.2">
      <c r="A80" t="s">
        <v>6</v>
      </c>
      <c r="B80" s="1">
        <v>0.61805555555555558</v>
      </c>
      <c r="C80" s="2">
        <v>8.6805555555555552E-2</v>
      </c>
      <c r="D80">
        <v>201.5</v>
      </c>
      <c r="E80">
        <v>4.5</v>
      </c>
      <c r="F80">
        <f t="shared" si="5"/>
        <v>2.1844660194174758E-3</v>
      </c>
      <c r="G80">
        <v>9.01</v>
      </c>
      <c r="H80">
        <v>1.21</v>
      </c>
      <c r="I80" s="3">
        <f t="shared" si="6"/>
        <v>0.13689320388349516</v>
      </c>
      <c r="J80">
        <f t="shared" si="4"/>
        <v>110.17112191170523</v>
      </c>
      <c r="K80">
        <f t="shared" si="7"/>
        <v>21036.824119076551</v>
      </c>
    </row>
    <row r="81" spans="1:11" x14ac:dyDescent="0.2">
      <c r="A81" t="s">
        <v>6</v>
      </c>
      <c r="B81" s="1">
        <v>0.61875000000000002</v>
      </c>
      <c r="C81" s="2">
        <v>8.7499999999999994E-2</v>
      </c>
      <c r="D81">
        <v>201.5</v>
      </c>
      <c r="E81">
        <v>4.5</v>
      </c>
      <c r="F81">
        <f t="shared" si="5"/>
        <v>2.1844660194174758E-3</v>
      </c>
      <c r="G81">
        <v>8.9700000000000006</v>
      </c>
      <c r="H81">
        <v>1.17</v>
      </c>
      <c r="I81" s="3">
        <f t="shared" si="6"/>
        <v>0.13106796116504854</v>
      </c>
      <c r="J81">
        <f t="shared" si="4"/>
        <v>105.48298906439861</v>
      </c>
      <c r="K81">
        <f t="shared" si="7"/>
        <v>21142.307108140951</v>
      </c>
    </row>
    <row r="82" spans="1:11" x14ac:dyDescent="0.2">
      <c r="A82" t="s">
        <v>6</v>
      </c>
      <c r="B82" s="1">
        <v>0.61944444444444446</v>
      </c>
      <c r="C82" s="2">
        <v>8.819444444444445E-2</v>
      </c>
      <c r="D82">
        <v>201.3</v>
      </c>
      <c r="E82">
        <v>4.3</v>
      </c>
      <c r="F82">
        <f t="shared" si="5"/>
        <v>2.087378640776699E-3</v>
      </c>
      <c r="G82">
        <v>8.9499999999999993</v>
      </c>
      <c r="H82">
        <v>1.1499999999999999</v>
      </c>
      <c r="I82" s="3">
        <f t="shared" si="6"/>
        <v>0.12815533980582525</v>
      </c>
      <c r="J82">
        <f t="shared" si="4"/>
        <v>103.13892264074531</v>
      </c>
      <c r="K82">
        <f t="shared" si="7"/>
        <v>21245.446030781695</v>
      </c>
    </row>
    <row r="83" spans="1:11" x14ac:dyDescent="0.2">
      <c r="A83" t="s">
        <v>6</v>
      </c>
      <c r="B83" s="1">
        <v>0.62013888888888891</v>
      </c>
      <c r="C83" s="2">
        <v>8.8888888888888892E-2</v>
      </c>
      <c r="D83">
        <v>201.5</v>
      </c>
      <c r="E83">
        <v>4.5</v>
      </c>
      <c r="F83">
        <f t="shared" si="5"/>
        <v>2.1844660194174758E-3</v>
      </c>
      <c r="G83">
        <v>8.89</v>
      </c>
      <c r="H83">
        <v>1.0900000000000001</v>
      </c>
      <c r="I83" s="3">
        <f t="shared" si="6"/>
        <v>0.12815533980582525</v>
      </c>
      <c r="J83">
        <f t="shared" si="4"/>
        <v>103.13892264074531</v>
      </c>
      <c r="K83">
        <f t="shared" si="7"/>
        <v>21348.58495342244</v>
      </c>
    </row>
    <row r="84" spans="1:11" x14ac:dyDescent="0.2">
      <c r="A84" t="s">
        <v>6</v>
      </c>
      <c r="B84" s="1">
        <v>0.62083333333333335</v>
      </c>
      <c r="C84" s="2">
        <v>8.9583333333333334E-2</v>
      </c>
      <c r="D84">
        <v>201.1</v>
      </c>
      <c r="E84">
        <v>4.0999999999999996</v>
      </c>
      <c r="F84">
        <f t="shared" si="5"/>
        <v>1.9902912621359223E-3</v>
      </c>
      <c r="G84">
        <v>8.8699999999999992</v>
      </c>
      <c r="H84">
        <v>1.07</v>
      </c>
      <c r="I84" s="3">
        <f t="shared" si="6"/>
        <v>0.12524271844660195</v>
      </c>
      <c r="J84">
        <f t="shared" si="4"/>
        <v>100.79485621709202</v>
      </c>
      <c r="K84">
        <f t="shared" si="7"/>
        <v>21449.379809639533</v>
      </c>
    </row>
    <row r="85" spans="1:11" x14ac:dyDescent="0.2">
      <c r="A85" t="s">
        <v>6</v>
      </c>
      <c r="B85" s="1">
        <v>0.62152777777777779</v>
      </c>
      <c r="C85" s="2">
        <v>9.0277777777777776E-2</v>
      </c>
      <c r="D85">
        <v>201.3</v>
      </c>
      <c r="E85">
        <v>4.3</v>
      </c>
      <c r="F85">
        <f t="shared" si="5"/>
        <v>2.087378640776699E-3</v>
      </c>
      <c r="G85">
        <v>8.8699999999999992</v>
      </c>
      <c r="H85">
        <v>1.07</v>
      </c>
      <c r="I85" s="3">
        <f t="shared" si="6"/>
        <v>0.12233009708737864</v>
      </c>
      <c r="J85">
        <f t="shared" si="4"/>
        <v>98.450789793438702</v>
      </c>
      <c r="K85">
        <f t="shared" si="7"/>
        <v>21547.830599432971</v>
      </c>
    </row>
    <row r="86" spans="1:11" x14ac:dyDescent="0.2">
      <c r="A86" t="s">
        <v>6</v>
      </c>
      <c r="B86" s="1">
        <v>0.62222222222222223</v>
      </c>
      <c r="C86" s="2">
        <v>9.0972222222222218E-2</v>
      </c>
      <c r="D86">
        <v>201.1</v>
      </c>
      <c r="E86">
        <v>4.0999999999999996</v>
      </c>
      <c r="F86">
        <f t="shared" si="5"/>
        <v>1.9902912621359223E-3</v>
      </c>
      <c r="G86">
        <v>8.8699999999999992</v>
      </c>
      <c r="H86">
        <v>1.07</v>
      </c>
      <c r="I86" s="3">
        <f t="shared" si="6"/>
        <v>0.12233009708737864</v>
      </c>
      <c r="J86">
        <f t="shared" si="4"/>
        <v>98.450789793438702</v>
      </c>
      <c r="K86">
        <f t="shared" si="7"/>
        <v>21646.281389226409</v>
      </c>
    </row>
    <row r="87" spans="1:11" x14ac:dyDescent="0.2">
      <c r="A87" t="s">
        <v>6</v>
      </c>
      <c r="B87" s="1">
        <v>0.62291666666666667</v>
      </c>
      <c r="C87" s="2">
        <v>9.166666666666666E-2</v>
      </c>
      <c r="D87">
        <v>200.7</v>
      </c>
      <c r="E87">
        <v>3.7</v>
      </c>
      <c r="F87">
        <f t="shared" si="5"/>
        <v>1.796116504854369E-3</v>
      </c>
      <c r="G87">
        <v>8.7799999999999994</v>
      </c>
      <c r="H87">
        <v>0.98</v>
      </c>
      <c r="I87" s="3">
        <f t="shared" si="6"/>
        <v>0.11359223300970873</v>
      </c>
      <c r="J87">
        <f t="shared" si="4"/>
        <v>91.418590522478794</v>
      </c>
      <c r="K87">
        <f t="shared" si="7"/>
        <v>21737.69997974889</v>
      </c>
    </row>
    <row r="88" spans="1:11" x14ac:dyDescent="0.2">
      <c r="A88" t="s">
        <v>6</v>
      </c>
      <c r="B88" s="1">
        <v>0.62361111111111112</v>
      </c>
      <c r="C88" s="2">
        <v>9.2361111111111116E-2</v>
      </c>
      <c r="D88">
        <v>200.6</v>
      </c>
      <c r="E88">
        <v>3.6</v>
      </c>
      <c r="F88">
        <f t="shared" si="5"/>
        <v>1.7475728155339806E-3</v>
      </c>
      <c r="G88">
        <v>8.7200000000000006</v>
      </c>
      <c r="H88">
        <v>0.92</v>
      </c>
      <c r="I88" s="3">
        <f t="shared" si="6"/>
        <v>0.10631067961165049</v>
      </c>
      <c r="J88">
        <f t="shared" si="4"/>
        <v>85.558424463345531</v>
      </c>
      <c r="K88">
        <f t="shared" si="7"/>
        <v>21823.258404212236</v>
      </c>
    </row>
    <row r="89" spans="1:11" x14ac:dyDescent="0.2">
      <c r="A89" t="s">
        <v>6</v>
      </c>
      <c r="B89" s="1">
        <v>0.62430555555555556</v>
      </c>
      <c r="C89" s="2">
        <v>9.3055555555555558E-2</v>
      </c>
      <c r="D89">
        <v>200.7</v>
      </c>
      <c r="E89">
        <v>3.7</v>
      </c>
      <c r="F89">
        <f t="shared" si="5"/>
        <v>1.796116504854369E-3</v>
      </c>
      <c r="G89">
        <v>8.76</v>
      </c>
      <c r="H89">
        <v>0.96</v>
      </c>
      <c r="I89" s="3">
        <f t="shared" si="6"/>
        <v>0.10631067961165049</v>
      </c>
      <c r="J89">
        <f t="shared" si="4"/>
        <v>85.558424463345531</v>
      </c>
      <c r="K89">
        <f t="shared" si="7"/>
        <v>21908.816828675583</v>
      </c>
    </row>
    <row r="90" spans="1:11" x14ac:dyDescent="0.2">
      <c r="A90" t="s">
        <v>6</v>
      </c>
      <c r="B90" s="1">
        <v>0.625</v>
      </c>
      <c r="C90" s="2">
        <v>9.375E-2</v>
      </c>
      <c r="D90">
        <v>200.8</v>
      </c>
      <c r="E90">
        <v>3.8</v>
      </c>
      <c r="F90">
        <f t="shared" si="5"/>
        <v>1.8446601941747571E-3</v>
      </c>
      <c r="G90">
        <v>8.73</v>
      </c>
      <c r="H90">
        <v>0.93</v>
      </c>
      <c r="I90" s="3">
        <f t="shared" si="6"/>
        <v>0.10922330097087379</v>
      </c>
      <c r="J90">
        <f t="shared" si="4"/>
        <v>87.902490886998848</v>
      </c>
      <c r="K90">
        <f t="shared" si="7"/>
        <v>21996.71931956258</v>
      </c>
    </row>
    <row r="91" spans="1:11" x14ac:dyDescent="0.2">
      <c r="A91" t="s">
        <v>6</v>
      </c>
      <c r="B91" s="1">
        <v>0.62569444444444444</v>
      </c>
      <c r="C91" s="2">
        <v>9.4444444444444442E-2</v>
      </c>
      <c r="D91">
        <v>200.6</v>
      </c>
      <c r="E91">
        <v>3.6</v>
      </c>
      <c r="F91">
        <f t="shared" si="5"/>
        <v>1.7475728155339806E-3</v>
      </c>
      <c r="G91">
        <v>8.68</v>
      </c>
      <c r="H91">
        <v>0.88</v>
      </c>
      <c r="I91" s="3">
        <f t="shared" si="6"/>
        <v>0.10776699029126213</v>
      </c>
      <c r="J91">
        <f t="shared" si="4"/>
        <v>86.73045767517219</v>
      </c>
      <c r="K91">
        <f t="shared" si="7"/>
        <v>22083.449777237754</v>
      </c>
    </row>
    <row r="92" spans="1:11" x14ac:dyDescent="0.2">
      <c r="A92" t="s">
        <v>6</v>
      </c>
      <c r="B92" s="1">
        <v>0.62638888888888888</v>
      </c>
      <c r="C92" s="2">
        <v>9.5138888888888884E-2</v>
      </c>
      <c r="D92">
        <v>200.6</v>
      </c>
      <c r="E92">
        <v>3.6</v>
      </c>
      <c r="F92">
        <f t="shared" si="5"/>
        <v>1.7475728155339806E-3</v>
      </c>
      <c r="G92">
        <v>8.68</v>
      </c>
      <c r="H92">
        <v>0.88</v>
      </c>
      <c r="I92" s="3">
        <f t="shared" si="6"/>
        <v>0.10485436893203884</v>
      </c>
      <c r="J92">
        <f t="shared" si="4"/>
        <v>84.386391251518887</v>
      </c>
      <c r="K92">
        <f t="shared" si="7"/>
        <v>22167.836168489273</v>
      </c>
    </row>
    <row r="93" spans="1:11" x14ac:dyDescent="0.2">
      <c r="A93" t="s">
        <v>6</v>
      </c>
      <c r="B93" s="1">
        <v>0.62708333333333333</v>
      </c>
      <c r="C93" s="2">
        <v>9.583333333333334E-2</v>
      </c>
      <c r="D93">
        <v>200.3</v>
      </c>
      <c r="E93">
        <v>3.3</v>
      </c>
      <c r="F93">
        <f t="shared" si="5"/>
        <v>1.6019417475728155E-3</v>
      </c>
      <c r="G93">
        <v>8.64</v>
      </c>
      <c r="H93">
        <v>0.84</v>
      </c>
      <c r="I93" s="3">
        <f t="shared" si="6"/>
        <v>0.10048543689320388</v>
      </c>
      <c r="J93">
        <f t="shared" si="4"/>
        <v>80.870291616038926</v>
      </c>
      <c r="K93">
        <f t="shared" si="7"/>
        <v>22248.706460105313</v>
      </c>
    </row>
    <row r="94" spans="1:11" x14ac:dyDescent="0.2">
      <c r="A94" t="s">
        <v>6</v>
      </c>
      <c r="B94" s="1">
        <v>0.62777777777777777</v>
      </c>
      <c r="C94" s="2">
        <v>9.6527777777777782E-2</v>
      </c>
      <c r="D94">
        <v>200.5</v>
      </c>
      <c r="E94">
        <v>3.5</v>
      </c>
      <c r="F94">
        <f t="shared" si="5"/>
        <v>1.6990291262135922E-3</v>
      </c>
      <c r="G94">
        <v>8.66</v>
      </c>
      <c r="H94">
        <v>0.86</v>
      </c>
      <c r="I94" s="3">
        <f t="shared" si="6"/>
        <v>9.9029126213592236E-2</v>
      </c>
      <c r="J94">
        <f t="shared" si="4"/>
        <v>79.698258404212282</v>
      </c>
      <c r="K94">
        <f t="shared" si="7"/>
        <v>22328.404718509526</v>
      </c>
    </row>
    <row r="95" spans="1:11" x14ac:dyDescent="0.2">
      <c r="A95" t="s">
        <v>6</v>
      </c>
      <c r="B95" s="1">
        <v>0.62847222222222221</v>
      </c>
      <c r="C95" s="2">
        <v>9.7222222222222224E-2</v>
      </c>
      <c r="D95">
        <v>200.6</v>
      </c>
      <c r="E95">
        <v>3.6</v>
      </c>
      <c r="F95">
        <f t="shared" si="5"/>
        <v>1.7475728155339806E-3</v>
      </c>
      <c r="G95">
        <v>8.59</v>
      </c>
      <c r="H95">
        <v>0.79</v>
      </c>
      <c r="I95" s="3">
        <f t="shared" si="6"/>
        <v>0.10339805825242718</v>
      </c>
      <c r="J95">
        <f t="shared" si="4"/>
        <v>83.214358039692229</v>
      </c>
      <c r="K95">
        <f t="shared" si="7"/>
        <v>22411.619076549217</v>
      </c>
    </row>
    <row r="96" spans="1:11" x14ac:dyDescent="0.2">
      <c r="A96" t="s">
        <v>6</v>
      </c>
      <c r="B96" s="1">
        <v>0.62916666666666665</v>
      </c>
      <c r="C96" s="2">
        <v>9.7916666666666666E-2</v>
      </c>
      <c r="D96">
        <v>200.3</v>
      </c>
      <c r="E96">
        <v>3.3</v>
      </c>
      <c r="F96">
        <f t="shared" si="5"/>
        <v>1.6019417475728155E-3</v>
      </c>
      <c r="G96">
        <v>8.6199999999999992</v>
      </c>
      <c r="H96">
        <v>0.82</v>
      </c>
      <c r="I96" s="3">
        <f t="shared" si="6"/>
        <v>0.10048543689320388</v>
      </c>
      <c r="J96">
        <f t="shared" si="4"/>
        <v>80.870291616038926</v>
      </c>
      <c r="K96">
        <f t="shared" si="7"/>
        <v>22492.489368165257</v>
      </c>
    </row>
    <row r="97" spans="1:11" x14ac:dyDescent="0.2">
      <c r="A97" t="s">
        <v>6</v>
      </c>
      <c r="B97" s="1">
        <v>0.62986111111111109</v>
      </c>
      <c r="C97" s="2">
        <v>9.8611111111111108E-2</v>
      </c>
      <c r="D97">
        <v>200.7</v>
      </c>
      <c r="E97">
        <v>3.7</v>
      </c>
      <c r="F97">
        <f t="shared" si="5"/>
        <v>1.796116504854369E-3</v>
      </c>
      <c r="G97">
        <v>8.6199999999999992</v>
      </c>
      <c r="H97">
        <v>0.82</v>
      </c>
      <c r="I97" s="3">
        <f t="shared" si="6"/>
        <v>0.10194174757281553</v>
      </c>
      <c r="J97">
        <f t="shared" si="4"/>
        <v>82.042324827865585</v>
      </c>
      <c r="K97">
        <f t="shared" si="7"/>
        <v>22574.531692993121</v>
      </c>
    </row>
    <row r="98" spans="1:11" x14ac:dyDescent="0.2">
      <c r="A98" t="s">
        <v>6</v>
      </c>
      <c r="B98" s="1">
        <v>0.63055555555555554</v>
      </c>
      <c r="C98" s="2">
        <v>9.930555555555555E-2</v>
      </c>
      <c r="D98">
        <v>200.2</v>
      </c>
      <c r="E98">
        <v>3.2</v>
      </c>
      <c r="F98">
        <f t="shared" si="5"/>
        <v>1.5533980582524273E-3</v>
      </c>
      <c r="G98">
        <v>8.56</v>
      </c>
      <c r="H98">
        <v>0.76</v>
      </c>
      <c r="I98" s="3">
        <f t="shared" si="6"/>
        <v>0.10048543689320388</v>
      </c>
      <c r="J98">
        <f t="shared" si="4"/>
        <v>80.870291616038926</v>
      </c>
      <c r="K98">
        <f t="shared" si="7"/>
        <v>22655.401984609161</v>
      </c>
    </row>
    <row r="99" spans="1:11" x14ac:dyDescent="0.2">
      <c r="A99" t="s">
        <v>6</v>
      </c>
      <c r="B99" s="1">
        <v>0.63124999999999998</v>
      </c>
      <c r="C99" s="2">
        <v>0.1</v>
      </c>
      <c r="D99">
        <v>200</v>
      </c>
      <c r="E99">
        <v>3</v>
      </c>
      <c r="F99">
        <f t="shared" si="5"/>
        <v>1.4563106796116505E-3</v>
      </c>
      <c r="G99">
        <v>8.5500000000000007</v>
      </c>
      <c r="H99">
        <v>0.75</v>
      </c>
      <c r="I99" s="3">
        <f t="shared" si="6"/>
        <v>9.029126213592234E-2</v>
      </c>
      <c r="J99">
        <f t="shared" si="4"/>
        <v>72.666059133252375</v>
      </c>
      <c r="K99">
        <f t="shared" si="7"/>
        <v>22728.068043742413</v>
      </c>
    </row>
    <row r="100" spans="1:11" x14ac:dyDescent="0.2">
      <c r="A100" t="s">
        <v>6</v>
      </c>
      <c r="B100" s="1">
        <v>0.63194444444444442</v>
      </c>
      <c r="C100" s="2">
        <v>0.10069444444444445</v>
      </c>
      <c r="D100">
        <v>200.2</v>
      </c>
      <c r="E100">
        <v>3.2</v>
      </c>
      <c r="F100">
        <f t="shared" si="5"/>
        <v>1.5533980582524273E-3</v>
      </c>
      <c r="G100">
        <v>8.5500000000000007</v>
      </c>
      <c r="H100">
        <v>0.75</v>
      </c>
      <c r="I100" s="3">
        <f t="shared" si="6"/>
        <v>9.029126213592234E-2</v>
      </c>
      <c r="J100">
        <f t="shared" si="4"/>
        <v>72.666059133252375</v>
      </c>
      <c r="K100">
        <f t="shared" si="7"/>
        <v>22800.734102875664</v>
      </c>
    </row>
    <row r="101" spans="1:11" x14ac:dyDescent="0.2">
      <c r="A101" t="s">
        <v>6</v>
      </c>
      <c r="B101" s="1">
        <v>0.63263888888888886</v>
      </c>
      <c r="C101" s="2">
        <v>0.10138888888888889</v>
      </c>
      <c r="D101">
        <v>200.2</v>
      </c>
      <c r="E101">
        <v>3.2</v>
      </c>
      <c r="F101">
        <f t="shared" si="5"/>
        <v>1.5533980582524273E-3</v>
      </c>
      <c r="G101">
        <v>8.56</v>
      </c>
      <c r="H101">
        <v>0.76</v>
      </c>
      <c r="I101" s="3">
        <f t="shared" si="6"/>
        <v>9.3203883495145634E-2</v>
      </c>
      <c r="J101">
        <f t="shared" si="4"/>
        <v>75.010125556905678</v>
      </c>
      <c r="K101">
        <f t="shared" si="7"/>
        <v>22875.74422843257</v>
      </c>
    </row>
    <row r="102" spans="1:11" x14ac:dyDescent="0.2">
      <c r="A102" t="s">
        <v>6</v>
      </c>
      <c r="B102" s="1">
        <v>0.6333333333333333</v>
      </c>
      <c r="C102" s="2">
        <v>0.10208333333333333</v>
      </c>
      <c r="D102">
        <v>200.1</v>
      </c>
      <c r="E102">
        <v>3.1</v>
      </c>
      <c r="F102">
        <f t="shared" si="5"/>
        <v>1.5048543689320389E-3</v>
      </c>
      <c r="G102">
        <v>8.49</v>
      </c>
      <c r="H102">
        <v>0.69</v>
      </c>
      <c r="I102" s="3">
        <f t="shared" si="6"/>
        <v>9.1747572815533987E-2</v>
      </c>
      <c r="J102">
        <f t="shared" si="4"/>
        <v>73.838092345079033</v>
      </c>
      <c r="K102">
        <f t="shared" si="7"/>
        <v>22949.582320777648</v>
      </c>
    </row>
    <row r="103" spans="1:11" x14ac:dyDescent="0.2">
      <c r="A103" t="s">
        <v>6</v>
      </c>
      <c r="B103" s="1">
        <v>0.63402777777777775</v>
      </c>
      <c r="C103" s="2">
        <v>0.10277777777777777</v>
      </c>
      <c r="D103">
        <v>199.9</v>
      </c>
      <c r="E103">
        <v>2.9</v>
      </c>
      <c r="F103">
        <f t="shared" si="5"/>
        <v>1.4077669902912622E-3</v>
      </c>
      <c r="G103">
        <v>8.4700000000000006</v>
      </c>
      <c r="H103">
        <v>0.67</v>
      </c>
      <c r="I103" s="3">
        <f t="shared" si="6"/>
        <v>8.7378640776699032E-2</v>
      </c>
      <c r="J103">
        <f t="shared" si="4"/>
        <v>70.321992709599073</v>
      </c>
      <c r="K103">
        <f t="shared" si="7"/>
        <v>23019.904313487248</v>
      </c>
    </row>
    <row r="104" spans="1:11" x14ac:dyDescent="0.2">
      <c r="A104" t="s">
        <v>6</v>
      </c>
      <c r="B104" s="1">
        <v>0.63472222222222219</v>
      </c>
      <c r="C104" s="2">
        <v>0.10347222222222222</v>
      </c>
      <c r="D104">
        <v>199.7</v>
      </c>
      <c r="E104">
        <v>2.7</v>
      </c>
      <c r="F104">
        <f t="shared" si="5"/>
        <v>1.3106796116504856E-3</v>
      </c>
      <c r="G104">
        <v>8.4600000000000009</v>
      </c>
      <c r="H104">
        <v>0.66</v>
      </c>
      <c r="I104" s="3">
        <f t="shared" si="6"/>
        <v>8.155339805825243E-2</v>
      </c>
      <c r="J104">
        <f t="shared" si="4"/>
        <v>65.633859862292468</v>
      </c>
      <c r="K104">
        <f t="shared" si="7"/>
        <v>23085.538173349541</v>
      </c>
    </row>
    <row r="105" spans="1:11" x14ac:dyDescent="0.2">
      <c r="A105" t="s">
        <v>6</v>
      </c>
      <c r="B105" s="1">
        <v>0.63541666666666663</v>
      </c>
      <c r="C105" s="2">
        <v>0.10416666666666667</v>
      </c>
      <c r="D105">
        <v>199.8</v>
      </c>
      <c r="E105">
        <v>2.8</v>
      </c>
      <c r="F105">
        <f t="shared" si="5"/>
        <v>1.3592233009708738E-3</v>
      </c>
      <c r="G105">
        <v>8.49</v>
      </c>
      <c r="H105">
        <v>0.69</v>
      </c>
      <c r="I105" s="3">
        <f t="shared" si="6"/>
        <v>8.0097087378640783E-2</v>
      </c>
      <c r="J105">
        <f t="shared" si="4"/>
        <v>64.461826650465824</v>
      </c>
      <c r="K105">
        <f t="shared" si="7"/>
        <v>23150.000000000007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Christa Torrens</dc:creator>
  <cp:lastModifiedBy>Christa Torrens</cp:lastModifiedBy>
  <dcterms:created xsi:type="dcterms:W3CDTF">2024-09-03T19:07:11Z</dcterms:created>
  <dcterms:modified xsi:type="dcterms:W3CDTF">2024-09-04T01:10:45Z</dcterms:modified>
</cp:coreProperties>
</file>