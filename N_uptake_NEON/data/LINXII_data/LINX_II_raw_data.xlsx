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torrensc/Documents/R_working/Modelscape/space-time-rivers/N_uptake_NEON/data/"/>
    </mc:Choice>
  </mc:AlternateContent>
  <xr:revisionPtr revIDLastSave="0" documentId="13_ncr:1_{B4A4DE24-6EA1-2549-8E3E-379A4CE25021}" xr6:coauthVersionLast="47" xr6:coauthVersionMax="47" xr10:uidLastSave="{00000000-0000-0000-0000-000000000000}"/>
  <bookViews>
    <workbookView xWindow="480" yWindow="1000" windowWidth="25040" windowHeight="14400" xr2:uid="{DACC9564-5E7C-4F4B-BF86-6ECE42EC27B7}"/>
  </bookViews>
  <sheets>
    <sheet name="Raw data"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2" i="1" l="1"/>
  <c r="AK90" i="1"/>
  <c r="BO80" i="1"/>
  <c r="BN80" i="1"/>
  <c r="BM80" i="1"/>
  <c r="BJ80" i="1"/>
  <c r="BI80" i="1"/>
  <c r="BH80" i="1"/>
  <c r="BG80" i="1"/>
  <c r="BE80" i="1"/>
  <c r="BD80" i="1"/>
  <c r="BC80" i="1"/>
  <c r="BB80" i="1"/>
  <c r="BA80" i="1"/>
  <c r="AM80" i="1"/>
  <c r="AL80" i="1"/>
  <c r="AK80" i="1"/>
  <c r="AI80" i="1"/>
  <c r="AH80" i="1"/>
  <c r="AG80" i="1"/>
  <c r="AE80" i="1"/>
  <c r="AC80" i="1"/>
  <c r="AB80" i="1"/>
  <c r="AA80" i="1"/>
  <c r="Z80" i="1"/>
  <c r="Z89" i="1" s="1"/>
  <c r="Y80" i="1"/>
  <c r="X80" i="1"/>
  <c r="W80" i="1"/>
  <c r="V80" i="1"/>
  <c r="U80" i="1"/>
  <c r="T80" i="1"/>
  <c r="S80" i="1"/>
  <c r="R80" i="1"/>
  <c r="Q80" i="1"/>
  <c r="P80" i="1"/>
  <c r="O80" i="1"/>
  <c r="N80" i="1"/>
  <c r="L80" i="1"/>
  <c r="K80" i="1"/>
  <c r="J80" i="1"/>
  <c r="I80" i="1"/>
  <c r="H80" i="1"/>
  <c r="G80" i="1"/>
  <c r="F80" i="1"/>
  <c r="E80" i="1"/>
  <c r="D80" i="1"/>
  <c r="BO79" i="1"/>
  <c r="BN79" i="1"/>
  <c r="BM79" i="1"/>
  <c r="BJ79" i="1"/>
  <c r="BI79" i="1"/>
  <c r="BH79" i="1"/>
  <c r="BG79" i="1"/>
  <c r="BE79" i="1"/>
  <c r="BD79" i="1"/>
  <c r="BC79" i="1"/>
  <c r="BB79" i="1"/>
  <c r="BA79" i="1"/>
  <c r="AM79" i="1"/>
  <c r="AL79" i="1"/>
  <c r="AK79" i="1"/>
  <c r="AI79" i="1"/>
  <c r="AH79" i="1"/>
  <c r="AG79" i="1"/>
  <c r="AE79" i="1"/>
  <c r="AC79" i="1"/>
  <c r="AB79" i="1"/>
  <c r="AA79" i="1"/>
  <c r="Z79" i="1"/>
  <c r="Z88" i="1" s="1"/>
  <c r="Y79" i="1"/>
  <c r="X79" i="1"/>
  <c r="W79" i="1"/>
  <c r="V79" i="1"/>
  <c r="U79" i="1"/>
  <c r="T79" i="1"/>
  <c r="S79" i="1"/>
  <c r="R79" i="1"/>
  <c r="Q79" i="1"/>
  <c r="P79" i="1"/>
  <c r="O79" i="1"/>
  <c r="N79" i="1"/>
  <c r="L79" i="1"/>
  <c r="K79" i="1"/>
  <c r="J79" i="1"/>
  <c r="I79" i="1"/>
  <c r="H79" i="1"/>
  <c r="G79" i="1"/>
  <c r="F79" i="1"/>
  <c r="E79" i="1"/>
  <c r="D79" i="1"/>
  <c r="BO78" i="1"/>
  <c r="BN78" i="1"/>
  <c r="BM78" i="1"/>
  <c r="BJ78" i="1"/>
  <c r="BI78" i="1"/>
  <c r="BH78" i="1"/>
  <c r="BG78" i="1"/>
  <c r="BE78" i="1"/>
  <c r="BD78" i="1"/>
  <c r="BC78" i="1"/>
  <c r="BB78" i="1"/>
  <c r="BA78" i="1"/>
  <c r="AM78" i="1"/>
  <c r="AL78" i="1"/>
  <c r="AK78" i="1"/>
  <c r="AI78" i="1"/>
  <c r="AH78" i="1"/>
  <c r="AG78" i="1"/>
  <c r="AE78" i="1"/>
  <c r="AC78" i="1"/>
  <c r="AB78" i="1"/>
  <c r="AA78" i="1"/>
  <c r="Z78" i="1"/>
  <c r="Y78" i="1"/>
  <c r="X78" i="1"/>
  <c r="W78" i="1"/>
  <c r="V78" i="1"/>
  <c r="U78" i="1"/>
  <c r="T78" i="1"/>
  <c r="S78" i="1"/>
  <c r="R78" i="1"/>
  <c r="Q78" i="1"/>
  <c r="P78" i="1"/>
  <c r="O78" i="1"/>
  <c r="N78" i="1"/>
  <c r="L78" i="1"/>
  <c r="K78" i="1"/>
  <c r="J78" i="1"/>
  <c r="I78" i="1"/>
  <c r="H78" i="1"/>
  <c r="G78" i="1"/>
  <c r="F78" i="1"/>
  <c r="E78" i="1"/>
  <c r="D78" i="1"/>
  <c r="BO77" i="1"/>
  <c r="BN77" i="1"/>
  <c r="BM77" i="1"/>
  <c r="BJ77" i="1"/>
  <c r="BI77" i="1"/>
  <c r="BH77" i="1"/>
  <c r="BG77" i="1"/>
  <c r="BE77" i="1"/>
  <c r="BD77" i="1"/>
  <c r="BC77" i="1"/>
  <c r="BB77" i="1"/>
  <c r="BA77" i="1"/>
  <c r="AM77" i="1"/>
  <c r="AL77" i="1"/>
  <c r="AK77" i="1"/>
  <c r="AI77" i="1"/>
  <c r="AH77" i="1"/>
  <c r="AG77" i="1"/>
  <c r="AE77" i="1"/>
  <c r="AC77" i="1"/>
  <c r="AB77" i="1"/>
  <c r="AA77" i="1"/>
  <c r="Z77" i="1"/>
  <c r="Z86" i="1" s="1"/>
  <c r="Y77" i="1"/>
  <c r="X77" i="1"/>
  <c r="W77" i="1"/>
  <c r="V77" i="1"/>
  <c r="U77" i="1"/>
  <c r="T77" i="1"/>
  <c r="S77" i="1"/>
  <c r="R77" i="1"/>
  <c r="Q77" i="1"/>
  <c r="P77" i="1"/>
  <c r="O77" i="1"/>
  <c r="N77" i="1"/>
  <c r="L77" i="1"/>
  <c r="K77" i="1"/>
  <c r="J77" i="1"/>
  <c r="I77" i="1"/>
  <c r="H77" i="1"/>
  <c r="G77" i="1"/>
  <c r="F77" i="1"/>
  <c r="E77" i="1"/>
  <c r="D77" i="1"/>
  <c r="BO76" i="1"/>
  <c r="BN76" i="1"/>
  <c r="BM76" i="1"/>
  <c r="BJ76" i="1"/>
  <c r="BI76" i="1"/>
  <c r="BH76" i="1"/>
  <c r="BG76" i="1"/>
  <c r="BE76" i="1"/>
  <c r="BD76" i="1"/>
  <c r="BC76" i="1"/>
  <c r="BB76" i="1"/>
  <c r="BA76" i="1"/>
  <c r="AM76" i="1"/>
  <c r="AL76" i="1"/>
  <c r="AK76" i="1"/>
  <c r="AI76" i="1"/>
  <c r="AH76" i="1"/>
  <c r="AG76" i="1"/>
  <c r="AE76" i="1"/>
  <c r="AC76" i="1"/>
  <c r="AB76" i="1"/>
  <c r="AA76" i="1"/>
  <c r="Z76" i="1"/>
  <c r="Z85" i="1" s="1"/>
  <c r="Y76" i="1"/>
  <c r="Y84" i="1" s="1"/>
  <c r="X76" i="1"/>
  <c r="W76" i="1"/>
  <c r="V76" i="1"/>
  <c r="U76" i="1"/>
  <c r="T76" i="1"/>
  <c r="S76" i="1"/>
  <c r="R76" i="1"/>
  <c r="Q76" i="1"/>
  <c r="P76" i="1"/>
  <c r="O76" i="1"/>
  <c r="N76" i="1"/>
  <c r="L76" i="1"/>
  <c r="K76" i="1"/>
  <c r="J76" i="1"/>
  <c r="I76" i="1"/>
  <c r="H76" i="1"/>
  <c r="G76" i="1"/>
  <c r="F76" i="1"/>
  <c r="E76" i="1"/>
  <c r="D76" i="1"/>
  <c r="BO75" i="1"/>
  <c r="BN75" i="1"/>
  <c r="BM75" i="1"/>
  <c r="BJ75" i="1"/>
  <c r="BI75" i="1"/>
  <c r="BH75" i="1"/>
  <c r="BG75" i="1"/>
  <c r="BE75" i="1"/>
  <c r="BD75" i="1"/>
  <c r="BC75" i="1"/>
  <c r="BB75" i="1"/>
  <c r="BA75" i="1"/>
  <c r="AM75" i="1"/>
  <c r="AL75" i="1"/>
  <c r="AK75" i="1"/>
  <c r="AI75" i="1"/>
  <c r="AH75" i="1"/>
  <c r="AG75" i="1"/>
  <c r="AE75" i="1"/>
  <c r="AC75" i="1"/>
  <c r="AB75" i="1"/>
  <c r="AA75" i="1"/>
  <c r="Z75" i="1"/>
  <c r="Z84" i="1" s="1"/>
  <c r="Y75" i="1"/>
  <c r="X75" i="1"/>
  <c r="W75" i="1"/>
  <c r="V75" i="1"/>
  <c r="U75" i="1"/>
  <c r="T75" i="1"/>
  <c r="S75" i="1"/>
  <c r="R75" i="1"/>
  <c r="Q75" i="1"/>
  <c r="P75" i="1"/>
  <c r="O75" i="1"/>
  <c r="N75" i="1"/>
  <c r="L75" i="1"/>
  <c r="K75" i="1"/>
  <c r="J75" i="1"/>
  <c r="I75" i="1"/>
  <c r="H75" i="1"/>
  <c r="G75" i="1"/>
  <c r="F75" i="1"/>
  <c r="E75" i="1"/>
  <c r="D75" i="1"/>
  <c r="BL73" i="1"/>
  <c r="AV73" i="1"/>
  <c r="AU73" i="1"/>
  <c r="AS73" i="1"/>
  <c r="AT73" i="1" s="1"/>
  <c r="AR73" i="1"/>
  <c r="AQ73" i="1"/>
  <c r="AP73" i="1"/>
  <c r="AO73" i="1"/>
  <c r="AJ73" i="1"/>
  <c r="M73" i="1"/>
  <c r="BL72" i="1"/>
  <c r="AV72" i="1"/>
  <c r="AU72" i="1"/>
  <c r="AS72" i="1"/>
  <c r="AT72" i="1" s="1"/>
  <c r="AR72" i="1"/>
  <c r="AQ72" i="1"/>
  <c r="AP72" i="1"/>
  <c r="AO72" i="1"/>
  <c r="AJ72" i="1"/>
  <c r="M72" i="1"/>
  <c r="BL71" i="1"/>
  <c r="AV71" i="1"/>
  <c r="AU71" i="1"/>
  <c r="AS71" i="1"/>
  <c r="AT71" i="1" s="1"/>
  <c r="AR71" i="1"/>
  <c r="AQ71" i="1"/>
  <c r="AP71" i="1"/>
  <c r="AO71" i="1"/>
  <c r="AJ71" i="1"/>
  <c r="M71" i="1"/>
  <c r="BL70" i="1"/>
  <c r="AV70" i="1"/>
  <c r="AU70" i="1"/>
  <c r="AS70" i="1"/>
  <c r="AT70" i="1" s="1"/>
  <c r="AR70" i="1"/>
  <c r="AQ70" i="1"/>
  <c r="AP70" i="1"/>
  <c r="AO70" i="1"/>
  <c r="AJ70" i="1"/>
  <c r="M70" i="1"/>
  <c r="BL69" i="1"/>
  <c r="AV69" i="1"/>
  <c r="AU69" i="1"/>
  <c r="AS69" i="1"/>
  <c r="AT69" i="1" s="1"/>
  <c r="AR69" i="1"/>
  <c r="AQ69" i="1"/>
  <c r="AP69" i="1"/>
  <c r="AO69" i="1"/>
  <c r="AJ69" i="1"/>
  <c r="M69" i="1"/>
  <c r="BL68" i="1"/>
  <c r="AV68" i="1"/>
  <c r="AU68" i="1"/>
  <c r="AS68" i="1"/>
  <c r="AT68" i="1" s="1"/>
  <c r="AR68" i="1"/>
  <c r="AQ68" i="1"/>
  <c r="AP68" i="1"/>
  <c r="AO68" i="1"/>
  <c r="AJ68" i="1"/>
  <c r="M68" i="1"/>
  <c r="BL67" i="1"/>
  <c r="AV67" i="1"/>
  <c r="AU67" i="1"/>
  <c r="AS67" i="1"/>
  <c r="AT67" i="1" s="1"/>
  <c r="AR67" i="1"/>
  <c r="AQ67" i="1"/>
  <c r="AP67" i="1"/>
  <c r="AO67" i="1"/>
  <c r="AJ67" i="1"/>
  <c r="M67" i="1"/>
  <c r="BL66" i="1"/>
  <c r="AV66" i="1"/>
  <c r="AU66" i="1"/>
  <c r="AS66" i="1"/>
  <c r="AT66" i="1" s="1"/>
  <c r="AR66" i="1"/>
  <c r="AQ66" i="1"/>
  <c r="AP66" i="1"/>
  <c r="AO66" i="1"/>
  <c r="AJ66" i="1"/>
  <c r="M66" i="1"/>
  <c r="BL65" i="1"/>
  <c r="AV65" i="1"/>
  <c r="AU65" i="1"/>
  <c r="AS65" i="1"/>
  <c r="AT65" i="1" s="1"/>
  <c r="AR65" i="1"/>
  <c r="AQ65" i="1"/>
  <c r="AP65" i="1"/>
  <c r="AO65" i="1"/>
  <c r="AJ65" i="1"/>
  <c r="M65" i="1"/>
  <c r="AQ64" i="1"/>
  <c r="AO64" i="1"/>
  <c r="M64" i="1"/>
  <c r="BL63" i="1"/>
  <c r="AV63" i="1"/>
  <c r="AU63" i="1"/>
  <c r="AS63" i="1"/>
  <c r="AT63" i="1" s="1"/>
  <c r="AR63" i="1"/>
  <c r="AQ63" i="1"/>
  <c r="AP63" i="1"/>
  <c r="AO63" i="1"/>
  <c r="AJ63" i="1"/>
  <c r="M63" i="1"/>
  <c r="BL62" i="1"/>
  <c r="AQ62" i="1"/>
  <c r="AO62" i="1"/>
  <c r="M62" i="1"/>
  <c r="AQ61" i="1"/>
  <c r="AO61" i="1"/>
  <c r="M61" i="1"/>
  <c r="BL60" i="1"/>
  <c r="AV60" i="1"/>
  <c r="AU60" i="1"/>
  <c r="AS60" i="1"/>
  <c r="AT60" i="1" s="1"/>
  <c r="AR60" i="1"/>
  <c r="AQ60" i="1"/>
  <c r="AP60" i="1"/>
  <c r="AO60" i="1"/>
  <c r="AJ60" i="1"/>
  <c r="M60" i="1"/>
  <c r="BL59" i="1"/>
  <c r="AQ59" i="1"/>
  <c r="AO59" i="1"/>
  <c r="M59" i="1"/>
  <c r="BL58" i="1"/>
  <c r="AV58" i="1"/>
  <c r="AU58" i="1"/>
  <c r="AS58" i="1"/>
  <c r="AT58" i="1" s="1"/>
  <c r="AR58" i="1"/>
  <c r="AQ58" i="1"/>
  <c r="AP58" i="1"/>
  <c r="AO58" i="1"/>
  <c r="AJ58" i="1"/>
  <c r="M58" i="1"/>
  <c r="BL57" i="1"/>
  <c r="AV57" i="1"/>
  <c r="AU57" i="1"/>
  <c r="AS57" i="1"/>
  <c r="AT57" i="1" s="1"/>
  <c r="AR57" i="1"/>
  <c r="AQ57" i="1"/>
  <c r="AP57" i="1"/>
  <c r="AO57" i="1"/>
  <c r="AJ57" i="1"/>
  <c r="M57" i="1"/>
  <c r="BL56" i="1"/>
  <c r="AQ56" i="1"/>
  <c r="AO56" i="1"/>
  <c r="M56" i="1"/>
  <c r="BL55" i="1"/>
  <c r="AV55" i="1"/>
  <c r="AU55" i="1"/>
  <c r="AS55" i="1"/>
  <c r="AT55" i="1" s="1"/>
  <c r="AR55" i="1"/>
  <c r="AQ55" i="1"/>
  <c r="AP55" i="1"/>
  <c r="AO55" i="1"/>
  <c r="AJ55" i="1"/>
  <c r="M55" i="1"/>
  <c r="AQ54" i="1"/>
  <c r="AO54" i="1"/>
  <c r="M54" i="1"/>
  <c r="BL53" i="1"/>
  <c r="AV53" i="1"/>
  <c r="AU53" i="1"/>
  <c r="AS53" i="1"/>
  <c r="AT53" i="1" s="1"/>
  <c r="AR53" i="1"/>
  <c r="AQ53" i="1"/>
  <c r="AP53" i="1"/>
  <c r="AO53" i="1"/>
  <c r="AJ53" i="1"/>
  <c r="M53" i="1"/>
  <c r="AV52" i="1"/>
  <c r="AU52" i="1"/>
  <c r="AS52" i="1"/>
  <c r="AT52" i="1" s="1"/>
  <c r="AR52" i="1"/>
  <c r="AQ52" i="1"/>
  <c r="AP52" i="1"/>
  <c r="AO52" i="1"/>
  <c r="AJ52" i="1"/>
  <c r="M52" i="1"/>
  <c r="BL51" i="1"/>
  <c r="AV51" i="1"/>
  <c r="AU51" i="1"/>
  <c r="AS51" i="1"/>
  <c r="AT51" i="1" s="1"/>
  <c r="AR51" i="1"/>
  <c r="AQ51" i="1"/>
  <c r="AP51" i="1"/>
  <c r="AO51" i="1"/>
  <c r="AJ51" i="1"/>
  <c r="M51" i="1"/>
  <c r="BL50" i="1"/>
  <c r="AQ50" i="1"/>
  <c r="AO50" i="1"/>
  <c r="M50" i="1"/>
  <c r="BL49" i="1"/>
  <c r="AQ49" i="1"/>
  <c r="AO49" i="1"/>
  <c r="M49" i="1"/>
  <c r="BL48" i="1"/>
  <c r="AQ48" i="1"/>
  <c r="AO48" i="1"/>
  <c r="M48" i="1"/>
  <c r="BL47" i="1"/>
  <c r="AV47" i="1"/>
  <c r="AU47" i="1"/>
  <c r="AS47" i="1"/>
  <c r="AT47" i="1" s="1"/>
  <c r="AR47" i="1"/>
  <c r="AQ47" i="1"/>
  <c r="AP47" i="1"/>
  <c r="AO47" i="1"/>
  <c r="AJ47" i="1"/>
  <c r="M47" i="1"/>
  <c r="BL46" i="1"/>
  <c r="AV46" i="1"/>
  <c r="AU46" i="1"/>
  <c r="AS46" i="1"/>
  <c r="AT46" i="1" s="1"/>
  <c r="AR46" i="1"/>
  <c r="AQ46" i="1"/>
  <c r="AP46" i="1"/>
  <c r="AO46" i="1"/>
  <c r="AJ46" i="1"/>
  <c r="M46" i="1"/>
  <c r="BL45" i="1"/>
  <c r="AV45" i="1"/>
  <c r="AU45" i="1"/>
  <c r="AS45" i="1"/>
  <c r="AT45" i="1" s="1"/>
  <c r="AR45" i="1"/>
  <c r="AQ45" i="1"/>
  <c r="AP45" i="1"/>
  <c r="AO45" i="1"/>
  <c r="AJ45" i="1"/>
  <c r="M45" i="1"/>
  <c r="BL44" i="1"/>
  <c r="AQ44" i="1"/>
  <c r="AO44" i="1"/>
  <c r="M44" i="1"/>
  <c r="BL43" i="1"/>
  <c r="AV43" i="1"/>
  <c r="AU43" i="1"/>
  <c r="AS43" i="1"/>
  <c r="AT43" i="1" s="1"/>
  <c r="AR43" i="1"/>
  <c r="AQ43" i="1"/>
  <c r="AP43" i="1"/>
  <c r="AO43" i="1"/>
  <c r="AJ43" i="1"/>
  <c r="M43" i="1"/>
  <c r="BL42" i="1"/>
  <c r="AV42" i="1"/>
  <c r="AU42" i="1"/>
  <c r="AS42" i="1"/>
  <c r="AT42" i="1" s="1"/>
  <c r="AR42" i="1"/>
  <c r="AQ42" i="1"/>
  <c r="AP42" i="1"/>
  <c r="AO42" i="1"/>
  <c r="AJ42" i="1"/>
  <c r="M42" i="1"/>
  <c r="BL41" i="1"/>
  <c r="AV41" i="1"/>
  <c r="AU41" i="1"/>
  <c r="AS41" i="1"/>
  <c r="AT41" i="1" s="1"/>
  <c r="AR41" i="1"/>
  <c r="AQ41" i="1"/>
  <c r="AP41" i="1"/>
  <c r="AO41" i="1"/>
  <c r="AJ41" i="1"/>
  <c r="M41" i="1"/>
  <c r="BL40" i="1"/>
  <c r="AQ40" i="1"/>
  <c r="AO40" i="1"/>
  <c r="M40" i="1"/>
  <c r="BL39" i="1"/>
  <c r="AQ39" i="1"/>
  <c r="AO39" i="1"/>
  <c r="M39" i="1"/>
  <c r="BL38" i="1"/>
  <c r="AQ38" i="1"/>
  <c r="AO38" i="1"/>
  <c r="M38" i="1"/>
  <c r="BL37" i="1"/>
  <c r="AV37" i="1"/>
  <c r="AU37" i="1"/>
  <c r="AS37" i="1"/>
  <c r="AT37" i="1" s="1"/>
  <c r="AR37" i="1"/>
  <c r="AQ37" i="1"/>
  <c r="AP37" i="1"/>
  <c r="AO37" i="1"/>
  <c r="AJ37" i="1"/>
  <c r="M37" i="1"/>
  <c r="BL36" i="1"/>
  <c r="AV36" i="1"/>
  <c r="AU36" i="1"/>
  <c r="AS36" i="1"/>
  <c r="AT36" i="1" s="1"/>
  <c r="AR36" i="1"/>
  <c r="AQ36" i="1"/>
  <c r="AP36" i="1"/>
  <c r="AO36" i="1"/>
  <c r="AJ36" i="1"/>
  <c r="M36" i="1"/>
  <c r="BL35" i="1"/>
  <c r="AQ35" i="1"/>
  <c r="AO35" i="1"/>
  <c r="M35" i="1"/>
  <c r="AV34" i="1"/>
  <c r="AU34" i="1"/>
  <c r="AS34" i="1"/>
  <c r="AT34" i="1" s="1"/>
  <c r="AR34" i="1"/>
  <c r="AQ34" i="1"/>
  <c r="AP34" i="1"/>
  <c r="AO34" i="1"/>
  <c r="AJ34" i="1"/>
  <c r="M34" i="1"/>
  <c r="AQ33" i="1"/>
  <c r="AO33" i="1"/>
  <c r="M33" i="1"/>
  <c r="BL32" i="1"/>
  <c r="AQ32" i="1"/>
  <c r="AO32" i="1"/>
  <c r="M32" i="1"/>
  <c r="BL31" i="1"/>
  <c r="AV31" i="1"/>
  <c r="AU31" i="1"/>
  <c r="AS31" i="1"/>
  <c r="AT31" i="1" s="1"/>
  <c r="AR31" i="1"/>
  <c r="AQ31" i="1"/>
  <c r="AP31" i="1"/>
  <c r="AO31" i="1"/>
  <c r="AJ31" i="1"/>
  <c r="M31" i="1"/>
  <c r="BL30" i="1"/>
  <c r="AQ30" i="1"/>
  <c r="AO30" i="1"/>
  <c r="M30" i="1"/>
  <c r="BL29" i="1"/>
  <c r="AV29" i="1"/>
  <c r="AU29" i="1"/>
  <c r="AS29" i="1"/>
  <c r="AT29" i="1" s="1"/>
  <c r="AR29" i="1"/>
  <c r="AQ29" i="1"/>
  <c r="AP29" i="1"/>
  <c r="AO29" i="1"/>
  <c r="AJ29" i="1"/>
  <c r="M29" i="1"/>
  <c r="BL28" i="1"/>
  <c r="AV28" i="1"/>
  <c r="AU28" i="1"/>
  <c r="AS28" i="1"/>
  <c r="AT28" i="1" s="1"/>
  <c r="AR28" i="1"/>
  <c r="AQ28" i="1"/>
  <c r="AP28" i="1"/>
  <c r="AO28" i="1"/>
  <c r="AJ28" i="1"/>
  <c r="M28" i="1"/>
  <c r="BL27" i="1"/>
  <c r="AV27" i="1"/>
  <c r="AU27" i="1"/>
  <c r="AS27" i="1"/>
  <c r="AT27" i="1" s="1"/>
  <c r="AR27" i="1"/>
  <c r="AQ27" i="1"/>
  <c r="AP27" i="1"/>
  <c r="AO27" i="1"/>
  <c r="AJ27" i="1"/>
  <c r="M27" i="1"/>
  <c r="BL26" i="1"/>
  <c r="M26" i="1"/>
  <c r="BL25" i="1"/>
  <c r="AV25" i="1"/>
  <c r="AU25" i="1"/>
  <c r="AS25" i="1"/>
  <c r="AT25" i="1" s="1"/>
  <c r="AR25" i="1"/>
  <c r="AQ25" i="1"/>
  <c r="AP25" i="1"/>
  <c r="AO25" i="1"/>
  <c r="AJ25" i="1"/>
  <c r="AF25" i="1"/>
  <c r="AF79" i="1" s="1"/>
  <c r="M25" i="1"/>
  <c r="BL24" i="1"/>
  <c r="AV24" i="1"/>
  <c r="AU24" i="1"/>
  <c r="AS24" i="1"/>
  <c r="AT24" i="1" s="1"/>
  <c r="AR24" i="1"/>
  <c r="AQ24" i="1"/>
  <c r="AP24" i="1"/>
  <c r="AO24" i="1"/>
  <c r="AJ24" i="1"/>
  <c r="M24" i="1"/>
  <c r="BL23" i="1"/>
  <c r="AV23" i="1"/>
  <c r="AU23" i="1"/>
  <c r="AS23" i="1"/>
  <c r="AT23" i="1" s="1"/>
  <c r="AR23" i="1"/>
  <c r="AQ23" i="1"/>
  <c r="AP23" i="1"/>
  <c r="AO23" i="1"/>
  <c r="AJ23" i="1"/>
  <c r="M23" i="1"/>
  <c r="BL22" i="1"/>
  <c r="AV22" i="1"/>
  <c r="AU22" i="1"/>
  <c r="AS22" i="1"/>
  <c r="AT22" i="1" s="1"/>
  <c r="AR22" i="1"/>
  <c r="AQ22" i="1"/>
  <c r="AP22" i="1"/>
  <c r="AO22" i="1"/>
  <c r="AJ22" i="1"/>
  <c r="M22" i="1"/>
  <c r="BL21" i="1"/>
  <c r="AV21" i="1"/>
  <c r="AU21" i="1"/>
  <c r="AS21" i="1"/>
  <c r="AT21" i="1" s="1"/>
  <c r="AR21" i="1"/>
  <c r="AQ21" i="1"/>
  <c r="AP21" i="1"/>
  <c r="AO21" i="1"/>
  <c r="AJ21" i="1"/>
  <c r="M21" i="1"/>
  <c r="BL20" i="1"/>
  <c r="AV20" i="1"/>
  <c r="AU20" i="1"/>
  <c r="AS20" i="1"/>
  <c r="AT20" i="1" s="1"/>
  <c r="AR20" i="1"/>
  <c r="AQ20" i="1"/>
  <c r="AP20" i="1"/>
  <c r="AO20" i="1"/>
  <c r="AJ20" i="1"/>
  <c r="M20" i="1"/>
  <c r="BL19" i="1"/>
  <c r="AV19" i="1"/>
  <c r="AU19" i="1"/>
  <c r="AS19" i="1"/>
  <c r="AT19" i="1" s="1"/>
  <c r="AR19" i="1"/>
  <c r="AQ19" i="1"/>
  <c r="AP19" i="1"/>
  <c r="AO19" i="1"/>
  <c r="AJ19" i="1"/>
  <c r="M19" i="1"/>
  <c r="BL18" i="1"/>
  <c r="AV18" i="1"/>
  <c r="AU18" i="1"/>
  <c r="AS18" i="1"/>
  <c r="AT18" i="1" s="1"/>
  <c r="AR18" i="1"/>
  <c r="AQ18" i="1"/>
  <c r="AP18" i="1"/>
  <c r="AO18" i="1"/>
  <c r="AJ18" i="1"/>
  <c r="M18" i="1"/>
  <c r="BL17" i="1"/>
  <c r="AV17" i="1"/>
  <c r="AU17" i="1"/>
  <c r="AS17" i="1"/>
  <c r="AT17" i="1" s="1"/>
  <c r="AR17" i="1"/>
  <c r="AQ17" i="1"/>
  <c r="AP17" i="1"/>
  <c r="AO17" i="1"/>
  <c r="AJ17" i="1"/>
  <c r="M17" i="1"/>
  <c r="BL16" i="1"/>
  <c r="AV16" i="1"/>
  <c r="AU16" i="1"/>
  <c r="AS16" i="1"/>
  <c r="AT16" i="1" s="1"/>
  <c r="AR16" i="1"/>
  <c r="AQ16" i="1"/>
  <c r="AP16" i="1"/>
  <c r="AO16" i="1"/>
  <c r="AJ16" i="1"/>
  <c r="M16" i="1"/>
  <c r="BL15" i="1"/>
  <c r="AV15" i="1"/>
  <c r="AU15" i="1"/>
  <c r="AS15" i="1"/>
  <c r="AT15" i="1" s="1"/>
  <c r="AR15" i="1"/>
  <c r="AQ15" i="1"/>
  <c r="AP15" i="1"/>
  <c r="AO15" i="1"/>
  <c r="AJ15" i="1"/>
  <c r="M15" i="1"/>
  <c r="BL14" i="1"/>
  <c r="AV14" i="1"/>
  <c r="AU14" i="1"/>
  <c r="AS14" i="1"/>
  <c r="AT14" i="1" s="1"/>
  <c r="AR14" i="1"/>
  <c r="AQ14" i="1"/>
  <c r="AP14" i="1"/>
  <c r="AO14" i="1"/>
  <c r="AJ14" i="1"/>
  <c r="M14" i="1"/>
  <c r="BL13" i="1"/>
  <c r="AQ13" i="1"/>
  <c r="AO13" i="1"/>
  <c r="M13" i="1"/>
  <c r="BL12" i="1"/>
  <c r="M12" i="1"/>
  <c r="BL11" i="1"/>
  <c r="AQ11" i="1"/>
  <c r="AO11" i="1"/>
  <c r="M11" i="1"/>
  <c r="BL10" i="1"/>
  <c r="AR10" i="1"/>
  <c r="AQ10" i="1"/>
  <c r="AP10" i="1"/>
  <c r="AO10" i="1"/>
  <c r="AJ10" i="1"/>
  <c r="M10" i="1"/>
  <c r="AV9" i="1"/>
  <c r="AU9" i="1"/>
  <c r="AS9" i="1"/>
  <c r="AT9" i="1" s="1"/>
  <c r="AR9" i="1"/>
  <c r="AQ9" i="1"/>
  <c r="AP9" i="1"/>
  <c r="AO9" i="1"/>
  <c r="AJ9" i="1"/>
  <c r="M9" i="1"/>
  <c r="BL8" i="1"/>
  <c r="AV8" i="1"/>
  <c r="AU8" i="1"/>
  <c r="AS8" i="1"/>
  <c r="AT8" i="1" s="1"/>
  <c r="AR8" i="1"/>
  <c r="AQ8" i="1"/>
  <c r="AP8" i="1"/>
  <c r="AO8" i="1"/>
  <c r="AJ8" i="1"/>
  <c r="M8" i="1"/>
  <c r="BL7" i="1"/>
  <c r="M7" i="1"/>
  <c r="BL6" i="1"/>
  <c r="AV6" i="1"/>
  <c r="AU6" i="1"/>
  <c r="AS6" i="1"/>
  <c r="AT6" i="1" s="1"/>
  <c r="AR6" i="1"/>
  <c r="AQ6" i="1"/>
  <c r="AP6" i="1"/>
  <c r="AO6" i="1"/>
  <c r="AJ6" i="1"/>
  <c r="M6" i="1"/>
  <c r="BL5" i="1"/>
  <c r="AV5" i="1"/>
  <c r="AU5" i="1"/>
  <c r="AS5" i="1"/>
  <c r="AT5" i="1" s="1"/>
  <c r="AR5" i="1"/>
  <c r="AQ5" i="1"/>
  <c r="AP5" i="1"/>
  <c r="AO5" i="1"/>
  <c r="AJ5" i="1"/>
  <c r="M5" i="1"/>
  <c r="BL4" i="1"/>
  <c r="AV4" i="1"/>
  <c r="AU4" i="1"/>
  <c r="AS4" i="1"/>
  <c r="AT4" i="1" s="1"/>
  <c r="AR4" i="1"/>
  <c r="AQ4" i="1"/>
  <c r="AP4" i="1"/>
  <c r="AO4" i="1"/>
  <c r="AJ4" i="1"/>
  <c r="M4" i="1"/>
  <c r="BL3" i="1"/>
  <c r="AV3" i="1"/>
  <c r="AU3" i="1"/>
  <c r="AS3" i="1"/>
  <c r="AR3" i="1"/>
  <c r="AQ3" i="1"/>
  <c r="AP3" i="1"/>
  <c r="AO3" i="1"/>
  <c r="AJ3" i="1"/>
  <c r="M3" i="1"/>
  <c r="BL2" i="1"/>
  <c r="AQ2" i="1"/>
  <c r="AO2" i="1"/>
  <c r="M2" i="1"/>
  <c r="AJ79" i="1" l="1"/>
  <c r="AR79" i="1"/>
  <c r="M80" i="1"/>
  <c r="AS79" i="1"/>
  <c r="AP80" i="1"/>
  <c r="AO79" i="1"/>
  <c r="AU80" i="1"/>
  <c r="AQ80" i="1"/>
  <c r="BL79" i="1"/>
  <c r="AV79" i="1"/>
  <c r="AP75" i="1"/>
  <c r="AR76" i="1"/>
  <c r="AV76" i="1"/>
  <c r="BL76" i="1"/>
  <c r="AP77" i="1"/>
  <c r="AR78" i="1"/>
  <c r="AV78" i="1"/>
  <c r="BL78" i="1"/>
  <c r="AP79" i="1"/>
  <c r="AR80" i="1"/>
  <c r="AV80" i="1"/>
  <c r="BL80" i="1"/>
  <c r="M75" i="1"/>
  <c r="AQ75" i="1"/>
  <c r="AU75" i="1"/>
  <c r="AF76" i="1"/>
  <c r="AJ76" i="1"/>
  <c r="AO76" i="1"/>
  <c r="AS76" i="1"/>
  <c r="M77" i="1"/>
  <c r="AQ77" i="1"/>
  <c r="AU77" i="1"/>
  <c r="AF78" i="1"/>
  <c r="AJ78" i="1"/>
  <c r="AO78" i="1"/>
  <c r="AS78" i="1"/>
  <c r="M79" i="1"/>
  <c r="AQ79" i="1"/>
  <c r="AU79" i="1"/>
  <c r="AF80" i="1"/>
  <c r="AJ80" i="1"/>
  <c r="AO80" i="1"/>
  <c r="AS80" i="1"/>
  <c r="AR75" i="1"/>
  <c r="AV75" i="1"/>
  <c r="BL75" i="1"/>
  <c r="AP76" i="1"/>
  <c r="AR77" i="1"/>
  <c r="AV77" i="1"/>
  <c r="BL77" i="1"/>
  <c r="AP78" i="1"/>
  <c r="AT3" i="1"/>
  <c r="AF75" i="1"/>
  <c r="AJ75" i="1"/>
  <c r="AO75" i="1"/>
  <c r="AS75" i="1"/>
  <c r="M76" i="1"/>
  <c r="AQ76" i="1"/>
  <c r="AU76" i="1"/>
  <c r="AF77" i="1"/>
  <c r="AJ77" i="1"/>
  <c r="AO77" i="1"/>
  <c r="AS77" i="1"/>
  <c r="M78" i="1"/>
  <c r="AQ78" i="1"/>
  <c r="AU78" i="1"/>
  <c r="AT80" i="1" l="1"/>
  <c r="AT78" i="1"/>
  <c r="AT76" i="1"/>
  <c r="AT79" i="1"/>
  <c r="AT77" i="1"/>
  <c r="AT7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jdn</author>
    <author>ORNL</author>
    <author>Laura</author>
    <author>jdpotter</author>
  </authors>
  <commentList>
    <comment ref="AB1" authorId="0" shapeId="0" xr:uid="{70961E11-C335-284A-92CD-4BBF915C7AE7}">
      <text>
        <r>
          <rPr>
            <b/>
            <sz val="8"/>
            <color rgb="FF000000"/>
            <rFont val="Tahoma"/>
            <family val="2"/>
          </rPr>
          <t>See procedure for deriving these values in cells AD80-AD83 below.</t>
        </r>
      </text>
    </comment>
    <comment ref="AC1" authorId="0" shapeId="0" xr:uid="{5CE7EFB0-013B-E54D-B412-56900579DE0A}">
      <text>
        <r>
          <rPr>
            <b/>
            <sz val="8"/>
            <color rgb="FF000000"/>
            <rFont val="Tahoma"/>
            <family val="2"/>
          </rPr>
          <t>See procedure for deriving these values in cells AD80-AD83 below.</t>
        </r>
        <r>
          <rPr>
            <sz val="8"/>
            <color rgb="FF000000"/>
            <rFont val="Tahoma"/>
            <family val="2"/>
          </rPr>
          <t xml:space="preserve">
</t>
        </r>
      </text>
    </comment>
    <comment ref="AS1" authorId="0" shapeId="0" xr:uid="{928ED48B-C776-2841-A307-AF6B66CAF54C}">
      <text>
        <r>
          <rPr>
            <b/>
            <sz val="8"/>
            <color rgb="FF000000"/>
            <rFont val="Tahoma"/>
            <family val="2"/>
          </rPr>
          <t>Assimilation uptake rates only calculated when there are measurements of both total and denitrification rates calculated</t>
        </r>
      </text>
    </comment>
    <comment ref="A2" authorId="0" shapeId="0" xr:uid="{B1163686-6EAC-AF44-8863-C8B62E39BBC5}">
      <text>
        <r>
          <rPr>
            <b/>
            <sz val="8"/>
            <color rgb="FF000000"/>
            <rFont val="Tahoma"/>
            <family val="2"/>
          </rPr>
          <t>pjm: from 23Aug06 file</t>
        </r>
      </text>
    </comment>
    <comment ref="V2" authorId="0" shapeId="0" xr:uid="{6AAD4267-A28E-1D42-B8DE-B79A6EE9B524}">
      <text>
        <r>
          <rPr>
            <b/>
            <sz val="8"/>
            <color rgb="FF000000"/>
            <rFont val="Tahoma"/>
            <family val="2"/>
          </rPr>
          <t>1-station at DN</t>
        </r>
      </text>
    </comment>
    <comment ref="W2" authorId="0" shapeId="0" xr:uid="{38F6AAF9-FBD8-CF4D-A035-9F44BD8E047C}">
      <text>
        <r>
          <rPr>
            <b/>
            <sz val="8"/>
            <color rgb="FF000000"/>
            <rFont val="Tahoma"/>
            <family val="2"/>
          </rPr>
          <t>1-station at DN</t>
        </r>
      </text>
    </comment>
    <comment ref="AB2" authorId="0" shapeId="0" xr:uid="{D3F7875B-33C3-2842-9EDA-0BBB32259B7C}">
      <text>
        <r>
          <rPr>
            <b/>
            <sz val="8"/>
            <color rgb="FF000000"/>
            <rFont val="Tahoma"/>
            <family val="2"/>
          </rPr>
          <t>Did not meet model fit criteria</t>
        </r>
      </text>
    </comment>
    <comment ref="AC2" authorId="0" shapeId="0" xr:uid="{EB23F1A0-BC34-154C-A3B2-B15A42D9653F}">
      <text>
        <r>
          <rPr>
            <b/>
            <sz val="8"/>
            <color rgb="FF000000"/>
            <rFont val="Tahoma"/>
            <family val="2"/>
          </rPr>
          <t>pjm: fits of model to data are very poor, much better fit with much higher k2 (0.05 m-1).  Kden would be 0.0000185 m-1 (10 times higher).</t>
        </r>
      </text>
    </comment>
    <comment ref="AE2" authorId="0" shapeId="0" xr:uid="{008B9A31-867A-4844-880D-28187D61A9BF}">
      <text>
        <r>
          <rPr>
            <b/>
            <sz val="8"/>
            <color rgb="FF000000"/>
            <rFont val="Tahoma"/>
            <family val="2"/>
          </rPr>
          <t>pjm: see comment in cell AD4.</t>
        </r>
      </text>
    </comment>
    <comment ref="AF2" authorId="0" shapeId="0" xr:uid="{0E918788-1873-294C-BC34-196579DF2E6C}">
      <text>
        <r>
          <rPr>
            <b/>
            <sz val="8"/>
            <color rgb="FF000000"/>
            <rFont val="Tahoma"/>
            <family val="2"/>
          </rPr>
          <t>pjm: see comment in cell AD4.</t>
        </r>
      </text>
    </comment>
    <comment ref="AG2" authorId="0" shapeId="0" xr:uid="{7EBAA137-BEED-C449-B963-8F1FB0B5A41E}">
      <text>
        <r>
          <rPr>
            <b/>
            <sz val="8"/>
            <color rgb="FF000000"/>
            <rFont val="Tahoma"/>
            <family val="2"/>
          </rPr>
          <t>pjm: see comment in cell AD4.</t>
        </r>
      </text>
    </comment>
    <comment ref="AH2" authorId="0" shapeId="0" xr:uid="{960FB952-D35F-8042-AC22-537D47A519F3}">
      <text>
        <r>
          <rPr>
            <b/>
            <sz val="8"/>
            <color indexed="81"/>
            <rFont val="Tahoma"/>
            <family val="2"/>
          </rPr>
          <t>pjm: see comment in cell AD4.</t>
        </r>
      </text>
    </comment>
    <comment ref="AI2" authorId="0" shapeId="0" xr:uid="{9B5871B2-2CD0-3E45-94BF-0AC253624EA5}">
      <text>
        <r>
          <rPr>
            <b/>
            <sz val="8"/>
            <color indexed="81"/>
            <rFont val="Tahoma"/>
            <family val="2"/>
          </rPr>
          <t>pjm: see comment in cell AD4.</t>
        </r>
      </text>
    </comment>
    <comment ref="A3" authorId="0" shapeId="0" xr:uid="{0111B1F7-3DA2-EA49-B7A3-2301D51AC897}">
      <text>
        <r>
          <rPr>
            <b/>
            <sz val="8"/>
            <color indexed="81"/>
            <rFont val="Tahoma"/>
            <family val="2"/>
          </rPr>
          <t>pjm: from 23Aug06 file</t>
        </r>
      </text>
    </comment>
    <comment ref="A4" authorId="0" shapeId="0" xr:uid="{59CC00E1-AF44-F745-82A2-0A906DC8FF50}">
      <text>
        <r>
          <rPr>
            <b/>
            <sz val="8"/>
            <color indexed="81"/>
            <rFont val="Tahoma"/>
            <family val="2"/>
          </rPr>
          <t>pjm: from 11Jan07 file</t>
        </r>
      </text>
    </comment>
    <comment ref="A5" authorId="0" shapeId="0" xr:uid="{582D9F17-D9B6-D544-92D8-BE144F6DDD96}">
      <text>
        <r>
          <rPr>
            <b/>
            <sz val="8"/>
            <color rgb="FF000000"/>
            <rFont val="Tahoma"/>
            <family val="2"/>
          </rPr>
          <t>pjm: from 24Aug06 file</t>
        </r>
      </text>
    </comment>
    <comment ref="A6" authorId="0" shapeId="0" xr:uid="{EC67480E-0267-1242-9FF5-267DF9646038}">
      <text>
        <r>
          <rPr>
            <b/>
            <sz val="8"/>
            <color indexed="81"/>
            <rFont val="Tahoma"/>
            <family val="2"/>
          </rPr>
          <t>pjm: from 24Aug06 file</t>
        </r>
      </text>
    </comment>
    <comment ref="AC6" authorId="0" shapeId="0" xr:uid="{97C89B62-F871-0143-8582-11FAC3A9A560}">
      <text>
        <r>
          <rPr>
            <b/>
            <sz val="8"/>
            <color rgb="FF000000"/>
            <rFont val="Tahoma"/>
            <family val="2"/>
          </rPr>
          <t>1st plat only, no data for 2nd</t>
        </r>
      </text>
    </comment>
    <comment ref="A7" authorId="1" shapeId="0" xr:uid="{2C544349-C267-F64B-8377-B9E25F843E02}">
      <text>
        <r>
          <rPr>
            <sz val="8"/>
            <color indexed="81"/>
            <rFont val="Tahoma"/>
            <family val="2"/>
          </rPr>
          <t xml:space="preserve">From 11Sep06 file
</t>
        </r>
      </text>
    </comment>
    <comment ref="B7" authorId="0" shapeId="0" xr:uid="{03DDB15B-A9FB-0645-B479-AA3C73856741}">
      <text>
        <r>
          <rPr>
            <b/>
            <sz val="8"/>
            <color indexed="81"/>
            <rFont val="Tahoma"/>
            <family val="2"/>
          </rPr>
          <t>Beaver dam just upstream, lots of NH4 and low DO.  Probably high nitrification rate</t>
        </r>
      </text>
    </comment>
    <comment ref="Y7" authorId="0" shapeId="0" xr:uid="{C71A6479-B2DA-504E-A48A-D426878CAD8F}">
      <text>
        <r>
          <rPr>
            <sz val="8"/>
            <color indexed="81"/>
            <rFont val="Tahoma"/>
            <family val="2"/>
          </rPr>
          <t xml:space="preserve">Data not used due to large NH4 conc and increase in NO3 conc over reach 
</t>
        </r>
      </text>
    </comment>
    <comment ref="AB7" authorId="0" shapeId="0" xr:uid="{B0ABFFE8-4A53-6946-B7D7-D25385E6F5C1}">
      <text>
        <r>
          <rPr>
            <b/>
            <sz val="8"/>
            <color indexed="81"/>
            <rFont val="Tahoma"/>
            <family val="2"/>
          </rPr>
          <t>Data not used due to large NH4 conc and increase in NO3 conc over reach.  Best model fit gave value (0.003 m-1) about 2.5x total NO3 uptake rate.</t>
        </r>
      </text>
    </comment>
    <comment ref="AC7" authorId="0" shapeId="0" xr:uid="{307BB92B-5196-094D-9C89-B30801197258}">
      <text>
        <r>
          <rPr>
            <b/>
            <sz val="8"/>
            <color rgb="FF000000"/>
            <rFont val="Tahoma"/>
            <family val="2"/>
          </rPr>
          <t xml:space="preserve">Data not used due to large NH4 conc and increase in NO3 conc over reach. </t>
        </r>
        <r>
          <rPr>
            <sz val="8"/>
            <color rgb="FF000000"/>
            <rFont val="Tahoma"/>
            <family val="2"/>
          </rPr>
          <t xml:space="preserve">
</t>
        </r>
      </text>
    </comment>
    <comment ref="BP7" authorId="2" shapeId="0" xr:uid="{7FEBE178-20F1-FB4B-AC23-E99576DD8BF6}">
      <text>
        <r>
          <rPr>
            <b/>
            <sz val="8"/>
            <color indexed="81"/>
            <rFont val="Tahoma"/>
            <family val="2"/>
          </rPr>
          <t>Laura:</t>
        </r>
        <r>
          <rPr>
            <sz val="8"/>
            <color indexed="81"/>
            <rFont val="Tahoma"/>
            <family val="2"/>
          </rPr>
          <t xml:space="preserve">
on inorganic: x</t>
        </r>
      </text>
    </comment>
    <comment ref="A8" authorId="1" shapeId="0" xr:uid="{5E213E3E-E453-1A45-8254-9DCB9C841698}">
      <text>
        <r>
          <rPr>
            <b/>
            <sz val="8"/>
            <color indexed="81"/>
            <rFont val="Tahoma"/>
            <family val="2"/>
          </rPr>
          <t>From 29Aug06 file</t>
        </r>
      </text>
    </comment>
    <comment ref="B8" authorId="0" shapeId="0" xr:uid="{80F26B24-312C-C54E-8629-E2BE824B30BD}">
      <text>
        <r>
          <rPr>
            <b/>
            <sz val="8"/>
            <color indexed="81"/>
            <rFont val="Tahoma"/>
            <family val="2"/>
          </rPr>
          <t>Beaver dam upstream</t>
        </r>
      </text>
    </comment>
    <comment ref="I8" authorId="1" shapeId="0" xr:uid="{BCDA9B6E-B48C-1E46-B536-973299DE6122}">
      <text>
        <r>
          <rPr>
            <b/>
            <sz val="8"/>
            <color indexed="81"/>
            <rFont val="Tahoma"/>
            <family val="2"/>
          </rPr>
          <t>PJM: Q dropped from 149 to 91 L/s from 1st to 2nd plat, but NO3 conc was nearly constant</t>
        </r>
      </text>
    </comment>
    <comment ref="V8" authorId="0" shapeId="0" xr:uid="{250954E7-3822-F247-8359-E6B1AF6E018A}">
      <text>
        <r>
          <rPr>
            <b/>
            <sz val="8"/>
            <color indexed="81"/>
            <rFont val="Tahoma"/>
            <family val="2"/>
          </rPr>
          <t>1 station at DN</t>
        </r>
      </text>
    </comment>
    <comment ref="W8" authorId="0" shapeId="0" xr:uid="{42216E62-7ACA-5041-AB18-5129355BC867}">
      <text>
        <r>
          <rPr>
            <b/>
            <sz val="8"/>
            <color indexed="81"/>
            <rFont val="Tahoma"/>
            <family val="2"/>
          </rPr>
          <t>1 station at DN</t>
        </r>
        <r>
          <rPr>
            <sz val="8"/>
            <color indexed="81"/>
            <rFont val="Tahoma"/>
            <family val="2"/>
          </rPr>
          <t xml:space="preserve">
</t>
        </r>
      </text>
    </comment>
    <comment ref="Y8" authorId="0" shapeId="0" xr:uid="{9CEC9E12-AF05-724F-839C-5E920D2479C3}">
      <text>
        <r>
          <rPr>
            <b/>
            <sz val="8"/>
            <color indexed="81"/>
            <rFont val="Tahoma"/>
            <family val="2"/>
          </rPr>
          <t>Despite big drop in Q from 1st to 2nd plat (149 to 91 L/s) k is actually slightly higher on 1st plat (0.00029) than 2nd plat (0.00023).  Not much change in NO3 conc.</t>
        </r>
      </text>
    </comment>
    <comment ref="Z8" authorId="1" shapeId="0" xr:uid="{3E232348-3CD7-B04B-9E9A-20CCEAAC2D53}">
      <text>
        <r>
          <rPr>
            <b/>
            <sz val="8"/>
            <color indexed="81"/>
            <rFont val="Tahoma"/>
            <family val="2"/>
          </rPr>
          <t>pjm: Big drop in Q from 1st to second plat but little change in NO3 conc, results in a big change in vf from 1st to 2nd plateau (2nd plat is 1/2 first plat value).  Stream is channelized and width probably doesn't change much with Q.</t>
        </r>
      </text>
    </comment>
    <comment ref="BP8" authorId="2" shapeId="0" xr:uid="{C6030C8E-3380-3E4A-8E31-7FA78BCF9C91}">
      <text>
        <r>
          <rPr>
            <b/>
            <sz val="8"/>
            <color indexed="81"/>
            <rFont val="Tahoma"/>
            <family val="2"/>
          </rPr>
          <t>Laura:</t>
        </r>
        <r>
          <rPr>
            <sz val="8"/>
            <color indexed="81"/>
            <rFont val="Tahoma"/>
            <family val="2"/>
          </rPr>
          <t xml:space="preserve">
on inorganic: x</t>
        </r>
      </text>
    </comment>
    <comment ref="A9" authorId="1" shapeId="0" xr:uid="{112FECEE-3FB4-3144-89C6-4DAA50C25006}">
      <text>
        <r>
          <rPr>
            <b/>
            <sz val="8"/>
            <color rgb="FF000000"/>
            <rFont val="Tahoma"/>
            <family val="2"/>
          </rPr>
          <t>From file 29Aug06</t>
        </r>
      </text>
    </comment>
    <comment ref="I9" authorId="0" shapeId="0" xr:uid="{9019518E-7755-1C47-AE52-7ECA9438D179}">
      <text>
        <r>
          <rPr>
            <b/>
            <sz val="8"/>
            <color indexed="81"/>
            <rFont val="Tahoma"/>
            <family val="2"/>
          </rPr>
          <t>2nd plat only.  Problems with first due to interruption in drip</t>
        </r>
      </text>
    </comment>
    <comment ref="Y9" authorId="1" shapeId="0" xr:uid="{84D416F5-DE5A-B14E-9936-994283856469}">
      <text>
        <r>
          <rPr>
            <b/>
            <sz val="8"/>
            <color indexed="81"/>
            <rFont val="Tahoma"/>
            <family val="2"/>
          </rPr>
          <t>PJM: All rates and ancillary data from 2nd plateau only, drip clogged on 1st plat.</t>
        </r>
      </text>
    </comment>
    <comment ref="AB9" authorId="0" shapeId="0" xr:uid="{AD4D3963-6AAD-7346-81B0-A824DEB57F97}">
      <text>
        <r>
          <rPr>
            <b/>
            <sz val="8"/>
            <color rgb="FF000000"/>
            <rFont val="Tahoma"/>
            <family val="2"/>
          </rPr>
          <t>PJM: All rates and ancillary data from 2nd plateau only, drip clogged on 1st plat.</t>
        </r>
        <r>
          <rPr>
            <sz val="8"/>
            <color rgb="FF000000"/>
            <rFont val="Tahoma"/>
            <family val="2"/>
          </rPr>
          <t xml:space="preserve">
</t>
        </r>
      </text>
    </comment>
    <comment ref="AC9" authorId="0" shapeId="0" xr:uid="{A8E155D5-766A-9A40-99B2-56970FA4077B}">
      <text>
        <r>
          <rPr>
            <b/>
            <sz val="8"/>
            <color rgb="FF000000"/>
            <rFont val="Tahoma"/>
            <family val="2"/>
          </rPr>
          <t>PJM: All rates and ancillary data from 2nd plateau only, drip clogged on 1st plat.</t>
        </r>
        <r>
          <rPr>
            <sz val="8"/>
            <color rgb="FF000000"/>
            <rFont val="Tahoma"/>
            <family val="2"/>
          </rPr>
          <t xml:space="preserve">
</t>
        </r>
      </text>
    </comment>
    <comment ref="A10" authorId="1" shapeId="0" xr:uid="{5E9A6667-D482-C341-8BF3-E9A0042AFD3A}">
      <text>
        <r>
          <rPr>
            <b/>
            <sz val="8"/>
            <color indexed="81"/>
            <rFont val="Tahoma"/>
            <family val="2"/>
          </rPr>
          <t>From 21Dec06 file</t>
        </r>
      </text>
    </comment>
    <comment ref="B10" authorId="0" shapeId="0" xr:uid="{27872F5D-17CD-2842-B918-B3EA6C6D23E5}">
      <text>
        <r>
          <rPr>
            <b/>
            <sz val="8"/>
            <color indexed="81"/>
            <rFont val="Tahoma"/>
            <family val="2"/>
          </rPr>
          <t>This was 6 hour injection after earlier attempt at full injection compromised by high flow just after beginning.</t>
        </r>
      </text>
    </comment>
    <comment ref="V10" authorId="0" shapeId="0" xr:uid="{62D3512B-B2E7-9647-9CE5-B2AFC5EA20F2}">
      <text>
        <r>
          <rPr>
            <b/>
            <sz val="8"/>
            <color indexed="81"/>
            <rFont val="Tahoma"/>
            <family val="2"/>
          </rPr>
          <t>Ave of two 1-station values</t>
        </r>
      </text>
    </comment>
    <comment ref="W10" authorId="0" shapeId="0" xr:uid="{4F4A393C-D914-7444-847A-D9A01A058D96}">
      <text>
        <r>
          <rPr>
            <b/>
            <sz val="8"/>
            <color rgb="FF000000"/>
            <rFont val="Tahoma"/>
            <family val="2"/>
          </rPr>
          <t>average of two 1-station values</t>
        </r>
      </text>
    </comment>
    <comment ref="Y10" authorId="0" shapeId="0" xr:uid="{B97FB207-B12E-E244-A272-F593AC1C6AC1}">
      <text>
        <r>
          <rPr>
            <b/>
            <sz val="8"/>
            <color indexed="81"/>
            <rFont val="Tahoma"/>
            <family val="2"/>
          </rPr>
          <t>This was assumed to be equal to total denit rate.  Actual measured rate was about 1/2 this value.</t>
        </r>
      </text>
    </comment>
    <comment ref="AB10" authorId="0" shapeId="0" xr:uid="{58ED3CB1-A40E-344B-8371-8C8AAA1E414E}">
      <text>
        <r>
          <rPr>
            <b/>
            <sz val="8"/>
            <color indexed="81"/>
            <rFont val="Tahoma"/>
            <family val="2"/>
          </rPr>
          <t>This rate was determined as the ave for model fits using k1=0 and k1=upper 95% CI for measured total NO3 uptake rate.  Model fits were fairly good.</t>
        </r>
      </text>
    </comment>
    <comment ref="BP10" authorId="2" shapeId="0" xr:uid="{86996D5D-2E6C-5540-BD13-B6CBB4999A0C}">
      <text>
        <r>
          <rPr>
            <b/>
            <sz val="8"/>
            <color indexed="81"/>
            <rFont val="Tahoma"/>
            <family val="2"/>
          </rPr>
          <t>Laura:</t>
        </r>
        <r>
          <rPr>
            <sz val="8"/>
            <color indexed="81"/>
            <rFont val="Tahoma"/>
            <family val="2"/>
          </rPr>
          <t xml:space="preserve">
on inorganic: x</t>
        </r>
      </text>
    </comment>
    <comment ref="A11" authorId="0" shapeId="0" xr:uid="{8433E388-5FF0-8746-9055-B1845DE1CADA}">
      <text>
        <r>
          <rPr>
            <b/>
            <sz val="8"/>
            <color rgb="FF000000"/>
            <rFont val="Tahoma"/>
            <family val="2"/>
          </rPr>
          <t xml:space="preserve">pjm:  From 10Jan07 file. </t>
        </r>
      </text>
    </comment>
    <comment ref="V11" authorId="0" shapeId="0" xr:uid="{0D3D6D22-0E19-124C-B938-DB670A79DF41}">
      <text>
        <r>
          <rPr>
            <b/>
            <sz val="8"/>
            <color indexed="81"/>
            <rFont val="Tahoma"/>
            <family val="2"/>
          </rPr>
          <t>Mel has 0.011 for 1 station DN, this value is for 2 station reported in site file</t>
        </r>
      </text>
    </comment>
    <comment ref="W11" authorId="0" shapeId="0" xr:uid="{6C5BF74B-3A0F-D14E-A031-33A6E6B5AD72}">
      <text>
        <r>
          <rPr>
            <b/>
            <sz val="8"/>
            <color indexed="81"/>
            <rFont val="Tahoma"/>
            <family val="2"/>
          </rPr>
          <t>Mel has -2,07 for 1 station DN</t>
        </r>
      </text>
    </comment>
    <comment ref="AB11" authorId="0" shapeId="0" xr:uid="{B92F5C4D-742D-0443-8710-0FB1DEB7644D}">
      <text>
        <r>
          <rPr>
            <b/>
            <sz val="8"/>
            <color indexed="81"/>
            <rFont val="Tahoma"/>
            <family val="2"/>
          </rPr>
          <t>pjm:  Although model fit criteria is met, MLE analysis shows unconstrained (95% CI overlaps 0) due to large variability and minimal tracer 15N in N2.</t>
        </r>
      </text>
    </comment>
    <comment ref="AC11" authorId="0" shapeId="0" xr:uid="{304A978D-2821-4F46-BFCC-44BDF6EDD0FD}">
      <text>
        <r>
          <rPr>
            <b/>
            <sz val="8"/>
            <color rgb="FF000000"/>
            <rFont val="Tahoma"/>
            <family val="2"/>
          </rPr>
          <t>relatively poor model fits to data</t>
        </r>
      </text>
    </comment>
    <comment ref="A12" authorId="0" shapeId="0" xr:uid="{5B2E9991-BF1E-EE4F-818E-140534FE6EB2}">
      <text>
        <r>
          <rPr>
            <b/>
            <sz val="8"/>
            <color indexed="81"/>
            <rFont val="Tahoma"/>
            <family val="2"/>
          </rPr>
          <t>pjm:  From 19Jun06 data file.  Could not calculate NO3 uptake rate values because of increase in tracer 15NO3 with distance.</t>
        </r>
      </text>
    </comment>
    <comment ref="V12" authorId="0" shapeId="0" xr:uid="{34AE23D0-F6C0-F843-8230-98E7B959F9FA}">
      <text>
        <r>
          <rPr>
            <b/>
            <sz val="8"/>
            <color indexed="81"/>
            <rFont val="Tahoma"/>
            <family val="2"/>
          </rPr>
          <t>One station DN</t>
        </r>
      </text>
    </comment>
    <comment ref="W12" authorId="0" shapeId="0" xr:uid="{D737769C-9ED4-4947-9FFC-9F4C7B8F7C61}">
      <text>
        <r>
          <rPr>
            <b/>
            <sz val="8"/>
            <color indexed="81"/>
            <rFont val="Tahoma"/>
            <family val="2"/>
          </rPr>
          <t>One station, DN</t>
        </r>
      </text>
    </comment>
    <comment ref="Y12" authorId="0" shapeId="0" xr:uid="{73CB5998-A241-B845-AC58-23863B24753D}">
      <text>
        <r>
          <rPr>
            <b/>
            <sz val="8"/>
            <color indexed="81"/>
            <rFont val="Tahoma"/>
            <family val="2"/>
          </rPr>
          <t>slight increase in tracer 15NO3 flux over reach, therefore could not calc uptake parameters.</t>
        </r>
      </text>
    </comment>
    <comment ref="A13" authorId="0" shapeId="0" xr:uid="{73B94D30-4025-AF4D-9A18-63C8FC33B619}">
      <text>
        <r>
          <rPr>
            <b/>
            <sz val="8"/>
            <color rgb="FF000000"/>
            <rFont val="Tahoma"/>
            <family val="2"/>
          </rPr>
          <t>pjm: from file 20Jun06.  Uptake rate values and Q, NO3 conc, and T values are for plateau 1 only.</t>
        </r>
      </text>
    </comment>
    <comment ref="I13" authorId="0" shapeId="0" xr:uid="{C8F5CAE3-1089-4D4C-ADDC-615ABD9CF2B8}">
      <text>
        <r>
          <rPr>
            <b/>
            <sz val="8"/>
            <color indexed="81"/>
            <rFont val="Tahoma"/>
            <family val="2"/>
          </rPr>
          <t>All N cycling and ancillary data for plat 1 only due to problems with plat 2 data</t>
        </r>
      </text>
    </comment>
    <comment ref="J13" authorId="0" shapeId="0" xr:uid="{DEFD32B3-78A3-E04B-BEC8-3FEBC7A8A135}">
      <text>
        <r>
          <rPr>
            <b/>
            <sz val="8"/>
            <color indexed="81"/>
            <rFont val="Tahoma"/>
            <family val="2"/>
          </rPr>
          <t>All N cycling and ancillary data for plat 1 only due to problems with plat 2 data</t>
        </r>
        <r>
          <rPr>
            <sz val="8"/>
            <color indexed="81"/>
            <rFont val="Tahoma"/>
            <family val="2"/>
          </rPr>
          <t xml:space="preserve">
</t>
        </r>
      </text>
    </comment>
    <comment ref="N13" authorId="0" shapeId="0" xr:uid="{B79CC165-4207-414B-849F-01CAB3CA1AC7}">
      <text>
        <r>
          <rPr>
            <b/>
            <sz val="8"/>
            <color indexed="81"/>
            <rFont val="Tahoma"/>
            <family val="2"/>
          </rPr>
          <t>All N cycling and ancillary data for plat 1 only due to problems with plat 2 data</t>
        </r>
      </text>
    </comment>
    <comment ref="V13" authorId="0" shapeId="0" xr:uid="{C54F0DB7-B0F7-AC48-A12B-1740ADC67B52}">
      <text>
        <r>
          <rPr>
            <b/>
            <sz val="8"/>
            <color indexed="81"/>
            <rFont val="Tahoma"/>
            <family val="2"/>
          </rPr>
          <t>One station, DN</t>
        </r>
      </text>
    </comment>
    <comment ref="W13" authorId="0" shapeId="0" xr:uid="{C2717822-E5CB-2D43-B77E-AA2CF7837B09}">
      <text>
        <r>
          <rPr>
            <b/>
            <sz val="8"/>
            <color indexed="81"/>
            <rFont val="Tahoma"/>
            <family val="2"/>
          </rPr>
          <t>One station, DN</t>
        </r>
      </text>
    </comment>
    <comment ref="Y13" authorId="0" shapeId="0" xr:uid="{6705B205-A674-A64B-8370-C4C1F6C9F5E2}">
      <text>
        <r>
          <rPr>
            <b/>
            <sz val="8"/>
            <color indexed="81"/>
            <rFont val="Tahoma"/>
            <family val="2"/>
          </rPr>
          <t>All N cycling and ancillary data for plat 1 only due to problems with plat 2 data</t>
        </r>
      </text>
    </comment>
    <comment ref="AB13" authorId="0" shapeId="0" xr:uid="{D82FF6CF-98B2-7544-8344-5C3474B890D2}">
      <text>
        <r>
          <rPr>
            <b/>
            <sz val="8"/>
            <color indexed="81"/>
            <rFont val="Tahoma"/>
            <family val="2"/>
          </rPr>
          <t>Does not meet model fit criteria</t>
        </r>
        <r>
          <rPr>
            <sz val="8"/>
            <color indexed="81"/>
            <rFont val="Tahoma"/>
            <family val="2"/>
          </rPr>
          <t xml:space="preserve">
</t>
        </r>
      </text>
    </comment>
    <comment ref="AC13" authorId="0" shapeId="0" xr:uid="{E636CCD1-2694-2549-B222-0FA1AB030B36}">
      <text>
        <r>
          <rPr>
            <b/>
            <sz val="8"/>
            <color indexed="81"/>
            <rFont val="Tahoma"/>
            <family val="2"/>
          </rPr>
          <t>Plat 1 only, Relatively poor model fit, lots of scatter in data, del values &lt;100 to 250</t>
        </r>
        <r>
          <rPr>
            <sz val="8"/>
            <color indexed="81"/>
            <rFont val="Tahoma"/>
            <family val="2"/>
          </rPr>
          <t xml:space="preserve">
</t>
        </r>
      </text>
    </comment>
    <comment ref="A14" authorId="0" shapeId="0" xr:uid="{AA8E67F0-AE86-754E-AE62-67CA974CF8B2}">
      <text>
        <r>
          <rPr>
            <b/>
            <sz val="8"/>
            <color indexed="81"/>
            <rFont val="Tahoma"/>
            <family val="2"/>
          </rPr>
          <t>pjm: From 3Oct06
 file</t>
        </r>
      </text>
    </comment>
    <comment ref="V14" authorId="0" shapeId="0" xr:uid="{CA274E57-8D4A-8146-B77E-16A717CD6C75}">
      <text>
        <r>
          <rPr>
            <b/>
            <sz val="8"/>
            <color indexed="81"/>
            <rFont val="Tahoma"/>
            <family val="2"/>
          </rPr>
          <t>One station DN</t>
        </r>
        <r>
          <rPr>
            <sz val="8"/>
            <color indexed="81"/>
            <rFont val="Tahoma"/>
            <family val="2"/>
          </rPr>
          <t xml:space="preserve">
</t>
        </r>
      </text>
    </comment>
    <comment ref="W14" authorId="0" shapeId="0" xr:uid="{417C7353-2B52-6C4C-BEA5-10C69CF3E473}">
      <text>
        <r>
          <rPr>
            <b/>
            <sz val="8"/>
            <color indexed="81"/>
            <rFont val="Tahoma"/>
            <family val="2"/>
          </rPr>
          <t>One station DN</t>
        </r>
        <r>
          <rPr>
            <sz val="8"/>
            <color indexed="81"/>
            <rFont val="Tahoma"/>
            <family val="2"/>
          </rPr>
          <t xml:space="preserve">
</t>
        </r>
      </text>
    </comment>
    <comment ref="AB14" authorId="0" shapeId="0" xr:uid="{E995BEAA-265F-E043-A135-6D3A8B5D750A}">
      <text>
        <r>
          <rPr>
            <b/>
            <sz val="8"/>
            <color indexed="81"/>
            <rFont val="Tahoma"/>
            <family val="2"/>
          </rPr>
          <t>pjm: Plat 1 value only, although plat 2 data met model fit criteria (barely), MLE analysis indicated poorly constrained (kden 95% CI overlapped 0)</t>
        </r>
      </text>
    </comment>
    <comment ref="AC14" authorId="0" shapeId="0" xr:uid="{BAA716A7-0245-DF4A-A3D2-86698627AAFB}">
      <text>
        <r>
          <rPr>
            <b/>
            <sz val="8"/>
            <color indexed="81"/>
            <rFont val="Tahoma"/>
            <family val="2"/>
          </rPr>
          <t>pjm:  Model fit criteria barely met, Poor model fit, lots of scatter in data, del values about 100-200</t>
        </r>
      </text>
    </comment>
    <comment ref="A15" authorId="0" shapeId="0" xr:uid="{6BC4CB5F-5D0F-154B-9D5D-D4E8515A882C}">
      <text>
        <r>
          <rPr>
            <b/>
            <sz val="8"/>
            <color indexed="81"/>
            <rFont val="Tahoma"/>
            <family val="2"/>
          </rPr>
          <t xml:space="preserve">pjm:  From 24Jan07 </t>
        </r>
      </text>
    </comment>
    <comment ref="I15" authorId="0" shapeId="0" xr:uid="{6AD5BB8C-2F6C-D74E-850C-61B983642874}">
      <text>
        <r>
          <rPr>
            <sz val="8"/>
            <color indexed="81"/>
            <rFont val="Tahoma"/>
            <family val="2"/>
          </rPr>
          <t>All N cycling and ancillary data for plat 1 only due to problems with plat 2 data</t>
        </r>
      </text>
    </comment>
    <comment ref="V15" authorId="0" shapeId="0" xr:uid="{74F2F543-9A38-4444-AB81-574B7FE1D6F5}">
      <text>
        <r>
          <rPr>
            <b/>
            <sz val="8"/>
            <color indexed="81"/>
            <rFont val="Tahoma"/>
            <family val="2"/>
          </rPr>
          <t>One station, DN</t>
        </r>
      </text>
    </comment>
    <comment ref="W15" authorId="0" shapeId="0" xr:uid="{E9FD43DF-8129-774F-8A33-B6A5E92BC4DA}">
      <text>
        <r>
          <rPr>
            <b/>
            <sz val="8"/>
            <color indexed="81"/>
            <rFont val="Tahoma"/>
            <family val="2"/>
          </rPr>
          <t>One station, DN</t>
        </r>
      </text>
    </comment>
    <comment ref="Y15" authorId="0" shapeId="0" xr:uid="{24467103-7F8E-F34C-B86B-D1B8831D48AD}">
      <text>
        <r>
          <rPr>
            <b/>
            <sz val="8"/>
            <color indexed="8"/>
            <rFont val="Tahoma"/>
            <family val="2"/>
          </rPr>
          <t>pjm: 1st plateau data only.  2nd plateau value was about 6-fold lower yet kden values were very similar between plateaus and fits were very good.  Kden was about 3 times kNO3 for 2nd plateau, so assume 2nd plateau kNO3 is bad.</t>
        </r>
      </text>
    </comment>
    <comment ref="AB15" authorId="0" shapeId="0" xr:uid="{A6480AED-E4E2-2C47-8637-A47620211C35}">
      <text>
        <r>
          <rPr>
            <b/>
            <sz val="8"/>
            <color indexed="81"/>
            <rFont val="Tahoma"/>
            <family val="2"/>
          </rPr>
          <t>pjm:  This is 1st plateau value only.  Very good model fit on both plateaus and very little variation in kden between plateaus despite large variation in kNO3 between plateaus.
Model fit not very sensitive to kNO3.  Therefore, kNO3 on second plateau likely is bad and we do not use.</t>
        </r>
      </text>
    </comment>
    <comment ref="A16" authorId="0" shapeId="0" xr:uid="{76D17494-0132-4B4A-896F-B9C37CCFA7FA}">
      <text>
        <r>
          <rPr>
            <b/>
            <sz val="8"/>
            <color indexed="81"/>
            <rFont val="Tahoma"/>
            <family val="2"/>
          </rPr>
          <t>pjm:  From 3Oct06 file</t>
        </r>
      </text>
    </comment>
    <comment ref="Y16" authorId="0" shapeId="0" xr:uid="{6FA15F5E-3CFE-D145-8BBE-771AFA1BFF8E}">
      <text>
        <r>
          <rPr>
            <b/>
            <sz val="8"/>
            <color indexed="81"/>
            <rFont val="Tahoma"/>
            <family val="2"/>
          </rPr>
          <t>pjm: About 10-fold difference between 1st and 2nd plateau values.  Regressions for kNO3 not great. Large increase in flow between sta 1 and 2.  So this average has lots of uncertainty.</t>
        </r>
      </text>
    </comment>
    <comment ref="AB16" authorId="0" shapeId="0" xr:uid="{7B6DD496-D490-B445-8E11-7EDE08607F00}">
      <text>
        <r>
          <rPr>
            <b/>
            <sz val="8"/>
            <color indexed="81"/>
            <rFont val="Tahoma"/>
            <family val="2"/>
          </rPr>
          <t>Moderately good fits, although some scatter in data</t>
        </r>
      </text>
    </comment>
    <comment ref="AC16" authorId="0" shapeId="0" xr:uid="{4B006891-65B9-4C41-858E-9D8348D4D127}">
      <text>
        <r>
          <rPr>
            <b/>
            <sz val="8"/>
            <color indexed="81"/>
            <rFont val="Tahoma"/>
            <family val="2"/>
          </rPr>
          <t>Pretty good fits despite del values 100-200</t>
        </r>
      </text>
    </comment>
    <comment ref="A17" authorId="1" shapeId="0" xr:uid="{A4F12FF4-908E-974A-B762-210E8DC95683}">
      <text>
        <r>
          <rPr>
            <b/>
            <sz val="8"/>
            <color indexed="81"/>
            <rFont val="Tahoma"/>
            <family val="2"/>
          </rPr>
          <t>from 10Jan07 file</t>
        </r>
      </text>
    </comment>
    <comment ref="AB17" authorId="0" shapeId="0" xr:uid="{DDC87E6B-125B-5340-82DF-EEA96FBD8772}">
      <text>
        <r>
          <rPr>
            <b/>
            <sz val="8"/>
            <color indexed="81"/>
            <rFont val="Tahoma"/>
            <family val="2"/>
          </rPr>
          <t>Only 2nd plat data met model fitting criteria.  Fit is not very good.</t>
        </r>
        <r>
          <rPr>
            <sz val="8"/>
            <color indexed="81"/>
            <rFont val="Tahoma"/>
            <family val="2"/>
          </rPr>
          <t xml:space="preserve">
</t>
        </r>
      </text>
    </comment>
    <comment ref="AC17" authorId="0" shapeId="0" xr:uid="{A086B31B-E2F8-AC41-8214-B43A07F9627D}">
      <text>
        <r>
          <rPr>
            <b/>
            <sz val="8"/>
            <color indexed="81"/>
            <rFont val="Tahoma"/>
            <family val="2"/>
          </rPr>
          <t>Only 1st plateau data met model fitting criteria.  Fit is not good.  Del values &lt;100</t>
        </r>
        <r>
          <rPr>
            <sz val="8"/>
            <color indexed="81"/>
            <rFont val="Tahoma"/>
            <family val="2"/>
          </rPr>
          <t xml:space="preserve">
</t>
        </r>
      </text>
    </comment>
    <comment ref="A18" authorId="1" shapeId="0" xr:uid="{CEED04E0-4118-E44D-93B4-BB980D3BEF45}">
      <text>
        <r>
          <rPr>
            <b/>
            <sz val="8"/>
            <color indexed="81"/>
            <rFont val="Tahoma"/>
            <family val="2"/>
          </rPr>
          <t>From 10Jan07 file</t>
        </r>
      </text>
    </comment>
    <comment ref="AB18" authorId="0" shapeId="0" xr:uid="{81640F56-5934-324E-BD91-9277DD4E5DA6}">
      <text>
        <r>
          <rPr>
            <b/>
            <sz val="8"/>
            <color indexed="81"/>
            <rFont val="Tahoma"/>
            <family val="2"/>
          </rPr>
          <t>Data meet model fitting criteria although fits are not good.  MLE analysis indicates kden values are constrained above 0 so we will use both plat values.</t>
        </r>
      </text>
    </comment>
    <comment ref="AC18" authorId="0" shapeId="0" xr:uid="{2BB89BEE-7346-6C41-BF02-CC09BDE292AD}">
      <text>
        <r>
          <rPr>
            <b/>
            <sz val="8"/>
            <color indexed="81"/>
            <rFont val="Tahoma"/>
            <family val="2"/>
          </rPr>
          <t>Although data meet model fitting criteria for both plateaus, fits are poor del values are &lt;100</t>
        </r>
      </text>
    </comment>
    <comment ref="A19" authorId="1" shapeId="0" xr:uid="{DB956030-E489-AF4D-9399-C91DF99E5839}">
      <text>
        <r>
          <rPr>
            <b/>
            <sz val="8"/>
            <color indexed="81"/>
            <rFont val="Tahoma"/>
            <family val="2"/>
          </rPr>
          <t>from 10Jan07 file</t>
        </r>
      </text>
    </comment>
    <comment ref="V19" authorId="0" shapeId="0" xr:uid="{AC9A922D-B736-4642-8342-7AD17B73A07E}">
      <text>
        <r>
          <rPr>
            <b/>
            <sz val="8"/>
            <color indexed="81"/>
            <rFont val="Tahoma"/>
            <family val="2"/>
          </rPr>
          <t>One station DN</t>
        </r>
        <r>
          <rPr>
            <sz val="8"/>
            <color indexed="81"/>
            <rFont val="Tahoma"/>
            <family val="2"/>
          </rPr>
          <t xml:space="preserve">
</t>
        </r>
      </text>
    </comment>
    <comment ref="W19" authorId="0" shapeId="0" xr:uid="{07F9A734-3687-6245-AEC5-FAF0CC63BBC2}">
      <text>
        <r>
          <rPr>
            <b/>
            <sz val="8"/>
            <color indexed="81"/>
            <rFont val="Tahoma"/>
            <family val="2"/>
          </rPr>
          <t>One station DN</t>
        </r>
        <r>
          <rPr>
            <sz val="8"/>
            <color indexed="81"/>
            <rFont val="Tahoma"/>
            <family val="2"/>
          </rPr>
          <t xml:space="preserve">
</t>
        </r>
      </text>
    </comment>
    <comment ref="AC19" authorId="0" shapeId="0" xr:uid="{B264F7E3-E152-7649-8658-BDD25EB3DE8B}">
      <text>
        <r>
          <rPr>
            <b/>
            <sz val="8"/>
            <color indexed="81"/>
            <rFont val="Tahoma"/>
            <family val="2"/>
          </rPr>
          <t>Does not meet model fit criteria</t>
        </r>
        <r>
          <rPr>
            <sz val="8"/>
            <color indexed="81"/>
            <rFont val="Tahoma"/>
            <family val="2"/>
          </rPr>
          <t xml:space="preserve">
</t>
        </r>
      </text>
    </comment>
    <comment ref="A20" authorId="0" shapeId="0" xr:uid="{8AC83D11-7900-614C-94EF-E3F1AA149A3F}">
      <text>
        <r>
          <rPr>
            <b/>
            <sz val="8"/>
            <color indexed="81"/>
            <rFont val="Tahoma"/>
            <family val="2"/>
          </rPr>
          <t>pjm:  from 5Jan07 file</t>
        </r>
      </text>
    </comment>
    <comment ref="V20" authorId="0" shapeId="0" xr:uid="{C9C150E1-2B98-FF46-BBC8-C357DCBD398C}">
      <text>
        <r>
          <rPr>
            <b/>
            <sz val="8"/>
            <color indexed="81"/>
            <rFont val="Tahoma"/>
            <family val="2"/>
          </rPr>
          <t>1 station at DN</t>
        </r>
        <r>
          <rPr>
            <sz val="8"/>
            <color indexed="81"/>
            <rFont val="Tahoma"/>
            <family val="2"/>
          </rPr>
          <t xml:space="preserve">
</t>
        </r>
      </text>
    </comment>
    <comment ref="W20" authorId="0" shapeId="0" xr:uid="{F45B3A78-DC6B-4B44-82F0-E1E33D51B42B}">
      <text>
        <r>
          <rPr>
            <b/>
            <sz val="8"/>
            <color indexed="81"/>
            <rFont val="Tahoma"/>
            <family val="2"/>
          </rPr>
          <t>1 station at DN</t>
        </r>
        <r>
          <rPr>
            <sz val="8"/>
            <color indexed="81"/>
            <rFont val="Tahoma"/>
            <family val="2"/>
          </rPr>
          <t xml:space="preserve">
</t>
        </r>
      </text>
    </comment>
    <comment ref="Y20" authorId="0" shapeId="0" xr:uid="{349DDF5E-1D8E-B74E-AFBE-9A26B4518199}">
      <text>
        <r>
          <rPr>
            <b/>
            <sz val="8"/>
            <color indexed="81"/>
            <rFont val="Tahoma"/>
            <family val="2"/>
          </rPr>
          <t>Problems with 1st plat 15NO3 data, used only 2nd plat values for kNO3.</t>
        </r>
      </text>
    </comment>
    <comment ref="A21" authorId="0" shapeId="0" xr:uid="{F0A5723C-4B7E-794B-8B69-D0010D1E1DE8}">
      <text>
        <r>
          <rPr>
            <b/>
            <sz val="8"/>
            <color indexed="81"/>
            <rFont val="Tahoma"/>
            <family val="2"/>
          </rPr>
          <t>pjm: from 5Jan07 file</t>
        </r>
      </text>
    </comment>
    <comment ref="A22" authorId="0" shapeId="0" xr:uid="{6A4E0F7D-210E-0741-81A3-6766DE168595}">
      <text>
        <r>
          <rPr>
            <b/>
            <sz val="8"/>
            <color indexed="81"/>
            <rFont val="Tahoma"/>
            <family val="2"/>
          </rPr>
          <t>pjm: from 6Nov06 file</t>
        </r>
      </text>
    </comment>
    <comment ref="I22" authorId="0" shapeId="0" xr:uid="{802C0D0B-EA5C-4541-9F8F-79A9FF13B066}">
      <text>
        <r>
          <rPr>
            <b/>
            <sz val="8"/>
            <color indexed="81"/>
            <rFont val="Tahoma"/>
            <family val="2"/>
          </rPr>
          <t>pjm: Because of storm that occurred just as 2nd plateau sampling begun, values below are for 1st plateau only.</t>
        </r>
      </text>
    </comment>
    <comment ref="N22" authorId="0" shapeId="0" xr:uid="{B00C4A6F-B67C-FF48-8BF3-67E3DD47713C}">
      <text>
        <r>
          <rPr>
            <b/>
            <sz val="8"/>
            <color indexed="81"/>
            <rFont val="Tahoma"/>
            <family val="2"/>
          </rPr>
          <t>pjm: Because of storm that occurred just as 2nd plateau sampling begun, values are for 1st plateau only.</t>
        </r>
      </text>
    </comment>
    <comment ref="V22" authorId="0" shapeId="0" xr:uid="{29BCBBEE-538E-E145-BF16-7C9A0893BC1B}">
      <text>
        <r>
          <rPr>
            <b/>
            <sz val="8"/>
            <color indexed="81"/>
            <rFont val="Tahoma"/>
            <family val="2"/>
          </rPr>
          <t>1 station at DN</t>
        </r>
        <r>
          <rPr>
            <sz val="8"/>
            <color indexed="81"/>
            <rFont val="Tahoma"/>
            <family val="2"/>
          </rPr>
          <t xml:space="preserve">
</t>
        </r>
      </text>
    </comment>
    <comment ref="W22" authorId="0" shapeId="0" xr:uid="{23D1A952-9D8B-2F44-84D1-5C82F4FF8B5D}">
      <text>
        <r>
          <rPr>
            <b/>
            <sz val="8"/>
            <color indexed="81"/>
            <rFont val="Tahoma"/>
            <family val="2"/>
          </rPr>
          <t>1 station at DN</t>
        </r>
        <r>
          <rPr>
            <sz val="8"/>
            <color indexed="81"/>
            <rFont val="Tahoma"/>
            <family val="2"/>
          </rPr>
          <t xml:space="preserve">
</t>
        </r>
      </text>
    </comment>
    <comment ref="Y22" authorId="0" shapeId="0" xr:uid="{2C353865-580F-6948-B740-20B05746FB5B}">
      <text>
        <r>
          <rPr>
            <b/>
            <sz val="8"/>
            <color indexed="81"/>
            <rFont val="Tahoma"/>
            <family val="2"/>
          </rPr>
          <t xml:space="preserve">PJM:  Because of the storm that occurred prior to 2nd plateau sampling, just used 1st plateau values for all rates.
</t>
        </r>
      </text>
    </comment>
    <comment ref="Z22" authorId="0" shapeId="0" xr:uid="{F4ABC8FA-C145-1544-A629-C6321B3917FA}">
      <text>
        <r>
          <rPr>
            <b/>
            <sz val="8"/>
            <color indexed="81"/>
            <rFont val="Tahoma"/>
            <family val="2"/>
          </rPr>
          <t>pjm: Because of storm that occurred just as 2nd plateau sampling begun, values below are for 1st plateau only.</t>
        </r>
      </text>
    </comment>
    <comment ref="AA22" authorId="0" shapeId="0" xr:uid="{8EC28B73-92FA-2744-846E-F2683EBB3373}">
      <text>
        <r>
          <rPr>
            <b/>
            <sz val="8"/>
            <color indexed="81"/>
            <rFont val="Tahoma"/>
            <family val="2"/>
          </rPr>
          <t>pjm: Because of storm that occurred just as 2nd plateau sampling begun, values below are for 1st plateau only.</t>
        </r>
      </text>
    </comment>
    <comment ref="AB22" authorId="0" shapeId="0" xr:uid="{CBC4B09D-FF44-CA42-BC33-0A4F7EE189C9}">
      <text>
        <r>
          <rPr>
            <b/>
            <sz val="8"/>
            <color indexed="81"/>
            <rFont val="Tahoma"/>
            <family val="2"/>
          </rPr>
          <t>Good fit!  Because of storm that occurred just as 2nd plateau sampling begun, values are for 1st plateau only.</t>
        </r>
      </text>
    </comment>
    <comment ref="AC22" authorId="0" shapeId="0" xr:uid="{C4C7EF38-89D0-BF42-8EAC-FC9D345B9D68}">
      <text>
        <r>
          <rPr>
            <b/>
            <sz val="8"/>
            <color indexed="81"/>
            <rFont val="Tahoma"/>
            <family val="2"/>
          </rPr>
          <t>Good fit!  Because of storm that occurred just as 2nd plateau sampling begun, values are for 1st plateau only.</t>
        </r>
      </text>
    </comment>
    <comment ref="AE22" authorId="0" shapeId="0" xr:uid="{E3BC3373-0A1B-2C44-867D-1939E17FBE66}">
      <text>
        <r>
          <rPr>
            <b/>
            <sz val="8"/>
            <color indexed="81"/>
            <rFont val="Tahoma"/>
            <family val="2"/>
          </rPr>
          <t>pjm: Because of storm that occurred just as 2nd plateau sampling begun, values below are for 1st plateau only.</t>
        </r>
      </text>
    </comment>
    <comment ref="AF22" authorId="0" shapeId="0" xr:uid="{5B47973C-E939-DF40-9F77-6DAA68603960}">
      <text>
        <r>
          <rPr>
            <b/>
            <sz val="8"/>
            <color indexed="81"/>
            <rFont val="Tahoma"/>
            <family val="2"/>
          </rPr>
          <t>pjm: Because of storm that occurred just as 2nd plateau sampling begun, values below are for 1st plateau only.</t>
        </r>
      </text>
    </comment>
    <comment ref="AG22" authorId="0" shapeId="0" xr:uid="{F9610AA4-AC48-0A4D-A4E7-BC141718A525}">
      <text>
        <r>
          <rPr>
            <b/>
            <sz val="8"/>
            <color indexed="81"/>
            <rFont val="Tahoma"/>
            <family val="2"/>
          </rPr>
          <t>pjm: Because of storm that occurred just as 2nd plateau sampling begun, values below are for 1st plateau only.</t>
        </r>
      </text>
    </comment>
    <comment ref="AH22" authorId="0" shapeId="0" xr:uid="{B2006F3B-C8E1-3445-8A62-1BABC535E31A}">
      <text>
        <r>
          <rPr>
            <b/>
            <sz val="8"/>
            <color indexed="81"/>
            <rFont val="Tahoma"/>
            <family val="2"/>
          </rPr>
          <t>pjm: Because of storm that occurred just as 2nd plateau sampling begun, values below are for 1st plateau only.</t>
        </r>
      </text>
    </comment>
    <comment ref="AI22" authorId="0" shapeId="0" xr:uid="{204C17C6-3BAB-A84B-8DA5-ECA93E902D3E}">
      <text>
        <r>
          <rPr>
            <b/>
            <sz val="8"/>
            <color indexed="81"/>
            <rFont val="Tahoma"/>
            <family val="2"/>
          </rPr>
          <t>pjm: Because of storm that occurred just as 2nd plateau sampling begun, values below are for 1st plateau only.</t>
        </r>
      </text>
    </comment>
    <comment ref="A23" authorId="0" shapeId="0" xr:uid="{E864F118-AC68-1845-AD0D-526CB2CE6A9C}">
      <text>
        <r>
          <rPr>
            <b/>
            <sz val="8"/>
            <color indexed="81"/>
            <rFont val="Tahoma"/>
            <family val="2"/>
          </rPr>
          <t>pjm: From 6Nov06 file</t>
        </r>
      </text>
    </comment>
    <comment ref="AB23" authorId="0" shapeId="0" xr:uid="{4C85CCEB-D2C9-754A-92BF-64948B99EA4D}">
      <text>
        <r>
          <rPr>
            <b/>
            <sz val="8"/>
            <color indexed="81"/>
            <rFont val="Tahoma"/>
            <family val="2"/>
          </rPr>
          <t>pjm: No PRE MSU data so used 1 PRE UC-Davis value for calculations using the plateau MSU data.  Model fit looks pretty good, but uncertainty on PRE values.</t>
        </r>
      </text>
    </comment>
    <comment ref="AC23" authorId="0" shapeId="0" xr:uid="{9F4A2E72-E5B3-5341-9ECE-04977768A5A3}">
      <text>
        <r>
          <rPr>
            <b/>
            <sz val="8"/>
            <color indexed="8"/>
            <rFont val="Tahoma"/>
            <family val="2"/>
          </rPr>
          <t>Only 1 PRE value, Poor shape to fit (model hump too far up), del value &lt;110</t>
        </r>
      </text>
    </comment>
    <comment ref="A24" authorId="0" shapeId="0" xr:uid="{601EC739-EC22-5146-AF12-3D2F4AC708A9}">
      <text>
        <r>
          <rPr>
            <b/>
            <sz val="8"/>
            <color indexed="81"/>
            <rFont val="Tahoma"/>
            <family val="2"/>
          </rPr>
          <t>pjm: From 6Nov06 file</t>
        </r>
      </text>
    </comment>
    <comment ref="V24" authorId="0" shapeId="0" xr:uid="{B42F069F-97ED-D44B-80A5-58C66FEBC36D}">
      <text>
        <r>
          <rPr>
            <b/>
            <sz val="8"/>
            <color indexed="81"/>
            <rFont val="Tahoma"/>
            <family val="2"/>
          </rPr>
          <t>1 station at DN</t>
        </r>
        <r>
          <rPr>
            <sz val="8"/>
            <color indexed="81"/>
            <rFont val="Tahoma"/>
            <family val="2"/>
          </rPr>
          <t xml:space="preserve">
</t>
        </r>
      </text>
    </comment>
    <comment ref="W24" authorId="0" shapeId="0" xr:uid="{19F88DF1-181A-C449-BBDB-453205180720}">
      <text>
        <r>
          <rPr>
            <b/>
            <sz val="8"/>
            <color indexed="81"/>
            <rFont val="Tahoma"/>
            <family val="2"/>
          </rPr>
          <t>1 station at DN</t>
        </r>
      </text>
    </comment>
    <comment ref="AB24" authorId="0" shapeId="0" xr:uid="{E4DA7D06-93EA-9342-9C67-C000BDE5440C}">
      <text>
        <r>
          <rPr>
            <b/>
            <sz val="8"/>
            <color indexed="81"/>
            <rFont val="Tahoma"/>
            <family val="2"/>
          </rPr>
          <t>pjm: Model fit shapes not good (model hump too far up, but data show nice hump).</t>
        </r>
      </text>
    </comment>
    <comment ref="AC24" authorId="0" shapeId="0" xr:uid="{868FF51C-CDCF-3642-B4AD-79421B6FEC77}">
      <text>
        <r>
          <rPr>
            <b/>
            <sz val="8"/>
            <color indexed="81"/>
            <rFont val="Tahoma"/>
            <family val="2"/>
          </rPr>
          <t>pjm: Model fit shapes not good (model hump too far up, data show nice hump), del values 200-300.</t>
        </r>
      </text>
    </comment>
    <comment ref="A25" authorId="0" shapeId="0" xr:uid="{889C1BE9-03B1-2743-A3C8-42C50D8F5916}">
      <text>
        <r>
          <rPr>
            <b/>
            <sz val="8"/>
            <color indexed="81"/>
            <rFont val="Tahoma"/>
            <family val="2"/>
          </rPr>
          <t>pjm: From 6Nov06 file</t>
        </r>
      </text>
    </comment>
    <comment ref="V25" authorId="0" shapeId="0" xr:uid="{EB89BEAB-9AEA-3E43-825F-3E49005FBAE7}">
      <text>
        <r>
          <rPr>
            <b/>
            <sz val="8"/>
            <color indexed="81"/>
            <rFont val="Tahoma"/>
            <family val="2"/>
          </rPr>
          <t>1 station at DN</t>
        </r>
        <r>
          <rPr>
            <sz val="8"/>
            <color indexed="81"/>
            <rFont val="Tahoma"/>
            <family val="2"/>
          </rPr>
          <t xml:space="preserve">
</t>
        </r>
      </text>
    </comment>
    <comment ref="W25" authorId="0" shapeId="0" xr:uid="{334CC433-E98D-5346-95AE-A1F48BDC8F61}">
      <text>
        <r>
          <rPr>
            <b/>
            <sz val="8"/>
            <color indexed="81"/>
            <rFont val="Tahoma"/>
            <family val="2"/>
          </rPr>
          <t>1 station at DN</t>
        </r>
        <r>
          <rPr>
            <sz val="8"/>
            <color indexed="81"/>
            <rFont val="Tahoma"/>
            <family val="2"/>
          </rPr>
          <t xml:space="preserve">
</t>
        </r>
      </text>
    </comment>
    <comment ref="AB25" authorId="0" shapeId="0" xr:uid="{21B653F4-10AF-574D-BAF1-495A6BE7C158}">
      <text>
        <r>
          <rPr>
            <b/>
            <sz val="8"/>
            <color indexed="81"/>
            <rFont val="Tahoma"/>
            <family val="2"/>
          </rPr>
          <t>Model fit shape is not very good (hump too far upstr) but data show nice hump shape (k2 too high?)</t>
        </r>
      </text>
    </comment>
    <comment ref="AC25" authorId="0" shapeId="0" xr:uid="{7890C781-47D6-154D-973F-27208AEDE874}">
      <text>
        <r>
          <rPr>
            <b/>
            <sz val="8"/>
            <color indexed="81"/>
            <rFont val="Tahoma"/>
            <family val="2"/>
          </rPr>
          <t>Model fit shape is not very good (hump too far upstr) but data beautiful (k2 too high?)</t>
        </r>
      </text>
    </comment>
    <comment ref="A26" authorId="0" shapeId="0" xr:uid="{46C21BEB-2607-6F43-A1AF-2A8E225933A1}">
      <text>
        <r>
          <rPr>
            <b/>
            <sz val="8"/>
            <color indexed="81"/>
            <rFont val="Tahoma"/>
            <family val="2"/>
          </rPr>
          <t>From 6Nov06 file</t>
        </r>
      </text>
    </comment>
    <comment ref="Y26" authorId="0" shapeId="0" xr:uid="{3C2F016A-1187-984B-B7C6-808B76A31CB0}">
      <text>
        <r>
          <rPr>
            <b/>
            <sz val="8"/>
            <color indexed="81"/>
            <rFont val="Tahoma"/>
            <family val="2"/>
          </rPr>
          <t>No tracer 15NO3 uptake</t>
        </r>
      </text>
    </comment>
    <comment ref="A27" authorId="0" shapeId="0" xr:uid="{0B8615C7-2D25-A541-899A-D83A9ED0D961}">
      <text>
        <r>
          <rPr>
            <b/>
            <sz val="8"/>
            <color indexed="81"/>
            <rFont val="Tahoma"/>
            <family val="2"/>
          </rPr>
          <t>From 6Nov06 file</t>
        </r>
      </text>
    </comment>
    <comment ref="V27" authorId="0" shapeId="0" xr:uid="{A03B81E2-7126-CD4D-86DB-17B1AA69224F}">
      <text>
        <r>
          <rPr>
            <b/>
            <sz val="8"/>
            <color indexed="81"/>
            <rFont val="Tahoma"/>
            <family val="2"/>
          </rPr>
          <t>1 station method at DN site</t>
        </r>
      </text>
    </comment>
    <comment ref="W27" authorId="0" shapeId="0" xr:uid="{F00DC7F1-B993-F142-B98C-8E11C3433036}">
      <text>
        <r>
          <rPr>
            <b/>
            <sz val="8"/>
            <color indexed="81"/>
            <rFont val="Tahoma"/>
            <family val="2"/>
          </rPr>
          <t>1 station method at DN site</t>
        </r>
      </text>
    </comment>
    <comment ref="AB27" authorId="0" shapeId="0" xr:uid="{83C896CA-4D49-B145-9FF1-AC95CE086FD5}">
      <text>
        <r>
          <rPr>
            <b/>
            <sz val="8"/>
            <color indexed="81"/>
            <rFont val="Tahoma"/>
            <family val="2"/>
          </rPr>
          <t>Data show nice hump shape, but model has hump too far upstr (but not bad fit)</t>
        </r>
        <r>
          <rPr>
            <sz val="8"/>
            <color indexed="81"/>
            <rFont val="Tahoma"/>
            <family val="2"/>
          </rPr>
          <t xml:space="preserve">
</t>
        </r>
      </text>
    </comment>
    <comment ref="A28" authorId="0" shapeId="0" xr:uid="{932D4A6F-B493-3243-A0DD-884D8B2B597C}">
      <text>
        <r>
          <rPr>
            <b/>
            <sz val="8"/>
            <color indexed="81"/>
            <rFont val="Tahoma"/>
            <family val="2"/>
          </rPr>
          <t>from 6NOv06 file</t>
        </r>
      </text>
    </comment>
    <comment ref="A29" authorId="0" shapeId="0" xr:uid="{3FA41CF3-7B5D-FE41-AD85-30B53C998B18}">
      <text>
        <r>
          <rPr>
            <b/>
            <sz val="8"/>
            <color indexed="81"/>
            <rFont val="Tahoma"/>
            <family val="2"/>
          </rPr>
          <t>pjm: from 3Oct06 file</t>
        </r>
      </text>
    </comment>
    <comment ref="AB29" authorId="0" shapeId="0" xr:uid="{87665C56-9E4C-8C4E-A41F-F0CBD18CD267}">
      <text>
        <r>
          <rPr>
            <b/>
            <sz val="8"/>
            <color indexed="81"/>
            <rFont val="Tahoma"/>
            <family val="2"/>
          </rPr>
          <t>2nd plat only, barely met fit criteria, fit not good but MLE anlaysis shows reasonably constrained kden</t>
        </r>
      </text>
    </comment>
    <comment ref="AC29" authorId="0" shapeId="0" xr:uid="{8EBDFB21-1261-6B48-B108-7F157149951F}">
      <text>
        <r>
          <rPr>
            <b/>
            <sz val="8"/>
            <color indexed="81"/>
            <rFont val="Tahoma"/>
            <family val="2"/>
          </rPr>
          <t>mode fit criteria not met</t>
        </r>
      </text>
    </comment>
    <comment ref="BA29" authorId="0" shapeId="0" xr:uid="{D3306190-317E-8E4C-8061-07194E6EA419}">
      <text>
        <r>
          <rPr>
            <b/>
            <sz val="8"/>
            <color indexed="81"/>
            <rFont val="Tahoma"/>
            <family val="2"/>
          </rPr>
          <t>pjm:  Used acetylene and converted to kprop</t>
        </r>
      </text>
    </comment>
    <comment ref="A30" authorId="0" shapeId="0" xr:uid="{7E9523D2-FBD9-1940-9B49-2F8323808EC7}">
      <text>
        <r>
          <rPr>
            <b/>
            <sz val="8"/>
            <color indexed="81"/>
            <rFont val="Tahoma"/>
            <family val="2"/>
          </rPr>
          <t>pjm: from 15Dec06 file</t>
        </r>
      </text>
    </comment>
    <comment ref="AB30" authorId="0" shapeId="0" xr:uid="{F8603228-FCE2-1648-A53B-B6ACDCEB1D74}">
      <text>
        <r>
          <rPr>
            <b/>
            <sz val="8"/>
            <color indexed="81"/>
            <rFont val="Tahoma"/>
            <family val="2"/>
          </rPr>
          <t>Did not meet model fitting criteria</t>
        </r>
      </text>
    </comment>
    <comment ref="AC30" authorId="0" shapeId="0" xr:uid="{AA75F478-5E42-1F44-B063-6BD7AE0FA60B}">
      <text>
        <r>
          <rPr>
            <b/>
            <sz val="8"/>
            <color indexed="81"/>
            <rFont val="Tahoma"/>
            <family val="2"/>
          </rPr>
          <t>Model fit ok, lots of scatter in data</t>
        </r>
      </text>
    </comment>
    <comment ref="BA30" authorId="0" shapeId="0" xr:uid="{1BAC3DB3-FFC6-FA4D-ABA0-ED36E2F03D23}">
      <text>
        <r>
          <rPr>
            <b/>
            <sz val="8"/>
            <color indexed="81"/>
            <rFont val="Tahoma"/>
            <family val="2"/>
          </rPr>
          <t>pjm:  Used acetylene and converted to kprop</t>
        </r>
      </text>
    </comment>
    <comment ref="A31" authorId="0" shapeId="0" xr:uid="{26457552-ACDB-5B48-841B-0177108B44CC}">
      <text>
        <r>
          <rPr>
            <b/>
            <sz val="8"/>
            <color indexed="81"/>
            <rFont val="Tahoma"/>
            <family val="2"/>
          </rPr>
          <t>pjm: from 10Oct06 file</t>
        </r>
      </text>
    </comment>
    <comment ref="BA31" authorId="0" shapeId="0" xr:uid="{73D2C81E-75F7-E846-894B-43E97E2E5A8F}">
      <text>
        <r>
          <rPr>
            <b/>
            <sz val="8"/>
            <color indexed="81"/>
            <rFont val="Tahoma"/>
            <family val="2"/>
          </rPr>
          <t>pjm:  Used acetylene and converted to kprop</t>
        </r>
      </text>
    </comment>
    <comment ref="A32" authorId="0" shapeId="0" xr:uid="{172F270E-BB50-F64C-977C-8CB956DB27A2}">
      <text>
        <r>
          <rPr>
            <b/>
            <sz val="8"/>
            <color indexed="81"/>
            <rFont val="Tahoma"/>
            <family val="2"/>
          </rPr>
          <t>pjm:  Used 20Jul06 file</t>
        </r>
      </text>
    </comment>
    <comment ref="U32" authorId="0" shapeId="0" xr:uid="{803A36FE-CE6D-D94D-9AC2-3B7B1C97EAAC}">
      <text>
        <r>
          <rPr>
            <b/>
            <sz val="8"/>
            <color indexed="81"/>
            <rFont val="Tahoma"/>
            <family val="2"/>
          </rPr>
          <t>pjm: Estimated based on open PAR measurement and 0.375 fractional shading of channel</t>
        </r>
      </text>
    </comment>
    <comment ref="V32" authorId="0" shapeId="0" xr:uid="{4B8F4D9D-5554-0E4D-8777-BE3A9246342D}">
      <text>
        <r>
          <rPr>
            <b/>
            <sz val="8"/>
            <color indexed="81"/>
            <rFont val="Tahoma"/>
            <family val="2"/>
          </rPr>
          <t>1-station at DN station</t>
        </r>
      </text>
    </comment>
    <comment ref="W32" authorId="0" shapeId="0" xr:uid="{44115A20-E9A6-574B-BA11-7945B62548F3}">
      <text>
        <r>
          <rPr>
            <b/>
            <sz val="8"/>
            <color indexed="81"/>
            <rFont val="Tahoma"/>
            <family val="2"/>
          </rPr>
          <t>1-station at DN station</t>
        </r>
      </text>
    </comment>
    <comment ref="Y32" authorId="0" shapeId="0" xr:uid="{4CBAE2F1-7C39-4842-B006-BF6DC8648873}">
      <text>
        <r>
          <rPr>
            <b/>
            <sz val="8"/>
            <color indexed="81"/>
            <rFont val="Tahoma"/>
            <family val="2"/>
          </rPr>
          <t>pjm:  del15NO3 data highly variable on both plateaus, thus rates have large uncertainty</t>
        </r>
      </text>
    </comment>
    <comment ref="AB32" authorId="0" shapeId="0" xr:uid="{C6A0CD5C-056A-A542-989C-5D5D11A6876C}">
      <text>
        <r>
          <rPr>
            <b/>
            <sz val="8"/>
            <color indexed="81"/>
            <rFont val="Tahoma"/>
            <family val="2"/>
          </rPr>
          <t>pjm: No data from MSU, although met fit criteria on 2nd plat, MLE analysis showed poorly constrained (95% CI of kden values overlapped 0) and model fit very poor, also no evidence of tracer N2O production, therefore assume N2 production below detection</t>
        </r>
      </text>
    </comment>
    <comment ref="AC32" authorId="0" shapeId="0" xr:uid="{E9D8C352-83DC-0848-BDA0-8D52757FAC55}">
      <text>
        <r>
          <rPr>
            <b/>
            <sz val="8"/>
            <color indexed="81"/>
            <rFont val="Tahoma"/>
            <family val="2"/>
          </rPr>
          <t xml:space="preserve">pjm: Did not meet model fitting criteria, </t>
        </r>
      </text>
    </comment>
    <comment ref="BA32" authorId="0" shapeId="0" xr:uid="{382A9929-D3C0-2149-8328-716366CAE928}">
      <text>
        <r>
          <rPr>
            <b/>
            <sz val="8"/>
            <color indexed="81"/>
            <rFont val="Tahoma"/>
            <family val="2"/>
          </rPr>
          <t>pjm:  Used acetylene and converted to kprop</t>
        </r>
      </text>
    </comment>
    <comment ref="A33" authorId="0" shapeId="0" xr:uid="{AB97080E-FF8F-D749-B747-A04436F733B1}">
      <text>
        <r>
          <rPr>
            <b/>
            <sz val="8"/>
            <color indexed="81"/>
            <rFont val="Tahoma"/>
            <family val="2"/>
          </rPr>
          <t>pjm:  Used 20Jul06
 file</t>
        </r>
      </text>
    </comment>
    <comment ref="U33" authorId="0" shapeId="0" xr:uid="{1B30540D-35D4-7E4B-BC14-68BB78713F6E}">
      <text>
        <r>
          <rPr>
            <b/>
            <sz val="8"/>
            <color indexed="81"/>
            <rFont val="Tahoma"/>
            <family val="2"/>
          </rPr>
          <t>pjm: Estimated based on open PAR measurement and 0.439 fractional shading of channel</t>
        </r>
      </text>
    </comment>
    <comment ref="AB33" authorId="0" shapeId="0" xr:uid="{2AB7193C-1A4E-504A-8D80-A551EC60661F}">
      <text>
        <r>
          <rPr>
            <b/>
            <sz val="8"/>
            <color indexed="81"/>
            <rFont val="Tahoma"/>
            <family val="2"/>
          </rPr>
          <t>Although data on 2nd plat do barely meet model fit criteria, MLE analysis indicates poorly constrained (95% CI for Kden overlaps 0)</t>
        </r>
        <r>
          <rPr>
            <sz val="8"/>
            <color indexed="81"/>
            <rFont val="Tahoma"/>
            <family val="2"/>
          </rPr>
          <t xml:space="preserve">
</t>
        </r>
      </text>
    </comment>
    <comment ref="AC33" authorId="0" shapeId="0" xr:uid="{C18E6799-75A6-3240-9FA4-700821683E81}">
      <text>
        <r>
          <rPr>
            <b/>
            <sz val="8"/>
            <color indexed="81"/>
            <rFont val="Tahoma"/>
            <family val="2"/>
          </rPr>
          <t>model fit not good, peak too early, del values &lt;100</t>
        </r>
      </text>
    </comment>
    <comment ref="BA33" authorId="0" shapeId="0" xr:uid="{A0568F4C-4AD7-B644-8B32-F73009AE8333}">
      <text>
        <r>
          <rPr>
            <b/>
            <sz val="8"/>
            <color indexed="81"/>
            <rFont val="Tahoma"/>
            <family val="2"/>
          </rPr>
          <t>pjm:  Used acetylene and converted to kprop</t>
        </r>
      </text>
    </comment>
    <comment ref="BG33" authorId="0" shapeId="0" xr:uid="{33B645CC-42A8-5546-BD0B-9F6939B4DFD1}">
      <text>
        <r>
          <rPr>
            <b/>
            <sz val="8"/>
            <color indexed="81"/>
            <rFont val="Tahoma"/>
            <family val="2"/>
          </rPr>
          <t>pjm: Transient storage expt unsuccessful</t>
        </r>
      </text>
    </comment>
    <comment ref="A34" authorId="0" shapeId="0" xr:uid="{B17A52B6-B87C-F142-A1DC-060F902105DE}">
      <text>
        <r>
          <rPr>
            <b/>
            <sz val="8"/>
            <color indexed="81"/>
            <rFont val="Tahoma"/>
            <family val="2"/>
          </rPr>
          <t>pjm:  Used 9Jan07 revised file</t>
        </r>
      </text>
    </comment>
    <comment ref="R34" authorId="0" shapeId="0" xr:uid="{C0085F51-3935-6045-BFDB-EECFEB69CF10}">
      <text>
        <r>
          <rPr>
            <b/>
            <sz val="8"/>
            <color indexed="81"/>
            <rFont val="Tahoma"/>
            <family val="2"/>
          </rPr>
          <t>revised from data based on 21Feb07 email from O'Brien</t>
        </r>
      </text>
    </comment>
    <comment ref="T34" authorId="0" shapeId="0" xr:uid="{A3ABB99A-DD44-D244-B8A8-1365BE96D678}">
      <text>
        <r>
          <rPr>
            <b/>
            <sz val="8"/>
            <color indexed="81"/>
            <rFont val="Tahoma"/>
            <family val="2"/>
          </rPr>
          <t>pjm: Very large diurnal variation in DO (about 3 to 20 mg/L)</t>
        </r>
      </text>
    </comment>
    <comment ref="U34" authorId="0" shapeId="0" xr:uid="{364023C6-D811-524A-B68A-36BACB43D96A}">
      <text>
        <r>
          <rPr>
            <b/>
            <sz val="8"/>
            <color indexed="81"/>
            <rFont val="Tahoma"/>
            <family val="2"/>
          </rPr>
          <t>pjm: open canopy stream</t>
        </r>
      </text>
    </comment>
    <comment ref="V34" authorId="0" shapeId="0" xr:uid="{9E684120-A48C-874E-936C-19B1F18D8B0C}">
      <text>
        <r>
          <rPr>
            <b/>
            <sz val="8"/>
            <color indexed="81"/>
            <rFont val="Tahoma"/>
            <family val="2"/>
          </rPr>
          <t>1-station UP value (others no good)</t>
        </r>
      </text>
    </comment>
    <comment ref="W34" authorId="0" shapeId="0" xr:uid="{98B9BE61-8FFE-0B47-A579-7416BE9DD4DA}">
      <text>
        <r>
          <rPr>
            <b/>
            <sz val="8"/>
            <color indexed="81"/>
            <rFont val="Tahoma"/>
            <family val="2"/>
          </rPr>
          <t>1-station UP value (others no good)</t>
        </r>
        <r>
          <rPr>
            <sz val="8"/>
            <color indexed="81"/>
            <rFont val="Tahoma"/>
            <family val="2"/>
          </rPr>
          <t xml:space="preserve">
</t>
        </r>
      </text>
    </comment>
    <comment ref="AC34" authorId="0" shapeId="0" xr:uid="{E4AE2A2F-CD60-734A-907C-1CCD7DB9C1CB}">
      <text>
        <r>
          <rPr>
            <b/>
            <sz val="8"/>
            <color indexed="81"/>
            <rFont val="Tahoma"/>
            <family val="2"/>
          </rPr>
          <t>plat 1 value only, plat 2 did not meet model fit criteria.  For calc of kdentot assumed plat 2 kdenN2O same as plat 1.</t>
        </r>
      </text>
    </comment>
    <comment ref="BA34" authorId="0" shapeId="0" xr:uid="{26087524-ECE4-9146-B6BB-AA933BB62365}">
      <text>
        <r>
          <rPr>
            <b/>
            <sz val="8"/>
            <color indexed="81"/>
            <rFont val="Tahoma"/>
            <family val="2"/>
          </rPr>
          <t>pjm:  Used acetylene and converted to kprop</t>
        </r>
      </text>
    </comment>
    <comment ref="BG34" authorId="0" shapeId="0" xr:uid="{4A5C13FE-6C57-6F46-B925-AE7101A57E31}">
      <text>
        <r>
          <rPr>
            <b/>
            <sz val="8"/>
            <color indexed="81"/>
            <rFont val="Tahoma"/>
            <family val="2"/>
          </rPr>
          <t>pjm: Transient storage expt unsuccessful</t>
        </r>
      </text>
    </comment>
    <comment ref="A35" authorId="0" shapeId="0" xr:uid="{2CD4E608-0A19-BA46-ADCF-5EE675F92BBD}">
      <text>
        <r>
          <rPr>
            <b/>
            <sz val="8"/>
            <color indexed="81"/>
            <rFont val="Tahoma"/>
            <family val="2"/>
          </rPr>
          <t>pjm: 3Oct06 file</t>
        </r>
      </text>
    </comment>
    <comment ref="AB35" authorId="0" shapeId="0" xr:uid="{F5AE7D7E-C4D6-9445-B7D1-8062CD9EE30E}">
      <text>
        <r>
          <rPr>
            <b/>
            <sz val="8"/>
            <color indexed="81"/>
            <rFont val="Tahoma"/>
            <family val="2"/>
          </rPr>
          <t>model fit criteria not met</t>
        </r>
      </text>
    </comment>
    <comment ref="AC35" authorId="0" shapeId="0" xr:uid="{800767F3-59DD-C046-B9D1-37C6EFF3541C}">
      <text>
        <r>
          <rPr>
            <b/>
            <sz val="8"/>
            <color indexed="81"/>
            <rFont val="Tahoma"/>
            <family val="2"/>
          </rPr>
          <t>pjm: Did not meet model fitting criteria</t>
        </r>
      </text>
    </comment>
    <comment ref="A36" authorId="0" shapeId="0" xr:uid="{5DF3280F-9BFB-E244-BCF2-9E2A05243FF9}">
      <text>
        <r>
          <rPr>
            <b/>
            <sz val="8"/>
            <color indexed="81"/>
            <rFont val="Tahoma"/>
            <family val="2"/>
          </rPr>
          <t>from 3Oct06 file</t>
        </r>
      </text>
    </comment>
    <comment ref="Y36" authorId="0" shapeId="0" xr:uid="{E997AAF9-3EA1-014B-B9CE-EE9C426F8682}">
      <text>
        <r>
          <rPr>
            <b/>
            <sz val="8"/>
            <color indexed="81"/>
            <rFont val="Tahoma"/>
            <family val="2"/>
          </rPr>
          <t>pjm: Large difference between 1st and 2nd plat (1st is 4 times greater than 2nd)</t>
        </r>
      </text>
    </comment>
    <comment ref="AB36" authorId="0" shapeId="0" xr:uid="{0F586054-E19F-C943-9961-480B2105865E}">
      <text>
        <r>
          <rPr>
            <b/>
            <sz val="8"/>
            <color indexed="81"/>
            <rFont val="Tahoma"/>
            <family val="2"/>
          </rPr>
          <t>Model fit shape does not match data very well</t>
        </r>
      </text>
    </comment>
    <comment ref="AC36" authorId="0" shapeId="0" xr:uid="{93EA9DE3-0FB9-2346-B46B-48A3EB9ACED1}">
      <text>
        <r>
          <rPr>
            <b/>
            <sz val="8"/>
            <color indexed="81"/>
            <rFont val="Tahoma"/>
            <family val="2"/>
          </rPr>
          <t>Model fit shape does not match data very well, del values &lt;100-700.</t>
        </r>
      </text>
    </comment>
    <comment ref="A37" authorId="0" shapeId="0" xr:uid="{D6EE024E-9048-384C-885C-063849948BE1}">
      <text>
        <r>
          <rPr>
            <b/>
            <sz val="8"/>
            <color indexed="81"/>
            <rFont val="Tahoma"/>
            <family val="2"/>
          </rPr>
          <t>pjm: 3Oct06 file</t>
        </r>
      </text>
    </comment>
    <comment ref="V37" authorId="0" shapeId="0" xr:uid="{7954D077-FABD-7B4A-9810-7B24F6A57431}">
      <text>
        <r>
          <rPr>
            <b/>
            <sz val="8"/>
            <color indexed="81"/>
            <rFont val="Tahoma"/>
            <family val="2"/>
          </rPr>
          <t>1-station at DN station</t>
        </r>
      </text>
    </comment>
    <comment ref="W37" authorId="0" shapeId="0" xr:uid="{9960257C-B966-DE4F-8F18-55C3F994DB6F}">
      <text>
        <r>
          <rPr>
            <b/>
            <sz val="8"/>
            <color indexed="81"/>
            <rFont val="Tahoma"/>
            <family val="2"/>
          </rPr>
          <t>1-station at DN station</t>
        </r>
      </text>
    </comment>
    <comment ref="Y37" authorId="0" shapeId="0" xr:uid="{273DB51C-6D06-3C4B-8BED-F31F225EA3D1}">
      <text>
        <r>
          <rPr>
            <b/>
            <sz val="8"/>
            <color indexed="81"/>
            <rFont val="Tahoma"/>
            <family val="2"/>
          </rPr>
          <t>pjm: Very poor fit for 1st plateau, used only 2nd plateau data</t>
        </r>
      </text>
    </comment>
    <comment ref="Z37" authorId="0" shapeId="0" xr:uid="{A05EF9B2-C8EF-8941-B487-14D8FDC55DB0}">
      <text>
        <r>
          <rPr>
            <b/>
            <sz val="8"/>
            <color indexed="81"/>
            <rFont val="Tahoma"/>
            <family val="2"/>
          </rPr>
          <t>pjm: Very poor fit for 1st plateau, used only 2nd plateau data</t>
        </r>
      </text>
    </comment>
    <comment ref="AA37" authorId="0" shapeId="0" xr:uid="{6A0B94D6-5392-A94A-B1E0-80D223A3DEB0}">
      <text>
        <r>
          <rPr>
            <b/>
            <sz val="8"/>
            <color indexed="81"/>
            <rFont val="Tahoma"/>
            <family val="2"/>
          </rPr>
          <t>pjm: Very poor fit for 1st plateau, used only 2nd plateau data</t>
        </r>
      </text>
    </comment>
    <comment ref="AC37" authorId="0" shapeId="0" xr:uid="{7FB2ACCD-D424-6442-838D-3EE985CF468A}">
      <text>
        <r>
          <rPr>
            <b/>
            <sz val="8"/>
            <color indexed="81"/>
            <rFont val="Tahoma"/>
            <family val="2"/>
          </rPr>
          <t>Model fit ok, del values &gt;500 at only 2 stations (values 200-600)</t>
        </r>
      </text>
    </comment>
    <comment ref="A38" authorId="0" shapeId="0" xr:uid="{2C2B58E9-3953-E742-8C0D-DBDB0C660D17}">
      <text>
        <r>
          <rPr>
            <b/>
            <sz val="8"/>
            <color indexed="81"/>
            <rFont val="Tahoma"/>
            <family val="2"/>
          </rPr>
          <t>pjm: from 6Nov06 file</t>
        </r>
      </text>
    </comment>
    <comment ref="V38" authorId="0" shapeId="0" xr:uid="{70F8A8D6-C281-CD46-A4B7-14198241C78D}">
      <text>
        <r>
          <rPr>
            <b/>
            <sz val="8"/>
            <color indexed="81"/>
            <rFont val="Tahoma"/>
            <family val="2"/>
          </rPr>
          <t>1-station at UP,  Used Bob Hall's calculations for all WY streams</t>
        </r>
      </text>
    </comment>
    <comment ref="W38" authorId="0" shapeId="0" xr:uid="{72AD4396-7A6F-9A4F-9647-86D97BB00654}">
      <text>
        <r>
          <rPr>
            <b/>
            <sz val="8"/>
            <color indexed="81"/>
            <rFont val="Tahoma"/>
            <family val="2"/>
          </rPr>
          <t>1 station at up,  Used Bob Hall's calculations for all WY streams</t>
        </r>
      </text>
    </comment>
    <comment ref="AB38" authorId="0" shapeId="0" xr:uid="{8F0635A2-76F0-6C40-9CD8-CD98E2670D9E}">
      <text>
        <r>
          <rPr>
            <b/>
            <sz val="8"/>
            <color indexed="81"/>
            <rFont val="Tahoma"/>
            <family val="2"/>
          </rPr>
          <t>model fit criteria not met</t>
        </r>
      </text>
    </comment>
    <comment ref="AC38" authorId="0" shapeId="0" xr:uid="{EE66A3AD-C030-CD49-8BF8-74B5E846015A}">
      <text>
        <r>
          <rPr>
            <b/>
            <sz val="8"/>
            <color indexed="81"/>
            <rFont val="Tahoma"/>
            <family val="2"/>
          </rPr>
          <t>pjm: Used only 1st plat value (but del values &lt;25), 2nd plat did not meet fitting criteria</t>
        </r>
      </text>
    </comment>
    <comment ref="A39" authorId="0" shapeId="0" xr:uid="{DCFAB962-EB56-DA49-940F-363BF1C40C1C}">
      <text>
        <r>
          <rPr>
            <b/>
            <sz val="8"/>
            <color indexed="81"/>
            <rFont val="Tahoma"/>
            <family val="2"/>
          </rPr>
          <t>pjm: from 9Jan07 revised file</t>
        </r>
      </text>
    </comment>
    <comment ref="AB39" authorId="0" shapeId="0" xr:uid="{9D3B7FDE-25A7-9442-8FAE-41AE5494C549}">
      <text>
        <r>
          <rPr>
            <b/>
            <sz val="8"/>
            <color indexed="81"/>
            <rFont val="Tahoma"/>
            <family val="2"/>
          </rPr>
          <t>Although model fit criteria met for plat 2 (barely) MLE analysis indicates kden value poorly constrained (95% CI overlaps 0)</t>
        </r>
        <r>
          <rPr>
            <sz val="8"/>
            <color indexed="81"/>
            <rFont val="Tahoma"/>
            <family val="2"/>
          </rPr>
          <t xml:space="preserve">
</t>
        </r>
      </text>
    </comment>
    <comment ref="A40" authorId="0" shapeId="0" xr:uid="{F25F253E-A3D3-174A-BA92-079A55732BD1}">
      <text>
        <r>
          <rPr>
            <b/>
            <sz val="8"/>
            <color indexed="81"/>
            <rFont val="Tahoma"/>
            <family val="2"/>
          </rPr>
          <t>pjm: from 2Oct06 file</t>
        </r>
      </text>
    </comment>
    <comment ref="D40" authorId="0" shapeId="0" xr:uid="{AF71A317-5579-8346-AE6D-757E96E27D6D}">
      <text>
        <r>
          <rPr>
            <sz val="8"/>
            <color indexed="81"/>
            <rFont val="Tahoma"/>
            <family val="2"/>
          </rPr>
          <t>this area represents the area upstream from the diversion point of the main ditch from the Gros Ventre River.  The actual ditch we studied was diverted from the main ditch downstream from its withdrawal</t>
        </r>
      </text>
    </comment>
    <comment ref="AB40" authorId="0" shapeId="0" xr:uid="{1A4F018C-D2EF-E642-BE72-87061B14C5F7}">
      <text>
        <r>
          <rPr>
            <b/>
            <sz val="8"/>
            <color indexed="81"/>
            <rFont val="Tahoma"/>
            <family val="2"/>
          </rPr>
          <t>model fit criteria not met</t>
        </r>
        <r>
          <rPr>
            <sz val="8"/>
            <color indexed="81"/>
            <rFont val="Tahoma"/>
            <family val="2"/>
          </rPr>
          <t xml:space="preserve">
</t>
        </r>
      </text>
    </comment>
    <comment ref="AC40" authorId="0" shapeId="0" xr:uid="{60C87496-7C9D-454F-B6EC-45AD4B5DE427}">
      <text>
        <r>
          <rPr>
            <b/>
            <sz val="8"/>
            <color indexed="81"/>
            <rFont val="Tahoma"/>
            <family val="2"/>
          </rPr>
          <t>Only 2 PRE del values, model fit mediocre, del values &lt;25</t>
        </r>
      </text>
    </comment>
    <comment ref="A41" authorId="0" shapeId="0" xr:uid="{8D90B6BB-8F02-FA4A-8C0B-62954E092777}">
      <text>
        <r>
          <rPr>
            <b/>
            <sz val="8"/>
            <color indexed="81"/>
            <rFont val="Tahoma"/>
            <family val="2"/>
          </rPr>
          <t>From 9Jan07 revised file</t>
        </r>
      </text>
    </comment>
    <comment ref="AB41" authorId="0" shapeId="0" xr:uid="{AF4A2AC3-E786-044D-B77C-D30405E5A4D3}">
      <text>
        <r>
          <rPr>
            <b/>
            <sz val="8"/>
            <color indexed="81"/>
            <rFont val="Tahoma"/>
            <family val="2"/>
          </rPr>
          <t>Used Davis 15N2 data because no MSU pre data.  Only plat 2 data met model fit crit.</t>
        </r>
        <r>
          <rPr>
            <sz val="8"/>
            <color indexed="81"/>
            <rFont val="Tahoma"/>
            <family val="2"/>
          </rPr>
          <t xml:space="preserve">
</t>
        </r>
      </text>
    </comment>
    <comment ref="AC41" authorId="0" shapeId="0" xr:uid="{A5C333C6-167A-814C-AFCB-EBEE094CF6D1}">
      <text>
        <r>
          <rPr>
            <b/>
            <sz val="8"/>
            <color indexed="81"/>
            <rFont val="Tahoma"/>
            <family val="2"/>
          </rPr>
          <t>Model fit criteria not met</t>
        </r>
      </text>
    </comment>
    <comment ref="BB41" authorId="0" shapeId="0" xr:uid="{A6883890-AA7A-DC47-9308-4BA446827AD6}">
      <text>
        <r>
          <rPr>
            <b/>
            <sz val="8"/>
            <color indexed="81"/>
            <rFont val="Tahoma"/>
            <family val="2"/>
          </rPr>
          <t>NOTE this is from mean of previous estimates. LINX2 one just too high.</t>
        </r>
        <r>
          <rPr>
            <sz val="8"/>
            <color indexed="81"/>
            <rFont val="Tahoma"/>
            <family val="2"/>
          </rPr>
          <t xml:space="preserve">
</t>
        </r>
      </text>
    </comment>
    <comment ref="A42" authorId="0" shapeId="0" xr:uid="{87054B63-AE52-AE4D-BF6B-3C2BF9A40C90}">
      <text>
        <r>
          <rPr>
            <b/>
            <sz val="8"/>
            <color indexed="81"/>
            <rFont val="Tahoma"/>
            <family val="2"/>
          </rPr>
          <t>From 4Oct06 file</t>
        </r>
      </text>
    </comment>
    <comment ref="AB42" authorId="0" shapeId="0" xr:uid="{55AE151E-0EF4-7B44-BFAC-E9F24CFD8EE1}">
      <text>
        <r>
          <rPr>
            <b/>
            <sz val="8"/>
            <color indexed="81"/>
            <rFont val="Tahoma"/>
            <family val="2"/>
          </rPr>
          <t>Only plat 2 met model fit criteria</t>
        </r>
      </text>
    </comment>
    <comment ref="AC42" authorId="0" shapeId="0" xr:uid="{63B002D0-367E-D74B-8D3B-5DB9C22AA1D9}">
      <text>
        <r>
          <rPr>
            <b/>
            <sz val="8"/>
            <color indexed="81"/>
            <rFont val="Tahoma"/>
            <family val="2"/>
          </rPr>
          <t>pjm: Data do not meet model fitting criteria</t>
        </r>
      </text>
    </comment>
    <comment ref="A43" authorId="0" shapeId="0" xr:uid="{8EF4F746-29AC-4543-9BEE-23A30BD1FBF3}">
      <text>
        <r>
          <rPr>
            <b/>
            <sz val="8"/>
            <color indexed="81"/>
            <rFont val="Tahoma"/>
            <family val="2"/>
          </rPr>
          <t>pjm: From 2Oct06</t>
        </r>
      </text>
    </comment>
    <comment ref="AB43" authorId="0" shapeId="0" xr:uid="{2C8A2B92-270B-5543-8ADA-00AEEB42618B}">
      <text>
        <r>
          <rPr>
            <b/>
            <sz val="8"/>
            <color indexed="81"/>
            <rFont val="Tahoma"/>
            <family val="2"/>
          </rPr>
          <t>Good model fits</t>
        </r>
      </text>
    </comment>
    <comment ref="AC43" authorId="0" shapeId="0" xr:uid="{6011A2F1-69AB-2D46-B3B3-101260DE25B0}">
      <text>
        <r>
          <rPr>
            <b/>
            <sz val="8"/>
            <color indexed="81"/>
            <rFont val="Tahoma"/>
            <family val="2"/>
          </rPr>
          <t>pjm: Data do not meet model fitting criteria
jbeaulieu:
don't meet criteria, but N2O mass from UCD is way too high.  Somehow these samples were compromised or there was an error at the lab.</t>
        </r>
      </text>
    </comment>
    <comment ref="A44" authorId="0" shapeId="0" xr:uid="{D9ED21E8-05AB-0846-893D-E00795BF5764}">
      <text>
        <r>
          <rPr>
            <b/>
            <sz val="8"/>
            <color indexed="81"/>
            <rFont val="Tahoma"/>
            <family val="2"/>
          </rPr>
          <t>from 20Dec06 file</t>
        </r>
      </text>
    </comment>
    <comment ref="AB44" authorId="0" shapeId="0" xr:uid="{AF58C047-8EDF-2043-9E3E-EFF3DC664476}">
      <text>
        <r>
          <rPr>
            <b/>
            <sz val="8"/>
            <color indexed="81"/>
            <rFont val="Tahoma"/>
            <family val="2"/>
          </rPr>
          <t>pjm: Did not meet model fitting criteria</t>
        </r>
      </text>
    </comment>
    <comment ref="AC44" authorId="0" shapeId="0" xr:uid="{150FA448-6E71-E849-94A3-D5E32AC99499}">
      <text>
        <r>
          <rPr>
            <b/>
            <sz val="8"/>
            <color indexed="81"/>
            <rFont val="Tahoma"/>
            <family val="2"/>
          </rPr>
          <t>pjm: Did not meet model fitting criteria</t>
        </r>
      </text>
    </comment>
    <comment ref="BG44" authorId="0" shapeId="0" xr:uid="{B48A341B-B142-E840-AD59-3053FC80B685}">
      <text>
        <r>
          <rPr>
            <b/>
            <sz val="8"/>
            <color indexed="81"/>
            <rFont val="Tahoma"/>
            <family val="2"/>
          </rPr>
          <t>revised by Sheibley</t>
        </r>
      </text>
    </comment>
    <comment ref="A45" authorId="1" shapeId="0" xr:uid="{E80ED159-8B2D-5646-9B01-1F6F0705FA4E}">
      <text>
        <r>
          <rPr>
            <b/>
            <sz val="8"/>
            <color indexed="81"/>
            <rFont val="Tahoma"/>
            <family val="2"/>
          </rPr>
          <t>from 6Nov06 file</t>
        </r>
      </text>
    </comment>
    <comment ref="AB45" authorId="0" shapeId="0" xr:uid="{D3113BCC-B480-5D49-A604-204BD7E88B2E}">
      <text>
        <r>
          <rPr>
            <b/>
            <sz val="8"/>
            <color indexed="81"/>
            <rFont val="Tahoma"/>
            <family val="2"/>
          </rPr>
          <t>PJM:  2nd plateau only, 1st plat data did not meet model fit criteria</t>
        </r>
      </text>
    </comment>
    <comment ref="AC45" authorId="0" shapeId="0" xr:uid="{6AB3F3D2-C11E-4843-BA90-211A40D4BAA1}">
      <text>
        <r>
          <rPr>
            <b/>
            <sz val="8"/>
            <color indexed="81"/>
            <rFont val="Tahoma"/>
            <family val="2"/>
          </rPr>
          <t>pjm: model fits good although del values 50-100.</t>
        </r>
      </text>
    </comment>
    <comment ref="A46" authorId="1" shapeId="0" xr:uid="{98748FF9-6FA2-F040-BF57-88BD8712D93D}">
      <text>
        <r>
          <rPr>
            <b/>
            <sz val="8"/>
            <color indexed="81"/>
            <rFont val="Tahoma"/>
            <family val="2"/>
          </rPr>
          <t>From 6Nov06 file</t>
        </r>
      </text>
    </comment>
    <comment ref="W46" authorId="0" shapeId="0" xr:uid="{072F9698-CC54-4C47-8F54-BA0FF18FC114}">
      <text>
        <r>
          <rPr>
            <b/>
            <sz val="8"/>
            <color indexed="81"/>
            <rFont val="Tahoma"/>
            <family val="2"/>
          </rPr>
          <t>Bob Hall says no-go</t>
        </r>
      </text>
    </comment>
    <comment ref="AC46" authorId="0" shapeId="0" xr:uid="{2196FBE2-5751-E947-9AF8-F2CFDD0AFC22}">
      <text>
        <r>
          <rPr>
            <b/>
            <sz val="8"/>
            <color indexed="81"/>
            <rFont val="Tahoma"/>
            <family val="2"/>
          </rPr>
          <t>Good model fits despite very low del values (&lt;25).</t>
        </r>
      </text>
    </comment>
    <comment ref="A47" authorId="0" shapeId="0" xr:uid="{81ADCCBA-CBA3-E74F-BC36-DB6B8DEF0142}">
      <text>
        <r>
          <rPr>
            <b/>
            <sz val="8"/>
            <color indexed="81"/>
            <rFont val="Tahoma"/>
            <family val="2"/>
          </rPr>
          <t>pjm: From 31
Oct06 file</t>
        </r>
      </text>
    </comment>
    <comment ref="AB47" authorId="0" shapeId="0" xr:uid="{D8F3E9E3-3FDA-D746-B84F-AA71259355E8}">
      <text>
        <r>
          <rPr>
            <b/>
            <sz val="8"/>
            <color indexed="81"/>
            <rFont val="Tahoma"/>
            <family val="2"/>
          </rPr>
          <t>pjm: Only could use 2nd plateau data, model fit not good although met criteria to model.</t>
        </r>
      </text>
    </comment>
    <comment ref="AC47" authorId="0" shapeId="0" xr:uid="{977F0931-32ED-5F4E-9725-A932186AEB2F}">
      <text>
        <r>
          <rPr>
            <b/>
            <sz val="8"/>
            <color indexed="81"/>
            <rFont val="Tahoma"/>
            <family val="2"/>
          </rPr>
          <t>Only 1st plat met model fit criteria, poor model fit, del values generally 40-70.</t>
        </r>
      </text>
    </comment>
    <comment ref="A48" authorId="0" shapeId="0" xr:uid="{A0A29D09-B52B-AC4E-8B64-6CD3629B121B}">
      <text>
        <r>
          <rPr>
            <b/>
            <sz val="8"/>
            <color indexed="81"/>
            <rFont val="Tahoma"/>
            <family val="2"/>
          </rPr>
          <t>pjm: From 31Oct06 file</t>
        </r>
      </text>
    </comment>
    <comment ref="V48" authorId="0" shapeId="0" xr:uid="{BE08E573-C2B9-5F4A-B6EE-51A917B773D9}">
      <text>
        <r>
          <rPr>
            <b/>
            <sz val="8"/>
            <color indexed="81"/>
            <rFont val="Tahoma"/>
            <family val="2"/>
          </rPr>
          <t>1-station method at Up station</t>
        </r>
      </text>
    </comment>
    <comment ref="W48" authorId="0" shapeId="0" xr:uid="{502A9984-5DD0-EA4A-A2DF-FB738C2A0DAA}">
      <text>
        <r>
          <rPr>
            <b/>
            <sz val="8"/>
            <color indexed="81"/>
            <rFont val="Tahoma"/>
            <family val="2"/>
          </rPr>
          <t>1-station method at Up station</t>
        </r>
      </text>
    </comment>
    <comment ref="AB48" authorId="0" shapeId="0" xr:uid="{941D7976-99BA-1C4C-8893-85C4DC52C889}">
      <text>
        <r>
          <rPr>
            <b/>
            <sz val="8"/>
            <color indexed="81"/>
            <rFont val="Tahoma"/>
            <family val="2"/>
          </rPr>
          <t>pjm: Did not meet model fitting criteria</t>
        </r>
      </text>
    </comment>
    <comment ref="AC48" authorId="0" shapeId="0" xr:uid="{60FA4597-4152-0D49-A850-CC4BC5FE8C02}">
      <text>
        <r>
          <rPr>
            <b/>
            <sz val="8"/>
            <color indexed="81"/>
            <rFont val="Tahoma"/>
            <family val="2"/>
          </rPr>
          <t>model fit mediocre, del values &lt;100</t>
        </r>
      </text>
    </comment>
    <comment ref="A49" authorId="0" shapeId="0" xr:uid="{8D274957-71D5-9B45-A78E-EFD141BCE59E}">
      <text>
        <r>
          <rPr>
            <b/>
            <sz val="8"/>
            <color indexed="81"/>
            <rFont val="Tahoma"/>
            <family val="2"/>
          </rPr>
          <t>pjm: from 31Oct06 file</t>
        </r>
      </text>
    </comment>
    <comment ref="V49" authorId="0" shapeId="0" xr:uid="{DBDFBA5E-2CCD-7348-A6A4-2F528E47F0DA}">
      <text>
        <r>
          <rPr>
            <b/>
            <sz val="8"/>
            <color indexed="81"/>
            <rFont val="Tahoma"/>
            <family val="2"/>
          </rPr>
          <t>1-station method at UP station</t>
        </r>
      </text>
    </comment>
    <comment ref="W49" authorId="0" shapeId="0" xr:uid="{00204808-C34C-4E4C-8CED-DA636B1C5615}">
      <text>
        <r>
          <rPr>
            <b/>
            <sz val="8"/>
            <color indexed="81"/>
            <rFont val="Tahoma"/>
            <family val="2"/>
          </rPr>
          <t>1-station method at UP station</t>
        </r>
        <r>
          <rPr>
            <sz val="8"/>
            <color indexed="81"/>
            <rFont val="Tahoma"/>
            <family val="2"/>
          </rPr>
          <t xml:space="preserve">
</t>
        </r>
      </text>
    </comment>
    <comment ref="AB49" authorId="0" shapeId="0" xr:uid="{360E9566-288B-A84A-83F4-AD64A8429C7B}">
      <text>
        <r>
          <rPr>
            <b/>
            <sz val="8"/>
            <color indexed="81"/>
            <rFont val="Tahoma"/>
            <family val="2"/>
          </rPr>
          <t>pjm: Did not meet model fitting criteria</t>
        </r>
      </text>
    </comment>
    <comment ref="AC49" authorId="0" shapeId="0" xr:uid="{9702BEC7-A18C-DA49-971B-4C7F8F605B31}">
      <text>
        <r>
          <rPr>
            <b/>
            <sz val="8"/>
            <color indexed="81"/>
            <rFont val="Tahoma"/>
            <family val="2"/>
          </rPr>
          <t>Does not meet fit criteria</t>
        </r>
      </text>
    </comment>
    <comment ref="A50" authorId="0" shapeId="0" xr:uid="{C0079C0C-B5E5-FF4D-8B7B-2D917562E79B}">
      <text>
        <r>
          <rPr>
            <b/>
            <sz val="8"/>
            <color indexed="81"/>
            <rFont val="Tahoma"/>
            <family val="2"/>
          </rPr>
          <t>pjm: From 24Oct06 file</t>
        </r>
      </text>
    </comment>
    <comment ref="V50" authorId="0" shapeId="0" xr:uid="{000B3082-AC27-D44E-9120-9550BFDB25AD}">
      <text>
        <r>
          <rPr>
            <b/>
            <sz val="8"/>
            <color indexed="81"/>
            <rFont val="Tahoma"/>
            <family val="2"/>
          </rPr>
          <t>1-station method at DN station</t>
        </r>
      </text>
    </comment>
    <comment ref="W50" authorId="0" shapeId="0" xr:uid="{FF88CFAA-C7EA-BC48-9C94-CFE8549F7339}">
      <text>
        <r>
          <rPr>
            <b/>
            <sz val="8"/>
            <color indexed="81"/>
            <rFont val="Tahoma"/>
            <family val="2"/>
          </rPr>
          <t>1-station method at DN station</t>
        </r>
        <r>
          <rPr>
            <sz val="8"/>
            <color indexed="81"/>
            <rFont val="Tahoma"/>
            <family val="2"/>
          </rPr>
          <t xml:space="preserve">
</t>
        </r>
      </text>
    </comment>
    <comment ref="AB50" authorId="0" shapeId="0" xr:uid="{1EA8CCE2-CAF8-8845-85E3-C3379ECC6A7F}">
      <text>
        <r>
          <rPr>
            <b/>
            <sz val="8"/>
            <color indexed="81"/>
            <rFont val="Tahoma"/>
            <family val="2"/>
          </rPr>
          <t>only a few MSU data points - did not meet model fitting criteria</t>
        </r>
      </text>
    </comment>
    <comment ref="AC50" authorId="0" shapeId="0" xr:uid="{EACF6D3B-FD3F-F942-8B2C-E216684EF6D8}">
      <text>
        <r>
          <rPr>
            <b/>
            <sz val="8"/>
            <color indexed="81"/>
            <rFont val="Tahoma"/>
            <family val="2"/>
          </rPr>
          <t>Only 2nd plat met fit criteria, fit was poor, del &lt;150.</t>
        </r>
      </text>
    </comment>
    <comment ref="A51" authorId="0" shapeId="0" xr:uid="{47C04568-080E-9444-828C-316F9667B5A4}">
      <text>
        <r>
          <rPr>
            <b/>
            <sz val="8"/>
            <color indexed="81"/>
            <rFont val="Tahoma"/>
            <family val="2"/>
          </rPr>
          <t>pjm:  From 24Oct06 file</t>
        </r>
      </text>
    </comment>
    <comment ref="J51" authorId="0" shapeId="0" xr:uid="{3B400781-8B5A-084C-BC3E-7FA11AE0739B}">
      <text>
        <r>
          <rPr>
            <b/>
            <sz val="8"/>
            <color indexed="81"/>
            <rFont val="Tahoma"/>
            <family val="2"/>
          </rPr>
          <t>very large (13 C) temp increase from 1st to 2nd plat</t>
        </r>
      </text>
    </comment>
    <comment ref="V51" authorId="0" shapeId="0" xr:uid="{24BEE178-0470-DA4D-87D2-F91063C37BF6}">
      <text>
        <r>
          <rPr>
            <b/>
            <sz val="8"/>
            <color indexed="81"/>
            <rFont val="Tahoma"/>
            <family val="2"/>
          </rPr>
          <t>1-station method at UP station</t>
        </r>
        <r>
          <rPr>
            <sz val="8"/>
            <color indexed="81"/>
            <rFont val="Tahoma"/>
            <family val="2"/>
          </rPr>
          <t xml:space="preserve">
</t>
        </r>
      </text>
    </comment>
    <comment ref="W51" authorId="0" shapeId="0" xr:uid="{D1950C9B-F21C-7A4D-BCE8-DAC3917E4E00}">
      <text>
        <r>
          <rPr>
            <b/>
            <sz val="8"/>
            <color indexed="81"/>
            <rFont val="Tahoma"/>
            <family val="2"/>
          </rPr>
          <t>1-station method at UP station</t>
        </r>
        <r>
          <rPr>
            <sz val="8"/>
            <color indexed="81"/>
            <rFont val="Tahoma"/>
            <family val="2"/>
          </rPr>
          <t xml:space="preserve">
</t>
        </r>
      </text>
    </comment>
    <comment ref="AB51" authorId="0" shapeId="0" xr:uid="{AD1CEE71-4631-3640-9AFF-FB0C0491227A}">
      <text>
        <r>
          <rPr>
            <b/>
            <sz val="8"/>
            <color indexed="81"/>
            <rFont val="Tahoma"/>
            <family val="2"/>
          </rPr>
          <t>pjm: Only data from 1st plateau met fit criteria, model fit very poor.</t>
        </r>
      </text>
    </comment>
    <comment ref="AC51" authorId="0" shapeId="0" xr:uid="{0B9ACE87-DA19-7241-ABFD-947AF2701BC1}">
      <text>
        <r>
          <rPr>
            <b/>
            <sz val="8"/>
            <color indexed="81"/>
            <rFont val="Tahoma"/>
            <family val="2"/>
          </rPr>
          <t>Does not meet model fitting criteria</t>
        </r>
      </text>
    </comment>
    <comment ref="A52" authorId="0" shapeId="0" xr:uid="{55EC6298-AB8F-8148-9694-E7F6A031AFE1}">
      <text>
        <r>
          <rPr>
            <b/>
            <sz val="8"/>
            <color indexed="81"/>
            <rFont val="Tahoma"/>
            <family val="2"/>
          </rPr>
          <t>pjm: From 24Oct06 file</t>
        </r>
      </text>
    </comment>
    <comment ref="V52" authorId="0" shapeId="0" xr:uid="{3E5C1696-7440-474E-BEDC-15C023929B48}">
      <text>
        <r>
          <rPr>
            <b/>
            <sz val="8"/>
            <color indexed="81"/>
            <rFont val="Tahoma"/>
            <family val="2"/>
          </rPr>
          <t>1-station method at UP station</t>
        </r>
        <r>
          <rPr>
            <sz val="8"/>
            <color indexed="81"/>
            <rFont val="Tahoma"/>
            <family val="2"/>
          </rPr>
          <t xml:space="preserve">
</t>
        </r>
      </text>
    </comment>
    <comment ref="W52" authorId="0" shapeId="0" xr:uid="{0B475C61-2F27-094C-8771-76CC9D2C3EE0}">
      <text>
        <r>
          <rPr>
            <b/>
            <sz val="8"/>
            <color indexed="81"/>
            <rFont val="Tahoma"/>
            <family val="2"/>
          </rPr>
          <t>1-station method at UP station</t>
        </r>
        <r>
          <rPr>
            <sz val="8"/>
            <color indexed="81"/>
            <rFont val="Tahoma"/>
            <family val="2"/>
          </rPr>
          <t xml:space="preserve">
</t>
        </r>
      </text>
    </comment>
    <comment ref="AB52" authorId="0" shapeId="0" xr:uid="{A93BA968-5152-F84A-9A56-23784F14BDC5}">
      <text>
        <r>
          <rPr>
            <b/>
            <sz val="8"/>
            <color indexed="81"/>
            <rFont val="Tahoma"/>
            <family val="2"/>
          </rPr>
          <t>Used plat 2 data only.  Although plat 1 data met model fit criteria, model fit very poor and MLE analysis showed plat 1 fit poorly constrained (lower 95% CI for kden overlapped 0).</t>
        </r>
      </text>
    </comment>
    <comment ref="AC52" authorId="0" shapeId="0" xr:uid="{E71B2BB9-CFD3-7E4D-A20C-4721D71DF962}">
      <text>
        <r>
          <rPr>
            <b/>
            <sz val="8"/>
            <color indexed="81"/>
            <rFont val="Tahoma"/>
            <family val="2"/>
          </rPr>
          <t>del &lt;100 mostly</t>
        </r>
      </text>
    </comment>
    <comment ref="A53" authorId="0" shapeId="0" xr:uid="{5043226D-38EF-C049-ABA1-8E4704122FB6}">
      <text>
        <r>
          <rPr>
            <b/>
            <sz val="8"/>
            <color indexed="81"/>
            <rFont val="Tahoma"/>
            <family val="2"/>
          </rPr>
          <t>from 31Oct06 file</t>
        </r>
      </text>
    </comment>
    <comment ref="R53" authorId="0" shapeId="0" xr:uid="{F4660766-33E3-BD42-AE36-4381346F9000}">
      <text>
        <r>
          <rPr>
            <b/>
            <sz val="8"/>
            <color indexed="81"/>
            <rFont val="Tahoma"/>
            <family val="2"/>
          </rPr>
          <t>Average from historical data</t>
        </r>
      </text>
    </comment>
    <comment ref="V53" authorId="0" shapeId="0" xr:uid="{B908CAD0-DE64-0F4A-82F0-AE95525074BD}">
      <text>
        <r>
          <rPr>
            <b/>
            <sz val="8"/>
            <color indexed="81"/>
            <rFont val="Tahoma"/>
            <family val="2"/>
          </rPr>
          <t>1 station at DN, from Vincenc analysis of data (agreed well with analysis done by Brian Roberts but is slightly higher than Mel's value of 2.04)</t>
        </r>
      </text>
    </comment>
    <comment ref="W53" authorId="0" shapeId="0" xr:uid="{D0F2EC56-C49B-784D-A408-1D242B689748}">
      <text>
        <r>
          <rPr>
            <b/>
            <sz val="8"/>
            <color indexed="81"/>
            <rFont val="Tahoma"/>
            <family val="2"/>
          </rPr>
          <t>1 station at DN, from Vincenc analysis of data (agreed well with analysis done by Brian Roberts but is slightly higher than Mel's value of -2.94)</t>
        </r>
      </text>
    </comment>
    <comment ref="AC53" authorId="0" shapeId="0" xr:uid="{F769E618-F9EE-0B4C-B9AB-8614870F5492}">
      <text>
        <r>
          <rPr>
            <b/>
            <sz val="8"/>
            <color indexed="81"/>
            <rFont val="Tahoma"/>
            <family val="2"/>
          </rPr>
          <t>Modest model fits, del values generally 100 to 250.</t>
        </r>
      </text>
    </comment>
    <comment ref="A54" authorId="0" shapeId="0" xr:uid="{D0715EFD-8018-6648-BBB3-E4539826827B}">
      <text>
        <r>
          <rPr>
            <b/>
            <sz val="8"/>
            <color indexed="81"/>
            <rFont val="Tahoma"/>
            <family val="2"/>
          </rPr>
          <t>from 31Oct06_Mulhollandrev 26Jan07 file</t>
        </r>
      </text>
    </comment>
    <comment ref="H54" authorId="0" shapeId="0" xr:uid="{B6335995-A83F-A442-B66B-54B16D842A0F}">
      <text>
        <r>
          <rPr>
            <b/>
            <sz val="8"/>
            <color indexed="81"/>
            <rFont val="Tahoma"/>
            <family val="2"/>
          </rPr>
          <t>estimated from initial Q and dross sectional area</t>
        </r>
      </text>
    </comment>
    <comment ref="I54" authorId="0" shapeId="0" xr:uid="{0A238C58-D7FD-DA44-A67C-9D96580C7586}">
      <text>
        <r>
          <rPr>
            <b/>
            <sz val="8"/>
            <color indexed="81"/>
            <rFont val="Tahoma"/>
            <family val="2"/>
          </rPr>
          <t>PJM:  Because of large (3-fold) increase in flow from 1st to 2nd plateau, we only use 1st plateau data in intersite analyses.</t>
        </r>
        <r>
          <rPr>
            <sz val="8"/>
            <color indexed="81"/>
            <rFont val="Tahoma"/>
            <family val="2"/>
          </rPr>
          <t xml:space="preserve">
</t>
        </r>
      </text>
    </comment>
    <comment ref="N54" authorId="0" shapeId="0" xr:uid="{6D2417F5-F65A-3E4D-8F50-10537F275768}">
      <text>
        <r>
          <rPr>
            <b/>
            <sz val="8"/>
            <color indexed="81"/>
            <rFont val="Tahoma"/>
            <family val="2"/>
          </rPr>
          <t>PJM:  Because of large (3-fold) increase in flow from 1st to 2nd plateau, we only use 1st plateau data in intersite analyses.</t>
        </r>
        <r>
          <rPr>
            <sz val="8"/>
            <color indexed="81"/>
            <rFont val="Tahoma"/>
            <family val="2"/>
          </rPr>
          <t xml:space="preserve">
</t>
        </r>
      </text>
    </comment>
    <comment ref="V54" authorId="0" shapeId="0" xr:uid="{D01596D7-7C8D-EC4D-8F8F-8A5A34E889A1}">
      <text>
        <r>
          <rPr>
            <b/>
            <sz val="8"/>
            <color indexed="81"/>
            <rFont val="Tahoma"/>
            <family val="2"/>
          </rPr>
          <t>Best estimate was 3.22 from 1 station at DN, but data is very bad and we will not use.</t>
        </r>
      </text>
    </comment>
    <comment ref="W54" authorId="0" shapeId="0" xr:uid="{31D2C45E-F309-B449-8693-7D1AFC4C199B}">
      <text>
        <r>
          <rPr>
            <b/>
            <sz val="8"/>
            <color indexed="81"/>
            <rFont val="Tahoma"/>
            <family val="2"/>
          </rPr>
          <t>Best estimate is -2.86 from 1 station at DN, but data is very bad and we will not use.</t>
        </r>
      </text>
    </comment>
    <comment ref="Y54" authorId="0" shapeId="0" xr:uid="{E640242C-C884-1D4D-B88E-A76AE8F3903C}">
      <text>
        <r>
          <rPr>
            <b/>
            <sz val="8"/>
            <color indexed="81"/>
            <rFont val="Tahoma"/>
            <family val="2"/>
          </rPr>
          <t>PJM:  Because of large (3-fold) increase in flow from 1st to 2nd plateau, we only use 1st plateau data in intersite analyses.</t>
        </r>
      </text>
    </comment>
    <comment ref="AB54" authorId="0" shapeId="0" xr:uid="{7D544D38-34DA-4846-9B7B-5F8F3ABE0305}">
      <text>
        <r>
          <rPr>
            <b/>
            <sz val="8"/>
            <color indexed="81"/>
            <rFont val="Tahoma"/>
            <family val="2"/>
          </rPr>
          <t>15N in gases not measured.</t>
        </r>
      </text>
    </comment>
    <comment ref="AC54" authorId="0" shapeId="0" xr:uid="{1E0763D9-2A1B-7440-B721-FAA391DB86C9}">
      <text>
        <r>
          <rPr>
            <b/>
            <sz val="8"/>
            <color indexed="81"/>
            <rFont val="Tahoma"/>
            <family val="2"/>
          </rPr>
          <t>15N in gases not measured.</t>
        </r>
        <r>
          <rPr>
            <sz val="8"/>
            <color indexed="81"/>
            <rFont val="Tahoma"/>
            <family val="2"/>
          </rPr>
          <t xml:space="preserve">
</t>
        </r>
      </text>
    </comment>
    <comment ref="A55" authorId="0" shapeId="0" xr:uid="{D653881C-B0FD-714F-BF88-AE16147EC624}">
      <text>
        <r>
          <rPr>
            <b/>
            <sz val="8"/>
            <color indexed="81"/>
            <rFont val="Tahoma"/>
            <family val="2"/>
          </rPr>
          <t>from 31Oct06 file</t>
        </r>
      </text>
    </comment>
    <comment ref="V55" authorId="0" shapeId="0" xr:uid="{F3C6287C-B469-BF46-8E88-365219696952}">
      <text>
        <r>
          <rPr>
            <b/>
            <sz val="8"/>
            <color indexed="81"/>
            <rFont val="Tahoma"/>
            <family val="2"/>
          </rPr>
          <t>1-station method at DN station</t>
        </r>
        <r>
          <rPr>
            <sz val="8"/>
            <color indexed="81"/>
            <rFont val="Tahoma"/>
            <family val="2"/>
          </rPr>
          <t xml:space="preserve">
</t>
        </r>
      </text>
    </comment>
    <comment ref="W55" authorId="0" shapeId="0" xr:uid="{52517DB9-3497-894D-B322-47421C6AB011}">
      <text>
        <r>
          <rPr>
            <b/>
            <sz val="8"/>
            <color indexed="81"/>
            <rFont val="Tahoma"/>
            <family val="2"/>
          </rPr>
          <t>1-station method at DN station</t>
        </r>
        <r>
          <rPr>
            <sz val="8"/>
            <color indexed="81"/>
            <rFont val="Tahoma"/>
            <family val="2"/>
          </rPr>
          <t xml:space="preserve">
</t>
        </r>
      </text>
    </comment>
    <comment ref="AB55" authorId="0" shapeId="0" xr:uid="{F5124FE3-6AE8-E543-A9C0-D10D88839826}">
      <text>
        <r>
          <rPr>
            <sz val="8"/>
            <color indexed="81"/>
            <rFont val="Tahoma"/>
            <family val="2"/>
          </rPr>
          <t xml:space="preserve">model fit criteria met for only 1st plat
</t>
        </r>
      </text>
    </comment>
    <comment ref="AC55" authorId="0" shapeId="0" xr:uid="{36ED1ACF-D20E-0840-A91C-0555BE697623}">
      <text>
        <r>
          <rPr>
            <b/>
            <sz val="8"/>
            <color indexed="81"/>
            <rFont val="Tahoma"/>
            <family val="2"/>
          </rPr>
          <t>although model fit crit met for 2nd plat, fit very poor and del values &lt;150.  Assume undetect.</t>
        </r>
      </text>
    </comment>
    <comment ref="A56" authorId="0" shapeId="0" xr:uid="{7EDA6742-16A5-9A48-B183-B0CB1AE943D9}">
      <text>
        <r>
          <rPr>
            <b/>
            <sz val="8"/>
            <color indexed="81"/>
            <rFont val="Tahoma"/>
            <family val="2"/>
          </rPr>
          <t>pjm: From 10Oct06 file</t>
        </r>
      </text>
    </comment>
    <comment ref="V56" authorId="0" shapeId="0" xr:uid="{216F38CF-E0EE-C04A-B711-2159594D7D71}">
      <text>
        <r>
          <rPr>
            <b/>
            <sz val="8"/>
            <color indexed="81"/>
            <rFont val="Tahoma"/>
            <family val="2"/>
          </rPr>
          <t xml:space="preserve">From 1-station method at DN station, </t>
        </r>
      </text>
    </comment>
    <comment ref="W56" authorId="0" shapeId="0" xr:uid="{8FC2751B-A3FC-FF4C-A931-AFD9CFA4665F}">
      <text>
        <r>
          <rPr>
            <b/>
            <sz val="8"/>
            <color indexed="81"/>
            <rFont val="Tahoma"/>
            <family val="2"/>
          </rPr>
          <t xml:space="preserve">From 1-station method at DN station, </t>
        </r>
        <r>
          <rPr>
            <sz val="8"/>
            <color indexed="81"/>
            <rFont val="Tahoma"/>
            <family val="2"/>
          </rPr>
          <t xml:space="preserve">
</t>
        </r>
      </text>
    </comment>
    <comment ref="AB56" authorId="0" shapeId="0" xr:uid="{1662F591-5253-3C4D-A728-AC9CBCDD8CD8}">
      <text>
        <r>
          <rPr>
            <b/>
            <sz val="8"/>
            <color indexed="81"/>
            <rFont val="Tahoma"/>
            <family val="2"/>
          </rPr>
          <t>Model fit criteria not met for plat 1.  Although model fit criteria met for plat 2 (barely) MLE analysis indicates kden value poorly constrained (95% CI overlaps 0)</t>
        </r>
      </text>
    </comment>
    <comment ref="AC56" authorId="0" shapeId="0" xr:uid="{F6DD3F44-D443-2B4A-A8CD-1BFC7001A229}">
      <text>
        <r>
          <rPr>
            <sz val="8"/>
            <color indexed="81"/>
            <rFont val="Tahoma"/>
            <family val="2"/>
          </rPr>
          <t xml:space="preserve">data do not meet model fit crit
</t>
        </r>
      </text>
    </comment>
    <comment ref="BP56" authorId="2" shapeId="0" xr:uid="{D700E8E5-7F60-FA4A-92C6-014586F1DAAD}">
      <text>
        <r>
          <rPr>
            <b/>
            <sz val="8"/>
            <color indexed="81"/>
            <rFont val="Tahoma"/>
            <family val="2"/>
          </rPr>
          <t>Laura:</t>
        </r>
        <r>
          <rPr>
            <sz val="8"/>
            <color indexed="81"/>
            <rFont val="Tahoma"/>
            <family val="2"/>
          </rPr>
          <t xml:space="preserve">
on inorganic: NP</t>
        </r>
      </text>
    </comment>
    <comment ref="A57" authorId="0" shapeId="0" xr:uid="{BF53AC6E-3379-4042-9476-681AA3ED1A47}">
      <text>
        <r>
          <rPr>
            <b/>
            <sz val="8"/>
            <color indexed="81"/>
            <rFont val="Tahoma"/>
            <family val="2"/>
          </rPr>
          <t>pjm: From 10Oct06 file</t>
        </r>
      </text>
    </comment>
    <comment ref="I57" authorId="0" shapeId="0" xr:uid="{D96AF0B8-C244-954C-B4B3-CC3971CC3D80}">
      <text>
        <r>
          <rPr>
            <b/>
            <sz val="8"/>
            <color indexed="81"/>
            <rFont val="Tahoma"/>
            <family val="2"/>
          </rPr>
          <t>pjm:  All NO3 uptake and den rates and ancillary data from 1st plateau data only due to problems with data on 2nd plat</t>
        </r>
        <r>
          <rPr>
            <sz val="8"/>
            <color indexed="81"/>
            <rFont val="Tahoma"/>
            <family val="2"/>
          </rPr>
          <t xml:space="preserve">
</t>
        </r>
      </text>
    </comment>
    <comment ref="J57" authorId="0" shapeId="0" xr:uid="{1C2B1AE8-C4D4-184A-8B9D-1D5A00B47E05}">
      <text>
        <r>
          <rPr>
            <b/>
            <sz val="8"/>
            <color indexed="81"/>
            <rFont val="Tahoma"/>
            <family val="2"/>
          </rPr>
          <t>pjm:  All NO3 uptake and den rates and ancillary data from 1st plateau data only due to problems with data on 2nd plat</t>
        </r>
        <r>
          <rPr>
            <sz val="8"/>
            <color indexed="81"/>
            <rFont val="Tahoma"/>
            <family val="2"/>
          </rPr>
          <t xml:space="preserve">
</t>
        </r>
      </text>
    </comment>
    <comment ref="N57" authorId="0" shapeId="0" xr:uid="{8EA0707B-B208-E448-AAD5-89B8F6F97445}">
      <text>
        <r>
          <rPr>
            <b/>
            <sz val="8"/>
            <color indexed="81"/>
            <rFont val="Tahoma"/>
            <family val="2"/>
          </rPr>
          <t>pjm:  All NO3 uptake and den rates and ancillary data from 1st plateau data only due to problems with data on 2nd plat</t>
        </r>
      </text>
    </comment>
    <comment ref="V57" authorId="0" shapeId="0" xr:uid="{08368051-DB83-C34B-AFF4-99724639B671}">
      <text>
        <r>
          <rPr>
            <b/>
            <sz val="8"/>
            <color indexed="81"/>
            <rFont val="Tahoma"/>
            <family val="2"/>
          </rPr>
          <t xml:space="preserve">From 1-station method at DN station, </t>
        </r>
        <r>
          <rPr>
            <sz val="8"/>
            <color indexed="81"/>
            <rFont val="Tahoma"/>
            <family val="2"/>
          </rPr>
          <t xml:space="preserve">
</t>
        </r>
      </text>
    </comment>
    <comment ref="W57" authorId="0" shapeId="0" xr:uid="{8C2F24D9-5646-ED43-A213-2B67BE0E4EA9}">
      <text>
        <r>
          <rPr>
            <b/>
            <sz val="8"/>
            <color indexed="81"/>
            <rFont val="Tahoma"/>
            <family val="2"/>
          </rPr>
          <t>From 1-station method at DN station, differs slightly from Mel's file because revised due to error in reaeration rate
corrected in 10Oct file</t>
        </r>
        <r>
          <rPr>
            <sz val="8"/>
            <color indexed="81"/>
            <rFont val="Tahoma"/>
            <family val="2"/>
          </rPr>
          <t xml:space="preserve">
</t>
        </r>
      </text>
    </comment>
    <comment ref="Y57" authorId="0" shapeId="0" xr:uid="{A562ECF1-1DF6-0E4A-A5FE-36FF96FDE44D}">
      <text>
        <r>
          <rPr>
            <b/>
            <sz val="8"/>
            <color indexed="81"/>
            <rFont val="Tahoma"/>
            <family val="2"/>
          </rPr>
          <t>pjm:  All NO3 uptake and den rates from 1st plateau data only due to problems with data on 2nd plat</t>
        </r>
      </text>
    </comment>
    <comment ref="AB57" authorId="0" shapeId="0" xr:uid="{B56A7170-BAF6-A84C-BB1F-88FC5EA8802C}">
      <text>
        <r>
          <rPr>
            <b/>
            <sz val="8"/>
            <color indexed="81"/>
            <rFont val="Tahoma"/>
            <family val="2"/>
          </rPr>
          <t>pjm:  All NO3 uptake and den rates from 1st plateau data only due to problems with data on 2nd plat.  Rather poor model fit although 1st plat met model fit criteria</t>
        </r>
      </text>
    </comment>
    <comment ref="AC57" authorId="0" shapeId="0" xr:uid="{9DBEE350-0B9E-884B-9B64-BBCC61AAB004}">
      <text>
        <r>
          <rPr>
            <b/>
            <sz val="8"/>
            <color indexed="81"/>
            <rFont val="Tahoma"/>
            <family val="2"/>
          </rPr>
          <t>pjm:  All NO3 uptake and den rates from 1st plateau data only due to problems with data on 2nd plat.  Model fit mediocre, may be problem with most downstream data point</t>
        </r>
      </text>
    </comment>
    <comment ref="BP57" authorId="2" shapeId="0" xr:uid="{C4809496-8C90-4540-8635-69778464951C}">
      <text>
        <r>
          <rPr>
            <b/>
            <sz val="8"/>
            <color indexed="81"/>
            <rFont val="Tahoma"/>
            <family val="2"/>
          </rPr>
          <t>Laura:</t>
        </r>
        <r>
          <rPr>
            <sz val="8"/>
            <color indexed="81"/>
            <rFont val="Tahoma"/>
            <family val="2"/>
          </rPr>
          <t xml:space="preserve">
on inorganic: x</t>
        </r>
      </text>
    </comment>
    <comment ref="A58" authorId="0" shapeId="0" xr:uid="{1188C967-F91C-D948-89D3-C7C0498B75B2}">
      <text>
        <r>
          <rPr>
            <b/>
            <sz val="8"/>
            <color indexed="81"/>
            <rFont val="Tahoma"/>
            <family val="2"/>
          </rPr>
          <t>pjm: From 9Jan07 revised file</t>
        </r>
      </text>
    </comment>
    <comment ref="I58" authorId="0" shapeId="0" xr:uid="{0924B882-BF3F-184C-AE78-40A9BA8009F4}">
      <text>
        <r>
          <rPr>
            <b/>
            <sz val="8"/>
            <color indexed="81"/>
            <rFont val="Tahoma"/>
            <family val="2"/>
          </rPr>
          <t>pjm:  Only used data from 2nd pateau for all NO3 uptake and den rates and all ancillary data due to tsunami early in expt</t>
        </r>
        <r>
          <rPr>
            <sz val="8"/>
            <color indexed="81"/>
            <rFont val="Tahoma"/>
            <family val="2"/>
          </rPr>
          <t xml:space="preserve">
</t>
        </r>
      </text>
    </comment>
    <comment ref="J58" authorId="0" shapeId="0" xr:uid="{B123A868-A36B-3A4C-8D5D-775993B950E3}">
      <text>
        <r>
          <rPr>
            <b/>
            <sz val="8"/>
            <color indexed="81"/>
            <rFont val="Tahoma"/>
            <family val="2"/>
          </rPr>
          <t>pjm:  Only used data from 2nd pateau for all NO3 uptake and den rates due to tsunami early in expt</t>
        </r>
        <r>
          <rPr>
            <sz val="8"/>
            <color indexed="81"/>
            <rFont val="Tahoma"/>
            <family val="2"/>
          </rPr>
          <t xml:space="preserve">
</t>
        </r>
      </text>
    </comment>
    <comment ref="N58" authorId="0" shapeId="0" xr:uid="{3907AEBF-79E6-1B45-974C-C9F0F746A799}">
      <text>
        <r>
          <rPr>
            <b/>
            <sz val="8"/>
            <color indexed="81"/>
            <rFont val="Tahoma"/>
            <family val="2"/>
          </rPr>
          <t>pjm:  Only used data from 2nd pateau for all NO3 uptake and den rates due to tsunami early in expt</t>
        </r>
        <r>
          <rPr>
            <sz val="8"/>
            <color indexed="81"/>
            <rFont val="Tahoma"/>
            <family val="2"/>
          </rPr>
          <t xml:space="preserve">
</t>
        </r>
      </text>
    </comment>
    <comment ref="Y58" authorId="0" shapeId="0" xr:uid="{13185FCC-A3E8-9044-8872-9EF196C6D210}">
      <text>
        <r>
          <rPr>
            <b/>
            <sz val="8"/>
            <color indexed="81"/>
            <rFont val="Tahoma"/>
            <family val="2"/>
          </rPr>
          <t>pjm:  Only used data from 2nd pateau for all NO3 uptake and den rates due to tsunami early in expt</t>
        </r>
      </text>
    </comment>
    <comment ref="AB58" authorId="0" shapeId="0" xr:uid="{A2AE2C4D-9103-D841-8FFC-245700AD038F}">
      <text>
        <r>
          <rPr>
            <b/>
            <sz val="8"/>
            <color indexed="81"/>
            <rFont val="Tahoma"/>
            <family val="2"/>
          </rPr>
          <t>pjm:  Only used data from 2nd pateau for all NO3 uptake and den rates due to tsunami early in expt</t>
        </r>
        <r>
          <rPr>
            <sz val="8"/>
            <color indexed="81"/>
            <rFont val="Tahoma"/>
            <family val="2"/>
          </rPr>
          <t xml:space="preserve">
</t>
        </r>
      </text>
    </comment>
    <comment ref="AC58" authorId="0" shapeId="0" xr:uid="{B87563A0-F7BF-AF42-A854-42F86C992F84}">
      <text>
        <r>
          <rPr>
            <b/>
            <sz val="8"/>
            <color indexed="81"/>
            <rFont val="Tahoma"/>
            <family val="2"/>
          </rPr>
          <t>pjm:  Only used data from 2nd pateau for all NO3 uptake and den rates due to tsunami early in expt</t>
        </r>
        <r>
          <rPr>
            <sz val="8"/>
            <color indexed="81"/>
            <rFont val="Tahoma"/>
            <family val="2"/>
          </rPr>
          <t xml:space="preserve">
</t>
        </r>
      </text>
    </comment>
    <comment ref="BP58" authorId="2" shapeId="0" xr:uid="{0D7DF612-BA07-894F-B8E6-2A684845F414}">
      <text>
        <r>
          <rPr>
            <b/>
            <sz val="8"/>
            <color indexed="81"/>
            <rFont val="Tahoma"/>
            <family val="2"/>
          </rPr>
          <t>Laura:</t>
        </r>
        <r>
          <rPr>
            <sz val="8"/>
            <color indexed="81"/>
            <rFont val="Tahoma"/>
            <family val="2"/>
          </rPr>
          <t xml:space="preserve">
on inorganic: x</t>
        </r>
      </text>
    </comment>
    <comment ref="A59" authorId="0" shapeId="0" xr:uid="{C1CEB2AB-3B33-F048-B98B-CE7F956A77C7}">
      <text>
        <r>
          <rPr>
            <b/>
            <sz val="8"/>
            <color indexed="81"/>
            <rFont val="Tahoma"/>
            <family val="2"/>
          </rPr>
          <t>pjm: From 4Oct06 file</t>
        </r>
      </text>
    </comment>
    <comment ref="Y59" authorId="0" shapeId="0" xr:uid="{7A74A821-D9D9-D046-9047-A74209856D4B}">
      <text>
        <r>
          <rPr>
            <b/>
            <sz val="8"/>
            <color indexed="81"/>
            <rFont val="Tahoma"/>
            <family val="2"/>
          </rPr>
          <t>pjm: 2nd plateau value is 4-fold greater than 1st plateau</t>
        </r>
      </text>
    </comment>
    <comment ref="AB59" authorId="0" shapeId="0" xr:uid="{1523858D-BA07-D84F-BE57-873193CB0AC3}">
      <text>
        <r>
          <rPr>
            <b/>
            <sz val="8"/>
            <color indexed="81"/>
            <rFont val="Tahoma"/>
            <family val="2"/>
          </rPr>
          <t>pjm:  Did not meet fitting criteria</t>
        </r>
      </text>
    </comment>
    <comment ref="AC59" authorId="0" shapeId="0" xr:uid="{277533A0-C79C-3143-B929-3917F98A48B1}">
      <text>
        <r>
          <rPr>
            <b/>
            <sz val="8"/>
            <color indexed="81"/>
            <rFont val="Tahoma"/>
            <family val="2"/>
          </rPr>
          <t>Model fit crit met only barely for 2nd plat and fit is very poor, assume undetect.</t>
        </r>
      </text>
    </comment>
    <comment ref="A60" authorId="0" shapeId="0" xr:uid="{9E8B2666-2955-B448-ABC4-2B3701562461}">
      <text>
        <r>
          <rPr>
            <b/>
            <sz val="8"/>
            <color indexed="81"/>
            <rFont val="Tahoma"/>
            <family val="2"/>
          </rPr>
          <t>pjm: From 4Oct06 file</t>
        </r>
        <r>
          <rPr>
            <sz val="8"/>
            <color indexed="81"/>
            <rFont val="Tahoma"/>
            <family val="2"/>
          </rPr>
          <t xml:space="preserve">
</t>
        </r>
      </text>
    </comment>
    <comment ref="I60" authorId="0" shapeId="0" xr:uid="{375D46C6-8125-3046-8272-FE6F1CD74C65}">
      <text>
        <r>
          <rPr>
            <b/>
            <sz val="8"/>
            <color indexed="81"/>
            <rFont val="Tahoma"/>
            <family val="2"/>
          </rPr>
          <t>Used only 1st plat values for Q and all N cycling rates and ancillary data because NO3 uptake undetectable on 2nd plat.  2nd plat Q was 124.</t>
        </r>
      </text>
    </comment>
    <comment ref="N60" authorId="0" shapeId="0" xr:uid="{CF3B2765-D239-E942-8A76-546EA51FEF19}">
      <text>
        <r>
          <rPr>
            <b/>
            <sz val="8"/>
            <color indexed="81"/>
            <rFont val="Tahoma"/>
            <family val="2"/>
          </rPr>
          <t>Used only 1st plat value because NO3 uptake undetectable on 2nd plat.  NO3 conc on 2nd plat was 48.</t>
        </r>
        <r>
          <rPr>
            <sz val="8"/>
            <color indexed="81"/>
            <rFont val="Tahoma"/>
            <family val="2"/>
          </rPr>
          <t xml:space="preserve">
</t>
        </r>
      </text>
    </comment>
    <comment ref="Y60" authorId="0" shapeId="0" xr:uid="{83CFC1DD-E5F2-554E-B50E-194F10C58FC3}">
      <text>
        <r>
          <rPr>
            <b/>
            <sz val="8"/>
            <color indexed="81"/>
            <rFont val="Tahoma"/>
            <family val="2"/>
          </rPr>
          <t>Used only 1st plat value for all N cycling rates since no NO3 uptake detectable on 2nd plat</t>
        </r>
      </text>
    </comment>
    <comment ref="AB60" authorId="0" shapeId="0" xr:uid="{5E00D3C0-4DC6-7B43-8985-28D34862584A}">
      <text>
        <r>
          <rPr>
            <b/>
            <sz val="8"/>
            <color indexed="81"/>
            <rFont val="Tahoma"/>
            <family val="2"/>
          </rPr>
          <t>Used only 1st plat value for all N cycling rates since no NO3 uptake detectable on 2nd plat, model shape poor although data shows hump.  High uncertainty in calc rate</t>
        </r>
        <r>
          <rPr>
            <sz val="8"/>
            <color indexed="81"/>
            <rFont val="Tahoma"/>
            <family val="2"/>
          </rPr>
          <t xml:space="preserve">
</t>
        </r>
      </text>
    </comment>
    <comment ref="AC60" authorId="0" shapeId="0" xr:uid="{402D42EF-F4B7-F740-862E-4EF66B3ABC4B}">
      <text>
        <r>
          <rPr>
            <b/>
            <sz val="8"/>
            <color indexed="81"/>
            <rFont val="Tahoma"/>
            <family val="2"/>
          </rPr>
          <t>Used only 1st plat value since no NO3 uptake on 2nd plat.  Poor model fit.  Only one del value &gt;500, others generally 100-400.</t>
        </r>
      </text>
    </comment>
    <comment ref="A61" authorId="0" shapeId="0" xr:uid="{E32E06F2-8D2E-B342-80DF-00057C28163F}">
      <text>
        <r>
          <rPr>
            <b/>
            <sz val="8"/>
            <color indexed="81"/>
            <rFont val="Tahoma"/>
            <family val="2"/>
          </rPr>
          <t>pjm: From 4Oct06 file</t>
        </r>
        <r>
          <rPr>
            <sz val="8"/>
            <color indexed="81"/>
            <rFont val="Tahoma"/>
            <family val="2"/>
          </rPr>
          <t xml:space="preserve">
</t>
        </r>
      </text>
    </comment>
    <comment ref="AB61" authorId="0" shapeId="0" xr:uid="{F3992CFB-1F4B-264F-8EC1-64B5384CE267}">
      <text>
        <r>
          <rPr>
            <b/>
            <sz val="8"/>
            <color indexed="81"/>
            <rFont val="Tahoma"/>
            <family val="2"/>
          </rPr>
          <t>data do not meet model fit crit</t>
        </r>
        <r>
          <rPr>
            <sz val="8"/>
            <color indexed="81"/>
            <rFont val="Tahoma"/>
            <family val="2"/>
          </rPr>
          <t xml:space="preserve">
</t>
        </r>
      </text>
    </comment>
    <comment ref="AC61" authorId="0" shapeId="0" xr:uid="{6DDE8351-016F-5643-847F-E698FFBD01B0}">
      <text>
        <r>
          <rPr>
            <b/>
            <sz val="8"/>
            <color indexed="81"/>
            <rFont val="Tahoma"/>
            <family val="2"/>
          </rPr>
          <t>Model fits mediocre, del values 40-170.</t>
        </r>
      </text>
    </comment>
    <comment ref="BP61" authorId="2" shapeId="0" xr:uid="{03B78914-7B6F-9D48-B6A7-2715275732CE}">
      <text>
        <r>
          <rPr>
            <b/>
            <sz val="8"/>
            <color indexed="81"/>
            <rFont val="Tahoma"/>
            <family val="2"/>
          </rPr>
          <t>Laura:</t>
        </r>
        <r>
          <rPr>
            <sz val="8"/>
            <color indexed="81"/>
            <rFont val="Tahoma"/>
            <family val="2"/>
          </rPr>
          <t xml:space="preserve">
on inorganic: x</t>
        </r>
      </text>
    </comment>
    <comment ref="A62" authorId="0" shapeId="0" xr:uid="{A80AE1A3-352E-E04B-A384-21BB6CCFB347}">
      <text>
        <r>
          <rPr>
            <b/>
            <sz val="8"/>
            <color indexed="81"/>
            <rFont val="Tahoma"/>
            <family val="2"/>
          </rPr>
          <t>from 28Sep06 file</t>
        </r>
        <r>
          <rPr>
            <sz val="8"/>
            <color indexed="81"/>
            <rFont val="Tahoma"/>
            <family val="2"/>
          </rPr>
          <t xml:space="preserve">
</t>
        </r>
      </text>
    </comment>
    <comment ref="AB62" authorId="0" shapeId="0" xr:uid="{4E8A72EE-9C33-704F-8769-D9173FAAF907}">
      <text>
        <r>
          <rPr>
            <b/>
            <sz val="8"/>
            <color indexed="81"/>
            <rFont val="Tahoma"/>
            <family val="2"/>
          </rPr>
          <t>pjm: Does not meet model fit crit</t>
        </r>
      </text>
    </comment>
    <comment ref="AC62" authorId="0" shapeId="0" xr:uid="{7D9EE00B-B450-8146-B04E-274F874F1ABC}">
      <text>
        <r>
          <rPr>
            <b/>
            <sz val="8"/>
            <color indexed="81"/>
            <rFont val="Tahoma"/>
            <family val="2"/>
          </rPr>
          <t>pjm: Does not meet model fit crit</t>
        </r>
        <r>
          <rPr>
            <sz val="8"/>
            <color indexed="81"/>
            <rFont val="Tahoma"/>
            <family val="2"/>
          </rPr>
          <t xml:space="preserve">
</t>
        </r>
      </text>
    </comment>
    <comment ref="A63" authorId="0" shapeId="0" xr:uid="{AC041B1E-0563-124D-A13D-E6FF3DE37AA0}">
      <text>
        <r>
          <rPr>
            <b/>
            <sz val="8"/>
            <color indexed="81"/>
            <rFont val="Tahoma"/>
            <family val="2"/>
          </rPr>
          <t>from 26Sep06 file</t>
        </r>
      </text>
    </comment>
    <comment ref="I63" authorId="0" shapeId="0" xr:uid="{DD6F50E1-4229-CE41-A3EE-AABEF8E43A7C}">
      <text>
        <r>
          <rPr>
            <b/>
            <sz val="8"/>
            <color indexed="81"/>
            <rFont val="Tahoma"/>
            <family val="2"/>
          </rPr>
          <t>All N cycling rates and ancillary data for 2nd plat only due to data problems with 1st plat</t>
        </r>
      </text>
    </comment>
    <comment ref="J63" authorId="0" shapeId="0" xr:uid="{2BF172EC-4F65-D645-9086-589BF46555DA}">
      <text>
        <r>
          <rPr>
            <b/>
            <sz val="8"/>
            <color indexed="81"/>
            <rFont val="Tahoma"/>
            <family val="2"/>
          </rPr>
          <t>All N cycling rates and ancillary data for 2nd plat only due to data problems with 1st plat</t>
        </r>
        <r>
          <rPr>
            <sz val="8"/>
            <color indexed="81"/>
            <rFont val="Tahoma"/>
            <family val="2"/>
          </rPr>
          <t xml:space="preserve">
</t>
        </r>
      </text>
    </comment>
    <comment ref="N63" authorId="0" shapeId="0" xr:uid="{2775E4F7-B029-BA4D-9E63-C4E09E6C390D}">
      <text>
        <r>
          <rPr>
            <b/>
            <sz val="8"/>
            <color indexed="81"/>
            <rFont val="Tahoma"/>
            <family val="2"/>
          </rPr>
          <t>All N cycling rates and ancillary data for 2nd plat only due to data problems with 1st plat</t>
        </r>
        <r>
          <rPr>
            <sz val="8"/>
            <color indexed="81"/>
            <rFont val="Tahoma"/>
            <family val="2"/>
          </rPr>
          <t xml:space="preserve">
</t>
        </r>
      </text>
    </comment>
    <comment ref="Y63" authorId="0" shapeId="0" xr:uid="{AC80D4CA-2932-514D-965A-F433E2392E3F}">
      <text>
        <r>
          <rPr>
            <b/>
            <sz val="8"/>
            <color indexed="81"/>
            <rFont val="Tahoma"/>
            <family val="2"/>
          </rPr>
          <t>pjm:  All N cycling rates and ancillary variables are from 2nd plat data only because data problems on 1st plat</t>
        </r>
        <r>
          <rPr>
            <sz val="8"/>
            <color indexed="81"/>
            <rFont val="Tahoma"/>
            <family val="2"/>
          </rPr>
          <t xml:space="preserve">
</t>
        </r>
      </text>
    </comment>
    <comment ref="AB63" authorId="0" shapeId="0" xr:uid="{1F684B96-D785-114D-AAF6-196B074F384C}">
      <text>
        <r>
          <rPr>
            <b/>
            <sz val="8"/>
            <color indexed="81"/>
            <rFont val="Tahoma"/>
            <family val="2"/>
          </rPr>
          <t>pjm:  All N cycling rates and ancillary variables are from 2nd plat data only because data problems on1st plat</t>
        </r>
        <r>
          <rPr>
            <sz val="8"/>
            <color indexed="81"/>
            <rFont val="Tahoma"/>
            <family val="2"/>
          </rPr>
          <t xml:space="preserve">
</t>
        </r>
      </text>
    </comment>
    <comment ref="AC63" authorId="0" shapeId="0" xr:uid="{60B6B1F4-66F4-4649-985D-2E5777BF20D0}">
      <text>
        <r>
          <rPr>
            <b/>
            <sz val="8"/>
            <color indexed="81"/>
            <rFont val="Tahoma"/>
            <family val="2"/>
          </rPr>
          <t>pjm:  All N cycling rates and ancillary variables are from 2nd plat data only because data problems on 1st plat.  Del value 100-&lt;500.</t>
        </r>
      </text>
    </comment>
    <comment ref="A64" authorId="0" shapeId="0" xr:uid="{4B79BB44-10EA-0B46-952C-7EA5EF3436B2}">
      <text>
        <r>
          <rPr>
            <b/>
            <sz val="8"/>
            <color indexed="81"/>
            <rFont val="Tahoma"/>
            <family val="2"/>
          </rPr>
          <t>from 28Sep06 file</t>
        </r>
        <r>
          <rPr>
            <sz val="8"/>
            <color indexed="81"/>
            <rFont val="Tahoma"/>
            <family val="2"/>
          </rPr>
          <t xml:space="preserve">
</t>
        </r>
      </text>
    </comment>
    <comment ref="V64" authorId="0" shapeId="0" xr:uid="{B8D40247-66CE-CF49-B1C9-302DE2854A98}">
      <text>
        <r>
          <rPr>
            <b/>
            <sz val="8"/>
            <color indexed="81"/>
            <rFont val="Tahoma"/>
            <family val="2"/>
          </rPr>
          <t>1 station at UP</t>
        </r>
        <r>
          <rPr>
            <sz val="8"/>
            <color indexed="81"/>
            <rFont val="Tahoma"/>
            <family val="2"/>
          </rPr>
          <t xml:space="preserve">
</t>
        </r>
      </text>
    </comment>
    <comment ref="W64" authorId="0" shapeId="0" xr:uid="{45FE1491-C1F8-4540-A8C8-CC22F66C4CAA}">
      <text>
        <r>
          <rPr>
            <b/>
            <sz val="8"/>
            <color indexed="81"/>
            <rFont val="Tahoma"/>
            <family val="2"/>
          </rPr>
          <t>1 station at UP</t>
        </r>
        <r>
          <rPr>
            <sz val="8"/>
            <color indexed="81"/>
            <rFont val="Tahoma"/>
            <family val="2"/>
          </rPr>
          <t xml:space="preserve">
</t>
        </r>
      </text>
    </comment>
    <comment ref="AB64" authorId="0" shapeId="0" xr:uid="{669B64FA-5835-7F40-B942-390228177E3F}">
      <text>
        <r>
          <rPr>
            <b/>
            <sz val="8"/>
            <color indexed="81"/>
            <rFont val="Tahoma"/>
            <family val="2"/>
          </rPr>
          <t>data do not meet model fit crit</t>
        </r>
      </text>
    </comment>
    <comment ref="AC64" authorId="0" shapeId="0" xr:uid="{2DA0BD38-065C-054C-A31A-EF61921D09D6}">
      <text>
        <r>
          <rPr>
            <b/>
            <sz val="8"/>
            <color indexed="81"/>
            <rFont val="Tahoma"/>
            <family val="2"/>
          </rPr>
          <t>data do not meet model fit crit</t>
        </r>
        <r>
          <rPr>
            <sz val="8"/>
            <color indexed="81"/>
            <rFont val="Tahoma"/>
            <family val="2"/>
          </rPr>
          <t xml:space="preserve">
</t>
        </r>
      </text>
    </comment>
    <comment ref="BB64" authorId="0" shapeId="0" xr:uid="{F85D50FF-596B-744E-9C65-06807F683759}">
      <text>
        <r>
          <rPr>
            <b/>
            <sz val="8"/>
            <color indexed="81"/>
            <rFont val="Tahoma"/>
            <family val="2"/>
          </rPr>
          <t>No decline in SF6 over 60 m reach</t>
        </r>
      </text>
    </comment>
    <comment ref="A65" authorId="0" shapeId="0" xr:uid="{966A33F9-0BFE-3342-90EB-F67931EC3158}">
      <text>
        <r>
          <rPr>
            <b/>
            <sz val="8"/>
            <color indexed="81"/>
            <rFont val="Tahoma"/>
            <family val="2"/>
          </rPr>
          <t>From 18Dec06 file</t>
        </r>
      </text>
    </comment>
    <comment ref="AB65" authorId="0" shapeId="0" xr:uid="{5779E844-3134-844B-B9EE-8A2E31463A3F}">
      <text>
        <r>
          <rPr>
            <b/>
            <sz val="8"/>
            <color indexed="81"/>
            <rFont val="Tahoma"/>
            <family val="2"/>
          </rPr>
          <t>jdpotter:
used denit rates from Plat 1 only because of the high amount of error associated w/ Plat 2 (liklihood analysis showed about 50-fold variation lower and upper 95% CI values.</t>
        </r>
        <r>
          <rPr>
            <sz val="8"/>
            <color indexed="81"/>
            <rFont val="Tahoma"/>
            <family val="2"/>
          </rPr>
          <t xml:space="preserve">
</t>
        </r>
      </text>
    </comment>
    <comment ref="AC65" authorId="0" shapeId="0" xr:uid="{719F1F4E-4F05-7642-8D0F-A0412AA98513}">
      <text>
        <r>
          <rPr>
            <b/>
            <sz val="8"/>
            <color indexed="81"/>
            <rFont val="Tahoma"/>
            <family val="2"/>
          </rPr>
          <t>jdpotter:
used denit rates from Plat 1 only because of the high amount of error associated w/ Plat 2 (liklihood analysis showed about 50-fold variation lower and upper 95% CI values). Model fit is not great even for plat 1 data.</t>
        </r>
        <r>
          <rPr>
            <sz val="8"/>
            <color indexed="81"/>
            <rFont val="Tahoma"/>
            <family val="2"/>
          </rPr>
          <t xml:space="preserve">
</t>
        </r>
      </text>
    </comment>
    <comment ref="BG65" authorId="3" shapeId="0" xr:uid="{29B6C781-10CB-104D-B950-0745708501E4}">
      <text>
        <r>
          <rPr>
            <b/>
            <sz val="8"/>
            <color indexed="81"/>
            <rFont val="Tahoma"/>
            <family val="2"/>
          </rPr>
          <t>jdpotter:</t>
        </r>
        <r>
          <rPr>
            <sz val="8"/>
            <color indexed="81"/>
            <rFont val="Tahoma"/>
            <family val="2"/>
          </rPr>
          <t xml:space="preserve">
Values from LINX II appear bad, these are values from LINX 1</t>
        </r>
      </text>
    </comment>
    <comment ref="BH65" authorId="3" shapeId="0" xr:uid="{B109114E-9AA7-A04F-AB88-6ECA10395031}">
      <text>
        <r>
          <rPr>
            <b/>
            <sz val="8"/>
            <color indexed="81"/>
            <rFont val="Tahoma"/>
            <family val="2"/>
          </rPr>
          <t>jdpotter:
Values from LINX II appear bad, these are values from LINX 1</t>
        </r>
      </text>
    </comment>
    <comment ref="BI65" authorId="3" shapeId="0" xr:uid="{C593864F-1D05-B545-A61B-DCE301015E0A}">
      <text>
        <r>
          <rPr>
            <b/>
            <sz val="8"/>
            <color indexed="81"/>
            <rFont val="Tahoma"/>
            <family val="2"/>
          </rPr>
          <t>jdpotter:
Values from LINX II appear bad, these are values from LINX 1</t>
        </r>
      </text>
    </comment>
    <comment ref="BJ65" authorId="3" shapeId="0" xr:uid="{A8148733-7B02-DC46-BE7E-52C76D2093E1}">
      <text>
        <r>
          <rPr>
            <b/>
            <sz val="8"/>
            <color indexed="81"/>
            <rFont val="Tahoma"/>
            <family val="2"/>
          </rPr>
          <t>jdpotter:
Values from LINX II appear bad, these are values from LINX 1</t>
        </r>
      </text>
    </comment>
    <comment ref="BL65" authorId="3" shapeId="0" xr:uid="{A62052D6-CEEA-6C42-9898-F5EFE83EBD71}">
      <text>
        <r>
          <rPr>
            <b/>
            <sz val="8"/>
            <color indexed="81"/>
            <rFont val="Tahoma"/>
            <family val="2"/>
          </rPr>
          <t>jdpotter:
Values from LINX II appear bad, these are values from LINX 1</t>
        </r>
      </text>
    </comment>
    <comment ref="BM65" authorId="3" shapeId="0" xr:uid="{3D3A41A6-42A1-AD4F-A007-4E27E21308F5}">
      <text>
        <r>
          <rPr>
            <b/>
            <sz val="8"/>
            <color indexed="81"/>
            <rFont val="Tahoma"/>
            <family val="2"/>
          </rPr>
          <t>jdpotter:
Values from LINX II appear bad, these are values from LINX 1</t>
        </r>
      </text>
    </comment>
    <comment ref="BN65" authorId="0" shapeId="0" xr:uid="{60976372-D8C7-004D-B2DA-6DC812C4A1B9}">
      <text>
        <r>
          <rPr>
            <b/>
            <sz val="8"/>
            <color indexed="81"/>
            <rFont val="Tahoma"/>
            <family val="2"/>
          </rPr>
          <t>jdpotter:
Values from LINX II appear bad, these are values from LINX 1</t>
        </r>
        <r>
          <rPr>
            <sz val="8"/>
            <color indexed="81"/>
            <rFont val="Tahoma"/>
            <family val="2"/>
          </rPr>
          <t xml:space="preserve">
</t>
        </r>
      </text>
    </comment>
    <comment ref="A66" authorId="0" shapeId="0" xr:uid="{7DEBE99E-DB5C-3044-A15B-3B3B1A26A14B}">
      <text>
        <r>
          <rPr>
            <b/>
            <sz val="8"/>
            <color indexed="81"/>
            <rFont val="Tahoma"/>
            <family val="2"/>
          </rPr>
          <t>pjm:  From 9Oct06 file</t>
        </r>
      </text>
    </comment>
    <comment ref="V66" authorId="0" shapeId="0" xr:uid="{E660C5DF-F2D7-C54B-8A47-D6B6300B1E27}">
      <text>
        <r>
          <rPr>
            <b/>
            <sz val="8"/>
            <color indexed="81"/>
            <rFont val="Tahoma"/>
            <family val="2"/>
          </rPr>
          <t>1 station at DN</t>
        </r>
        <r>
          <rPr>
            <sz val="8"/>
            <color indexed="81"/>
            <rFont val="Tahoma"/>
            <family val="2"/>
          </rPr>
          <t xml:space="preserve">
</t>
        </r>
      </text>
    </comment>
    <comment ref="W66" authorId="0" shapeId="0" xr:uid="{D21D42F2-C622-5747-9458-BB03388A06BD}">
      <text>
        <r>
          <rPr>
            <b/>
            <sz val="8"/>
            <color indexed="81"/>
            <rFont val="Tahoma"/>
            <family val="2"/>
          </rPr>
          <t>1 station at DN</t>
        </r>
        <r>
          <rPr>
            <sz val="8"/>
            <color indexed="81"/>
            <rFont val="Tahoma"/>
            <family val="2"/>
          </rPr>
          <t xml:space="preserve">
</t>
        </r>
      </text>
    </comment>
    <comment ref="AB66" authorId="0" shapeId="0" xr:uid="{8E768501-B13C-1F44-A1FE-3208E2868438}">
      <text>
        <r>
          <rPr>
            <b/>
            <sz val="8"/>
            <color indexed="81"/>
            <rFont val="Tahoma"/>
            <family val="2"/>
          </rPr>
          <t>Model fit to 2nd plat data is much better than first.  If only use 2nd plat value, this should be 4.05E-05</t>
        </r>
      </text>
    </comment>
    <comment ref="A67" authorId="0" shapeId="0" xr:uid="{A6B8812E-EF96-B948-ABB1-2C6ED5D4B53B}">
      <text>
        <r>
          <rPr>
            <b/>
            <sz val="8"/>
            <color indexed="81"/>
            <rFont val="Tahoma"/>
            <family val="2"/>
          </rPr>
          <t>pjm:  From 10Oct06 file</t>
        </r>
      </text>
    </comment>
    <comment ref="A68" authorId="0" shapeId="0" xr:uid="{2D380AC1-2337-134E-80F5-A6368CA652ED}">
      <text>
        <r>
          <rPr>
            <b/>
            <sz val="8"/>
            <color indexed="81"/>
            <rFont val="Tahoma"/>
            <family val="2"/>
          </rPr>
          <t>from 16Jan07 file</t>
        </r>
      </text>
    </comment>
    <comment ref="I68" authorId="0" shapeId="0" xr:uid="{B6A34AE2-D2BF-A543-924F-9201613C91C2}">
      <text>
        <r>
          <rPr>
            <b/>
            <sz val="8"/>
            <color indexed="81"/>
            <rFont val="Tahoma"/>
            <family val="2"/>
          </rPr>
          <t>PJM: Used only 2nd plateau data for all NO3 uptake rates, denit rates and ancillary data because 1st plat 15NO3 data suspect</t>
        </r>
        <r>
          <rPr>
            <sz val="8"/>
            <color indexed="81"/>
            <rFont val="Tahoma"/>
            <family val="2"/>
          </rPr>
          <t xml:space="preserve">
</t>
        </r>
      </text>
    </comment>
    <comment ref="J68" authorId="0" shapeId="0" xr:uid="{FAC2E59D-FF9D-1C47-8978-D04F7A069BF3}">
      <text>
        <r>
          <rPr>
            <b/>
            <sz val="8"/>
            <color indexed="81"/>
            <rFont val="Tahoma"/>
            <family val="2"/>
          </rPr>
          <t>PJM: Used only 2nd plateau data for all NO3 uptake rates, denit rates and ancillary data because 1st plat 15NO3 data suspect</t>
        </r>
        <r>
          <rPr>
            <sz val="8"/>
            <color indexed="81"/>
            <rFont val="Tahoma"/>
            <family val="2"/>
          </rPr>
          <t xml:space="preserve">
</t>
        </r>
      </text>
    </comment>
    <comment ref="N68" authorId="0" shapeId="0" xr:uid="{CD7DD68B-B6AC-7D4E-85A6-94A9A12A0A3F}">
      <text>
        <r>
          <rPr>
            <b/>
            <sz val="8"/>
            <color indexed="81"/>
            <rFont val="Tahoma"/>
            <family val="2"/>
          </rPr>
          <t>PJM: Used only 2nd plateau data for all NO3 uptake rates, denit rates and ancillary data because 1st plat 15NO3 data suspect</t>
        </r>
        <r>
          <rPr>
            <sz val="8"/>
            <color indexed="81"/>
            <rFont val="Tahoma"/>
            <family val="2"/>
          </rPr>
          <t xml:space="preserve">
</t>
        </r>
      </text>
    </comment>
    <comment ref="V68" authorId="0" shapeId="0" xr:uid="{36BB0E53-D318-404D-AC11-695FCCE56D99}">
      <text>
        <r>
          <rPr>
            <b/>
            <sz val="8"/>
            <color indexed="81"/>
            <rFont val="Tahoma"/>
            <family val="2"/>
          </rPr>
          <t>1 station at DN</t>
        </r>
      </text>
    </comment>
    <comment ref="W68" authorId="0" shapeId="0" xr:uid="{123FB0CC-CB13-9C48-9E15-00B92E6EFE84}">
      <text>
        <r>
          <rPr>
            <b/>
            <sz val="8"/>
            <color indexed="81"/>
            <rFont val="Tahoma"/>
            <family val="2"/>
          </rPr>
          <t>1 station at DN</t>
        </r>
      </text>
    </comment>
    <comment ref="Y68" authorId="1" shapeId="0" xr:uid="{58354740-6776-664A-9FDD-7F46EC563738}">
      <text>
        <r>
          <rPr>
            <b/>
            <sz val="8"/>
            <color indexed="81"/>
            <rFont val="Tahoma"/>
            <family val="2"/>
          </rPr>
          <t>PJM: Used only 2nd plateau data for all NO3 uptake rates, denit rates and ancillary data because 1st plat 15NO3 data suspect</t>
        </r>
      </text>
    </comment>
    <comment ref="AB68" authorId="0" shapeId="0" xr:uid="{F9126D04-6B92-2546-9BF7-B69D20DF30DD}">
      <text>
        <r>
          <rPr>
            <b/>
            <sz val="8"/>
            <color indexed="81"/>
            <rFont val="Tahoma"/>
            <family val="2"/>
          </rPr>
          <t>PJM: Used only 2nd plateau data for all NO3 uptake rates, denit rates and ancillary data because 1st plat 15NO3 data suspect</t>
        </r>
        <r>
          <rPr>
            <sz val="8"/>
            <color indexed="81"/>
            <rFont val="Tahoma"/>
            <family val="2"/>
          </rPr>
          <t xml:space="preserve">
</t>
        </r>
      </text>
    </comment>
    <comment ref="AC68" authorId="0" shapeId="0" xr:uid="{5C3ECD2F-F2CA-874B-A16E-C3549F389842}">
      <text>
        <r>
          <rPr>
            <b/>
            <sz val="8"/>
            <color indexed="81"/>
            <rFont val="Tahoma"/>
            <family val="2"/>
          </rPr>
          <t>Good model fits but del values 200-500</t>
        </r>
      </text>
    </comment>
    <comment ref="A69" authorId="0" shapeId="0" xr:uid="{2402EB05-6E85-B14A-B950-EF76425534E8}">
      <text>
        <r>
          <rPr>
            <b/>
            <sz val="8"/>
            <color indexed="81"/>
            <rFont val="Tahoma"/>
            <family val="2"/>
          </rPr>
          <t>from 16Jan07 file</t>
        </r>
      </text>
    </comment>
    <comment ref="A70" authorId="0" shapeId="0" xr:uid="{AF5496EE-0A27-6C40-A145-D864385279EA}">
      <text>
        <r>
          <rPr>
            <b/>
            <sz val="8"/>
            <color indexed="81"/>
            <rFont val="Tahoma"/>
            <family val="2"/>
          </rPr>
          <t>from 9Oct06 file</t>
        </r>
      </text>
    </comment>
    <comment ref="I70" authorId="0" shapeId="0" xr:uid="{46ADAC93-2FDB-5746-A61E-BF6169FE559D}">
      <text>
        <r>
          <rPr>
            <b/>
            <sz val="8"/>
            <color indexed="81"/>
            <rFont val="Tahoma"/>
            <family val="2"/>
          </rPr>
          <t>PJM: Used only 1st plateau data for all rates and ancillary data because of large increase in NO3 conc across reach on 2nd plat</t>
        </r>
        <r>
          <rPr>
            <sz val="8"/>
            <color indexed="81"/>
            <rFont val="Tahoma"/>
            <family val="2"/>
          </rPr>
          <t xml:space="preserve">
</t>
        </r>
      </text>
    </comment>
    <comment ref="J70" authorId="0" shapeId="0" xr:uid="{092144F7-F078-5A42-B96F-F48FCCEAF68B}">
      <text>
        <r>
          <rPr>
            <b/>
            <sz val="8"/>
            <color indexed="81"/>
            <rFont val="Tahoma"/>
            <family val="2"/>
          </rPr>
          <t>PJM: Used only 1st plateau data for all rates and ancillary data because of large increase in NO3 conc across reach on 2nd plat</t>
        </r>
        <r>
          <rPr>
            <sz val="8"/>
            <color indexed="81"/>
            <rFont val="Tahoma"/>
            <family val="2"/>
          </rPr>
          <t xml:space="preserve">
</t>
        </r>
      </text>
    </comment>
    <comment ref="N70" authorId="0" shapeId="0" xr:uid="{A1B3E38C-6B0C-3448-846F-9EE54CEFE642}">
      <text>
        <r>
          <rPr>
            <b/>
            <sz val="8"/>
            <color indexed="81"/>
            <rFont val="Tahoma"/>
            <family val="2"/>
          </rPr>
          <t>PJM: Used only 1st plateau data for all rates and ancillary data because of large increase in NO3 conc across reach on 2nd plat (minimal increase in 1st plat)</t>
        </r>
        <r>
          <rPr>
            <sz val="8"/>
            <color indexed="81"/>
            <rFont val="Tahoma"/>
            <family val="2"/>
          </rPr>
          <t xml:space="preserve">
</t>
        </r>
      </text>
    </comment>
    <comment ref="V70" authorId="0" shapeId="0" xr:uid="{805BCEFC-538B-B744-ACB4-3AD5951BD47A}">
      <text>
        <r>
          <rPr>
            <b/>
            <sz val="8"/>
            <color indexed="81"/>
            <rFont val="Tahoma"/>
            <family val="2"/>
          </rPr>
          <t>1 station at DN</t>
        </r>
      </text>
    </comment>
    <comment ref="W70" authorId="0" shapeId="0" xr:uid="{14DCBC1F-C240-8C47-B038-C895ADAC784F}">
      <text>
        <r>
          <rPr>
            <b/>
            <sz val="8"/>
            <color indexed="81"/>
            <rFont val="Tahoma"/>
            <family val="2"/>
          </rPr>
          <t>1 station at DN</t>
        </r>
      </text>
    </comment>
    <comment ref="Y70" authorId="0" shapeId="0" xr:uid="{3341D6AC-A4B3-114C-83E5-297A317E073C}">
      <text>
        <r>
          <rPr>
            <b/>
            <sz val="8"/>
            <color indexed="81"/>
            <rFont val="Tahoma"/>
            <family val="2"/>
          </rPr>
          <t>PJM: Used only 1st plateau data for all rates and ancillary data because of large increase in NO3 conc across reach on 2nd plat</t>
        </r>
      </text>
    </comment>
    <comment ref="AB70" authorId="0" shapeId="0" xr:uid="{C054B559-7319-FB44-AF9D-3790D8D5994F}">
      <text>
        <r>
          <rPr>
            <b/>
            <sz val="8"/>
            <color indexed="81"/>
            <rFont val="Tahoma"/>
            <family val="2"/>
          </rPr>
          <t>PJM: Used only 1st plateau data for all rates and ancillary data because of large increase in NO3 conc across reach on 2nd plat</t>
        </r>
        <r>
          <rPr>
            <sz val="8"/>
            <color indexed="81"/>
            <rFont val="Tahoma"/>
            <family val="2"/>
          </rPr>
          <t xml:space="preserve">
</t>
        </r>
      </text>
    </comment>
    <comment ref="AC70" authorId="0" shapeId="0" xr:uid="{1C457507-A1B2-D741-858E-2F16463047B8}">
      <text>
        <r>
          <rPr>
            <b/>
            <sz val="8"/>
            <color indexed="81"/>
            <rFont val="Tahoma"/>
            <family val="2"/>
          </rPr>
          <t>PJM: Used only 1st plateau data for all rates and ancillary data because of large increase in NO3 conc across reach on 2nd plat</t>
        </r>
        <r>
          <rPr>
            <sz val="8"/>
            <color indexed="81"/>
            <rFont val="Tahoma"/>
            <family val="2"/>
          </rPr>
          <t xml:space="preserve">
</t>
        </r>
      </text>
    </comment>
    <comment ref="A71" authorId="0" shapeId="0" xr:uid="{EC93FDF2-A784-5E42-8C65-6F5568FC3626}">
      <text>
        <r>
          <rPr>
            <b/>
            <sz val="8"/>
            <color indexed="81"/>
            <rFont val="Tahoma"/>
            <family val="2"/>
          </rPr>
          <t>from 27Nov06 file</t>
        </r>
      </text>
    </comment>
    <comment ref="V71" authorId="0" shapeId="0" xr:uid="{9E7ED93D-C8C6-994F-B6E6-2C5E8BFA667A}">
      <text>
        <r>
          <rPr>
            <b/>
            <sz val="8"/>
            <color indexed="81"/>
            <rFont val="Tahoma"/>
            <family val="2"/>
          </rPr>
          <t>1-station at DN</t>
        </r>
      </text>
    </comment>
    <comment ref="W71" authorId="0" shapeId="0" xr:uid="{F312C5EF-85B1-1347-8DD5-90395BF34B16}">
      <text>
        <r>
          <rPr>
            <b/>
            <sz val="8"/>
            <color indexed="81"/>
            <rFont val="Tahoma"/>
            <family val="2"/>
          </rPr>
          <t>1-station at DN</t>
        </r>
        <r>
          <rPr>
            <sz val="8"/>
            <color indexed="81"/>
            <rFont val="Tahoma"/>
            <family val="2"/>
          </rPr>
          <t xml:space="preserve">
</t>
        </r>
      </text>
    </comment>
    <comment ref="AC71" authorId="0" shapeId="0" xr:uid="{181C2FCF-25E0-2A4F-8D1A-13AB77483D29}">
      <text>
        <r>
          <rPr>
            <b/>
            <sz val="8"/>
            <color indexed="81"/>
            <rFont val="Tahoma"/>
            <family val="2"/>
          </rPr>
          <t>del values 150-300. Modiocre fits.</t>
        </r>
        <r>
          <rPr>
            <sz val="8"/>
            <color indexed="81"/>
            <rFont val="Tahoma"/>
            <family val="2"/>
          </rPr>
          <t xml:space="preserve">
</t>
        </r>
      </text>
    </comment>
    <comment ref="A72" authorId="0" shapeId="0" xr:uid="{B54084E7-3E40-E64B-9768-FAAB80F5AF24}">
      <text>
        <r>
          <rPr>
            <b/>
            <sz val="8"/>
            <color indexed="81"/>
            <rFont val="Tahoma"/>
            <family val="2"/>
          </rPr>
          <t>from 27Nov06 file</t>
        </r>
        <r>
          <rPr>
            <sz val="8"/>
            <color indexed="81"/>
            <rFont val="Tahoma"/>
            <family val="2"/>
          </rPr>
          <t xml:space="preserve">
</t>
        </r>
      </text>
    </comment>
    <comment ref="I72" authorId="0" shapeId="0" xr:uid="{5E1F85B7-03D2-D340-8882-842A367D7CB1}">
      <text>
        <r>
          <rPr>
            <b/>
            <sz val="8"/>
            <color indexed="81"/>
            <rFont val="Tahoma"/>
            <family val="2"/>
          </rPr>
          <t>All data are for 2nd plat only.  No NO3 uptake on 1st plat.  Also large increase in flow (from 49 on 1st plat to 111.9 on 2nd plat)</t>
        </r>
      </text>
    </comment>
    <comment ref="N72" authorId="0" shapeId="0" xr:uid="{6C324ABE-AD84-A647-ACE0-706E0132E6F5}">
      <text>
        <r>
          <rPr>
            <b/>
            <sz val="8"/>
            <color indexed="81"/>
            <rFont val="Tahoma"/>
            <family val="2"/>
          </rPr>
          <t>Used only 2nd plat data since no measureable uptake on 1st plat (NO3 conc did not change much despite large increase in Q).</t>
        </r>
        <r>
          <rPr>
            <sz val="8"/>
            <color indexed="81"/>
            <rFont val="Tahoma"/>
            <family val="2"/>
          </rPr>
          <t xml:space="preserve">
</t>
        </r>
      </text>
    </comment>
    <comment ref="Y72" authorId="0" shapeId="0" xr:uid="{DCB0B76D-558F-8744-9BF5-258264F2FFE1}">
      <text>
        <r>
          <rPr>
            <b/>
            <sz val="8"/>
            <color indexed="81"/>
            <rFont val="Tahoma"/>
            <family val="2"/>
          </rPr>
          <t>All rates for 2nd plat only, no uptake on first</t>
        </r>
      </text>
    </comment>
    <comment ref="AB72" authorId="0" shapeId="0" xr:uid="{1437B1D4-13BE-B346-9E0B-D6A9D533AE6B}">
      <text>
        <r>
          <rPr>
            <b/>
            <sz val="8"/>
            <color indexed="81"/>
            <rFont val="Tahoma"/>
            <family val="2"/>
          </rPr>
          <t>2nd plat only because no measureable NO3 uptake on 1st</t>
        </r>
      </text>
    </comment>
    <comment ref="AC72" authorId="0" shapeId="0" xr:uid="{5986D90F-07CD-3949-9D33-3B6379514566}">
      <text>
        <r>
          <rPr>
            <b/>
            <sz val="8"/>
            <color indexed="81"/>
            <rFont val="Tahoma"/>
            <family val="2"/>
          </rPr>
          <t>2nd plat only (no NO3 uptake on 1st). del values 100-230.  Model fit very good.</t>
        </r>
      </text>
    </comment>
    <comment ref="A73" authorId="0" shapeId="0" xr:uid="{A0022725-3840-AC4E-9EB9-4E6C18DEA95F}">
      <text>
        <r>
          <rPr>
            <b/>
            <sz val="8"/>
            <color indexed="81"/>
            <rFont val="Tahoma"/>
            <family val="2"/>
          </rPr>
          <t>from 27Nov06 file</t>
        </r>
        <r>
          <rPr>
            <sz val="8"/>
            <color indexed="81"/>
            <rFont val="Tahoma"/>
            <family val="2"/>
          </rPr>
          <t xml:space="preserve">
</t>
        </r>
      </text>
    </comment>
    <comment ref="AB73" authorId="0" shapeId="0" xr:uid="{BFEE70C1-D130-3B4A-BF4F-942CE11DC370}">
      <text>
        <r>
          <rPr>
            <b/>
            <sz val="8"/>
            <color indexed="81"/>
            <rFont val="Tahoma"/>
            <family val="2"/>
          </rPr>
          <t>model fit not as peaked as data, maybe due to long inhomogeneity</t>
        </r>
      </text>
    </comment>
    <comment ref="AC73" authorId="0" shapeId="0" xr:uid="{B9AA139C-04F0-234A-B456-608514968ED9}">
      <text>
        <r>
          <rPr>
            <b/>
            <sz val="8"/>
            <color indexed="81"/>
            <rFont val="Tahoma"/>
            <family val="2"/>
          </rPr>
          <t>model fit not as peaked as data</t>
        </r>
      </text>
    </comment>
  </commentList>
</comments>
</file>

<file path=xl/sharedStrings.xml><?xml version="1.0" encoding="utf-8"?>
<sst xmlns="http://schemas.openxmlformats.org/spreadsheetml/2006/main" count="437" uniqueCount="167">
  <si>
    <t>yellow indicates plat del &gt;500 for at least 3 stations</t>
  </si>
  <si>
    <t>MA</t>
  </si>
  <si>
    <t>Cart Creek</t>
  </si>
  <si>
    <t>REF</t>
  </si>
  <si>
    <t>P</t>
  </si>
  <si>
    <t>IS_104</t>
  </si>
  <si>
    <t>URB</t>
  </si>
  <si>
    <t>Boxford</t>
  </si>
  <si>
    <t>x</t>
  </si>
  <si>
    <t>Runaway Brook</t>
  </si>
  <si>
    <t>AGR</t>
  </si>
  <si>
    <t>Long Meadow Brook</t>
  </si>
  <si>
    <t>Gravelly Brook</t>
  </si>
  <si>
    <t>no data</t>
  </si>
  <si>
    <t>Black Brook</t>
  </si>
  <si>
    <t>N</t>
  </si>
  <si>
    <t>Sawmill Brook</t>
  </si>
  <si>
    <t xml:space="preserve">N </t>
  </si>
  <si>
    <t>IS_118</t>
  </si>
  <si>
    <t>NC</t>
  </si>
  <si>
    <t>Hugh White Creek</t>
  </si>
  <si>
    <t>NP</t>
  </si>
  <si>
    <t>Hoglot Branch</t>
  </si>
  <si>
    <t>Crawford Branch</t>
  </si>
  <si>
    <t>Big Hurricane Branch</t>
  </si>
  <si>
    <t>Jerry Branch</t>
  </si>
  <si>
    <t>Mud Creek</t>
  </si>
  <si>
    <t>Cunningham Creek</t>
  </si>
  <si>
    <t>Blacks Branch</t>
  </si>
  <si>
    <t>Sugarloaf Creek</t>
  </si>
  <si>
    <t>MI</t>
  </si>
  <si>
    <t>Sand Creek</t>
  </si>
  <si>
    <t>STEINKE DRAIN</t>
  </si>
  <si>
    <t>DORR</t>
  </si>
  <si>
    <t>Bullet</t>
  </si>
  <si>
    <t>Buskirk</t>
  </si>
  <si>
    <t>Wayland</t>
  </si>
  <si>
    <t>Honeysuckle</t>
  </si>
  <si>
    <t>Bellingham</t>
  </si>
  <si>
    <t>Arcadia</t>
  </si>
  <si>
    <t>N 2P</t>
  </si>
  <si>
    <t>KS</t>
  </si>
  <si>
    <t>Kings Creek N4D</t>
  </si>
  <si>
    <t>DATA</t>
  </si>
  <si>
    <t>Agnorth</t>
  </si>
  <si>
    <t>Campus Creek</t>
  </si>
  <si>
    <t xml:space="preserve">K2A </t>
  </si>
  <si>
    <t>Natalie Creek</t>
  </si>
  <si>
    <t>Walmart Ditch</t>
  </si>
  <si>
    <t>P 2N</t>
  </si>
  <si>
    <t>Shane Creek</t>
  </si>
  <si>
    <t>Swine</t>
  </si>
  <si>
    <t>Little Kitten</t>
  </si>
  <si>
    <t>WY</t>
  </si>
  <si>
    <t>Ditch</t>
  </si>
  <si>
    <t>Giltner</t>
  </si>
  <si>
    <t>Golf</t>
  </si>
  <si>
    <t>Two Oceans</t>
  </si>
  <si>
    <t>Headquarters</t>
  </si>
  <si>
    <t>Teton Pines</t>
  </si>
  <si>
    <t>Spread</t>
  </si>
  <si>
    <t>Kimball</t>
  </si>
  <si>
    <t>FISH</t>
  </si>
  <si>
    <t>SW</t>
  </si>
  <si>
    <t>Agua Fria</t>
  </si>
  <si>
    <t>Bernalillo drain</t>
  </si>
  <si>
    <t>Rio Rancho</t>
  </si>
  <si>
    <t>Rio Salado</t>
  </si>
  <si>
    <t>Rio Puerco</t>
  </si>
  <si>
    <t>San Pedro</t>
  </si>
  <si>
    <t>Sycamore Ck</t>
  </si>
  <si>
    <t>Indian Bend Wash</t>
  </si>
  <si>
    <t>Tempe Town lake</t>
  </si>
  <si>
    <t>OR</t>
  </si>
  <si>
    <t>Oak</t>
  </si>
  <si>
    <t>Mack</t>
  </si>
  <si>
    <t>Camp</t>
  </si>
  <si>
    <t>Amazon</t>
  </si>
  <si>
    <t>Potts</t>
  </si>
  <si>
    <t>Courtney</t>
  </si>
  <si>
    <t>Periwinkle</t>
  </si>
  <si>
    <t xml:space="preserve">N  </t>
  </si>
  <si>
    <t>PR</t>
  </si>
  <si>
    <t>Bisley</t>
  </si>
  <si>
    <t>Grande</t>
  </si>
  <si>
    <t>Petunia</t>
  </si>
  <si>
    <t>RIT</t>
  </si>
  <si>
    <t>Maizales</t>
  </si>
  <si>
    <t>Mtrib</t>
  </si>
  <si>
    <t>Pared</t>
  </si>
  <si>
    <t>Vaca</t>
  </si>
  <si>
    <t>Ceiba</t>
  </si>
  <si>
    <t>ave</t>
  </si>
  <si>
    <t>med</t>
  </si>
  <si>
    <t>sd</t>
  </si>
  <si>
    <t>n</t>
  </si>
  <si>
    <t>Max</t>
  </si>
  <si>
    <t>Min</t>
  </si>
  <si>
    <t>Procedure for determining kdenN2 and kdenN2O:</t>
  </si>
  <si>
    <t>1.  Only attempt to fit the model to plateau tracer 15N flux data if the del15N values measured at 3 stations or more are greater than the upper 97.5% CI value for the PRE samples del15N values.</t>
  </si>
  <si>
    <t>2.  Use only plateau tracer 15N flux values for stations with del15N values greater than upper 97.5% CI for PRE samples in model fits.</t>
  </si>
  <si>
    <t>3.  Apply MLE analsis to determine if (a) model fitting criteria above are met but kden values poorly constrained (95% CI for kden overlaps 0) or (b) model fitting criteria not met but kden values are constrained enough to provide an estimate that is detectable (95% CI for kden does not overlap 0)</t>
  </si>
  <si>
    <t>state</t>
  </si>
  <si>
    <t>stream_name</t>
  </si>
  <si>
    <t>LU_designation</t>
  </si>
  <si>
    <t>stream_gradient_m_m</t>
  </si>
  <si>
    <t>15NreachLength_m</t>
  </si>
  <si>
    <t>water_velocity_m_min</t>
  </si>
  <si>
    <t>temp_C</t>
  </si>
  <si>
    <t>Q_L_s</t>
  </si>
  <si>
    <t>width_m</t>
  </si>
  <si>
    <t>depth_m</t>
  </si>
  <si>
    <t>Spec_discharge_Q/w_m3_s_m</t>
  </si>
  <si>
    <t>NH4conc_ugN_L</t>
  </si>
  <si>
    <t>NO3conc_ugN_L</t>
  </si>
  <si>
    <t>DONconc_ugN_L</t>
  </si>
  <si>
    <t>SRPconc_ugP_L</t>
  </si>
  <si>
    <t>DOCconc_mgC_L</t>
  </si>
  <si>
    <t>SC_uS_cm</t>
  </si>
  <si>
    <t>DO_mg_L</t>
  </si>
  <si>
    <t>PAR_duringN15exp_molequanta_m2_24h</t>
  </si>
  <si>
    <t>GPP_gO2_m2_d</t>
  </si>
  <si>
    <t>R_gO2_m2_d</t>
  </si>
  <si>
    <t>PAR_duringMetabolismMeas_moleQuanta_m2_24h</t>
  </si>
  <si>
    <t>ktot_no3_per_m</t>
  </si>
  <si>
    <t>Vf_tot_no3_cm_s</t>
  </si>
  <si>
    <t>U_tot_no3_ugN_m2_s</t>
  </si>
  <si>
    <t>kden_N2_per_m</t>
  </si>
  <si>
    <t>kdenN2O_per_m</t>
  </si>
  <si>
    <t>kdentot_per_m</t>
  </si>
  <si>
    <t>kdentot_frac_of_kNO3</t>
  </si>
  <si>
    <t>kdenN2O_frac_of_kdentot</t>
  </si>
  <si>
    <t>Date_15Nexpt</t>
  </si>
  <si>
    <t>Vfdentot_cm_s</t>
  </si>
  <si>
    <t>Udentot_ugN_m2_s</t>
  </si>
  <si>
    <t>Nitrif_rate_ugN_m2_s</t>
  </si>
  <si>
    <t>kNH4upt_per_m</t>
  </si>
  <si>
    <t>Ktime_per_h</t>
  </si>
  <si>
    <t>kammonif_per_s</t>
  </si>
  <si>
    <t>Sw_tot_m</t>
  </si>
  <si>
    <t>Sw_den_m</t>
  </si>
  <si>
    <t>ktot_timebased_per_day</t>
  </si>
  <si>
    <t>kdentot_timebased_perday</t>
  </si>
  <si>
    <t>kassim_per_m</t>
  </si>
  <si>
    <t>Sw_assim_m</t>
  </si>
  <si>
    <t>Vf_assim_cm_s</t>
  </si>
  <si>
    <t>U_assim_ugN_m2_s</t>
  </si>
  <si>
    <t>biomass_autotrophic_gAFDM_m2</t>
  </si>
  <si>
    <t>biomass_detritus_gAFDM_m2</t>
  </si>
  <si>
    <t>biomass_SurfaceBOM_gAFDM_m2</t>
  </si>
  <si>
    <t>Kprop_per_m</t>
  </si>
  <si>
    <t>KSF6_per_m</t>
  </si>
  <si>
    <t>Date_gasTracer</t>
  </si>
  <si>
    <t>WaterTemp_gastracer_C</t>
  </si>
  <si>
    <t>reachLength_gastracer_m</t>
  </si>
  <si>
    <t>TS_D_m_s2</t>
  </si>
  <si>
    <t>TS_A_m2</t>
  </si>
  <si>
    <t>TS_As_m2</t>
  </si>
  <si>
    <t>TS_alpha_per_s</t>
  </si>
  <si>
    <t>TS_As/A</t>
  </si>
  <si>
    <t>TS_Rh_sec_m</t>
  </si>
  <si>
    <t>TS_Fmed200_fraction</t>
  </si>
  <si>
    <t>TS_Tsto_s</t>
  </si>
  <si>
    <t>NutLim_hetero</t>
  </si>
  <si>
    <t>NutLim_auto</t>
  </si>
  <si>
    <t>kdenN2O_comments</t>
  </si>
  <si>
    <t>DrainageArea_ha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</si>
</sst>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8" x14ac:knownFonts="1">
    <font>
      <sz val="10"/>
      <name val="Arial"/>
      <family val="2"/>
    </font>
    <font>
      <sz val="10"/>
      <name val="Arial"/>
      <family val="2"/>
    </font>
    <font>
      <b/>
      <sz val="10"/>
      <name val="Arial"/>
      <family val="2"/>
    </font>
    <font>
      <b/>
      <sz val="8"/>
      <color indexed="81"/>
      <name val="Tahoma"/>
      <family val="2"/>
    </font>
    <font>
      <sz val="8"/>
      <color indexed="81"/>
      <name val="Tahoma"/>
      <family val="2"/>
    </font>
    <font>
      <b/>
      <sz val="8"/>
      <color rgb="FF000000"/>
      <name val="Tahoma"/>
      <family val="2"/>
    </font>
    <font>
      <sz val="8"/>
      <color rgb="FF000000"/>
      <name val="Tahoma"/>
      <family val="2"/>
    </font>
    <font>
      <b/>
      <sz val="8"/>
      <color indexed="8"/>
      <name val="Tahoma"/>
      <family val="2"/>
    </font>
  </fonts>
  <fills count="5">
    <fill>
      <patternFill patternType="none"/>
    </fill>
    <fill>
      <patternFill patternType="gray125"/>
    </fill>
    <fill>
      <patternFill patternType="solid">
        <fgColor indexed="8"/>
        <bgColor indexed="64"/>
      </patternFill>
    </fill>
    <fill>
      <patternFill patternType="solid">
        <fgColor indexed="13"/>
        <bgColor indexed="64"/>
      </patternFill>
    </fill>
    <fill>
      <patternFill patternType="solid">
        <fgColor indexed="51"/>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2" fillId="2" borderId="0" xfId="0" applyFont="1" applyFill="1"/>
    <xf numFmtId="0" fontId="0" fillId="2" borderId="0" xfId="0" applyFill="1"/>
    <xf numFmtId="0" fontId="1" fillId="0" borderId="0" xfId="0" applyFont="1"/>
    <xf numFmtId="0" fontId="0" fillId="3" borderId="0" xfId="0" applyFill="1"/>
    <xf numFmtId="14" fontId="0" fillId="0" borderId="0" xfId="0" applyNumberFormat="1"/>
    <xf numFmtId="11" fontId="0" fillId="4" borderId="0" xfId="0" applyNumberFormat="1" applyFill="1"/>
    <xf numFmtId="2" fontId="0" fillId="0" borderId="0" xfId="0" applyNumberFormat="1"/>
    <xf numFmtId="2" fontId="0" fillId="2" borderId="0" xfId="0" applyNumberFormat="1" applyFill="1" applyAlignment="1">
      <alignment horizontal="right"/>
    </xf>
    <xf numFmtId="2" fontId="0" fillId="2" borderId="0" xfId="0" applyNumberFormat="1" applyFill="1"/>
    <xf numFmtId="0" fontId="0" fillId="0" borderId="0" xfId="0" applyAlignment="1">
      <alignment horizontal="center"/>
    </xf>
    <xf numFmtId="11" fontId="0" fillId="0" borderId="0" xfId="0" applyNumberFormat="1"/>
    <xf numFmtId="11" fontId="0" fillId="3" borderId="0" xfId="0" applyNumberFormat="1" applyFill="1"/>
    <xf numFmtId="166" fontId="0" fillId="2" borderId="0" xfId="0" applyNumberFormat="1" applyFill="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BAB4-D62B-DE44-A039-4E8E1AFCF7A9}">
  <dimension ref="A1:BR163"/>
  <sheetViews>
    <sheetView tabSelected="1" zoomScale="170" zoomScaleNormal="170" workbookViewId="0">
      <pane xSplit="3" ySplit="1" topLeftCell="O2" activePane="bottomRight" state="frozen"/>
      <selection pane="topRight" activeCell="D1" sqref="D1"/>
      <selection pane="bottomLeft" activeCell="A4" sqref="A4"/>
      <selection pane="bottomRight" activeCell="E13" sqref="E13"/>
    </sheetView>
  </sheetViews>
  <sheetFormatPr baseColWidth="10" defaultColWidth="8.83203125" defaultRowHeight="13" x14ac:dyDescent="0.15"/>
  <cols>
    <col min="1" max="3" width="8.83203125" customWidth="1"/>
    <col min="4" max="5" width="9.33203125" bestFit="1" customWidth="1"/>
    <col min="6" max="6" width="10" customWidth="1"/>
    <col min="7" max="12" width="9.33203125" bestFit="1" customWidth="1"/>
    <col min="13" max="13" width="8.83203125" customWidth="1"/>
    <col min="14" max="27" width="9.33203125" bestFit="1" customWidth="1"/>
    <col min="28" max="29" width="12.5" bestFit="1" customWidth="1"/>
    <col min="30" max="30" width="12.5" customWidth="1"/>
    <col min="31" max="35" width="9.33203125" bestFit="1" customWidth="1"/>
    <col min="36" max="36" width="9.33203125" customWidth="1"/>
    <col min="37" max="39" width="9.33203125" bestFit="1" customWidth="1"/>
    <col min="40" max="40" width="8.83203125" customWidth="1"/>
    <col min="41" max="42" width="9.1640625" customWidth="1"/>
    <col min="43" max="52" width="8.83203125" customWidth="1"/>
    <col min="53" max="57" width="9.33203125" bestFit="1" customWidth="1"/>
    <col min="58" max="58" width="8.83203125" customWidth="1"/>
    <col min="59" max="61" width="9.33203125" bestFit="1" customWidth="1"/>
    <col min="62" max="62" width="10.1640625" bestFit="1" customWidth="1"/>
    <col min="63" max="69" width="8.83203125" customWidth="1"/>
    <col min="70" max="70" width="9.1640625" customWidth="1"/>
    <col min="202" max="203" width="9.33203125" bestFit="1" customWidth="1"/>
    <col min="204" max="204" width="10" customWidth="1"/>
    <col min="205" max="210" width="9.33203125" bestFit="1" customWidth="1"/>
    <col min="212" max="219" width="9.33203125" bestFit="1" customWidth="1"/>
    <col min="221" max="223" width="9.33203125" bestFit="1" customWidth="1"/>
    <col min="225" max="227" width="9.33203125" bestFit="1" customWidth="1"/>
    <col min="228" max="229" width="12.5" bestFit="1" customWidth="1"/>
    <col min="230" max="234" width="9.33203125" bestFit="1" customWidth="1"/>
    <col min="235" max="235" width="9.33203125" customWidth="1"/>
    <col min="236" max="238" width="9.33203125" bestFit="1" customWidth="1"/>
    <col min="240" max="241" width="9.1640625" customWidth="1"/>
    <col min="249" max="266" width="9.33203125" bestFit="1" customWidth="1"/>
    <col min="271" max="283" width="9.33203125" bestFit="1" customWidth="1"/>
    <col min="285" max="289" width="9.33203125" bestFit="1" customWidth="1"/>
    <col min="291" max="293" width="9.33203125" bestFit="1" customWidth="1"/>
    <col min="294" max="294" width="10.1640625" bestFit="1" customWidth="1"/>
    <col min="301" max="303" width="9.33203125" bestFit="1" customWidth="1"/>
    <col min="305" max="305" width="9.1640625" customWidth="1"/>
    <col min="306" max="307" width="10.5" customWidth="1"/>
    <col min="308" max="310" width="9.1640625" customWidth="1"/>
    <col min="312" max="312" width="10.6640625" customWidth="1"/>
    <col min="313" max="313" width="10.5" customWidth="1"/>
    <col min="314" max="315" width="9.1640625" customWidth="1"/>
    <col min="317" max="317" width="9.1640625" customWidth="1"/>
    <col min="320" max="320" width="9.1640625" customWidth="1"/>
    <col min="458" max="459" width="9.33203125" bestFit="1" customWidth="1"/>
    <col min="460" max="460" width="10" customWidth="1"/>
    <col min="461" max="466" width="9.33203125" bestFit="1" customWidth="1"/>
    <col min="468" max="475" width="9.33203125" bestFit="1" customWidth="1"/>
    <col min="477" max="479" width="9.33203125" bestFit="1" customWidth="1"/>
    <col min="481" max="483" width="9.33203125" bestFit="1" customWidth="1"/>
    <col min="484" max="485" width="12.5" bestFit="1" customWidth="1"/>
    <col min="486" max="490" width="9.33203125" bestFit="1" customWidth="1"/>
    <col min="491" max="491" width="9.33203125" customWidth="1"/>
    <col min="492" max="494" width="9.33203125" bestFit="1" customWidth="1"/>
    <col min="496" max="497" width="9.1640625" customWidth="1"/>
    <col min="505" max="522" width="9.33203125" bestFit="1" customWidth="1"/>
    <col min="527" max="539" width="9.33203125" bestFit="1" customWidth="1"/>
    <col min="541" max="545" width="9.33203125" bestFit="1" customWidth="1"/>
    <col min="547" max="549" width="9.33203125" bestFit="1" customWidth="1"/>
    <col min="550" max="550" width="10.1640625" bestFit="1" customWidth="1"/>
    <col min="557" max="559" width="9.33203125" bestFit="1" customWidth="1"/>
    <col min="561" max="561" width="9.1640625" customWidth="1"/>
    <col min="562" max="563" width="10.5" customWidth="1"/>
    <col min="564" max="566" width="9.1640625" customWidth="1"/>
    <col min="568" max="568" width="10.6640625" customWidth="1"/>
    <col min="569" max="569" width="10.5" customWidth="1"/>
    <col min="570" max="571" width="9.1640625" customWidth="1"/>
    <col min="573" max="573" width="9.1640625" customWidth="1"/>
    <col min="576" max="576" width="9.1640625" customWidth="1"/>
    <col min="714" max="715" width="9.33203125" bestFit="1" customWidth="1"/>
    <col min="716" max="716" width="10" customWidth="1"/>
    <col min="717" max="722" width="9.33203125" bestFit="1" customWidth="1"/>
    <col min="724" max="731" width="9.33203125" bestFit="1" customWidth="1"/>
    <col min="733" max="735" width="9.33203125" bestFit="1" customWidth="1"/>
    <col min="737" max="739" width="9.33203125" bestFit="1" customWidth="1"/>
    <col min="740" max="741" width="12.5" bestFit="1" customWidth="1"/>
    <col min="742" max="746" width="9.33203125" bestFit="1" customWidth="1"/>
    <col min="747" max="747" width="9.33203125" customWidth="1"/>
    <col min="748" max="750" width="9.33203125" bestFit="1" customWidth="1"/>
    <col min="752" max="753" width="9.1640625" customWidth="1"/>
    <col min="761" max="778" width="9.33203125" bestFit="1" customWidth="1"/>
    <col min="783" max="795" width="9.33203125" bestFit="1" customWidth="1"/>
    <col min="797" max="801" width="9.33203125" bestFit="1" customWidth="1"/>
    <col min="803" max="805" width="9.33203125" bestFit="1" customWidth="1"/>
    <col min="806" max="806" width="10.1640625" bestFit="1" customWidth="1"/>
    <col min="813" max="815" width="9.33203125" bestFit="1" customWidth="1"/>
    <col min="817" max="817" width="9.1640625" customWidth="1"/>
    <col min="818" max="819" width="10.5" customWidth="1"/>
    <col min="820" max="822" width="9.1640625" customWidth="1"/>
    <col min="824" max="824" width="10.6640625" customWidth="1"/>
    <col min="825" max="825" width="10.5" customWidth="1"/>
    <col min="826" max="827" width="9.1640625" customWidth="1"/>
    <col min="829" max="829" width="9.1640625" customWidth="1"/>
    <col min="832" max="832" width="9.1640625" customWidth="1"/>
    <col min="970" max="971" width="9.33203125" bestFit="1" customWidth="1"/>
    <col min="972" max="972" width="10" customWidth="1"/>
    <col min="973" max="978" width="9.33203125" bestFit="1" customWidth="1"/>
    <col min="980" max="987" width="9.33203125" bestFit="1" customWidth="1"/>
    <col min="989" max="991" width="9.33203125" bestFit="1" customWidth="1"/>
    <col min="993" max="995" width="9.33203125" bestFit="1" customWidth="1"/>
    <col min="996" max="997" width="12.5" bestFit="1" customWidth="1"/>
    <col min="998" max="1002" width="9.33203125" bestFit="1" customWidth="1"/>
    <col min="1003" max="1003" width="9.33203125" customWidth="1"/>
    <col min="1004" max="1006" width="9.33203125" bestFit="1" customWidth="1"/>
    <col min="1008" max="1009" width="9.1640625" customWidth="1"/>
    <col min="1017" max="1034" width="9.33203125" bestFit="1" customWidth="1"/>
    <col min="1039" max="1051" width="9.33203125" bestFit="1" customWidth="1"/>
    <col min="1053" max="1057" width="9.33203125" bestFit="1" customWidth="1"/>
    <col min="1059" max="1061" width="9.33203125" bestFit="1" customWidth="1"/>
    <col min="1062" max="1062" width="10.1640625" bestFit="1" customWidth="1"/>
    <col min="1069" max="1071" width="9.33203125" bestFit="1" customWidth="1"/>
    <col min="1073" max="1073" width="9.1640625" customWidth="1"/>
    <col min="1074" max="1075" width="10.5" customWidth="1"/>
    <col min="1076" max="1078" width="9.1640625" customWidth="1"/>
    <col min="1080" max="1080" width="10.6640625" customWidth="1"/>
    <col min="1081" max="1081" width="10.5" customWidth="1"/>
    <col min="1082" max="1083" width="9.1640625" customWidth="1"/>
    <col min="1085" max="1085" width="9.1640625" customWidth="1"/>
    <col min="1088" max="1088" width="9.1640625" customWidth="1"/>
    <col min="1226" max="1227" width="9.33203125" bestFit="1" customWidth="1"/>
    <col min="1228" max="1228" width="10" customWidth="1"/>
    <col min="1229" max="1234" width="9.33203125" bestFit="1" customWidth="1"/>
    <col min="1236" max="1243" width="9.33203125" bestFit="1" customWidth="1"/>
    <col min="1245" max="1247" width="9.33203125" bestFit="1" customWidth="1"/>
    <col min="1249" max="1251" width="9.33203125" bestFit="1" customWidth="1"/>
    <col min="1252" max="1253" width="12.5" bestFit="1" customWidth="1"/>
    <col min="1254" max="1258" width="9.33203125" bestFit="1" customWidth="1"/>
    <col min="1259" max="1259" width="9.33203125" customWidth="1"/>
    <col min="1260" max="1262" width="9.33203125" bestFit="1" customWidth="1"/>
    <col min="1264" max="1265" width="9.1640625" customWidth="1"/>
    <col min="1273" max="1290" width="9.33203125" bestFit="1" customWidth="1"/>
    <col min="1295" max="1307" width="9.33203125" bestFit="1" customWidth="1"/>
    <col min="1309" max="1313" width="9.33203125" bestFit="1" customWidth="1"/>
    <col min="1315" max="1317" width="9.33203125" bestFit="1" customWidth="1"/>
    <col min="1318" max="1318" width="10.1640625" bestFit="1" customWidth="1"/>
    <col min="1325" max="1327" width="9.33203125" bestFit="1" customWidth="1"/>
    <col min="1329" max="1329" width="9.1640625" customWidth="1"/>
    <col min="1330" max="1331" width="10.5" customWidth="1"/>
    <col min="1332" max="1334" width="9.1640625" customWidth="1"/>
    <col min="1336" max="1336" width="10.6640625" customWidth="1"/>
    <col min="1337" max="1337" width="10.5" customWidth="1"/>
    <col min="1338" max="1339" width="9.1640625" customWidth="1"/>
    <col min="1341" max="1341" width="9.1640625" customWidth="1"/>
    <col min="1344" max="1344" width="9.1640625" customWidth="1"/>
    <col min="1482" max="1483" width="9.33203125" bestFit="1" customWidth="1"/>
    <col min="1484" max="1484" width="10" customWidth="1"/>
    <col min="1485" max="1490" width="9.33203125" bestFit="1" customWidth="1"/>
    <col min="1492" max="1499" width="9.33203125" bestFit="1" customWidth="1"/>
    <col min="1501" max="1503" width="9.33203125" bestFit="1" customWidth="1"/>
    <col min="1505" max="1507" width="9.33203125" bestFit="1" customWidth="1"/>
    <col min="1508" max="1509" width="12.5" bestFit="1" customWidth="1"/>
    <col min="1510" max="1514" width="9.33203125" bestFit="1" customWidth="1"/>
    <col min="1515" max="1515" width="9.33203125" customWidth="1"/>
    <col min="1516" max="1518" width="9.33203125" bestFit="1" customWidth="1"/>
    <col min="1520" max="1521" width="9.1640625" customWidth="1"/>
    <col min="1529" max="1546" width="9.33203125" bestFit="1" customWidth="1"/>
    <col min="1551" max="1563" width="9.33203125" bestFit="1" customWidth="1"/>
    <col min="1565" max="1569" width="9.33203125" bestFit="1" customWidth="1"/>
    <col min="1571" max="1573" width="9.33203125" bestFit="1" customWidth="1"/>
    <col min="1574" max="1574" width="10.1640625" bestFit="1" customWidth="1"/>
    <col min="1581" max="1583" width="9.33203125" bestFit="1" customWidth="1"/>
    <col min="1585" max="1585" width="9.1640625" customWidth="1"/>
    <col min="1586" max="1587" width="10.5" customWidth="1"/>
    <col min="1588" max="1590" width="9.1640625" customWidth="1"/>
    <col min="1592" max="1592" width="10.6640625" customWidth="1"/>
    <col min="1593" max="1593" width="10.5" customWidth="1"/>
    <col min="1594" max="1595" width="9.1640625" customWidth="1"/>
    <col min="1597" max="1597" width="9.1640625" customWidth="1"/>
    <col min="1600" max="1600" width="9.1640625" customWidth="1"/>
    <col min="1738" max="1739" width="9.33203125" bestFit="1" customWidth="1"/>
    <col min="1740" max="1740" width="10" customWidth="1"/>
    <col min="1741" max="1746" width="9.33203125" bestFit="1" customWidth="1"/>
    <col min="1748" max="1755" width="9.33203125" bestFit="1" customWidth="1"/>
    <col min="1757" max="1759" width="9.33203125" bestFit="1" customWidth="1"/>
    <col min="1761" max="1763" width="9.33203125" bestFit="1" customWidth="1"/>
    <col min="1764" max="1765" width="12.5" bestFit="1" customWidth="1"/>
    <col min="1766" max="1770" width="9.33203125" bestFit="1" customWidth="1"/>
    <col min="1771" max="1771" width="9.33203125" customWidth="1"/>
    <col min="1772" max="1774" width="9.33203125" bestFit="1" customWidth="1"/>
    <col min="1776" max="1777" width="9.1640625" customWidth="1"/>
    <col min="1785" max="1802" width="9.33203125" bestFit="1" customWidth="1"/>
    <col min="1807" max="1819" width="9.33203125" bestFit="1" customWidth="1"/>
    <col min="1821" max="1825" width="9.33203125" bestFit="1" customWidth="1"/>
    <col min="1827" max="1829" width="9.33203125" bestFit="1" customWidth="1"/>
    <col min="1830" max="1830" width="10.1640625" bestFit="1" customWidth="1"/>
    <col min="1837" max="1839" width="9.33203125" bestFit="1" customWidth="1"/>
    <col min="1841" max="1841" width="9.1640625" customWidth="1"/>
    <col min="1842" max="1843" width="10.5" customWidth="1"/>
    <col min="1844" max="1846" width="9.1640625" customWidth="1"/>
    <col min="1848" max="1848" width="10.6640625" customWidth="1"/>
    <col min="1849" max="1849" width="10.5" customWidth="1"/>
    <col min="1850" max="1851" width="9.1640625" customWidth="1"/>
    <col min="1853" max="1853" width="9.1640625" customWidth="1"/>
    <col min="1856" max="1856" width="9.1640625" customWidth="1"/>
    <col min="1994" max="1995" width="9.33203125" bestFit="1" customWidth="1"/>
    <col min="1996" max="1996" width="10" customWidth="1"/>
    <col min="1997" max="2002" width="9.33203125" bestFit="1" customWidth="1"/>
    <col min="2004" max="2011" width="9.33203125" bestFit="1" customWidth="1"/>
    <col min="2013" max="2015" width="9.33203125" bestFit="1" customWidth="1"/>
    <col min="2017" max="2019" width="9.33203125" bestFit="1" customWidth="1"/>
    <col min="2020" max="2021" width="12.5" bestFit="1" customWidth="1"/>
    <col min="2022" max="2026" width="9.33203125" bestFit="1" customWidth="1"/>
    <col min="2027" max="2027" width="9.33203125" customWidth="1"/>
    <col min="2028" max="2030" width="9.33203125" bestFit="1" customWidth="1"/>
    <col min="2032" max="2033" width="9.1640625" customWidth="1"/>
    <col min="2041" max="2058" width="9.33203125" bestFit="1" customWidth="1"/>
    <col min="2063" max="2075" width="9.33203125" bestFit="1" customWidth="1"/>
    <col min="2077" max="2081" width="9.33203125" bestFit="1" customWidth="1"/>
    <col min="2083" max="2085" width="9.33203125" bestFit="1" customWidth="1"/>
    <col min="2086" max="2086" width="10.1640625" bestFit="1" customWidth="1"/>
    <col min="2093" max="2095" width="9.33203125" bestFit="1" customWidth="1"/>
    <col min="2097" max="2097" width="9.1640625" customWidth="1"/>
    <col min="2098" max="2099" width="10.5" customWidth="1"/>
    <col min="2100" max="2102" width="9.1640625" customWidth="1"/>
    <col min="2104" max="2104" width="10.6640625" customWidth="1"/>
    <col min="2105" max="2105" width="10.5" customWidth="1"/>
    <col min="2106" max="2107" width="9.1640625" customWidth="1"/>
    <col min="2109" max="2109" width="9.1640625" customWidth="1"/>
    <col min="2112" max="2112" width="9.1640625" customWidth="1"/>
    <col min="2250" max="2251" width="9.33203125" bestFit="1" customWidth="1"/>
    <col min="2252" max="2252" width="10" customWidth="1"/>
    <col min="2253" max="2258" width="9.33203125" bestFit="1" customWidth="1"/>
    <col min="2260" max="2267" width="9.33203125" bestFit="1" customWidth="1"/>
    <col min="2269" max="2271" width="9.33203125" bestFit="1" customWidth="1"/>
    <col min="2273" max="2275" width="9.33203125" bestFit="1" customWidth="1"/>
    <col min="2276" max="2277" width="12.5" bestFit="1" customWidth="1"/>
    <col min="2278" max="2282" width="9.33203125" bestFit="1" customWidth="1"/>
    <col min="2283" max="2283" width="9.33203125" customWidth="1"/>
    <col min="2284" max="2286" width="9.33203125" bestFit="1" customWidth="1"/>
    <col min="2288" max="2289" width="9.1640625" customWidth="1"/>
    <col min="2297" max="2314" width="9.33203125" bestFit="1" customWidth="1"/>
    <col min="2319" max="2331" width="9.33203125" bestFit="1" customWidth="1"/>
    <col min="2333" max="2337" width="9.33203125" bestFit="1" customWidth="1"/>
    <col min="2339" max="2341" width="9.33203125" bestFit="1" customWidth="1"/>
    <col min="2342" max="2342" width="10.1640625" bestFit="1" customWidth="1"/>
    <col min="2349" max="2351" width="9.33203125" bestFit="1" customWidth="1"/>
    <col min="2353" max="2353" width="9.1640625" customWidth="1"/>
    <col min="2354" max="2355" width="10.5" customWidth="1"/>
    <col min="2356" max="2358" width="9.1640625" customWidth="1"/>
    <col min="2360" max="2360" width="10.6640625" customWidth="1"/>
    <col min="2361" max="2361" width="10.5" customWidth="1"/>
    <col min="2362" max="2363" width="9.1640625" customWidth="1"/>
    <col min="2365" max="2365" width="9.1640625" customWidth="1"/>
    <col min="2368" max="2368" width="9.1640625" customWidth="1"/>
    <col min="2506" max="2507" width="9.33203125" bestFit="1" customWidth="1"/>
    <col min="2508" max="2508" width="10" customWidth="1"/>
    <col min="2509" max="2514" width="9.33203125" bestFit="1" customWidth="1"/>
    <col min="2516" max="2523" width="9.33203125" bestFit="1" customWidth="1"/>
    <col min="2525" max="2527" width="9.33203125" bestFit="1" customWidth="1"/>
    <col min="2529" max="2531" width="9.33203125" bestFit="1" customWidth="1"/>
    <col min="2532" max="2533" width="12.5" bestFit="1" customWidth="1"/>
    <col min="2534" max="2538" width="9.33203125" bestFit="1" customWidth="1"/>
    <col min="2539" max="2539" width="9.33203125" customWidth="1"/>
    <col min="2540" max="2542" width="9.33203125" bestFit="1" customWidth="1"/>
    <col min="2544" max="2545" width="9.1640625" customWidth="1"/>
    <col min="2553" max="2570" width="9.33203125" bestFit="1" customWidth="1"/>
    <col min="2575" max="2587" width="9.33203125" bestFit="1" customWidth="1"/>
    <col min="2589" max="2593" width="9.33203125" bestFit="1" customWidth="1"/>
    <col min="2595" max="2597" width="9.33203125" bestFit="1" customWidth="1"/>
    <col min="2598" max="2598" width="10.1640625" bestFit="1" customWidth="1"/>
    <col min="2605" max="2607" width="9.33203125" bestFit="1" customWidth="1"/>
    <col min="2609" max="2609" width="9.1640625" customWidth="1"/>
    <col min="2610" max="2611" width="10.5" customWidth="1"/>
    <col min="2612" max="2614" width="9.1640625" customWidth="1"/>
    <col min="2616" max="2616" width="10.6640625" customWidth="1"/>
    <col min="2617" max="2617" width="10.5" customWidth="1"/>
    <col min="2618" max="2619" width="9.1640625" customWidth="1"/>
    <col min="2621" max="2621" width="9.1640625" customWidth="1"/>
    <col min="2624" max="2624" width="9.1640625" customWidth="1"/>
    <col min="2762" max="2763" width="9.33203125" bestFit="1" customWidth="1"/>
    <col min="2764" max="2764" width="10" customWidth="1"/>
    <col min="2765" max="2770" width="9.33203125" bestFit="1" customWidth="1"/>
    <col min="2772" max="2779" width="9.33203125" bestFit="1" customWidth="1"/>
    <col min="2781" max="2783" width="9.33203125" bestFit="1" customWidth="1"/>
    <col min="2785" max="2787" width="9.33203125" bestFit="1" customWidth="1"/>
    <col min="2788" max="2789" width="12.5" bestFit="1" customWidth="1"/>
    <col min="2790" max="2794" width="9.33203125" bestFit="1" customWidth="1"/>
    <col min="2795" max="2795" width="9.33203125" customWidth="1"/>
    <col min="2796" max="2798" width="9.33203125" bestFit="1" customWidth="1"/>
    <col min="2800" max="2801" width="9.1640625" customWidth="1"/>
    <col min="2809" max="2826" width="9.33203125" bestFit="1" customWidth="1"/>
    <col min="2831" max="2843" width="9.33203125" bestFit="1" customWidth="1"/>
    <col min="2845" max="2849" width="9.33203125" bestFit="1" customWidth="1"/>
    <col min="2851" max="2853" width="9.33203125" bestFit="1" customWidth="1"/>
    <col min="2854" max="2854" width="10.1640625" bestFit="1" customWidth="1"/>
    <col min="2861" max="2863" width="9.33203125" bestFit="1" customWidth="1"/>
    <col min="2865" max="2865" width="9.1640625" customWidth="1"/>
    <col min="2866" max="2867" width="10.5" customWidth="1"/>
    <col min="2868" max="2870" width="9.1640625" customWidth="1"/>
    <col min="2872" max="2872" width="10.6640625" customWidth="1"/>
    <col min="2873" max="2873" width="10.5" customWidth="1"/>
    <col min="2874" max="2875" width="9.1640625" customWidth="1"/>
    <col min="2877" max="2877" width="9.1640625" customWidth="1"/>
    <col min="2880" max="2880" width="9.1640625" customWidth="1"/>
    <col min="3018" max="3019" width="9.33203125" bestFit="1" customWidth="1"/>
    <col min="3020" max="3020" width="10" customWidth="1"/>
    <col min="3021" max="3026" width="9.33203125" bestFit="1" customWidth="1"/>
    <col min="3028" max="3035" width="9.33203125" bestFit="1" customWidth="1"/>
    <col min="3037" max="3039" width="9.33203125" bestFit="1" customWidth="1"/>
    <col min="3041" max="3043" width="9.33203125" bestFit="1" customWidth="1"/>
    <col min="3044" max="3045" width="12.5" bestFit="1" customWidth="1"/>
    <col min="3046" max="3050" width="9.33203125" bestFit="1" customWidth="1"/>
    <col min="3051" max="3051" width="9.33203125" customWidth="1"/>
    <col min="3052" max="3054" width="9.33203125" bestFit="1" customWidth="1"/>
    <col min="3056" max="3057" width="9.1640625" customWidth="1"/>
    <col min="3065" max="3082" width="9.33203125" bestFit="1" customWidth="1"/>
    <col min="3087" max="3099" width="9.33203125" bestFit="1" customWidth="1"/>
    <col min="3101" max="3105" width="9.33203125" bestFit="1" customWidth="1"/>
    <col min="3107" max="3109" width="9.33203125" bestFit="1" customWidth="1"/>
    <col min="3110" max="3110" width="10.1640625" bestFit="1" customWidth="1"/>
    <col min="3117" max="3119" width="9.33203125" bestFit="1" customWidth="1"/>
    <col min="3121" max="3121" width="9.1640625" customWidth="1"/>
    <col min="3122" max="3123" width="10.5" customWidth="1"/>
    <col min="3124" max="3126" width="9.1640625" customWidth="1"/>
    <col min="3128" max="3128" width="10.6640625" customWidth="1"/>
    <col min="3129" max="3129" width="10.5" customWidth="1"/>
    <col min="3130" max="3131" width="9.1640625" customWidth="1"/>
    <col min="3133" max="3133" width="9.1640625" customWidth="1"/>
    <col min="3136" max="3136" width="9.1640625" customWidth="1"/>
    <col min="3274" max="3275" width="9.33203125" bestFit="1" customWidth="1"/>
    <col min="3276" max="3276" width="10" customWidth="1"/>
    <col min="3277" max="3282" width="9.33203125" bestFit="1" customWidth="1"/>
    <col min="3284" max="3291" width="9.33203125" bestFit="1" customWidth="1"/>
    <col min="3293" max="3295" width="9.33203125" bestFit="1" customWidth="1"/>
    <col min="3297" max="3299" width="9.33203125" bestFit="1" customWidth="1"/>
    <col min="3300" max="3301" width="12.5" bestFit="1" customWidth="1"/>
    <col min="3302" max="3306" width="9.33203125" bestFit="1" customWidth="1"/>
    <col min="3307" max="3307" width="9.33203125" customWidth="1"/>
    <col min="3308" max="3310" width="9.33203125" bestFit="1" customWidth="1"/>
    <col min="3312" max="3313" width="9.1640625" customWidth="1"/>
    <col min="3321" max="3338" width="9.33203125" bestFit="1" customWidth="1"/>
    <col min="3343" max="3355" width="9.33203125" bestFit="1" customWidth="1"/>
    <col min="3357" max="3361" width="9.33203125" bestFit="1" customWidth="1"/>
    <col min="3363" max="3365" width="9.33203125" bestFit="1" customWidth="1"/>
    <col min="3366" max="3366" width="10.1640625" bestFit="1" customWidth="1"/>
    <col min="3373" max="3375" width="9.33203125" bestFit="1" customWidth="1"/>
    <col min="3377" max="3377" width="9.1640625" customWidth="1"/>
    <col min="3378" max="3379" width="10.5" customWidth="1"/>
    <col min="3380" max="3382" width="9.1640625" customWidth="1"/>
    <col min="3384" max="3384" width="10.6640625" customWidth="1"/>
    <col min="3385" max="3385" width="10.5" customWidth="1"/>
    <col min="3386" max="3387" width="9.1640625" customWidth="1"/>
    <col min="3389" max="3389" width="9.1640625" customWidth="1"/>
    <col min="3392" max="3392" width="9.1640625" customWidth="1"/>
    <col min="3530" max="3531" width="9.33203125" bestFit="1" customWidth="1"/>
    <col min="3532" max="3532" width="10" customWidth="1"/>
    <col min="3533" max="3538" width="9.33203125" bestFit="1" customWidth="1"/>
    <col min="3540" max="3547" width="9.33203125" bestFit="1" customWidth="1"/>
    <col min="3549" max="3551" width="9.33203125" bestFit="1" customWidth="1"/>
    <col min="3553" max="3555" width="9.33203125" bestFit="1" customWidth="1"/>
    <col min="3556" max="3557" width="12.5" bestFit="1" customWidth="1"/>
    <col min="3558" max="3562" width="9.33203125" bestFit="1" customWidth="1"/>
    <col min="3563" max="3563" width="9.33203125" customWidth="1"/>
    <col min="3564" max="3566" width="9.33203125" bestFit="1" customWidth="1"/>
    <col min="3568" max="3569" width="9.1640625" customWidth="1"/>
    <col min="3577" max="3594" width="9.33203125" bestFit="1" customWidth="1"/>
    <col min="3599" max="3611" width="9.33203125" bestFit="1" customWidth="1"/>
    <col min="3613" max="3617" width="9.33203125" bestFit="1" customWidth="1"/>
    <col min="3619" max="3621" width="9.33203125" bestFit="1" customWidth="1"/>
    <col min="3622" max="3622" width="10.1640625" bestFit="1" customWidth="1"/>
    <col min="3629" max="3631" width="9.33203125" bestFit="1" customWidth="1"/>
    <col min="3633" max="3633" width="9.1640625" customWidth="1"/>
    <col min="3634" max="3635" width="10.5" customWidth="1"/>
    <col min="3636" max="3638" width="9.1640625" customWidth="1"/>
    <col min="3640" max="3640" width="10.6640625" customWidth="1"/>
    <col min="3641" max="3641" width="10.5" customWidth="1"/>
    <col min="3642" max="3643" width="9.1640625" customWidth="1"/>
    <col min="3645" max="3645" width="9.1640625" customWidth="1"/>
    <col min="3648" max="3648" width="9.1640625" customWidth="1"/>
    <col min="3786" max="3787" width="9.33203125" bestFit="1" customWidth="1"/>
    <col min="3788" max="3788" width="10" customWidth="1"/>
    <col min="3789" max="3794" width="9.33203125" bestFit="1" customWidth="1"/>
    <col min="3796" max="3803" width="9.33203125" bestFit="1" customWidth="1"/>
    <col min="3805" max="3807" width="9.33203125" bestFit="1" customWidth="1"/>
    <col min="3809" max="3811" width="9.33203125" bestFit="1" customWidth="1"/>
    <col min="3812" max="3813" width="12.5" bestFit="1" customWidth="1"/>
    <col min="3814" max="3818" width="9.33203125" bestFit="1" customWidth="1"/>
    <col min="3819" max="3819" width="9.33203125" customWidth="1"/>
    <col min="3820" max="3822" width="9.33203125" bestFit="1" customWidth="1"/>
    <col min="3824" max="3825" width="9.1640625" customWidth="1"/>
    <col min="3833" max="3850" width="9.33203125" bestFit="1" customWidth="1"/>
    <col min="3855" max="3867" width="9.33203125" bestFit="1" customWidth="1"/>
    <col min="3869" max="3873" width="9.33203125" bestFit="1" customWidth="1"/>
    <col min="3875" max="3877" width="9.33203125" bestFit="1" customWidth="1"/>
    <col min="3878" max="3878" width="10.1640625" bestFit="1" customWidth="1"/>
    <col min="3885" max="3887" width="9.33203125" bestFit="1" customWidth="1"/>
    <col min="3889" max="3889" width="9.1640625" customWidth="1"/>
    <col min="3890" max="3891" width="10.5" customWidth="1"/>
    <col min="3892" max="3894" width="9.1640625" customWidth="1"/>
    <col min="3896" max="3896" width="10.6640625" customWidth="1"/>
    <col min="3897" max="3897" width="10.5" customWidth="1"/>
    <col min="3898" max="3899" width="9.1640625" customWidth="1"/>
    <col min="3901" max="3901" width="9.1640625" customWidth="1"/>
    <col min="3904" max="3904" width="9.1640625" customWidth="1"/>
    <col min="4042" max="4043" width="9.33203125" bestFit="1" customWidth="1"/>
    <col min="4044" max="4044" width="10" customWidth="1"/>
    <col min="4045" max="4050" width="9.33203125" bestFit="1" customWidth="1"/>
    <col min="4052" max="4059" width="9.33203125" bestFit="1" customWidth="1"/>
    <col min="4061" max="4063" width="9.33203125" bestFit="1" customWidth="1"/>
    <col min="4065" max="4067" width="9.33203125" bestFit="1" customWidth="1"/>
    <col min="4068" max="4069" width="12.5" bestFit="1" customWidth="1"/>
    <col min="4070" max="4074" width="9.33203125" bestFit="1" customWidth="1"/>
    <col min="4075" max="4075" width="9.33203125" customWidth="1"/>
    <col min="4076" max="4078" width="9.33203125" bestFit="1" customWidth="1"/>
    <col min="4080" max="4081" width="9.1640625" customWidth="1"/>
    <col min="4089" max="4106" width="9.33203125" bestFit="1" customWidth="1"/>
    <col min="4111" max="4123" width="9.33203125" bestFit="1" customWidth="1"/>
    <col min="4125" max="4129" width="9.33203125" bestFit="1" customWidth="1"/>
    <col min="4131" max="4133" width="9.33203125" bestFit="1" customWidth="1"/>
    <col min="4134" max="4134" width="10.1640625" bestFit="1" customWidth="1"/>
    <col min="4141" max="4143" width="9.33203125" bestFit="1" customWidth="1"/>
    <col min="4145" max="4145" width="9.1640625" customWidth="1"/>
    <col min="4146" max="4147" width="10.5" customWidth="1"/>
    <col min="4148" max="4150" width="9.1640625" customWidth="1"/>
    <col min="4152" max="4152" width="10.6640625" customWidth="1"/>
    <col min="4153" max="4153" width="10.5" customWidth="1"/>
    <col min="4154" max="4155" width="9.1640625" customWidth="1"/>
    <col min="4157" max="4157" width="9.1640625" customWidth="1"/>
    <col min="4160" max="4160" width="9.1640625" customWidth="1"/>
    <col min="4298" max="4299" width="9.33203125" bestFit="1" customWidth="1"/>
    <col min="4300" max="4300" width="10" customWidth="1"/>
    <col min="4301" max="4306" width="9.33203125" bestFit="1" customWidth="1"/>
    <col min="4308" max="4315" width="9.33203125" bestFit="1" customWidth="1"/>
    <col min="4317" max="4319" width="9.33203125" bestFit="1" customWidth="1"/>
    <col min="4321" max="4323" width="9.33203125" bestFit="1" customWidth="1"/>
    <col min="4324" max="4325" width="12.5" bestFit="1" customWidth="1"/>
    <col min="4326" max="4330" width="9.33203125" bestFit="1" customWidth="1"/>
    <col min="4331" max="4331" width="9.33203125" customWidth="1"/>
    <col min="4332" max="4334" width="9.33203125" bestFit="1" customWidth="1"/>
    <col min="4336" max="4337" width="9.1640625" customWidth="1"/>
    <col min="4345" max="4362" width="9.33203125" bestFit="1" customWidth="1"/>
    <col min="4367" max="4379" width="9.33203125" bestFit="1" customWidth="1"/>
    <col min="4381" max="4385" width="9.33203125" bestFit="1" customWidth="1"/>
    <col min="4387" max="4389" width="9.33203125" bestFit="1" customWidth="1"/>
    <col min="4390" max="4390" width="10.1640625" bestFit="1" customWidth="1"/>
    <col min="4397" max="4399" width="9.33203125" bestFit="1" customWidth="1"/>
    <col min="4401" max="4401" width="9.1640625" customWidth="1"/>
    <col min="4402" max="4403" width="10.5" customWidth="1"/>
    <col min="4404" max="4406" width="9.1640625" customWidth="1"/>
    <col min="4408" max="4408" width="10.6640625" customWidth="1"/>
    <col min="4409" max="4409" width="10.5" customWidth="1"/>
    <col min="4410" max="4411" width="9.1640625" customWidth="1"/>
    <col min="4413" max="4413" width="9.1640625" customWidth="1"/>
    <col min="4416" max="4416" width="9.1640625" customWidth="1"/>
    <col min="4554" max="4555" width="9.33203125" bestFit="1" customWidth="1"/>
    <col min="4556" max="4556" width="10" customWidth="1"/>
    <col min="4557" max="4562" width="9.33203125" bestFit="1" customWidth="1"/>
    <col min="4564" max="4571" width="9.33203125" bestFit="1" customWidth="1"/>
    <col min="4573" max="4575" width="9.33203125" bestFit="1" customWidth="1"/>
    <col min="4577" max="4579" width="9.33203125" bestFit="1" customWidth="1"/>
    <col min="4580" max="4581" width="12.5" bestFit="1" customWidth="1"/>
    <col min="4582" max="4586" width="9.33203125" bestFit="1" customWidth="1"/>
    <col min="4587" max="4587" width="9.33203125" customWidth="1"/>
    <col min="4588" max="4590" width="9.33203125" bestFit="1" customWidth="1"/>
    <col min="4592" max="4593" width="9.1640625" customWidth="1"/>
    <col min="4601" max="4618" width="9.33203125" bestFit="1" customWidth="1"/>
    <col min="4623" max="4635" width="9.33203125" bestFit="1" customWidth="1"/>
    <col min="4637" max="4641" width="9.33203125" bestFit="1" customWidth="1"/>
    <col min="4643" max="4645" width="9.33203125" bestFit="1" customWidth="1"/>
    <col min="4646" max="4646" width="10.1640625" bestFit="1" customWidth="1"/>
    <col min="4653" max="4655" width="9.33203125" bestFit="1" customWidth="1"/>
    <col min="4657" max="4657" width="9.1640625" customWidth="1"/>
    <col min="4658" max="4659" width="10.5" customWidth="1"/>
    <col min="4660" max="4662" width="9.1640625" customWidth="1"/>
    <col min="4664" max="4664" width="10.6640625" customWidth="1"/>
    <col min="4665" max="4665" width="10.5" customWidth="1"/>
    <col min="4666" max="4667" width="9.1640625" customWidth="1"/>
    <col min="4669" max="4669" width="9.1640625" customWidth="1"/>
    <col min="4672" max="4672" width="9.1640625" customWidth="1"/>
    <col min="4810" max="4811" width="9.33203125" bestFit="1" customWidth="1"/>
    <col min="4812" max="4812" width="10" customWidth="1"/>
    <col min="4813" max="4818" width="9.33203125" bestFit="1" customWidth="1"/>
    <col min="4820" max="4827" width="9.33203125" bestFit="1" customWidth="1"/>
    <col min="4829" max="4831" width="9.33203125" bestFit="1" customWidth="1"/>
    <col min="4833" max="4835" width="9.33203125" bestFit="1" customWidth="1"/>
    <col min="4836" max="4837" width="12.5" bestFit="1" customWidth="1"/>
    <col min="4838" max="4842" width="9.33203125" bestFit="1" customWidth="1"/>
    <col min="4843" max="4843" width="9.33203125" customWidth="1"/>
    <col min="4844" max="4846" width="9.33203125" bestFit="1" customWidth="1"/>
    <col min="4848" max="4849" width="9.1640625" customWidth="1"/>
    <col min="4857" max="4874" width="9.33203125" bestFit="1" customWidth="1"/>
    <col min="4879" max="4891" width="9.33203125" bestFit="1" customWidth="1"/>
    <col min="4893" max="4897" width="9.33203125" bestFit="1" customWidth="1"/>
    <col min="4899" max="4901" width="9.33203125" bestFit="1" customWidth="1"/>
    <col min="4902" max="4902" width="10.1640625" bestFit="1" customWidth="1"/>
    <col min="4909" max="4911" width="9.33203125" bestFit="1" customWidth="1"/>
    <col min="4913" max="4913" width="9.1640625" customWidth="1"/>
    <col min="4914" max="4915" width="10.5" customWidth="1"/>
    <col min="4916" max="4918" width="9.1640625" customWidth="1"/>
    <col min="4920" max="4920" width="10.6640625" customWidth="1"/>
    <col min="4921" max="4921" width="10.5" customWidth="1"/>
    <col min="4922" max="4923" width="9.1640625" customWidth="1"/>
    <col min="4925" max="4925" width="9.1640625" customWidth="1"/>
    <col min="4928" max="4928" width="9.1640625" customWidth="1"/>
    <col min="5066" max="5067" width="9.33203125" bestFit="1" customWidth="1"/>
    <col min="5068" max="5068" width="10" customWidth="1"/>
    <col min="5069" max="5074" width="9.33203125" bestFit="1" customWidth="1"/>
    <col min="5076" max="5083" width="9.33203125" bestFit="1" customWidth="1"/>
    <col min="5085" max="5087" width="9.33203125" bestFit="1" customWidth="1"/>
    <col min="5089" max="5091" width="9.33203125" bestFit="1" customWidth="1"/>
    <col min="5092" max="5093" width="12.5" bestFit="1" customWidth="1"/>
    <col min="5094" max="5098" width="9.33203125" bestFit="1" customWidth="1"/>
    <col min="5099" max="5099" width="9.33203125" customWidth="1"/>
    <col min="5100" max="5102" width="9.33203125" bestFit="1" customWidth="1"/>
    <col min="5104" max="5105" width="9.1640625" customWidth="1"/>
    <col min="5113" max="5130" width="9.33203125" bestFit="1" customWidth="1"/>
    <col min="5135" max="5147" width="9.33203125" bestFit="1" customWidth="1"/>
    <col min="5149" max="5153" width="9.33203125" bestFit="1" customWidth="1"/>
    <col min="5155" max="5157" width="9.33203125" bestFit="1" customWidth="1"/>
    <col min="5158" max="5158" width="10.1640625" bestFit="1" customWidth="1"/>
    <col min="5165" max="5167" width="9.33203125" bestFit="1" customWidth="1"/>
    <col min="5169" max="5169" width="9.1640625" customWidth="1"/>
    <col min="5170" max="5171" width="10.5" customWidth="1"/>
    <col min="5172" max="5174" width="9.1640625" customWidth="1"/>
    <col min="5176" max="5176" width="10.6640625" customWidth="1"/>
    <col min="5177" max="5177" width="10.5" customWidth="1"/>
    <col min="5178" max="5179" width="9.1640625" customWidth="1"/>
    <col min="5181" max="5181" width="9.1640625" customWidth="1"/>
    <col min="5184" max="5184" width="9.1640625" customWidth="1"/>
    <col min="5322" max="5323" width="9.33203125" bestFit="1" customWidth="1"/>
    <col min="5324" max="5324" width="10" customWidth="1"/>
    <col min="5325" max="5330" width="9.33203125" bestFit="1" customWidth="1"/>
    <col min="5332" max="5339" width="9.33203125" bestFit="1" customWidth="1"/>
    <col min="5341" max="5343" width="9.33203125" bestFit="1" customWidth="1"/>
    <col min="5345" max="5347" width="9.33203125" bestFit="1" customWidth="1"/>
    <col min="5348" max="5349" width="12.5" bestFit="1" customWidth="1"/>
    <col min="5350" max="5354" width="9.33203125" bestFit="1" customWidth="1"/>
    <col min="5355" max="5355" width="9.33203125" customWidth="1"/>
    <col min="5356" max="5358" width="9.33203125" bestFit="1" customWidth="1"/>
    <col min="5360" max="5361" width="9.1640625" customWidth="1"/>
    <col min="5369" max="5386" width="9.33203125" bestFit="1" customWidth="1"/>
    <col min="5391" max="5403" width="9.33203125" bestFit="1" customWidth="1"/>
    <col min="5405" max="5409" width="9.33203125" bestFit="1" customWidth="1"/>
    <col min="5411" max="5413" width="9.33203125" bestFit="1" customWidth="1"/>
    <col min="5414" max="5414" width="10.1640625" bestFit="1" customWidth="1"/>
    <col min="5421" max="5423" width="9.33203125" bestFit="1" customWidth="1"/>
    <col min="5425" max="5425" width="9.1640625" customWidth="1"/>
    <col min="5426" max="5427" width="10.5" customWidth="1"/>
    <col min="5428" max="5430" width="9.1640625" customWidth="1"/>
    <col min="5432" max="5432" width="10.6640625" customWidth="1"/>
    <col min="5433" max="5433" width="10.5" customWidth="1"/>
    <col min="5434" max="5435" width="9.1640625" customWidth="1"/>
    <col min="5437" max="5437" width="9.1640625" customWidth="1"/>
    <col min="5440" max="5440" width="9.1640625" customWidth="1"/>
    <col min="5578" max="5579" width="9.33203125" bestFit="1" customWidth="1"/>
    <col min="5580" max="5580" width="10" customWidth="1"/>
    <col min="5581" max="5586" width="9.33203125" bestFit="1" customWidth="1"/>
    <col min="5588" max="5595" width="9.33203125" bestFit="1" customWidth="1"/>
    <col min="5597" max="5599" width="9.33203125" bestFit="1" customWidth="1"/>
    <col min="5601" max="5603" width="9.33203125" bestFit="1" customWidth="1"/>
    <col min="5604" max="5605" width="12.5" bestFit="1" customWidth="1"/>
    <col min="5606" max="5610" width="9.33203125" bestFit="1" customWidth="1"/>
    <col min="5611" max="5611" width="9.33203125" customWidth="1"/>
    <col min="5612" max="5614" width="9.33203125" bestFit="1" customWidth="1"/>
    <col min="5616" max="5617" width="9.1640625" customWidth="1"/>
    <col min="5625" max="5642" width="9.33203125" bestFit="1" customWidth="1"/>
    <col min="5647" max="5659" width="9.33203125" bestFit="1" customWidth="1"/>
    <col min="5661" max="5665" width="9.33203125" bestFit="1" customWidth="1"/>
    <col min="5667" max="5669" width="9.33203125" bestFit="1" customWidth="1"/>
    <col min="5670" max="5670" width="10.1640625" bestFit="1" customWidth="1"/>
    <col min="5677" max="5679" width="9.33203125" bestFit="1" customWidth="1"/>
    <col min="5681" max="5681" width="9.1640625" customWidth="1"/>
    <col min="5682" max="5683" width="10.5" customWidth="1"/>
    <col min="5684" max="5686" width="9.1640625" customWidth="1"/>
    <col min="5688" max="5688" width="10.6640625" customWidth="1"/>
    <col min="5689" max="5689" width="10.5" customWidth="1"/>
    <col min="5690" max="5691" width="9.1640625" customWidth="1"/>
    <col min="5693" max="5693" width="9.1640625" customWidth="1"/>
    <col min="5696" max="5696" width="9.1640625" customWidth="1"/>
    <col min="5834" max="5835" width="9.33203125" bestFit="1" customWidth="1"/>
    <col min="5836" max="5836" width="10" customWidth="1"/>
    <col min="5837" max="5842" width="9.33203125" bestFit="1" customWidth="1"/>
    <col min="5844" max="5851" width="9.33203125" bestFit="1" customWidth="1"/>
    <col min="5853" max="5855" width="9.33203125" bestFit="1" customWidth="1"/>
    <col min="5857" max="5859" width="9.33203125" bestFit="1" customWidth="1"/>
    <col min="5860" max="5861" width="12.5" bestFit="1" customWidth="1"/>
    <col min="5862" max="5866" width="9.33203125" bestFit="1" customWidth="1"/>
    <col min="5867" max="5867" width="9.33203125" customWidth="1"/>
    <col min="5868" max="5870" width="9.33203125" bestFit="1" customWidth="1"/>
    <col min="5872" max="5873" width="9.1640625" customWidth="1"/>
    <col min="5881" max="5898" width="9.33203125" bestFit="1" customWidth="1"/>
    <col min="5903" max="5915" width="9.33203125" bestFit="1" customWidth="1"/>
    <col min="5917" max="5921" width="9.33203125" bestFit="1" customWidth="1"/>
    <col min="5923" max="5925" width="9.33203125" bestFit="1" customWidth="1"/>
    <col min="5926" max="5926" width="10.1640625" bestFit="1" customWidth="1"/>
    <col min="5933" max="5935" width="9.33203125" bestFit="1" customWidth="1"/>
    <col min="5937" max="5937" width="9.1640625" customWidth="1"/>
    <col min="5938" max="5939" width="10.5" customWidth="1"/>
    <col min="5940" max="5942" width="9.1640625" customWidth="1"/>
    <col min="5944" max="5944" width="10.6640625" customWidth="1"/>
    <col min="5945" max="5945" width="10.5" customWidth="1"/>
    <col min="5946" max="5947" width="9.1640625" customWidth="1"/>
    <col min="5949" max="5949" width="9.1640625" customWidth="1"/>
    <col min="5952" max="5952" width="9.1640625" customWidth="1"/>
    <col min="6090" max="6091" width="9.33203125" bestFit="1" customWidth="1"/>
    <col min="6092" max="6092" width="10" customWidth="1"/>
    <col min="6093" max="6098" width="9.33203125" bestFit="1" customWidth="1"/>
    <col min="6100" max="6107" width="9.33203125" bestFit="1" customWidth="1"/>
    <col min="6109" max="6111" width="9.33203125" bestFit="1" customWidth="1"/>
    <col min="6113" max="6115" width="9.33203125" bestFit="1" customWidth="1"/>
    <col min="6116" max="6117" width="12.5" bestFit="1" customWidth="1"/>
    <col min="6118" max="6122" width="9.33203125" bestFit="1" customWidth="1"/>
    <col min="6123" max="6123" width="9.33203125" customWidth="1"/>
    <col min="6124" max="6126" width="9.33203125" bestFit="1" customWidth="1"/>
    <col min="6128" max="6129" width="9.1640625" customWidth="1"/>
    <col min="6137" max="6154" width="9.33203125" bestFit="1" customWidth="1"/>
    <col min="6159" max="6171" width="9.33203125" bestFit="1" customWidth="1"/>
    <col min="6173" max="6177" width="9.33203125" bestFit="1" customWidth="1"/>
    <col min="6179" max="6181" width="9.33203125" bestFit="1" customWidth="1"/>
    <col min="6182" max="6182" width="10.1640625" bestFit="1" customWidth="1"/>
    <col min="6189" max="6191" width="9.33203125" bestFit="1" customWidth="1"/>
    <col min="6193" max="6193" width="9.1640625" customWidth="1"/>
    <col min="6194" max="6195" width="10.5" customWidth="1"/>
    <col min="6196" max="6198" width="9.1640625" customWidth="1"/>
    <col min="6200" max="6200" width="10.6640625" customWidth="1"/>
    <col min="6201" max="6201" width="10.5" customWidth="1"/>
    <col min="6202" max="6203" width="9.1640625" customWidth="1"/>
    <col min="6205" max="6205" width="9.1640625" customWidth="1"/>
    <col min="6208" max="6208" width="9.1640625" customWidth="1"/>
    <col min="6346" max="6347" width="9.33203125" bestFit="1" customWidth="1"/>
    <col min="6348" max="6348" width="10" customWidth="1"/>
    <col min="6349" max="6354" width="9.33203125" bestFit="1" customWidth="1"/>
    <col min="6356" max="6363" width="9.33203125" bestFit="1" customWidth="1"/>
    <col min="6365" max="6367" width="9.33203125" bestFit="1" customWidth="1"/>
    <col min="6369" max="6371" width="9.33203125" bestFit="1" customWidth="1"/>
    <col min="6372" max="6373" width="12.5" bestFit="1" customWidth="1"/>
    <col min="6374" max="6378" width="9.33203125" bestFit="1" customWidth="1"/>
    <col min="6379" max="6379" width="9.33203125" customWidth="1"/>
    <col min="6380" max="6382" width="9.33203125" bestFit="1" customWidth="1"/>
    <col min="6384" max="6385" width="9.1640625" customWidth="1"/>
    <col min="6393" max="6410" width="9.33203125" bestFit="1" customWidth="1"/>
    <col min="6415" max="6427" width="9.33203125" bestFit="1" customWidth="1"/>
    <col min="6429" max="6433" width="9.33203125" bestFit="1" customWidth="1"/>
    <col min="6435" max="6437" width="9.33203125" bestFit="1" customWidth="1"/>
    <col min="6438" max="6438" width="10.1640625" bestFit="1" customWidth="1"/>
    <col min="6445" max="6447" width="9.33203125" bestFit="1" customWidth="1"/>
    <col min="6449" max="6449" width="9.1640625" customWidth="1"/>
    <col min="6450" max="6451" width="10.5" customWidth="1"/>
    <col min="6452" max="6454" width="9.1640625" customWidth="1"/>
    <col min="6456" max="6456" width="10.6640625" customWidth="1"/>
    <col min="6457" max="6457" width="10.5" customWidth="1"/>
    <col min="6458" max="6459" width="9.1640625" customWidth="1"/>
    <col min="6461" max="6461" width="9.1640625" customWidth="1"/>
    <col min="6464" max="6464" width="9.1640625" customWidth="1"/>
    <col min="6602" max="6603" width="9.33203125" bestFit="1" customWidth="1"/>
    <col min="6604" max="6604" width="10" customWidth="1"/>
    <col min="6605" max="6610" width="9.33203125" bestFit="1" customWidth="1"/>
    <col min="6612" max="6619" width="9.33203125" bestFit="1" customWidth="1"/>
    <col min="6621" max="6623" width="9.33203125" bestFit="1" customWidth="1"/>
    <col min="6625" max="6627" width="9.33203125" bestFit="1" customWidth="1"/>
    <col min="6628" max="6629" width="12.5" bestFit="1" customWidth="1"/>
    <col min="6630" max="6634" width="9.33203125" bestFit="1" customWidth="1"/>
    <col min="6635" max="6635" width="9.33203125" customWidth="1"/>
    <col min="6636" max="6638" width="9.33203125" bestFit="1" customWidth="1"/>
    <col min="6640" max="6641" width="9.1640625" customWidth="1"/>
    <col min="6649" max="6666" width="9.33203125" bestFit="1" customWidth="1"/>
    <col min="6671" max="6683" width="9.33203125" bestFit="1" customWidth="1"/>
    <col min="6685" max="6689" width="9.33203125" bestFit="1" customWidth="1"/>
    <col min="6691" max="6693" width="9.33203125" bestFit="1" customWidth="1"/>
    <col min="6694" max="6694" width="10.1640625" bestFit="1" customWidth="1"/>
    <col min="6701" max="6703" width="9.33203125" bestFit="1" customWidth="1"/>
    <col min="6705" max="6705" width="9.1640625" customWidth="1"/>
    <col min="6706" max="6707" width="10.5" customWidth="1"/>
    <col min="6708" max="6710" width="9.1640625" customWidth="1"/>
    <col min="6712" max="6712" width="10.6640625" customWidth="1"/>
    <col min="6713" max="6713" width="10.5" customWidth="1"/>
    <col min="6714" max="6715" width="9.1640625" customWidth="1"/>
    <col min="6717" max="6717" width="9.1640625" customWidth="1"/>
    <col min="6720" max="6720" width="9.1640625" customWidth="1"/>
    <col min="6858" max="6859" width="9.33203125" bestFit="1" customWidth="1"/>
    <col min="6860" max="6860" width="10" customWidth="1"/>
    <col min="6861" max="6866" width="9.33203125" bestFit="1" customWidth="1"/>
    <col min="6868" max="6875" width="9.33203125" bestFit="1" customWidth="1"/>
    <col min="6877" max="6879" width="9.33203125" bestFit="1" customWidth="1"/>
    <col min="6881" max="6883" width="9.33203125" bestFit="1" customWidth="1"/>
    <col min="6884" max="6885" width="12.5" bestFit="1" customWidth="1"/>
    <col min="6886" max="6890" width="9.33203125" bestFit="1" customWidth="1"/>
    <col min="6891" max="6891" width="9.33203125" customWidth="1"/>
    <col min="6892" max="6894" width="9.33203125" bestFit="1" customWidth="1"/>
    <col min="6896" max="6897" width="9.1640625" customWidth="1"/>
    <col min="6905" max="6922" width="9.33203125" bestFit="1" customWidth="1"/>
    <col min="6927" max="6939" width="9.33203125" bestFit="1" customWidth="1"/>
    <col min="6941" max="6945" width="9.33203125" bestFit="1" customWidth="1"/>
    <col min="6947" max="6949" width="9.33203125" bestFit="1" customWidth="1"/>
    <col min="6950" max="6950" width="10.1640625" bestFit="1" customWidth="1"/>
    <col min="6957" max="6959" width="9.33203125" bestFit="1" customWidth="1"/>
    <col min="6961" max="6961" width="9.1640625" customWidth="1"/>
    <col min="6962" max="6963" width="10.5" customWidth="1"/>
    <col min="6964" max="6966" width="9.1640625" customWidth="1"/>
    <col min="6968" max="6968" width="10.6640625" customWidth="1"/>
    <col min="6969" max="6969" width="10.5" customWidth="1"/>
    <col min="6970" max="6971" width="9.1640625" customWidth="1"/>
    <col min="6973" max="6973" width="9.1640625" customWidth="1"/>
    <col min="6976" max="6976" width="9.1640625" customWidth="1"/>
    <col min="7114" max="7115" width="9.33203125" bestFit="1" customWidth="1"/>
    <col min="7116" max="7116" width="10" customWidth="1"/>
    <col min="7117" max="7122" width="9.33203125" bestFit="1" customWidth="1"/>
    <col min="7124" max="7131" width="9.33203125" bestFit="1" customWidth="1"/>
    <col min="7133" max="7135" width="9.33203125" bestFit="1" customWidth="1"/>
    <col min="7137" max="7139" width="9.33203125" bestFit="1" customWidth="1"/>
    <col min="7140" max="7141" width="12.5" bestFit="1" customWidth="1"/>
    <col min="7142" max="7146" width="9.33203125" bestFit="1" customWidth="1"/>
    <col min="7147" max="7147" width="9.33203125" customWidth="1"/>
    <col min="7148" max="7150" width="9.33203125" bestFit="1" customWidth="1"/>
    <col min="7152" max="7153" width="9.1640625" customWidth="1"/>
    <col min="7161" max="7178" width="9.33203125" bestFit="1" customWidth="1"/>
    <col min="7183" max="7195" width="9.33203125" bestFit="1" customWidth="1"/>
    <col min="7197" max="7201" width="9.33203125" bestFit="1" customWidth="1"/>
    <col min="7203" max="7205" width="9.33203125" bestFit="1" customWidth="1"/>
    <col min="7206" max="7206" width="10.1640625" bestFit="1" customWidth="1"/>
    <col min="7213" max="7215" width="9.33203125" bestFit="1" customWidth="1"/>
    <col min="7217" max="7217" width="9.1640625" customWidth="1"/>
    <col min="7218" max="7219" width="10.5" customWidth="1"/>
    <col min="7220" max="7222" width="9.1640625" customWidth="1"/>
    <col min="7224" max="7224" width="10.6640625" customWidth="1"/>
    <col min="7225" max="7225" width="10.5" customWidth="1"/>
    <col min="7226" max="7227" width="9.1640625" customWidth="1"/>
    <col min="7229" max="7229" width="9.1640625" customWidth="1"/>
    <col min="7232" max="7232" width="9.1640625" customWidth="1"/>
    <col min="7370" max="7371" width="9.33203125" bestFit="1" customWidth="1"/>
    <col min="7372" max="7372" width="10" customWidth="1"/>
    <col min="7373" max="7378" width="9.33203125" bestFit="1" customWidth="1"/>
    <col min="7380" max="7387" width="9.33203125" bestFit="1" customWidth="1"/>
    <col min="7389" max="7391" width="9.33203125" bestFit="1" customWidth="1"/>
    <col min="7393" max="7395" width="9.33203125" bestFit="1" customWidth="1"/>
    <col min="7396" max="7397" width="12.5" bestFit="1" customWidth="1"/>
    <col min="7398" max="7402" width="9.33203125" bestFit="1" customWidth="1"/>
    <col min="7403" max="7403" width="9.33203125" customWidth="1"/>
    <col min="7404" max="7406" width="9.33203125" bestFit="1" customWidth="1"/>
    <col min="7408" max="7409" width="9.1640625" customWidth="1"/>
    <col min="7417" max="7434" width="9.33203125" bestFit="1" customWidth="1"/>
    <col min="7439" max="7451" width="9.33203125" bestFit="1" customWidth="1"/>
    <col min="7453" max="7457" width="9.33203125" bestFit="1" customWidth="1"/>
    <col min="7459" max="7461" width="9.33203125" bestFit="1" customWidth="1"/>
    <col min="7462" max="7462" width="10.1640625" bestFit="1" customWidth="1"/>
    <col min="7469" max="7471" width="9.33203125" bestFit="1" customWidth="1"/>
    <col min="7473" max="7473" width="9.1640625" customWidth="1"/>
    <col min="7474" max="7475" width="10.5" customWidth="1"/>
    <col min="7476" max="7478" width="9.1640625" customWidth="1"/>
    <col min="7480" max="7480" width="10.6640625" customWidth="1"/>
    <col min="7481" max="7481" width="10.5" customWidth="1"/>
    <col min="7482" max="7483" width="9.1640625" customWidth="1"/>
    <col min="7485" max="7485" width="9.1640625" customWidth="1"/>
    <col min="7488" max="7488" width="9.1640625" customWidth="1"/>
    <col min="7626" max="7627" width="9.33203125" bestFit="1" customWidth="1"/>
    <col min="7628" max="7628" width="10" customWidth="1"/>
    <col min="7629" max="7634" width="9.33203125" bestFit="1" customWidth="1"/>
    <col min="7636" max="7643" width="9.33203125" bestFit="1" customWidth="1"/>
    <col min="7645" max="7647" width="9.33203125" bestFit="1" customWidth="1"/>
    <col min="7649" max="7651" width="9.33203125" bestFit="1" customWidth="1"/>
    <col min="7652" max="7653" width="12.5" bestFit="1" customWidth="1"/>
    <col min="7654" max="7658" width="9.33203125" bestFit="1" customWidth="1"/>
    <col min="7659" max="7659" width="9.33203125" customWidth="1"/>
    <col min="7660" max="7662" width="9.33203125" bestFit="1" customWidth="1"/>
    <col min="7664" max="7665" width="9.1640625" customWidth="1"/>
    <col min="7673" max="7690" width="9.33203125" bestFit="1" customWidth="1"/>
    <col min="7695" max="7707" width="9.33203125" bestFit="1" customWidth="1"/>
    <col min="7709" max="7713" width="9.33203125" bestFit="1" customWidth="1"/>
    <col min="7715" max="7717" width="9.33203125" bestFit="1" customWidth="1"/>
    <col min="7718" max="7718" width="10.1640625" bestFit="1" customWidth="1"/>
    <col min="7725" max="7727" width="9.33203125" bestFit="1" customWidth="1"/>
    <col min="7729" max="7729" width="9.1640625" customWidth="1"/>
    <col min="7730" max="7731" width="10.5" customWidth="1"/>
    <col min="7732" max="7734" width="9.1640625" customWidth="1"/>
    <col min="7736" max="7736" width="10.6640625" customWidth="1"/>
    <col min="7737" max="7737" width="10.5" customWidth="1"/>
    <col min="7738" max="7739" width="9.1640625" customWidth="1"/>
    <col min="7741" max="7741" width="9.1640625" customWidth="1"/>
    <col min="7744" max="7744" width="9.1640625" customWidth="1"/>
    <col min="7882" max="7883" width="9.33203125" bestFit="1" customWidth="1"/>
    <col min="7884" max="7884" width="10" customWidth="1"/>
    <col min="7885" max="7890" width="9.33203125" bestFit="1" customWidth="1"/>
    <col min="7892" max="7899" width="9.33203125" bestFit="1" customWidth="1"/>
    <col min="7901" max="7903" width="9.33203125" bestFit="1" customWidth="1"/>
    <col min="7905" max="7907" width="9.33203125" bestFit="1" customWidth="1"/>
    <col min="7908" max="7909" width="12.5" bestFit="1" customWidth="1"/>
    <col min="7910" max="7914" width="9.33203125" bestFit="1" customWidth="1"/>
    <col min="7915" max="7915" width="9.33203125" customWidth="1"/>
    <col min="7916" max="7918" width="9.33203125" bestFit="1" customWidth="1"/>
    <col min="7920" max="7921" width="9.1640625" customWidth="1"/>
    <col min="7929" max="7946" width="9.33203125" bestFit="1" customWidth="1"/>
    <col min="7951" max="7963" width="9.33203125" bestFit="1" customWidth="1"/>
    <col min="7965" max="7969" width="9.33203125" bestFit="1" customWidth="1"/>
    <col min="7971" max="7973" width="9.33203125" bestFit="1" customWidth="1"/>
    <col min="7974" max="7974" width="10.1640625" bestFit="1" customWidth="1"/>
    <col min="7981" max="7983" width="9.33203125" bestFit="1" customWidth="1"/>
    <col min="7985" max="7985" width="9.1640625" customWidth="1"/>
    <col min="7986" max="7987" width="10.5" customWidth="1"/>
    <col min="7988" max="7990" width="9.1640625" customWidth="1"/>
    <col min="7992" max="7992" width="10.6640625" customWidth="1"/>
    <col min="7993" max="7993" width="10.5" customWidth="1"/>
    <col min="7994" max="7995" width="9.1640625" customWidth="1"/>
    <col min="7997" max="7997" width="9.1640625" customWidth="1"/>
    <col min="8000" max="8000" width="9.1640625" customWidth="1"/>
    <col min="8138" max="8139" width="9.33203125" bestFit="1" customWidth="1"/>
    <col min="8140" max="8140" width="10" customWidth="1"/>
    <col min="8141" max="8146" width="9.33203125" bestFit="1" customWidth="1"/>
    <col min="8148" max="8155" width="9.33203125" bestFit="1" customWidth="1"/>
    <col min="8157" max="8159" width="9.33203125" bestFit="1" customWidth="1"/>
    <col min="8161" max="8163" width="9.33203125" bestFit="1" customWidth="1"/>
    <col min="8164" max="8165" width="12.5" bestFit="1" customWidth="1"/>
    <col min="8166" max="8170" width="9.33203125" bestFit="1" customWidth="1"/>
    <col min="8171" max="8171" width="9.33203125" customWidth="1"/>
    <col min="8172" max="8174" width="9.33203125" bestFit="1" customWidth="1"/>
    <col min="8176" max="8177" width="9.1640625" customWidth="1"/>
    <col min="8185" max="8202" width="9.33203125" bestFit="1" customWidth="1"/>
    <col min="8207" max="8219" width="9.33203125" bestFit="1" customWidth="1"/>
    <col min="8221" max="8225" width="9.33203125" bestFit="1" customWidth="1"/>
    <col min="8227" max="8229" width="9.33203125" bestFit="1" customWidth="1"/>
    <col min="8230" max="8230" width="10.1640625" bestFit="1" customWidth="1"/>
    <col min="8237" max="8239" width="9.33203125" bestFit="1" customWidth="1"/>
    <col min="8241" max="8241" width="9.1640625" customWidth="1"/>
    <col min="8242" max="8243" width="10.5" customWidth="1"/>
    <col min="8244" max="8246" width="9.1640625" customWidth="1"/>
    <col min="8248" max="8248" width="10.6640625" customWidth="1"/>
    <col min="8249" max="8249" width="10.5" customWidth="1"/>
    <col min="8250" max="8251" width="9.1640625" customWidth="1"/>
    <col min="8253" max="8253" width="9.1640625" customWidth="1"/>
    <col min="8256" max="8256" width="9.1640625" customWidth="1"/>
    <col min="8394" max="8395" width="9.33203125" bestFit="1" customWidth="1"/>
    <col min="8396" max="8396" width="10" customWidth="1"/>
    <col min="8397" max="8402" width="9.33203125" bestFit="1" customWidth="1"/>
    <col min="8404" max="8411" width="9.33203125" bestFit="1" customWidth="1"/>
    <col min="8413" max="8415" width="9.33203125" bestFit="1" customWidth="1"/>
    <col min="8417" max="8419" width="9.33203125" bestFit="1" customWidth="1"/>
    <col min="8420" max="8421" width="12.5" bestFit="1" customWidth="1"/>
    <col min="8422" max="8426" width="9.33203125" bestFit="1" customWidth="1"/>
    <col min="8427" max="8427" width="9.33203125" customWidth="1"/>
    <col min="8428" max="8430" width="9.33203125" bestFit="1" customWidth="1"/>
    <col min="8432" max="8433" width="9.1640625" customWidth="1"/>
    <col min="8441" max="8458" width="9.33203125" bestFit="1" customWidth="1"/>
    <col min="8463" max="8475" width="9.33203125" bestFit="1" customWidth="1"/>
    <col min="8477" max="8481" width="9.33203125" bestFit="1" customWidth="1"/>
    <col min="8483" max="8485" width="9.33203125" bestFit="1" customWidth="1"/>
    <col min="8486" max="8486" width="10.1640625" bestFit="1" customWidth="1"/>
    <col min="8493" max="8495" width="9.33203125" bestFit="1" customWidth="1"/>
    <col min="8497" max="8497" width="9.1640625" customWidth="1"/>
    <col min="8498" max="8499" width="10.5" customWidth="1"/>
    <col min="8500" max="8502" width="9.1640625" customWidth="1"/>
    <col min="8504" max="8504" width="10.6640625" customWidth="1"/>
    <col min="8505" max="8505" width="10.5" customWidth="1"/>
    <col min="8506" max="8507" width="9.1640625" customWidth="1"/>
    <col min="8509" max="8509" width="9.1640625" customWidth="1"/>
    <col min="8512" max="8512" width="9.1640625" customWidth="1"/>
    <col min="8650" max="8651" width="9.33203125" bestFit="1" customWidth="1"/>
    <col min="8652" max="8652" width="10" customWidth="1"/>
    <col min="8653" max="8658" width="9.33203125" bestFit="1" customWidth="1"/>
    <col min="8660" max="8667" width="9.33203125" bestFit="1" customWidth="1"/>
    <col min="8669" max="8671" width="9.33203125" bestFit="1" customWidth="1"/>
    <col min="8673" max="8675" width="9.33203125" bestFit="1" customWidth="1"/>
    <col min="8676" max="8677" width="12.5" bestFit="1" customWidth="1"/>
    <col min="8678" max="8682" width="9.33203125" bestFit="1" customWidth="1"/>
    <col min="8683" max="8683" width="9.33203125" customWidth="1"/>
    <col min="8684" max="8686" width="9.33203125" bestFit="1" customWidth="1"/>
    <col min="8688" max="8689" width="9.1640625" customWidth="1"/>
    <col min="8697" max="8714" width="9.33203125" bestFit="1" customWidth="1"/>
    <col min="8719" max="8731" width="9.33203125" bestFit="1" customWidth="1"/>
    <col min="8733" max="8737" width="9.33203125" bestFit="1" customWidth="1"/>
    <col min="8739" max="8741" width="9.33203125" bestFit="1" customWidth="1"/>
    <col min="8742" max="8742" width="10.1640625" bestFit="1" customWidth="1"/>
    <col min="8749" max="8751" width="9.33203125" bestFit="1" customWidth="1"/>
    <col min="8753" max="8753" width="9.1640625" customWidth="1"/>
    <col min="8754" max="8755" width="10.5" customWidth="1"/>
    <col min="8756" max="8758" width="9.1640625" customWidth="1"/>
    <col min="8760" max="8760" width="10.6640625" customWidth="1"/>
    <col min="8761" max="8761" width="10.5" customWidth="1"/>
    <col min="8762" max="8763" width="9.1640625" customWidth="1"/>
    <col min="8765" max="8765" width="9.1640625" customWidth="1"/>
    <col min="8768" max="8768" width="9.1640625" customWidth="1"/>
    <col min="8906" max="8907" width="9.33203125" bestFit="1" customWidth="1"/>
    <col min="8908" max="8908" width="10" customWidth="1"/>
    <col min="8909" max="8914" width="9.33203125" bestFit="1" customWidth="1"/>
    <col min="8916" max="8923" width="9.33203125" bestFit="1" customWidth="1"/>
    <col min="8925" max="8927" width="9.33203125" bestFit="1" customWidth="1"/>
    <col min="8929" max="8931" width="9.33203125" bestFit="1" customWidth="1"/>
    <col min="8932" max="8933" width="12.5" bestFit="1" customWidth="1"/>
    <col min="8934" max="8938" width="9.33203125" bestFit="1" customWidth="1"/>
    <col min="8939" max="8939" width="9.33203125" customWidth="1"/>
    <col min="8940" max="8942" width="9.33203125" bestFit="1" customWidth="1"/>
    <col min="8944" max="8945" width="9.1640625" customWidth="1"/>
    <col min="8953" max="8970" width="9.33203125" bestFit="1" customWidth="1"/>
    <col min="8975" max="8987" width="9.33203125" bestFit="1" customWidth="1"/>
    <col min="8989" max="8993" width="9.33203125" bestFit="1" customWidth="1"/>
    <col min="8995" max="8997" width="9.33203125" bestFit="1" customWidth="1"/>
    <col min="8998" max="8998" width="10.1640625" bestFit="1" customWidth="1"/>
    <col min="9005" max="9007" width="9.33203125" bestFit="1" customWidth="1"/>
    <col min="9009" max="9009" width="9.1640625" customWidth="1"/>
    <col min="9010" max="9011" width="10.5" customWidth="1"/>
    <col min="9012" max="9014" width="9.1640625" customWidth="1"/>
    <col min="9016" max="9016" width="10.6640625" customWidth="1"/>
    <col min="9017" max="9017" width="10.5" customWidth="1"/>
    <col min="9018" max="9019" width="9.1640625" customWidth="1"/>
    <col min="9021" max="9021" width="9.1640625" customWidth="1"/>
    <col min="9024" max="9024" width="9.1640625" customWidth="1"/>
    <col min="9162" max="9163" width="9.33203125" bestFit="1" customWidth="1"/>
    <col min="9164" max="9164" width="10" customWidth="1"/>
    <col min="9165" max="9170" width="9.33203125" bestFit="1" customWidth="1"/>
    <col min="9172" max="9179" width="9.33203125" bestFit="1" customWidth="1"/>
    <col min="9181" max="9183" width="9.33203125" bestFit="1" customWidth="1"/>
    <col min="9185" max="9187" width="9.33203125" bestFit="1" customWidth="1"/>
    <col min="9188" max="9189" width="12.5" bestFit="1" customWidth="1"/>
    <col min="9190" max="9194" width="9.33203125" bestFit="1" customWidth="1"/>
    <col min="9195" max="9195" width="9.33203125" customWidth="1"/>
    <col min="9196" max="9198" width="9.33203125" bestFit="1" customWidth="1"/>
    <col min="9200" max="9201" width="9.1640625" customWidth="1"/>
    <col min="9209" max="9226" width="9.33203125" bestFit="1" customWidth="1"/>
    <col min="9231" max="9243" width="9.33203125" bestFit="1" customWidth="1"/>
    <col min="9245" max="9249" width="9.33203125" bestFit="1" customWidth="1"/>
    <col min="9251" max="9253" width="9.33203125" bestFit="1" customWidth="1"/>
    <col min="9254" max="9254" width="10.1640625" bestFit="1" customWidth="1"/>
    <col min="9261" max="9263" width="9.33203125" bestFit="1" customWidth="1"/>
    <col min="9265" max="9265" width="9.1640625" customWidth="1"/>
    <col min="9266" max="9267" width="10.5" customWidth="1"/>
    <col min="9268" max="9270" width="9.1640625" customWidth="1"/>
    <col min="9272" max="9272" width="10.6640625" customWidth="1"/>
    <col min="9273" max="9273" width="10.5" customWidth="1"/>
    <col min="9274" max="9275" width="9.1640625" customWidth="1"/>
    <col min="9277" max="9277" width="9.1640625" customWidth="1"/>
    <col min="9280" max="9280" width="9.1640625" customWidth="1"/>
    <col min="9418" max="9419" width="9.33203125" bestFit="1" customWidth="1"/>
    <col min="9420" max="9420" width="10" customWidth="1"/>
    <col min="9421" max="9426" width="9.33203125" bestFit="1" customWidth="1"/>
    <col min="9428" max="9435" width="9.33203125" bestFit="1" customWidth="1"/>
    <col min="9437" max="9439" width="9.33203125" bestFit="1" customWidth="1"/>
    <col min="9441" max="9443" width="9.33203125" bestFit="1" customWidth="1"/>
    <col min="9444" max="9445" width="12.5" bestFit="1" customWidth="1"/>
    <col min="9446" max="9450" width="9.33203125" bestFit="1" customWidth="1"/>
    <col min="9451" max="9451" width="9.33203125" customWidth="1"/>
    <col min="9452" max="9454" width="9.33203125" bestFit="1" customWidth="1"/>
    <col min="9456" max="9457" width="9.1640625" customWidth="1"/>
    <col min="9465" max="9482" width="9.33203125" bestFit="1" customWidth="1"/>
    <col min="9487" max="9499" width="9.33203125" bestFit="1" customWidth="1"/>
    <col min="9501" max="9505" width="9.33203125" bestFit="1" customWidth="1"/>
    <col min="9507" max="9509" width="9.33203125" bestFit="1" customWidth="1"/>
    <col min="9510" max="9510" width="10.1640625" bestFit="1" customWidth="1"/>
    <col min="9517" max="9519" width="9.33203125" bestFit="1" customWidth="1"/>
    <col min="9521" max="9521" width="9.1640625" customWidth="1"/>
    <col min="9522" max="9523" width="10.5" customWidth="1"/>
    <col min="9524" max="9526" width="9.1640625" customWidth="1"/>
    <col min="9528" max="9528" width="10.6640625" customWidth="1"/>
    <col min="9529" max="9529" width="10.5" customWidth="1"/>
    <col min="9530" max="9531" width="9.1640625" customWidth="1"/>
    <col min="9533" max="9533" width="9.1640625" customWidth="1"/>
    <col min="9536" max="9536" width="9.1640625" customWidth="1"/>
    <col min="9674" max="9675" width="9.33203125" bestFit="1" customWidth="1"/>
    <col min="9676" max="9676" width="10" customWidth="1"/>
    <col min="9677" max="9682" width="9.33203125" bestFit="1" customWidth="1"/>
    <col min="9684" max="9691" width="9.33203125" bestFit="1" customWidth="1"/>
    <col min="9693" max="9695" width="9.33203125" bestFit="1" customWidth="1"/>
    <col min="9697" max="9699" width="9.33203125" bestFit="1" customWidth="1"/>
    <col min="9700" max="9701" width="12.5" bestFit="1" customWidth="1"/>
    <col min="9702" max="9706" width="9.33203125" bestFit="1" customWidth="1"/>
    <col min="9707" max="9707" width="9.33203125" customWidth="1"/>
    <col min="9708" max="9710" width="9.33203125" bestFit="1" customWidth="1"/>
    <col min="9712" max="9713" width="9.1640625" customWidth="1"/>
    <col min="9721" max="9738" width="9.33203125" bestFit="1" customWidth="1"/>
    <col min="9743" max="9755" width="9.33203125" bestFit="1" customWidth="1"/>
    <col min="9757" max="9761" width="9.33203125" bestFit="1" customWidth="1"/>
    <col min="9763" max="9765" width="9.33203125" bestFit="1" customWidth="1"/>
    <col min="9766" max="9766" width="10.1640625" bestFit="1" customWidth="1"/>
    <col min="9773" max="9775" width="9.33203125" bestFit="1" customWidth="1"/>
    <col min="9777" max="9777" width="9.1640625" customWidth="1"/>
    <col min="9778" max="9779" width="10.5" customWidth="1"/>
    <col min="9780" max="9782" width="9.1640625" customWidth="1"/>
    <col min="9784" max="9784" width="10.6640625" customWidth="1"/>
    <col min="9785" max="9785" width="10.5" customWidth="1"/>
    <col min="9786" max="9787" width="9.1640625" customWidth="1"/>
    <col min="9789" max="9789" width="9.1640625" customWidth="1"/>
    <col min="9792" max="9792" width="9.1640625" customWidth="1"/>
    <col min="9930" max="9931" width="9.33203125" bestFit="1" customWidth="1"/>
    <col min="9932" max="9932" width="10" customWidth="1"/>
    <col min="9933" max="9938" width="9.33203125" bestFit="1" customWidth="1"/>
    <col min="9940" max="9947" width="9.33203125" bestFit="1" customWidth="1"/>
    <col min="9949" max="9951" width="9.33203125" bestFit="1" customWidth="1"/>
    <col min="9953" max="9955" width="9.33203125" bestFit="1" customWidth="1"/>
    <col min="9956" max="9957" width="12.5" bestFit="1" customWidth="1"/>
    <col min="9958" max="9962" width="9.33203125" bestFit="1" customWidth="1"/>
    <col min="9963" max="9963" width="9.33203125" customWidth="1"/>
    <col min="9964" max="9966" width="9.33203125" bestFit="1" customWidth="1"/>
    <col min="9968" max="9969" width="9.1640625" customWidth="1"/>
    <col min="9977" max="9994" width="9.33203125" bestFit="1" customWidth="1"/>
    <col min="9999" max="10011" width="9.33203125" bestFit="1" customWidth="1"/>
    <col min="10013" max="10017" width="9.33203125" bestFit="1" customWidth="1"/>
    <col min="10019" max="10021" width="9.33203125" bestFit="1" customWidth="1"/>
    <col min="10022" max="10022" width="10.1640625" bestFit="1" customWidth="1"/>
    <col min="10029" max="10031" width="9.33203125" bestFit="1" customWidth="1"/>
    <col min="10033" max="10033" width="9.1640625" customWidth="1"/>
    <col min="10034" max="10035" width="10.5" customWidth="1"/>
    <col min="10036" max="10038" width="9.1640625" customWidth="1"/>
    <col min="10040" max="10040" width="10.6640625" customWidth="1"/>
    <col min="10041" max="10041" width="10.5" customWidth="1"/>
    <col min="10042" max="10043" width="9.1640625" customWidth="1"/>
    <col min="10045" max="10045" width="9.1640625" customWidth="1"/>
    <col min="10048" max="10048" width="9.1640625" customWidth="1"/>
    <col min="10186" max="10187" width="9.33203125" bestFit="1" customWidth="1"/>
    <col min="10188" max="10188" width="10" customWidth="1"/>
    <col min="10189" max="10194" width="9.33203125" bestFit="1" customWidth="1"/>
    <col min="10196" max="10203" width="9.33203125" bestFit="1" customWidth="1"/>
    <col min="10205" max="10207" width="9.33203125" bestFit="1" customWidth="1"/>
    <col min="10209" max="10211" width="9.33203125" bestFit="1" customWidth="1"/>
    <col min="10212" max="10213" width="12.5" bestFit="1" customWidth="1"/>
    <col min="10214" max="10218" width="9.33203125" bestFit="1" customWidth="1"/>
    <col min="10219" max="10219" width="9.33203125" customWidth="1"/>
    <col min="10220" max="10222" width="9.33203125" bestFit="1" customWidth="1"/>
    <col min="10224" max="10225" width="9.1640625" customWidth="1"/>
    <col min="10233" max="10250" width="9.33203125" bestFit="1" customWidth="1"/>
    <col min="10255" max="10267" width="9.33203125" bestFit="1" customWidth="1"/>
    <col min="10269" max="10273" width="9.33203125" bestFit="1" customWidth="1"/>
    <col min="10275" max="10277" width="9.33203125" bestFit="1" customWidth="1"/>
    <col min="10278" max="10278" width="10.1640625" bestFit="1" customWidth="1"/>
    <col min="10285" max="10287" width="9.33203125" bestFit="1" customWidth="1"/>
    <col min="10289" max="10289" width="9.1640625" customWidth="1"/>
    <col min="10290" max="10291" width="10.5" customWidth="1"/>
    <col min="10292" max="10294" width="9.1640625" customWidth="1"/>
    <col min="10296" max="10296" width="10.6640625" customWidth="1"/>
    <col min="10297" max="10297" width="10.5" customWidth="1"/>
    <col min="10298" max="10299" width="9.1640625" customWidth="1"/>
    <col min="10301" max="10301" width="9.1640625" customWidth="1"/>
    <col min="10304" max="10304" width="9.1640625" customWidth="1"/>
    <col min="10442" max="10443" width="9.33203125" bestFit="1" customWidth="1"/>
    <col min="10444" max="10444" width="10" customWidth="1"/>
    <col min="10445" max="10450" width="9.33203125" bestFit="1" customWidth="1"/>
    <col min="10452" max="10459" width="9.33203125" bestFit="1" customWidth="1"/>
    <col min="10461" max="10463" width="9.33203125" bestFit="1" customWidth="1"/>
    <col min="10465" max="10467" width="9.33203125" bestFit="1" customWidth="1"/>
    <col min="10468" max="10469" width="12.5" bestFit="1" customWidth="1"/>
    <col min="10470" max="10474" width="9.33203125" bestFit="1" customWidth="1"/>
    <col min="10475" max="10475" width="9.33203125" customWidth="1"/>
    <col min="10476" max="10478" width="9.33203125" bestFit="1" customWidth="1"/>
    <col min="10480" max="10481" width="9.1640625" customWidth="1"/>
    <col min="10489" max="10506" width="9.33203125" bestFit="1" customWidth="1"/>
    <col min="10511" max="10523" width="9.33203125" bestFit="1" customWidth="1"/>
    <col min="10525" max="10529" width="9.33203125" bestFit="1" customWidth="1"/>
    <col min="10531" max="10533" width="9.33203125" bestFit="1" customWidth="1"/>
    <col min="10534" max="10534" width="10.1640625" bestFit="1" customWidth="1"/>
    <col min="10541" max="10543" width="9.33203125" bestFit="1" customWidth="1"/>
    <col min="10545" max="10545" width="9.1640625" customWidth="1"/>
    <col min="10546" max="10547" width="10.5" customWidth="1"/>
    <col min="10548" max="10550" width="9.1640625" customWidth="1"/>
    <col min="10552" max="10552" width="10.6640625" customWidth="1"/>
    <col min="10553" max="10553" width="10.5" customWidth="1"/>
    <col min="10554" max="10555" width="9.1640625" customWidth="1"/>
    <col min="10557" max="10557" width="9.1640625" customWidth="1"/>
    <col min="10560" max="10560" width="9.1640625" customWidth="1"/>
    <col min="10698" max="10699" width="9.33203125" bestFit="1" customWidth="1"/>
    <col min="10700" max="10700" width="10" customWidth="1"/>
    <col min="10701" max="10706" width="9.33203125" bestFit="1" customWidth="1"/>
    <col min="10708" max="10715" width="9.33203125" bestFit="1" customWidth="1"/>
    <col min="10717" max="10719" width="9.33203125" bestFit="1" customWidth="1"/>
    <col min="10721" max="10723" width="9.33203125" bestFit="1" customWidth="1"/>
    <col min="10724" max="10725" width="12.5" bestFit="1" customWidth="1"/>
    <col min="10726" max="10730" width="9.33203125" bestFit="1" customWidth="1"/>
    <col min="10731" max="10731" width="9.33203125" customWidth="1"/>
    <col min="10732" max="10734" width="9.33203125" bestFit="1" customWidth="1"/>
    <col min="10736" max="10737" width="9.1640625" customWidth="1"/>
    <col min="10745" max="10762" width="9.33203125" bestFit="1" customWidth="1"/>
    <col min="10767" max="10779" width="9.33203125" bestFit="1" customWidth="1"/>
    <col min="10781" max="10785" width="9.33203125" bestFit="1" customWidth="1"/>
    <col min="10787" max="10789" width="9.33203125" bestFit="1" customWidth="1"/>
    <col min="10790" max="10790" width="10.1640625" bestFit="1" customWidth="1"/>
    <col min="10797" max="10799" width="9.33203125" bestFit="1" customWidth="1"/>
    <col min="10801" max="10801" width="9.1640625" customWidth="1"/>
    <col min="10802" max="10803" width="10.5" customWidth="1"/>
    <col min="10804" max="10806" width="9.1640625" customWidth="1"/>
    <col min="10808" max="10808" width="10.6640625" customWidth="1"/>
    <col min="10809" max="10809" width="10.5" customWidth="1"/>
    <col min="10810" max="10811" width="9.1640625" customWidth="1"/>
    <col min="10813" max="10813" width="9.1640625" customWidth="1"/>
    <col min="10816" max="10816" width="9.1640625" customWidth="1"/>
    <col min="10954" max="10955" width="9.33203125" bestFit="1" customWidth="1"/>
    <col min="10956" max="10956" width="10" customWidth="1"/>
    <col min="10957" max="10962" width="9.33203125" bestFit="1" customWidth="1"/>
    <col min="10964" max="10971" width="9.33203125" bestFit="1" customWidth="1"/>
    <col min="10973" max="10975" width="9.33203125" bestFit="1" customWidth="1"/>
    <col min="10977" max="10979" width="9.33203125" bestFit="1" customWidth="1"/>
    <col min="10980" max="10981" width="12.5" bestFit="1" customWidth="1"/>
    <col min="10982" max="10986" width="9.33203125" bestFit="1" customWidth="1"/>
    <col min="10987" max="10987" width="9.33203125" customWidth="1"/>
    <col min="10988" max="10990" width="9.33203125" bestFit="1" customWidth="1"/>
    <col min="10992" max="10993" width="9.1640625" customWidth="1"/>
    <col min="11001" max="11018" width="9.33203125" bestFit="1" customWidth="1"/>
    <col min="11023" max="11035" width="9.33203125" bestFit="1" customWidth="1"/>
    <col min="11037" max="11041" width="9.33203125" bestFit="1" customWidth="1"/>
    <col min="11043" max="11045" width="9.33203125" bestFit="1" customWidth="1"/>
    <col min="11046" max="11046" width="10.1640625" bestFit="1" customWidth="1"/>
    <col min="11053" max="11055" width="9.33203125" bestFit="1" customWidth="1"/>
    <col min="11057" max="11057" width="9.1640625" customWidth="1"/>
    <col min="11058" max="11059" width="10.5" customWidth="1"/>
    <col min="11060" max="11062" width="9.1640625" customWidth="1"/>
    <col min="11064" max="11064" width="10.6640625" customWidth="1"/>
    <col min="11065" max="11065" width="10.5" customWidth="1"/>
    <col min="11066" max="11067" width="9.1640625" customWidth="1"/>
    <col min="11069" max="11069" width="9.1640625" customWidth="1"/>
    <col min="11072" max="11072" width="9.1640625" customWidth="1"/>
    <col min="11210" max="11211" width="9.33203125" bestFit="1" customWidth="1"/>
    <col min="11212" max="11212" width="10" customWidth="1"/>
    <col min="11213" max="11218" width="9.33203125" bestFit="1" customWidth="1"/>
    <col min="11220" max="11227" width="9.33203125" bestFit="1" customWidth="1"/>
    <col min="11229" max="11231" width="9.33203125" bestFit="1" customWidth="1"/>
    <col min="11233" max="11235" width="9.33203125" bestFit="1" customWidth="1"/>
    <col min="11236" max="11237" width="12.5" bestFit="1" customWidth="1"/>
    <col min="11238" max="11242" width="9.33203125" bestFit="1" customWidth="1"/>
    <col min="11243" max="11243" width="9.33203125" customWidth="1"/>
    <col min="11244" max="11246" width="9.33203125" bestFit="1" customWidth="1"/>
    <col min="11248" max="11249" width="9.1640625" customWidth="1"/>
    <col min="11257" max="11274" width="9.33203125" bestFit="1" customWidth="1"/>
    <col min="11279" max="11291" width="9.33203125" bestFit="1" customWidth="1"/>
    <col min="11293" max="11297" width="9.33203125" bestFit="1" customWidth="1"/>
    <col min="11299" max="11301" width="9.33203125" bestFit="1" customWidth="1"/>
    <col min="11302" max="11302" width="10.1640625" bestFit="1" customWidth="1"/>
    <col min="11309" max="11311" width="9.33203125" bestFit="1" customWidth="1"/>
    <col min="11313" max="11313" width="9.1640625" customWidth="1"/>
    <col min="11314" max="11315" width="10.5" customWidth="1"/>
    <col min="11316" max="11318" width="9.1640625" customWidth="1"/>
    <col min="11320" max="11320" width="10.6640625" customWidth="1"/>
    <col min="11321" max="11321" width="10.5" customWidth="1"/>
    <col min="11322" max="11323" width="9.1640625" customWidth="1"/>
    <col min="11325" max="11325" width="9.1640625" customWidth="1"/>
    <col min="11328" max="11328" width="9.1640625" customWidth="1"/>
    <col min="11466" max="11467" width="9.33203125" bestFit="1" customWidth="1"/>
    <col min="11468" max="11468" width="10" customWidth="1"/>
    <col min="11469" max="11474" width="9.33203125" bestFit="1" customWidth="1"/>
    <col min="11476" max="11483" width="9.33203125" bestFit="1" customWidth="1"/>
    <col min="11485" max="11487" width="9.33203125" bestFit="1" customWidth="1"/>
    <col min="11489" max="11491" width="9.33203125" bestFit="1" customWidth="1"/>
    <col min="11492" max="11493" width="12.5" bestFit="1" customWidth="1"/>
    <col min="11494" max="11498" width="9.33203125" bestFit="1" customWidth="1"/>
    <col min="11499" max="11499" width="9.33203125" customWidth="1"/>
    <col min="11500" max="11502" width="9.33203125" bestFit="1" customWidth="1"/>
    <col min="11504" max="11505" width="9.1640625" customWidth="1"/>
    <col min="11513" max="11530" width="9.33203125" bestFit="1" customWidth="1"/>
    <col min="11535" max="11547" width="9.33203125" bestFit="1" customWidth="1"/>
    <col min="11549" max="11553" width="9.33203125" bestFit="1" customWidth="1"/>
    <col min="11555" max="11557" width="9.33203125" bestFit="1" customWidth="1"/>
    <col min="11558" max="11558" width="10.1640625" bestFit="1" customWidth="1"/>
    <col min="11565" max="11567" width="9.33203125" bestFit="1" customWidth="1"/>
    <col min="11569" max="11569" width="9.1640625" customWidth="1"/>
    <col min="11570" max="11571" width="10.5" customWidth="1"/>
    <col min="11572" max="11574" width="9.1640625" customWidth="1"/>
    <col min="11576" max="11576" width="10.6640625" customWidth="1"/>
    <col min="11577" max="11577" width="10.5" customWidth="1"/>
    <col min="11578" max="11579" width="9.1640625" customWidth="1"/>
    <col min="11581" max="11581" width="9.1640625" customWidth="1"/>
    <col min="11584" max="11584" width="9.1640625" customWidth="1"/>
    <col min="11722" max="11723" width="9.33203125" bestFit="1" customWidth="1"/>
    <col min="11724" max="11724" width="10" customWidth="1"/>
    <col min="11725" max="11730" width="9.33203125" bestFit="1" customWidth="1"/>
    <col min="11732" max="11739" width="9.33203125" bestFit="1" customWidth="1"/>
    <col min="11741" max="11743" width="9.33203125" bestFit="1" customWidth="1"/>
    <col min="11745" max="11747" width="9.33203125" bestFit="1" customWidth="1"/>
    <col min="11748" max="11749" width="12.5" bestFit="1" customWidth="1"/>
    <col min="11750" max="11754" width="9.33203125" bestFit="1" customWidth="1"/>
    <col min="11755" max="11755" width="9.33203125" customWidth="1"/>
    <col min="11756" max="11758" width="9.33203125" bestFit="1" customWidth="1"/>
    <col min="11760" max="11761" width="9.1640625" customWidth="1"/>
    <col min="11769" max="11786" width="9.33203125" bestFit="1" customWidth="1"/>
    <col min="11791" max="11803" width="9.33203125" bestFit="1" customWidth="1"/>
    <col min="11805" max="11809" width="9.33203125" bestFit="1" customWidth="1"/>
    <col min="11811" max="11813" width="9.33203125" bestFit="1" customWidth="1"/>
    <col min="11814" max="11814" width="10.1640625" bestFit="1" customWidth="1"/>
    <col min="11821" max="11823" width="9.33203125" bestFit="1" customWidth="1"/>
    <col min="11825" max="11825" width="9.1640625" customWidth="1"/>
    <col min="11826" max="11827" width="10.5" customWidth="1"/>
    <col min="11828" max="11830" width="9.1640625" customWidth="1"/>
    <col min="11832" max="11832" width="10.6640625" customWidth="1"/>
    <col min="11833" max="11833" width="10.5" customWidth="1"/>
    <col min="11834" max="11835" width="9.1640625" customWidth="1"/>
    <col min="11837" max="11837" width="9.1640625" customWidth="1"/>
    <col min="11840" max="11840" width="9.1640625" customWidth="1"/>
    <col min="11978" max="11979" width="9.33203125" bestFit="1" customWidth="1"/>
    <col min="11980" max="11980" width="10" customWidth="1"/>
    <col min="11981" max="11986" width="9.33203125" bestFit="1" customWidth="1"/>
    <col min="11988" max="11995" width="9.33203125" bestFit="1" customWidth="1"/>
    <col min="11997" max="11999" width="9.33203125" bestFit="1" customWidth="1"/>
    <col min="12001" max="12003" width="9.33203125" bestFit="1" customWidth="1"/>
    <col min="12004" max="12005" width="12.5" bestFit="1" customWidth="1"/>
    <col min="12006" max="12010" width="9.33203125" bestFit="1" customWidth="1"/>
    <col min="12011" max="12011" width="9.33203125" customWidth="1"/>
    <col min="12012" max="12014" width="9.33203125" bestFit="1" customWidth="1"/>
    <col min="12016" max="12017" width="9.1640625" customWidth="1"/>
    <col min="12025" max="12042" width="9.33203125" bestFit="1" customWidth="1"/>
    <col min="12047" max="12059" width="9.33203125" bestFit="1" customWidth="1"/>
    <col min="12061" max="12065" width="9.33203125" bestFit="1" customWidth="1"/>
    <col min="12067" max="12069" width="9.33203125" bestFit="1" customWidth="1"/>
    <col min="12070" max="12070" width="10.1640625" bestFit="1" customWidth="1"/>
    <col min="12077" max="12079" width="9.33203125" bestFit="1" customWidth="1"/>
    <col min="12081" max="12081" width="9.1640625" customWidth="1"/>
    <col min="12082" max="12083" width="10.5" customWidth="1"/>
    <col min="12084" max="12086" width="9.1640625" customWidth="1"/>
    <col min="12088" max="12088" width="10.6640625" customWidth="1"/>
    <col min="12089" max="12089" width="10.5" customWidth="1"/>
    <col min="12090" max="12091" width="9.1640625" customWidth="1"/>
    <col min="12093" max="12093" width="9.1640625" customWidth="1"/>
    <col min="12096" max="12096" width="9.1640625" customWidth="1"/>
    <col min="12234" max="12235" width="9.33203125" bestFit="1" customWidth="1"/>
    <col min="12236" max="12236" width="10" customWidth="1"/>
    <col min="12237" max="12242" width="9.33203125" bestFit="1" customWidth="1"/>
    <col min="12244" max="12251" width="9.33203125" bestFit="1" customWidth="1"/>
    <col min="12253" max="12255" width="9.33203125" bestFit="1" customWidth="1"/>
    <col min="12257" max="12259" width="9.33203125" bestFit="1" customWidth="1"/>
    <col min="12260" max="12261" width="12.5" bestFit="1" customWidth="1"/>
    <col min="12262" max="12266" width="9.33203125" bestFit="1" customWidth="1"/>
    <col min="12267" max="12267" width="9.33203125" customWidth="1"/>
    <col min="12268" max="12270" width="9.33203125" bestFit="1" customWidth="1"/>
    <col min="12272" max="12273" width="9.1640625" customWidth="1"/>
    <col min="12281" max="12298" width="9.33203125" bestFit="1" customWidth="1"/>
    <col min="12303" max="12315" width="9.33203125" bestFit="1" customWidth="1"/>
    <col min="12317" max="12321" width="9.33203125" bestFit="1" customWidth="1"/>
    <col min="12323" max="12325" width="9.33203125" bestFit="1" customWidth="1"/>
    <col min="12326" max="12326" width="10.1640625" bestFit="1" customWidth="1"/>
    <col min="12333" max="12335" width="9.33203125" bestFit="1" customWidth="1"/>
    <col min="12337" max="12337" width="9.1640625" customWidth="1"/>
    <col min="12338" max="12339" width="10.5" customWidth="1"/>
    <col min="12340" max="12342" width="9.1640625" customWidth="1"/>
    <col min="12344" max="12344" width="10.6640625" customWidth="1"/>
    <col min="12345" max="12345" width="10.5" customWidth="1"/>
    <col min="12346" max="12347" width="9.1640625" customWidth="1"/>
    <col min="12349" max="12349" width="9.1640625" customWidth="1"/>
    <col min="12352" max="12352" width="9.1640625" customWidth="1"/>
    <col min="12490" max="12491" width="9.33203125" bestFit="1" customWidth="1"/>
    <col min="12492" max="12492" width="10" customWidth="1"/>
    <col min="12493" max="12498" width="9.33203125" bestFit="1" customWidth="1"/>
    <col min="12500" max="12507" width="9.33203125" bestFit="1" customWidth="1"/>
    <col min="12509" max="12511" width="9.33203125" bestFit="1" customWidth="1"/>
    <col min="12513" max="12515" width="9.33203125" bestFit="1" customWidth="1"/>
    <col min="12516" max="12517" width="12.5" bestFit="1" customWidth="1"/>
    <col min="12518" max="12522" width="9.33203125" bestFit="1" customWidth="1"/>
    <col min="12523" max="12523" width="9.33203125" customWidth="1"/>
    <col min="12524" max="12526" width="9.33203125" bestFit="1" customWidth="1"/>
    <col min="12528" max="12529" width="9.1640625" customWidth="1"/>
    <col min="12537" max="12554" width="9.33203125" bestFit="1" customWidth="1"/>
    <col min="12559" max="12571" width="9.33203125" bestFit="1" customWidth="1"/>
    <col min="12573" max="12577" width="9.33203125" bestFit="1" customWidth="1"/>
    <col min="12579" max="12581" width="9.33203125" bestFit="1" customWidth="1"/>
    <col min="12582" max="12582" width="10.1640625" bestFit="1" customWidth="1"/>
    <col min="12589" max="12591" width="9.33203125" bestFit="1" customWidth="1"/>
    <col min="12593" max="12593" width="9.1640625" customWidth="1"/>
    <col min="12594" max="12595" width="10.5" customWidth="1"/>
    <col min="12596" max="12598" width="9.1640625" customWidth="1"/>
    <col min="12600" max="12600" width="10.6640625" customWidth="1"/>
    <col min="12601" max="12601" width="10.5" customWidth="1"/>
    <col min="12602" max="12603" width="9.1640625" customWidth="1"/>
    <col min="12605" max="12605" width="9.1640625" customWidth="1"/>
    <col min="12608" max="12608" width="9.1640625" customWidth="1"/>
    <col min="12746" max="12747" width="9.33203125" bestFit="1" customWidth="1"/>
    <col min="12748" max="12748" width="10" customWidth="1"/>
    <col min="12749" max="12754" width="9.33203125" bestFit="1" customWidth="1"/>
    <col min="12756" max="12763" width="9.33203125" bestFit="1" customWidth="1"/>
    <col min="12765" max="12767" width="9.33203125" bestFit="1" customWidth="1"/>
    <col min="12769" max="12771" width="9.33203125" bestFit="1" customWidth="1"/>
    <col min="12772" max="12773" width="12.5" bestFit="1" customWidth="1"/>
    <col min="12774" max="12778" width="9.33203125" bestFit="1" customWidth="1"/>
    <col min="12779" max="12779" width="9.33203125" customWidth="1"/>
    <col min="12780" max="12782" width="9.33203125" bestFit="1" customWidth="1"/>
    <col min="12784" max="12785" width="9.1640625" customWidth="1"/>
    <col min="12793" max="12810" width="9.33203125" bestFit="1" customWidth="1"/>
    <col min="12815" max="12827" width="9.33203125" bestFit="1" customWidth="1"/>
    <col min="12829" max="12833" width="9.33203125" bestFit="1" customWidth="1"/>
    <col min="12835" max="12837" width="9.33203125" bestFit="1" customWidth="1"/>
    <col min="12838" max="12838" width="10.1640625" bestFit="1" customWidth="1"/>
    <col min="12845" max="12847" width="9.33203125" bestFit="1" customWidth="1"/>
    <col min="12849" max="12849" width="9.1640625" customWidth="1"/>
    <col min="12850" max="12851" width="10.5" customWidth="1"/>
    <col min="12852" max="12854" width="9.1640625" customWidth="1"/>
    <col min="12856" max="12856" width="10.6640625" customWidth="1"/>
    <col min="12857" max="12857" width="10.5" customWidth="1"/>
    <col min="12858" max="12859" width="9.1640625" customWidth="1"/>
    <col min="12861" max="12861" width="9.1640625" customWidth="1"/>
    <col min="12864" max="12864" width="9.1640625" customWidth="1"/>
    <col min="13002" max="13003" width="9.33203125" bestFit="1" customWidth="1"/>
    <col min="13004" max="13004" width="10" customWidth="1"/>
    <col min="13005" max="13010" width="9.33203125" bestFit="1" customWidth="1"/>
    <col min="13012" max="13019" width="9.33203125" bestFit="1" customWidth="1"/>
    <col min="13021" max="13023" width="9.33203125" bestFit="1" customWidth="1"/>
    <col min="13025" max="13027" width="9.33203125" bestFit="1" customWidth="1"/>
    <col min="13028" max="13029" width="12.5" bestFit="1" customWidth="1"/>
    <col min="13030" max="13034" width="9.33203125" bestFit="1" customWidth="1"/>
    <col min="13035" max="13035" width="9.33203125" customWidth="1"/>
    <col min="13036" max="13038" width="9.33203125" bestFit="1" customWidth="1"/>
    <col min="13040" max="13041" width="9.1640625" customWidth="1"/>
    <col min="13049" max="13066" width="9.33203125" bestFit="1" customWidth="1"/>
    <col min="13071" max="13083" width="9.33203125" bestFit="1" customWidth="1"/>
    <col min="13085" max="13089" width="9.33203125" bestFit="1" customWidth="1"/>
    <col min="13091" max="13093" width="9.33203125" bestFit="1" customWidth="1"/>
    <col min="13094" max="13094" width="10.1640625" bestFit="1" customWidth="1"/>
    <col min="13101" max="13103" width="9.33203125" bestFit="1" customWidth="1"/>
    <col min="13105" max="13105" width="9.1640625" customWidth="1"/>
    <col min="13106" max="13107" width="10.5" customWidth="1"/>
    <col min="13108" max="13110" width="9.1640625" customWidth="1"/>
    <col min="13112" max="13112" width="10.6640625" customWidth="1"/>
    <col min="13113" max="13113" width="10.5" customWidth="1"/>
    <col min="13114" max="13115" width="9.1640625" customWidth="1"/>
    <col min="13117" max="13117" width="9.1640625" customWidth="1"/>
    <col min="13120" max="13120" width="9.1640625" customWidth="1"/>
    <col min="13258" max="13259" width="9.33203125" bestFit="1" customWidth="1"/>
    <col min="13260" max="13260" width="10" customWidth="1"/>
    <col min="13261" max="13266" width="9.33203125" bestFit="1" customWidth="1"/>
    <col min="13268" max="13275" width="9.33203125" bestFit="1" customWidth="1"/>
    <col min="13277" max="13279" width="9.33203125" bestFit="1" customWidth="1"/>
    <col min="13281" max="13283" width="9.33203125" bestFit="1" customWidth="1"/>
    <col min="13284" max="13285" width="12.5" bestFit="1" customWidth="1"/>
    <col min="13286" max="13290" width="9.33203125" bestFit="1" customWidth="1"/>
    <col min="13291" max="13291" width="9.33203125" customWidth="1"/>
    <col min="13292" max="13294" width="9.33203125" bestFit="1" customWidth="1"/>
    <col min="13296" max="13297" width="9.1640625" customWidth="1"/>
    <col min="13305" max="13322" width="9.33203125" bestFit="1" customWidth="1"/>
    <col min="13327" max="13339" width="9.33203125" bestFit="1" customWidth="1"/>
    <col min="13341" max="13345" width="9.33203125" bestFit="1" customWidth="1"/>
    <col min="13347" max="13349" width="9.33203125" bestFit="1" customWidth="1"/>
    <col min="13350" max="13350" width="10.1640625" bestFit="1" customWidth="1"/>
    <col min="13357" max="13359" width="9.33203125" bestFit="1" customWidth="1"/>
    <col min="13361" max="13361" width="9.1640625" customWidth="1"/>
    <col min="13362" max="13363" width="10.5" customWidth="1"/>
    <col min="13364" max="13366" width="9.1640625" customWidth="1"/>
    <col min="13368" max="13368" width="10.6640625" customWidth="1"/>
    <col min="13369" max="13369" width="10.5" customWidth="1"/>
    <col min="13370" max="13371" width="9.1640625" customWidth="1"/>
    <col min="13373" max="13373" width="9.1640625" customWidth="1"/>
    <col min="13376" max="13376" width="9.1640625" customWidth="1"/>
    <col min="13514" max="13515" width="9.33203125" bestFit="1" customWidth="1"/>
    <col min="13516" max="13516" width="10" customWidth="1"/>
    <col min="13517" max="13522" width="9.33203125" bestFit="1" customWidth="1"/>
    <col min="13524" max="13531" width="9.33203125" bestFit="1" customWidth="1"/>
    <col min="13533" max="13535" width="9.33203125" bestFit="1" customWidth="1"/>
    <col min="13537" max="13539" width="9.33203125" bestFit="1" customWidth="1"/>
    <col min="13540" max="13541" width="12.5" bestFit="1" customWidth="1"/>
    <col min="13542" max="13546" width="9.33203125" bestFit="1" customWidth="1"/>
    <col min="13547" max="13547" width="9.33203125" customWidth="1"/>
    <col min="13548" max="13550" width="9.33203125" bestFit="1" customWidth="1"/>
    <col min="13552" max="13553" width="9.1640625" customWidth="1"/>
    <col min="13561" max="13578" width="9.33203125" bestFit="1" customWidth="1"/>
    <col min="13583" max="13595" width="9.33203125" bestFit="1" customWidth="1"/>
    <col min="13597" max="13601" width="9.33203125" bestFit="1" customWidth="1"/>
    <col min="13603" max="13605" width="9.33203125" bestFit="1" customWidth="1"/>
    <col min="13606" max="13606" width="10.1640625" bestFit="1" customWidth="1"/>
    <col min="13613" max="13615" width="9.33203125" bestFit="1" customWidth="1"/>
    <col min="13617" max="13617" width="9.1640625" customWidth="1"/>
    <col min="13618" max="13619" width="10.5" customWidth="1"/>
    <col min="13620" max="13622" width="9.1640625" customWidth="1"/>
    <col min="13624" max="13624" width="10.6640625" customWidth="1"/>
    <col min="13625" max="13625" width="10.5" customWidth="1"/>
    <col min="13626" max="13627" width="9.1640625" customWidth="1"/>
    <col min="13629" max="13629" width="9.1640625" customWidth="1"/>
    <col min="13632" max="13632" width="9.1640625" customWidth="1"/>
    <col min="13770" max="13771" width="9.33203125" bestFit="1" customWidth="1"/>
    <col min="13772" max="13772" width="10" customWidth="1"/>
    <col min="13773" max="13778" width="9.33203125" bestFit="1" customWidth="1"/>
    <col min="13780" max="13787" width="9.33203125" bestFit="1" customWidth="1"/>
    <col min="13789" max="13791" width="9.33203125" bestFit="1" customWidth="1"/>
    <col min="13793" max="13795" width="9.33203125" bestFit="1" customWidth="1"/>
    <col min="13796" max="13797" width="12.5" bestFit="1" customWidth="1"/>
    <col min="13798" max="13802" width="9.33203125" bestFit="1" customWidth="1"/>
    <col min="13803" max="13803" width="9.33203125" customWidth="1"/>
    <col min="13804" max="13806" width="9.33203125" bestFit="1" customWidth="1"/>
    <col min="13808" max="13809" width="9.1640625" customWidth="1"/>
    <col min="13817" max="13834" width="9.33203125" bestFit="1" customWidth="1"/>
    <col min="13839" max="13851" width="9.33203125" bestFit="1" customWidth="1"/>
    <col min="13853" max="13857" width="9.33203125" bestFit="1" customWidth="1"/>
    <col min="13859" max="13861" width="9.33203125" bestFit="1" customWidth="1"/>
    <col min="13862" max="13862" width="10.1640625" bestFit="1" customWidth="1"/>
    <col min="13869" max="13871" width="9.33203125" bestFit="1" customWidth="1"/>
    <col min="13873" max="13873" width="9.1640625" customWidth="1"/>
    <col min="13874" max="13875" width="10.5" customWidth="1"/>
    <col min="13876" max="13878" width="9.1640625" customWidth="1"/>
    <col min="13880" max="13880" width="10.6640625" customWidth="1"/>
    <col min="13881" max="13881" width="10.5" customWidth="1"/>
    <col min="13882" max="13883" width="9.1640625" customWidth="1"/>
    <col min="13885" max="13885" width="9.1640625" customWidth="1"/>
    <col min="13888" max="13888" width="9.1640625" customWidth="1"/>
    <col min="14026" max="14027" width="9.33203125" bestFit="1" customWidth="1"/>
    <col min="14028" max="14028" width="10" customWidth="1"/>
    <col min="14029" max="14034" width="9.33203125" bestFit="1" customWidth="1"/>
    <col min="14036" max="14043" width="9.33203125" bestFit="1" customWidth="1"/>
    <col min="14045" max="14047" width="9.33203125" bestFit="1" customWidth="1"/>
    <col min="14049" max="14051" width="9.33203125" bestFit="1" customWidth="1"/>
    <col min="14052" max="14053" width="12.5" bestFit="1" customWidth="1"/>
    <col min="14054" max="14058" width="9.33203125" bestFit="1" customWidth="1"/>
    <col min="14059" max="14059" width="9.33203125" customWidth="1"/>
    <col min="14060" max="14062" width="9.33203125" bestFit="1" customWidth="1"/>
    <col min="14064" max="14065" width="9.1640625" customWidth="1"/>
    <col min="14073" max="14090" width="9.33203125" bestFit="1" customWidth="1"/>
    <col min="14095" max="14107" width="9.33203125" bestFit="1" customWidth="1"/>
    <col min="14109" max="14113" width="9.33203125" bestFit="1" customWidth="1"/>
    <col min="14115" max="14117" width="9.33203125" bestFit="1" customWidth="1"/>
    <col min="14118" max="14118" width="10.1640625" bestFit="1" customWidth="1"/>
    <col min="14125" max="14127" width="9.33203125" bestFit="1" customWidth="1"/>
    <col min="14129" max="14129" width="9.1640625" customWidth="1"/>
    <col min="14130" max="14131" width="10.5" customWidth="1"/>
    <col min="14132" max="14134" width="9.1640625" customWidth="1"/>
    <col min="14136" max="14136" width="10.6640625" customWidth="1"/>
    <col min="14137" max="14137" width="10.5" customWidth="1"/>
    <col min="14138" max="14139" width="9.1640625" customWidth="1"/>
    <col min="14141" max="14141" width="9.1640625" customWidth="1"/>
    <col min="14144" max="14144" width="9.1640625" customWidth="1"/>
    <col min="14282" max="14283" width="9.33203125" bestFit="1" customWidth="1"/>
    <col min="14284" max="14284" width="10" customWidth="1"/>
    <col min="14285" max="14290" width="9.33203125" bestFit="1" customWidth="1"/>
    <col min="14292" max="14299" width="9.33203125" bestFit="1" customWidth="1"/>
    <col min="14301" max="14303" width="9.33203125" bestFit="1" customWidth="1"/>
    <col min="14305" max="14307" width="9.33203125" bestFit="1" customWidth="1"/>
    <col min="14308" max="14309" width="12.5" bestFit="1" customWidth="1"/>
    <col min="14310" max="14314" width="9.33203125" bestFit="1" customWidth="1"/>
    <col min="14315" max="14315" width="9.33203125" customWidth="1"/>
    <col min="14316" max="14318" width="9.33203125" bestFit="1" customWidth="1"/>
    <col min="14320" max="14321" width="9.1640625" customWidth="1"/>
    <col min="14329" max="14346" width="9.33203125" bestFit="1" customWidth="1"/>
    <col min="14351" max="14363" width="9.33203125" bestFit="1" customWidth="1"/>
    <col min="14365" max="14369" width="9.33203125" bestFit="1" customWidth="1"/>
    <col min="14371" max="14373" width="9.33203125" bestFit="1" customWidth="1"/>
    <col min="14374" max="14374" width="10.1640625" bestFit="1" customWidth="1"/>
    <col min="14381" max="14383" width="9.33203125" bestFit="1" customWidth="1"/>
    <col min="14385" max="14385" width="9.1640625" customWidth="1"/>
    <col min="14386" max="14387" width="10.5" customWidth="1"/>
    <col min="14388" max="14390" width="9.1640625" customWidth="1"/>
    <col min="14392" max="14392" width="10.6640625" customWidth="1"/>
    <col min="14393" max="14393" width="10.5" customWidth="1"/>
    <col min="14394" max="14395" width="9.1640625" customWidth="1"/>
    <col min="14397" max="14397" width="9.1640625" customWidth="1"/>
    <col min="14400" max="14400" width="9.1640625" customWidth="1"/>
    <col min="14538" max="14539" width="9.33203125" bestFit="1" customWidth="1"/>
    <col min="14540" max="14540" width="10" customWidth="1"/>
    <col min="14541" max="14546" width="9.33203125" bestFit="1" customWidth="1"/>
    <col min="14548" max="14555" width="9.33203125" bestFit="1" customWidth="1"/>
    <col min="14557" max="14559" width="9.33203125" bestFit="1" customWidth="1"/>
    <col min="14561" max="14563" width="9.33203125" bestFit="1" customWidth="1"/>
    <col min="14564" max="14565" width="12.5" bestFit="1" customWidth="1"/>
    <col min="14566" max="14570" width="9.33203125" bestFit="1" customWidth="1"/>
    <col min="14571" max="14571" width="9.33203125" customWidth="1"/>
    <col min="14572" max="14574" width="9.33203125" bestFit="1" customWidth="1"/>
    <col min="14576" max="14577" width="9.1640625" customWidth="1"/>
    <col min="14585" max="14602" width="9.33203125" bestFit="1" customWidth="1"/>
    <col min="14607" max="14619" width="9.33203125" bestFit="1" customWidth="1"/>
    <col min="14621" max="14625" width="9.33203125" bestFit="1" customWidth="1"/>
    <col min="14627" max="14629" width="9.33203125" bestFit="1" customWidth="1"/>
    <col min="14630" max="14630" width="10.1640625" bestFit="1" customWidth="1"/>
    <col min="14637" max="14639" width="9.33203125" bestFit="1" customWidth="1"/>
    <col min="14641" max="14641" width="9.1640625" customWidth="1"/>
    <col min="14642" max="14643" width="10.5" customWidth="1"/>
    <col min="14644" max="14646" width="9.1640625" customWidth="1"/>
    <col min="14648" max="14648" width="10.6640625" customWidth="1"/>
    <col min="14649" max="14649" width="10.5" customWidth="1"/>
    <col min="14650" max="14651" width="9.1640625" customWidth="1"/>
    <col min="14653" max="14653" width="9.1640625" customWidth="1"/>
    <col min="14656" max="14656" width="9.1640625" customWidth="1"/>
    <col min="14794" max="14795" width="9.33203125" bestFit="1" customWidth="1"/>
    <col min="14796" max="14796" width="10" customWidth="1"/>
    <col min="14797" max="14802" width="9.33203125" bestFit="1" customWidth="1"/>
    <col min="14804" max="14811" width="9.33203125" bestFit="1" customWidth="1"/>
    <col min="14813" max="14815" width="9.33203125" bestFit="1" customWidth="1"/>
    <col min="14817" max="14819" width="9.33203125" bestFit="1" customWidth="1"/>
    <col min="14820" max="14821" width="12.5" bestFit="1" customWidth="1"/>
    <col min="14822" max="14826" width="9.33203125" bestFit="1" customWidth="1"/>
    <col min="14827" max="14827" width="9.33203125" customWidth="1"/>
    <col min="14828" max="14830" width="9.33203125" bestFit="1" customWidth="1"/>
    <col min="14832" max="14833" width="9.1640625" customWidth="1"/>
    <col min="14841" max="14858" width="9.33203125" bestFit="1" customWidth="1"/>
    <col min="14863" max="14875" width="9.33203125" bestFit="1" customWidth="1"/>
    <col min="14877" max="14881" width="9.33203125" bestFit="1" customWidth="1"/>
    <col min="14883" max="14885" width="9.33203125" bestFit="1" customWidth="1"/>
    <col min="14886" max="14886" width="10.1640625" bestFit="1" customWidth="1"/>
    <col min="14893" max="14895" width="9.33203125" bestFit="1" customWidth="1"/>
    <col min="14897" max="14897" width="9.1640625" customWidth="1"/>
    <col min="14898" max="14899" width="10.5" customWidth="1"/>
    <col min="14900" max="14902" width="9.1640625" customWidth="1"/>
    <col min="14904" max="14904" width="10.6640625" customWidth="1"/>
    <col min="14905" max="14905" width="10.5" customWidth="1"/>
    <col min="14906" max="14907" width="9.1640625" customWidth="1"/>
    <col min="14909" max="14909" width="9.1640625" customWidth="1"/>
    <col min="14912" max="14912" width="9.1640625" customWidth="1"/>
    <col min="15050" max="15051" width="9.33203125" bestFit="1" customWidth="1"/>
    <col min="15052" max="15052" width="10" customWidth="1"/>
    <col min="15053" max="15058" width="9.33203125" bestFit="1" customWidth="1"/>
    <col min="15060" max="15067" width="9.33203125" bestFit="1" customWidth="1"/>
    <col min="15069" max="15071" width="9.33203125" bestFit="1" customWidth="1"/>
    <col min="15073" max="15075" width="9.33203125" bestFit="1" customWidth="1"/>
    <col min="15076" max="15077" width="12.5" bestFit="1" customWidth="1"/>
    <col min="15078" max="15082" width="9.33203125" bestFit="1" customWidth="1"/>
    <col min="15083" max="15083" width="9.33203125" customWidth="1"/>
    <col min="15084" max="15086" width="9.33203125" bestFit="1" customWidth="1"/>
    <col min="15088" max="15089" width="9.1640625" customWidth="1"/>
    <col min="15097" max="15114" width="9.33203125" bestFit="1" customWidth="1"/>
    <col min="15119" max="15131" width="9.33203125" bestFit="1" customWidth="1"/>
    <col min="15133" max="15137" width="9.33203125" bestFit="1" customWidth="1"/>
    <col min="15139" max="15141" width="9.33203125" bestFit="1" customWidth="1"/>
    <col min="15142" max="15142" width="10.1640625" bestFit="1" customWidth="1"/>
    <col min="15149" max="15151" width="9.33203125" bestFit="1" customWidth="1"/>
    <col min="15153" max="15153" width="9.1640625" customWidth="1"/>
    <col min="15154" max="15155" width="10.5" customWidth="1"/>
    <col min="15156" max="15158" width="9.1640625" customWidth="1"/>
    <col min="15160" max="15160" width="10.6640625" customWidth="1"/>
    <col min="15161" max="15161" width="10.5" customWidth="1"/>
    <col min="15162" max="15163" width="9.1640625" customWidth="1"/>
    <col min="15165" max="15165" width="9.1640625" customWidth="1"/>
    <col min="15168" max="15168" width="9.1640625" customWidth="1"/>
    <col min="15306" max="15307" width="9.33203125" bestFit="1" customWidth="1"/>
    <col min="15308" max="15308" width="10" customWidth="1"/>
    <col min="15309" max="15314" width="9.33203125" bestFit="1" customWidth="1"/>
    <col min="15316" max="15323" width="9.33203125" bestFit="1" customWidth="1"/>
    <col min="15325" max="15327" width="9.33203125" bestFit="1" customWidth="1"/>
    <col min="15329" max="15331" width="9.33203125" bestFit="1" customWidth="1"/>
    <col min="15332" max="15333" width="12.5" bestFit="1" customWidth="1"/>
    <col min="15334" max="15338" width="9.33203125" bestFit="1" customWidth="1"/>
    <col min="15339" max="15339" width="9.33203125" customWidth="1"/>
    <col min="15340" max="15342" width="9.33203125" bestFit="1" customWidth="1"/>
    <col min="15344" max="15345" width="9.1640625" customWidth="1"/>
    <col min="15353" max="15370" width="9.33203125" bestFit="1" customWidth="1"/>
    <col min="15375" max="15387" width="9.33203125" bestFit="1" customWidth="1"/>
    <col min="15389" max="15393" width="9.33203125" bestFit="1" customWidth="1"/>
    <col min="15395" max="15397" width="9.33203125" bestFit="1" customWidth="1"/>
    <col min="15398" max="15398" width="10.1640625" bestFit="1" customWidth="1"/>
    <col min="15405" max="15407" width="9.33203125" bestFit="1" customWidth="1"/>
    <col min="15409" max="15409" width="9.1640625" customWidth="1"/>
    <col min="15410" max="15411" width="10.5" customWidth="1"/>
    <col min="15412" max="15414" width="9.1640625" customWidth="1"/>
    <col min="15416" max="15416" width="10.6640625" customWidth="1"/>
    <col min="15417" max="15417" width="10.5" customWidth="1"/>
    <col min="15418" max="15419" width="9.1640625" customWidth="1"/>
    <col min="15421" max="15421" width="9.1640625" customWidth="1"/>
    <col min="15424" max="15424" width="9.1640625" customWidth="1"/>
    <col min="15562" max="15563" width="9.33203125" bestFit="1" customWidth="1"/>
    <col min="15564" max="15564" width="10" customWidth="1"/>
    <col min="15565" max="15570" width="9.33203125" bestFit="1" customWidth="1"/>
    <col min="15572" max="15579" width="9.33203125" bestFit="1" customWidth="1"/>
    <col min="15581" max="15583" width="9.33203125" bestFit="1" customWidth="1"/>
    <col min="15585" max="15587" width="9.33203125" bestFit="1" customWidth="1"/>
    <col min="15588" max="15589" width="12.5" bestFit="1" customWidth="1"/>
    <col min="15590" max="15594" width="9.33203125" bestFit="1" customWidth="1"/>
    <col min="15595" max="15595" width="9.33203125" customWidth="1"/>
    <col min="15596" max="15598" width="9.33203125" bestFit="1" customWidth="1"/>
    <col min="15600" max="15601" width="9.1640625" customWidth="1"/>
    <col min="15609" max="15626" width="9.33203125" bestFit="1" customWidth="1"/>
    <col min="15631" max="15643" width="9.33203125" bestFit="1" customWidth="1"/>
    <col min="15645" max="15649" width="9.33203125" bestFit="1" customWidth="1"/>
    <col min="15651" max="15653" width="9.33203125" bestFit="1" customWidth="1"/>
    <col min="15654" max="15654" width="10.1640625" bestFit="1" customWidth="1"/>
    <col min="15661" max="15663" width="9.33203125" bestFit="1" customWidth="1"/>
    <col min="15665" max="15665" width="9.1640625" customWidth="1"/>
    <col min="15666" max="15667" width="10.5" customWidth="1"/>
    <col min="15668" max="15670" width="9.1640625" customWidth="1"/>
    <col min="15672" max="15672" width="10.6640625" customWidth="1"/>
    <col min="15673" max="15673" width="10.5" customWidth="1"/>
    <col min="15674" max="15675" width="9.1640625" customWidth="1"/>
    <col min="15677" max="15677" width="9.1640625" customWidth="1"/>
    <col min="15680" max="15680" width="9.1640625" customWidth="1"/>
    <col min="15818" max="15819" width="9.33203125" bestFit="1" customWidth="1"/>
    <col min="15820" max="15820" width="10" customWidth="1"/>
    <col min="15821" max="15826" width="9.33203125" bestFit="1" customWidth="1"/>
    <col min="15828" max="15835" width="9.33203125" bestFit="1" customWidth="1"/>
    <col min="15837" max="15839" width="9.33203125" bestFit="1" customWidth="1"/>
    <col min="15841" max="15843" width="9.33203125" bestFit="1" customWidth="1"/>
    <col min="15844" max="15845" width="12.5" bestFit="1" customWidth="1"/>
    <col min="15846" max="15850" width="9.33203125" bestFit="1" customWidth="1"/>
    <col min="15851" max="15851" width="9.33203125" customWidth="1"/>
    <col min="15852" max="15854" width="9.33203125" bestFit="1" customWidth="1"/>
    <col min="15856" max="15857" width="9.1640625" customWidth="1"/>
    <col min="15865" max="15882" width="9.33203125" bestFit="1" customWidth="1"/>
    <col min="15887" max="15899" width="9.33203125" bestFit="1" customWidth="1"/>
    <col min="15901" max="15905" width="9.33203125" bestFit="1" customWidth="1"/>
    <col min="15907" max="15909" width="9.33203125" bestFit="1" customWidth="1"/>
    <col min="15910" max="15910" width="10.1640625" bestFit="1" customWidth="1"/>
    <col min="15917" max="15919" width="9.33203125" bestFit="1" customWidth="1"/>
    <col min="15921" max="15921" width="9.1640625" customWidth="1"/>
    <col min="15922" max="15923" width="10.5" customWidth="1"/>
    <col min="15924" max="15926" width="9.1640625" customWidth="1"/>
    <col min="15928" max="15928" width="10.6640625" customWidth="1"/>
    <col min="15929" max="15929" width="10.5" customWidth="1"/>
    <col min="15930" max="15931" width="9.1640625" customWidth="1"/>
    <col min="15933" max="15933" width="9.1640625" customWidth="1"/>
    <col min="15936" max="15936" width="9.1640625" customWidth="1"/>
    <col min="16074" max="16075" width="9.33203125" bestFit="1" customWidth="1"/>
    <col min="16076" max="16076" width="10" customWidth="1"/>
    <col min="16077" max="16082" width="9.33203125" bestFit="1" customWidth="1"/>
    <col min="16084" max="16091" width="9.33203125" bestFit="1" customWidth="1"/>
    <col min="16093" max="16095" width="9.33203125" bestFit="1" customWidth="1"/>
    <col min="16097" max="16099" width="9.33203125" bestFit="1" customWidth="1"/>
    <col min="16100" max="16101" width="12.5" bestFit="1" customWidth="1"/>
    <col min="16102" max="16106" width="9.33203125" bestFit="1" customWidth="1"/>
    <col min="16107" max="16107" width="9.33203125" customWidth="1"/>
    <col min="16108" max="16110" width="9.33203125" bestFit="1" customWidth="1"/>
    <col min="16112" max="16113" width="9.1640625" customWidth="1"/>
    <col min="16121" max="16138" width="9.33203125" bestFit="1" customWidth="1"/>
    <col min="16143" max="16155" width="9.33203125" bestFit="1" customWidth="1"/>
    <col min="16157" max="16161" width="9.33203125" bestFit="1" customWidth="1"/>
    <col min="16163" max="16165" width="9.33203125" bestFit="1" customWidth="1"/>
    <col min="16166" max="16166" width="10.1640625" bestFit="1" customWidth="1"/>
    <col min="16173" max="16175" width="9.33203125" bestFit="1" customWidth="1"/>
    <col min="16177" max="16177" width="9.1640625" customWidth="1"/>
    <col min="16178" max="16179" width="10.5" customWidth="1"/>
    <col min="16180" max="16182" width="9.1640625" customWidth="1"/>
    <col min="16184" max="16184" width="10.6640625" customWidth="1"/>
    <col min="16185" max="16185" width="10.5" customWidth="1"/>
    <col min="16186" max="16187" width="9.1640625" customWidth="1"/>
    <col min="16189" max="16189" width="9.1640625" customWidth="1"/>
    <col min="16192" max="16192" width="9.1640625" customWidth="1"/>
  </cols>
  <sheetData>
    <row r="1" spans="1:70" s="1" customFormat="1" x14ac:dyDescent="0.15">
      <c r="A1" s="1" t="s">
        <v>102</v>
      </c>
      <c r="B1" s="1" t="s">
        <v>103</v>
      </c>
      <c r="C1" s="1" t="s">
        <v>104</v>
      </c>
      <c r="D1" s="1" t="s">
        <v>166</v>
      </c>
      <c r="E1" s="1" t="s">
        <v>105</v>
      </c>
      <c r="F1" s="1" t="s">
        <v>132</v>
      </c>
      <c r="G1" s="1" t="s">
        <v>106</v>
      </c>
      <c r="H1" s="1" t="s">
        <v>107</v>
      </c>
      <c r="I1" s="1" t="s">
        <v>109</v>
      </c>
      <c r="J1" s="1" t="s">
        <v>108</v>
      </c>
      <c r="K1" s="1" t="s">
        <v>110</v>
      </c>
      <c r="L1" s="1" t="s">
        <v>111</v>
      </c>
      <c r="M1" s="1" t="s">
        <v>112</v>
      </c>
      <c r="N1" s="1" t="s">
        <v>114</v>
      </c>
      <c r="O1" s="1" t="s">
        <v>113</v>
      </c>
      <c r="P1" s="1" t="s">
        <v>115</v>
      </c>
      <c r="Q1" s="1" t="s">
        <v>116</v>
      </c>
      <c r="R1" s="1" t="s">
        <v>117</v>
      </c>
      <c r="S1" s="1" t="s">
        <v>118</v>
      </c>
      <c r="T1" s="1" t="s">
        <v>119</v>
      </c>
      <c r="U1" s="1" t="s">
        <v>120</v>
      </c>
      <c r="V1" s="1" t="s">
        <v>121</v>
      </c>
      <c r="W1" s="1" t="s">
        <v>122</v>
      </c>
      <c r="X1" s="1" t="s">
        <v>123</v>
      </c>
      <c r="Y1" s="1" t="s">
        <v>124</v>
      </c>
      <c r="Z1" s="1" t="s">
        <v>125</v>
      </c>
      <c r="AA1" s="1" t="s">
        <v>126</v>
      </c>
      <c r="AB1" s="1" t="s">
        <v>127</v>
      </c>
      <c r="AC1" s="1" t="s">
        <v>128</v>
      </c>
      <c r="AD1" s="1" t="s">
        <v>165</v>
      </c>
      <c r="AE1" s="1" t="s">
        <v>129</v>
      </c>
      <c r="AF1" s="1" t="s">
        <v>130</v>
      </c>
      <c r="AG1" s="1" t="s">
        <v>131</v>
      </c>
      <c r="AH1" s="1" t="s">
        <v>133</v>
      </c>
      <c r="AI1" s="1" t="s">
        <v>134</v>
      </c>
      <c r="AJ1" s="1" t="s">
        <v>137</v>
      </c>
      <c r="AK1" s="1" t="s">
        <v>135</v>
      </c>
      <c r="AL1" s="1" t="s">
        <v>136</v>
      </c>
      <c r="AM1" s="1" t="s">
        <v>138</v>
      </c>
      <c r="AN1" s="2"/>
      <c r="AO1" s="1" t="s">
        <v>139</v>
      </c>
      <c r="AP1" s="1" t="s">
        <v>140</v>
      </c>
      <c r="AQ1" s="1" t="s">
        <v>141</v>
      </c>
      <c r="AR1" s="1" t="s">
        <v>142</v>
      </c>
      <c r="AS1" s="1" t="s">
        <v>143</v>
      </c>
      <c r="AT1" s="1" t="s">
        <v>144</v>
      </c>
      <c r="AU1" s="1" t="s">
        <v>145</v>
      </c>
      <c r="AV1" s="1" t="s">
        <v>146</v>
      </c>
      <c r="AW1" s="1" t="s">
        <v>147</v>
      </c>
      <c r="AX1" s="1" t="s">
        <v>148</v>
      </c>
      <c r="AY1" s="1" t="s">
        <v>149</v>
      </c>
      <c r="AZ1" s="2"/>
      <c r="BA1" s="1" t="s">
        <v>150</v>
      </c>
      <c r="BB1" s="1" t="s">
        <v>151</v>
      </c>
      <c r="BC1" s="1" t="s">
        <v>152</v>
      </c>
      <c r="BD1" s="1" t="s">
        <v>153</v>
      </c>
      <c r="BE1" s="1" t="s">
        <v>154</v>
      </c>
      <c r="BF1" s="2"/>
      <c r="BG1" s="1" t="s">
        <v>155</v>
      </c>
      <c r="BH1" s="1" t="s">
        <v>156</v>
      </c>
      <c r="BI1" s="1" t="s">
        <v>157</v>
      </c>
      <c r="BJ1" s="1" t="s">
        <v>158</v>
      </c>
      <c r="BK1" s="2"/>
      <c r="BL1" s="1" t="s">
        <v>159</v>
      </c>
      <c r="BM1" s="1" t="s">
        <v>160</v>
      </c>
      <c r="BN1" s="1" t="s">
        <v>161</v>
      </c>
      <c r="BO1" s="1" t="s">
        <v>162</v>
      </c>
      <c r="BP1" s="1" t="s">
        <v>163</v>
      </c>
      <c r="BQ1" s="1" t="s">
        <v>164</v>
      </c>
      <c r="BR1" s="2"/>
    </row>
    <row r="2" spans="1:70" x14ac:dyDescent="0.15">
      <c r="A2" t="s">
        <v>1</v>
      </c>
      <c r="B2" s="6" t="s">
        <v>2</v>
      </c>
      <c r="C2" t="s">
        <v>3</v>
      </c>
      <c r="D2">
        <v>395.72998307579462</v>
      </c>
      <c r="E2">
        <v>1.0224948875255624E-2</v>
      </c>
      <c r="F2" s="6">
        <v>37817</v>
      </c>
      <c r="G2">
        <v>475</v>
      </c>
      <c r="H2">
        <v>0.62692307692307692</v>
      </c>
      <c r="I2">
        <v>4.8154297276829121</v>
      </c>
      <c r="J2">
        <v>17.9375</v>
      </c>
      <c r="K2">
        <v>2.5099999999999998</v>
      </c>
      <c r="L2">
        <v>0.18361084191297</v>
      </c>
      <c r="M2">
        <f t="shared" ref="M2:M65" si="0">(I2/1000)/K2</f>
        <v>1.9184978994752637E-3</v>
      </c>
      <c r="N2">
        <v>15.269557439930267</v>
      </c>
      <c r="O2">
        <v>293.15666666666669</v>
      </c>
      <c r="P2">
        <v>501.85413090345133</v>
      </c>
      <c r="Q2">
        <v>1.4983333333333333</v>
      </c>
      <c r="R2">
        <v>8.6974214131987146</v>
      </c>
      <c r="T2">
        <v>0.41357638888888731</v>
      </c>
      <c r="U2">
        <v>3.75</v>
      </c>
      <c r="V2">
        <v>0.2</v>
      </c>
      <c r="W2">
        <v>-3.8</v>
      </c>
      <c r="X2">
        <v>1.2</v>
      </c>
      <c r="Y2">
        <v>2.8103723037458742E-3</v>
      </c>
      <c r="Z2">
        <v>5.4380360627721207E-4</v>
      </c>
      <c r="AA2">
        <v>8.5207063410447731E-2</v>
      </c>
      <c r="AC2" s="7">
        <v>2.2120000000000002E-6</v>
      </c>
      <c r="AD2" s="5" t="s">
        <v>0</v>
      </c>
      <c r="AK2">
        <v>8.8674275267667441E-2</v>
      </c>
      <c r="AL2">
        <v>0</v>
      </c>
      <c r="AM2">
        <v>4.5551100346883473E-4</v>
      </c>
      <c r="AN2" s="2"/>
      <c r="AO2" s="4">
        <f>1/Y2</f>
        <v>355.82474203404485</v>
      </c>
      <c r="AP2" s="4"/>
      <c r="AQ2">
        <f>((Y2*H2)*1440)</f>
        <v>2.5371176428278135</v>
      </c>
      <c r="AW2">
        <v>16.602436332720316</v>
      </c>
      <c r="AX2">
        <v>637.03140947318684</v>
      </c>
      <c r="AY2">
        <v>229.10440947318685</v>
      </c>
      <c r="AZ2" s="2"/>
      <c r="BB2">
        <v>2.8085725126404761E-3</v>
      </c>
      <c r="BC2" s="6">
        <v>37818</v>
      </c>
      <c r="BD2">
        <v>19</v>
      </c>
      <c r="BE2">
        <v>75</v>
      </c>
      <c r="BF2" s="2"/>
      <c r="BG2">
        <v>2.7358E-2</v>
      </c>
      <c r="BH2">
        <v>0.46722599999999997</v>
      </c>
      <c r="BI2">
        <v>0.154196</v>
      </c>
      <c r="BJ2">
        <v>2.3149100000000002E-5</v>
      </c>
      <c r="BK2" s="2"/>
      <c r="BL2">
        <f t="shared" ref="BL2:BL8" si="1">BI2/BH2</f>
        <v>0.33002444213292925</v>
      </c>
      <c r="BM2">
        <v>30.839199999999998</v>
      </c>
      <c r="BN2">
        <v>8.7145294700732137E-2</v>
      </c>
      <c r="BO2">
        <v>14256.469674109543</v>
      </c>
      <c r="BP2" t="s">
        <v>4</v>
      </c>
      <c r="BQ2" t="s">
        <v>4</v>
      </c>
      <c r="BR2" s="9"/>
    </row>
    <row r="3" spans="1:70" x14ac:dyDescent="0.15">
      <c r="A3" t="s">
        <v>1</v>
      </c>
      <c r="B3" t="s">
        <v>5</v>
      </c>
      <c r="C3" t="s">
        <v>6</v>
      </c>
      <c r="D3">
        <v>132.89999994824436</v>
      </c>
      <c r="E3">
        <v>8.1081081081081086E-3</v>
      </c>
      <c r="F3" s="6">
        <v>37831</v>
      </c>
      <c r="G3">
        <v>345</v>
      </c>
      <c r="H3">
        <v>0.85648148148148151</v>
      </c>
      <c r="I3">
        <v>2.0538620749731904</v>
      </c>
      <c r="J3">
        <v>17.12166666666667</v>
      </c>
      <c r="K3">
        <v>1.34</v>
      </c>
      <c r="L3">
        <v>0.10737415285055484</v>
      </c>
      <c r="M3">
        <f t="shared" si="0"/>
        <v>1.5327328917710376E-3</v>
      </c>
      <c r="N3">
        <v>1336.1784922310285</v>
      </c>
      <c r="O3">
        <v>121.21</v>
      </c>
      <c r="P3">
        <v>60.257432087670381</v>
      </c>
      <c r="Q3">
        <v>2.1183333333333336</v>
      </c>
      <c r="R3">
        <v>2.848599045712684</v>
      </c>
      <c r="S3">
        <v>311.5</v>
      </c>
      <c r="T3">
        <v>3.9674999999999931</v>
      </c>
      <c r="U3">
        <v>1.1499999999999999</v>
      </c>
      <c r="V3">
        <v>0.7</v>
      </c>
      <c r="W3">
        <v>-9.1</v>
      </c>
      <c r="X3">
        <v>1.2</v>
      </c>
      <c r="Y3">
        <v>7.0319966903869277E-4</v>
      </c>
      <c r="Z3">
        <v>1.077754531774542E-4</v>
      </c>
      <c r="AA3">
        <v>1.4491905560395208</v>
      </c>
      <c r="AB3">
        <v>4.2917865734385058E-4</v>
      </c>
      <c r="AC3" s="5">
        <v>3.3351247146092794E-6</v>
      </c>
      <c r="AD3" s="5"/>
      <c r="AE3">
        <v>4.3251378205845991E-4</v>
      </c>
      <c r="AF3">
        <v>0.61506539479708044</v>
      </c>
      <c r="AG3">
        <v>7.71102529666556E-3</v>
      </c>
      <c r="AH3">
        <v>6.629278862460836E-5</v>
      </c>
      <c r="AI3">
        <v>0.8858189107167308</v>
      </c>
      <c r="AJ3">
        <f>3600*AH3/ (L3*100)</f>
        <v>2.222639552563016E-2</v>
      </c>
      <c r="AK3">
        <v>2.503809904394545</v>
      </c>
      <c r="AL3">
        <v>0</v>
      </c>
      <c r="AM3">
        <v>5.913809389725886E-3</v>
      </c>
      <c r="AN3" s="2"/>
      <c r="AO3" s="4">
        <f t="shared" ref="AO3:AO66" si="2">1/Y3</f>
        <v>1422.0712039967927</v>
      </c>
      <c r="AP3" s="4">
        <f t="shared" ref="AP3:AP66" si="3">1/AE3</f>
        <v>2312.0650519867986</v>
      </c>
      <c r="AQ3">
        <f>((Y3*H3)*1440)</f>
        <v>0.86727959181438774</v>
      </c>
      <c r="AR3">
        <f>((AE3*H3)*1440)</f>
        <v>0.53343366453876728</v>
      </c>
      <c r="AS3">
        <f>Y3-AE3</f>
        <v>2.7068588698023286E-4</v>
      </c>
      <c r="AT3">
        <f t="shared" ref="AT3:AT66" si="4">1/AS3</f>
        <v>3694.3189434661072</v>
      </c>
      <c r="AU3">
        <f>Z3-AH3</f>
        <v>4.1482664552845838E-5</v>
      </c>
      <c r="AV3">
        <f>AA3-AI3</f>
        <v>0.56337164532279005</v>
      </c>
      <c r="AW3">
        <v>1.5341628238596863</v>
      </c>
      <c r="AX3">
        <v>1327.4473803002923</v>
      </c>
      <c r="AY3">
        <v>267.82824069324346</v>
      </c>
      <c r="AZ3" s="2"/>
      <c r="BB3">
        <v>9.0234832354510221E-3</v>
      </c>
      <c r="BC3" s="6">
        <v>37874</v>
      </c>
      <c r="BD3">
        <v>14.5</v>
      </c>
      <c r="BE3">
        <v>50</v>
      </c>
      <c r="BF3" s="2"/>
      <c r="BG3">
        <v>4.0571500000000003E-2</v>
      </c>
      <c r="BH3">
        <v>0.177315</v>
      </c>
      <c r="BI3">
        <v>2.29801E-2</v>
      </c>
      <c r="BJ3">
        <v>1.9233400000000001E-5</v>
      </c>
      <c r="BK3" s="2"/>
      <c r="BL3">
        <f t="shared" si="1"/>
        <v>0.12960042861574034</v>
      </c>
      <c r="BM3">
        <v>9.9913478260869564</v>
      </c>
      <c r="BN3">
        <v>2.9443E-2</v>
      </c>
      <c r="BO3">
        <v>6738.3004885116688</v>
      </c>
      <c r="BP3" t="s">
        <v>4</v>
      </c>
      <c r="BQ3" t="s">
        <v>4</v>
      </c>
      <c r="BR3" s="10"/>
    </row>
    <row r="4" spans="1:70" x14ac:dyDescent="0.15">
      <c r="A4" t="s">
        <v>1</v>
      </c>
      <c r="B4" t="s">
        <v>7</v>
      </c>
      <c r="C4" t="s">
        <v>3</v>
      </c>
      <c r="D4">
        <v>155.24999847816196</v>
      </c>
      <c r="E4">
        <v>1.4999999999999999E-2</v>
      </c>
      <c r="F4" s="6">
        <v>38195</v>
      </c>
      <c r="G4">
        <v>550</v>
      </c>
      <c r="H4">
        <v>4</v>
      </c>
      <c r="I4">
        <v>12.160886073671293</v>
      </c>
      <c r="J4">
        <v>19.833333333333336</v>
      </c>
      <c r="K4">
        <v>1.54</v>
      </c>
      <c r="L4">
        <v>0.11845018902926582</v>
      </c>
      <c r="M4">
        <f t="shared" si="0"/>
        <v>7.896679268617722E-3</v>
      </c>
      <c r="N4">
        <v>52.829166666666666</v>
      </c>
      <c r="O4">
        <v>13.302571428571429</v>
      </c>
      <c r="P4">
        <v>295.91601227044629</v>
      </c>
      <c r="Q4">
        <v>9.1999999999999993</v>
      </c>
      <c r="R4">
        <v>6.7950106598906954</v>
      </c>
      <c r="S4">
        <v>60.333333333333336</v>
      </c>
      <c r="T4">
        <v>8.3283013929154812</v>
      </c>
      <c r="U4">
        <v>0.46051778240741897</v>
      </c>
      <c r="V4">
        <v>0.05</v>
      </c>
      <c r="W4">
        <v>-14.6</v>
      </c>
      <c r="X4">
        <v>0.5</v>
      </c>
      <c r="Y4">
        <v>7.2903546284527995E-4</v>
      </c>
      <c r="Z4">
        <v>5.7484958595361256E-4</v>
      </c>
      <c r="AA4">
        <v>0.29946883069947799</v>
      </c>
      <c r="AB4">
        <v>1.9440244973400396E-4</v>
      </c>
      <c r="AC4">
        <v>4.5036677347821037E-7</v>
      </c>
      <c r="AE4">
        <v>1.9485281650748217E-4</v>
      </c>
      <c r="AF4">
        <v>0.26727481232121481</v>
      </c>
      <c r="AG4">
        <v>2.3113177502410735E-3</v>
      </c>
      <c r="AH4">
        <v>1.5386901965464076E-4</v>
      </c>
      <c r="AI4">
        <v>8.17982103247301E-2</v>
      </c>
      <c r="AJ4">
        <f>3600*AH4/ (L4*100)</f>
        <v>4.6764675961795725E-2</v>
      </c>
      <c r="AK4">
        <v>0.94680924311212622</v>
      </c>
      <c r="AL4">
        <v>1.4904506713107895</v>
      </c>
      <c r="AM4">
        <v>2.7791662209209487E-4</v>
      </c>
      <c r="AN4" s="2"/>
      <c r="AO4" s="4">
        <f t="shared" si="2"/>
        <v>1371.675386128954</v>
      </c>
      <c r="AP4" s="4">
        <f t="shared" si="3"/>
        <v>5132.0787552567963</v>
      </c>
      <c r="AQ4">
        <f>((Y4*H4)*1440)</f>
        <v>4.1992442659888125</v>
      </c>
      <c r="AR4">
        <f>((AE4*H4)*1440)</f>
        <v>1.1223522230830973</v>
      </c>
      <c r="AS4">
        <f>Y4-AE4</f>
        <v>5.3418264633779775E-4</v>
      </c>
      <c r="AT4">
        <f t="shared" si="4"/>
        <v>1872.0188812866006</v>
      </c>
      <c r="AU4">
        <f>Z4-AH4</f>
        <v>4.209805662989718E-4</v>
      </c>
      <c r="AV4">
        <f>AA4-AI4</f>
        <v>0.21767062037474788</v>
      </c>
      <c r="AW4">
        <v>13.498843085766541</v>
      </c>
      <c r="AX4">
        <v>4966.1259168001143</v>
      </c>
      <c r="AY4">
        <v>176.91956037791763</v>
      </c>
      <c r="AZ4" s="2"/>
      <c r="BA4">
        <v>4.572883127860309E-3</v>
      </c>
      <c r="BC4" s="6">
        <v>38194</v>
      </c>
      <c r="BD4">
        <v>20.833333333333332</v>
      </c>
      <c r="BE4">
        <v>550</v>
      </c>
      <c r="BF4" s="2"/>
      <c r="BG4">
        <v>0.25548599999999999</v>
      </c>
      <c r="BH4">
        <v>0.21185300000000001</v>
      </c>
      <c r="BI4">
        <v>2.7510300000000001E-2</v>
      </c>
      <c r="BJ4">
        <v>8.6010700000000006E-5</v>
      </c>
      <c r="BK4" s="2"/>
      <c r="BL4">
        <f t="shared" si="1"/>
        <v>0.1298556074259038</v>
      </c>
      <c r="BM4" s="11">
        <v>2.0684436090225566</v>
      </c>
      <c r="BN4" s="11">
        <v>2.7546131936875346E-2</v>
      </c>
      <c r="BO4">
        <v>1509.7610811899426</v>
      </c>
      <c r="BP4" t="s">
        <v>8</v>
      </c>
      <c r="BQ4" t="s">
        <v>8</v>
      </c>
      <c r="BR4" s="10"/>
    </row>
    <row r="5" spans="1:70" x14ac:dyDescent="0.15">
      <c r="A5" t="s">
        <v>1</v>
      </c>
      <c r="B5" t="s">
        <v>9</v>
      </c>
      <c r="C5" t="s">
        <v>10</v>
      </c>
      <c r="D5">
        <v>39.019998334394899</v>
      </c>
      <c r="E5">
        <v>1.1428571428571429E-2</v>
      </c>
      <c r="F5" s="6">
        <v>38167</v>
      </c>
      <c r="G5">
        <v>500</v>
      </c>
      <c r="H5">
        <v>1.095890410958904</v>
      </c>
      <c r="I5">
        <v>0.65317409694936701</v>
      </c>
      <c r="J5">
        <v>16.25</v>
      </c>
      <c r="K5">
        <v>0.55000000000000004</v>
      </c>
      <c r="L5">
        <v>6.5020512378141535E-2</v>
      </c>
      <c r="M5">
        <f t="shared" si="0"/>
        <v>1.1875892671806671E-3</v>
      </c>
      <c r="N5">
        <v>1164.1975</v>
      </c>
      <c r="O5">
        <v>80.184615384615398</v>
      </c>
      <c r="P5">
        <v>139.20045712082839</v>
      </c>
      <c r="Q5">
        <v>7.7833333333333341</v>
      </c>
      <c r="R5">
        <v>2.0967650397584059</v>
      </c>
      <c r="S5">
        <v>109.33333333333333</v>
      </c>
      <c r="T5">
        <v>8.7709895833333409</v>
      </c>
      <c r="U5">
        <v>21.940517819331891</v>
      </c>
      <c r="V5">
        <v>7.3</v>
      </c>
      <c r="W5">
        <v>-11</v>
      </c>
      <c r="X5">
        <v>19</v>
      </c>
      <c r="Y5">
        <v>1.0158985184142903E-3</v>
      </c>
      <c r="Z5">
        <v>1.1681088093536184E-4</v>
      </c>
      <c r="AA5">
        <v>1.3664839657916017</v>
      </c>
      <c r="AB5">
        <v>2.4828628333613885E-4</v>
      </c>
      <c r="AC5" s="5">
        <v>3.9113734596592651E-6</v>
      </c>
      <c r="AD5" s="5"/>
      <c r="AE5">
        <v>2.5219765679579815E-4</v>
      </c>
      <c r="AF5">
        <v>0.24825083630346453</v>
      </c>
      <c r="AG5">
        <v>1.5509158607394453E-2</v>
      </c>
      <c r="AH5">
        <v>2.9610358018770422E-5</v>
      </c>
      <c r="AI5">
        <v>0.34270913842339934</v>
      </c>
      <c r="AJ5">
        <f>3600*AH5/ (L5*100)</f>
        <v>1.6394409236216535E-2</v>
      </c>
      <c r="AK5">
        <v>3.1952945082448756</v>
      </c>
      <c r="AL5">
        <v>1.974791051584756E-2</v>
      </c>
      <c r="AM5">
        <v>5.750878638488266E-5</v>
      </c>
      <c r="AN5" s="2"/>
      <c r="AO5" s="4">
        <f t="shared" si="2"/>
        <v>984.35028880728532</v>
      </c>
      <c r="AP5" s="4">
        <f t="shared" si="3"/>
        <v>3965.1438982626619</v>
      </c>
      <c r="AQ5">
        <f>((Y5*H5)*1440)</f>
        <v>1.6031713605661129</v>
      </c>
      <c r="AR5">
        <f>((AE5*H5)*1440)</f>
        <v>0.39798863099830062</v>
      </c>
      <c r="AS5">
        <f>Y5-AE5</f>
        <v>7.6370086161849223E-4</v>
      </c>
      <c r="AT5">
        <f t="shared" si="4"/>
        <v>1309.413214332016</v>
      </c>
      <c r="AU5">
        <f>Z5-AH5</f>
        <v>8.7200522916591408E-5</v>
      </c>
      <c r="AV5">
        <f>AA5-AI5</f>
        <v>1.0237748273682024</v>
      </c>
      <c r="AW5">
        <v>70.167695651435906</v>
      </c>
      <c r="AX5">
        <v>9338.9949431320401</v>
      </c>
      <c r="AY5">
        <v>266.65365578000751</v>
      </c>
      <c r="AZ5" s="2"/>
      <c r="BA5">
        <v>3.871668865660813E-3</v>
      </c>
      <c r="BC5" s="6">
        <v>38166</v>
      </c>
      <c r="BD5">
        <v>17</v>
      </c>
      <c r="BE5">
        <v>318</v>
      </c>
      <c r="BF5" s="2"/>
      <c r="BG5">
        <v>6.1818900000000003E-2</v>
      </c>
      <c r="BH5">
        <v>4.7950800000000002E-2</v>
      </c>
      <c r="BI5">
        <v>8.0786899999999995E-2</v>
      </c>
      <c r="BJ5">
        <v>8.8761699999999994E-5</v>
      </c>
      <c r="BK5" s="2"/>
      <c r="BL5">
        <f t="shared" si="1"/>
        <v>1.6847873236734319</v>
      </c>
      <c r="BM5">
        <v>72.131160714285713</v>
      </c>
      <c r="BN5">
        <v>0.33406602336053931</v>
      </c>
      <c r="BO5">
        <v>18981</v>
      </c>
      <c r="BP5" t="s">
        <v>8</v>
      </c>
      <c r="BQ5" t="s">
        <v>8</v>
      </c>
      <c r="BR5" s="10"/>
    </row>
    <row r="6" spans="1:70" x14ac:dyDescent="0.15">
      <c r="A6" t="s">
        <v>1</v>
      </c>
      <c r="B6" t="s">
        <v>11</v>
      </c>
      <c r="C6" t="s">
        <v>10</v>
      </c>
      <c r="D6">
        <v>89.20000062075448</v>
      </c>
      <c r="E6">
        <v>6.993006993006993E-3</v>
      </c>
      <c r="F6" s="6">
        <v>38181</v>
      </c>
      <c r="G6">
        <v>400</v>
      </c>
      <c r="H6">
        <v>2.2000000000000002</v>
      </c>
      <c r="I6">
        <v>2.3901987173154913</v>
      </c>
      <c r="J6">
        <v>16.583333333333332</v>
      </c>
      <c r="K6">
        <v>1.1399999999999999</v>
      </c>
      <c r="L6">
        <v>5.7181787495585924E-2</v>
      </c>
      <c r="M6">
        <f t="shared" si="0"/>
        <v>2.0966655415048173E-3</v>
      </c>
      <c r="N6">
        <v>989.32583333333332</v>
      </c>
      <c r="O6">
        <v>63.139230769230771</v>
      </c>
      <c r="P6">
        <v>384.92072010609695</v>
      </c>
      <c r="Q6">
        <v>10.8</v>
      </c>
      <c r="R6">
        <v>3.4639517353887381</v>
      </c>
      <c r="T6">
        <v>7.4218095231487773</v>
      </c>
      <c r="U6">
        <v>3.6049533320873</v>
      </c>
      <c r="V6">
        <v>3.9</v>
      </c>
      <c r="W6">
        <v>-8.1999999999999993</v>
      </c>
      <c r="X6">
        <v>4.5</v>
      </c>
      <c r="Y6">
        <v>5.5046178270462759E-4</v>
      </c>
      <c r="Z6">
        <v>1.1538302929121376E-4</v>
      </c>
      <c r="AA6">
        <v>1.1413398485480331</v>
      </c>
      <c r="AB6">
        <v>5.3376355187214621E-4</v>
      </c>
      <c r="AC6" s="5">
        <v>1.8275133306065278E-6</v>
      </c>
      <c r="AD6" s="5"/>
      <c r="AE6">
        <v>5.346773085374495E-4</v>
      </c>
      <c r="AF6">
        <v>0.9713250317040667</v>
      </c>
      <c r="AG6">
        <v>3.4179743584134663E-3</v>
      </c>
      <c r="AH6">
        <v>1.1207023591718707E-4</v>
      </c>
      <c r="AI6">
        <v>1.1085194570161288</v>
      </c>
      <c r="AJ6">
        <f>3600*AH6/ (L6*100)</f>
        <v>7.0556180030751495E-2</v>
      </c>
      <c r="AK6">
        <v>1.3763145415794615</v>
      </c>
      <c r="AL6">
        <v>0</v>
      </c>
      <c r="AM6">
        <v>1.1729809214746526E-4</v>
      </c>
      <c r="AN6" s="2"/>
      <c r="AO6" s="4">
        <f t="shared" si="2"/>
        <v>1816.6565444137113</v>
      </c>
      <c r="AP6" s="4">
        <f t="shared" si="3"/>
        <v>1870.2869638051204</v>
      </c>
      <c r="AQ6">
        <f>((Y6*H6)*1440)</f>
        <v>1.7438629276082604</v>
      </c>
      <c r="AR6">
        <f>((AE6*H6)*1440)</f>
        <v>1.6938577134466402</v>
      </c>
      <c r="AS6">
        <f>Y6-AE6</f>
        <v>1.5784474167178093E-5</v>
      </c>
      <c r="AT6">
        <f t="shared" si="4"/>
        <v>63353.393303362565</v>
      </c>
      <c r="AU6">
        <f>Z6-AH6</f>
        <v>3.3127933740266838E-6</v>
      </c>
      <c r="AV6">
        <f>AA6-AI6</f>
        <v>3.2820391531904303E-2</v>
      </c>
      <c r="AW6">
        <v>31.830964922394383</v>
      </c>
      <c r="AX6">
        <v>8038.4071193900008</v>
      </c>
      <c r="AY6">
        <v>151.72837485136736</v>
      </c>
      <c r="AZ6" s="2"/>
      <c r="BA6">
        <v>9.587027415144618E-3</v>
      </c>
      <c r="BC6" s="6">
        <v>38180</v>
      </c>
      <c r="BD6">
        <v>17.666666666666668</v>
      </c>
      <c r="BE6">
        <v>275</v>
      </c>
      <c r="BF6" s="2"/>
      <c r="BG6">
        <v>9.9769899999999995E-2</v>
      </c>
      <c r="BH6">
        <v>6.8389900000000003E-2</v>
      </c>
      <c r="BI6">
        <v>1.213E-2</v>
      </c>
      <c r="BJ6">
        <v>2.84979E-5</v>
      </c>
      <c r="BK6" s="2"/>
      <c r="BL6">
        <f t="shared" si="1"/>
        <v>0.17736537120247287</v>
      </c>
      <c r="BM6">
        <v>4.73828125</v>
      </c>
      <c r="BN6">
        <v>2.127690005221208E-2</v>
      </c>
      <c r="BO6">
        <v>6223.8</v>
      </c>
      <c r="BP6" t="s">
        <v>4</v>
      </c>
      <c r="BQ6" t="s">
        <v>8</v>
      </c>
      <c r="BR6" s="10"/>
    </row>
    <row r="7" spans="1:70" x14ac:dyDescent="0.15">
      <c r="A7" t="s">
        <v>1</v>
      </c>
      <c r="B7" t="s">
        <v>12</v>
      </c>
      <c r="C7" t="s">
        <v>3</v>
      </c>
      <c r="D7">
        <v>533.8900012413485</v>
      </c>
      <c r="E7">
        <v>4.2857142857142859E-3</v>
      </c>
      <c r="F7" s="6">
        <v>38573</v>
      </c>
      <c r="G7">
        <v>325</v>
      </c>
      <c r="H7">
        <v>1.0515247108307046</v>
      </c>
      <c r="I7">
        <v>1.9819776742396706</v>
      </c>
      <c r="J7">
        <v>21.391666666666669</v>
      </c>
      <c r="K7">
        <v>2.52</v>
      </c>
      <c r="L7">
        <v>4.487763733814111E-2</v>
      </c>
      <c r="M7">
        <f t="shared" si="0"/>
        <v>7.8649907707923445E-4</v>
      </c>
      <c r="N7">
        <v>112.15719053568601</v>
      </c>
      <c r="O7">
        <v>435.38461538461536</v>
      </c>
      <c r="P7">
        <v>802.10842963736832</v>
      </c>
      <c r="Q7">
        <v>80.333333333333329</v>
      </c>
      <c r="R7">
        <v>25.559399229673343</v>
      </c>
      <c r="T7">
        <v>2.8128105794173539</v>
      </c>
      <c r="U7">
        <v>0.72559016640241925</v>
      </c>
      <c r="V7">
        <v>0.2</v>
      </c>
      <c r="W7">
        <v>-11.3</v>
      </c>
      <c r="X7">
        <v>0.7</v>
      </c>
      <c r="AC7" s="5"/>
      <c r="AD7" s="5"/>
      <c r="AI7" s="8"/>
      <c r="AJ7" s="8"/>
      <c r="AN7" s="2"/>
      <c r="AO7" s="4"/>
      <c r="AP7" s="4"/>
      <c r="AW7">
        <v>6.4228957815136747</v>
      </c>
      <c r="AX7">
        <v>373.91137723981495</v>
      </c>
      <c r="AY7">
        <v>103.20370206997559</v>
      </c>
      <c r="AZ7" s="2"/>
      <c r="BA7">
        <v>1.3373052946173044E-2</v>
      </c>
      <c r="BC7" s="6">
        <v>38572</v>
      </c>
      <c r="BD7">
        <v>21.866666666666664</v>
      </c>
      <c r="BE7">
        <v>175</v>
      </c>
      <c r="BF7" s="2"/>
      <c r="BG7">
        <v>4.59069E-2</v>
      </c>
      <c r="BH7">
        <v>0.12267400000000001</v>
      </c>
      <c r="BI7">
        <v>2.2620999999999999E-2</v>
      </c>
      <c r="BJ7">
        <v>4.4131000000000001E-5</v>
      </c>
      <c r="BK7" s="2"/>
      <c r="BL7">
        <f t="shared" si="1"/>
        <v>0.18439930221562839</v>
      </c>
      <c r="BM7">
        <v>10.875480769230769</v>
      </c>
      <c r="BN7">
        <v>6.3180106282362897E-2</v>
      </c>
      <c r="BO7">
        <v>4178.4528384951254</v>
      </c>
      <c r="BP7" t="s">
        <v>13</v>
      </c>
      <c r="BQ7" t="s">
        <v>8</v>
      </c>
      <c r="BR7" s="10"/>
    </row>
    <row r="8" spans="1:70" x14ac:dyDescent="0.15">
      <c r="A8" t="s">
        <v>1</v>
      </c>
      <c r="B8" t="s">
        <v>14</v>
      </c>
      <c r="C8" t="s">
        <v>10</v>
      </c>
      <c r="D8">
        <v>620.3699955310683</v>
      </c>
      <c r="E8">
        <v>5.6417489421720732E-3</v>
      </c>
      <c r="F8" s="6">
        <v>38545</v>
      </c>
      <c r="G8">
        <v>625</v>
      </c>
      <c r="H8">
        <v>2.4519774011299433</v>
      </c>
      <c r="I8">
        <v>120.14837333333334</v>
      </c>
      <c r="J8">
        <v>22.633333333333333</v>
      </c>
      <c r="K8">
        <v>2.62</v>
      </c>
      <c r="L8">
        <v>1.1221512336862842</v>
      </c>
      <c r="M8">
        <f t="shared" si="0"/>
        <v>4.5858157760814248E-2</v>
      </c>
      <c r="N8">
        <v>50.301335967940545</v>
      </c>
      <c r="O8">
        <v>30.5</v>
      </c>
      <c r="P8">
        <v>632.63483490294084</v>
      </c>
      <c r="Q8">
        <v>33.5</v>
      </c>
      <c r="R8">
        <v>13.920345317987193</v>
      </c>
      <c r="T8">
        <v>3.4619313603238915</v>
      </c>
      <c r="U8">
        <v>19.89</v>
      </c>
      <c r="V8">
        <v>0.6</v>
      </c>
      <c r="W8">
        <v>-4.5</v>
      </c>
      <c r="X8">
        <v>19.899999999999999</v>
      </c>
      <c r="Y8">
        <v>2.633896256520877E-4</v>
      </c>
      <c r="Z8">
        <v>1.241516571484939E-3</v>
      </c>
      <c r="AA8">
        <v>0.61976894249467351</v>
      </c>
      <c r="AB8">
        <v>7.2939853374984312E-5</v>
      </c>
      <c r="AC8" s="5">
        <v>1.7094350027862783E-6</v>
      </c>
      <c r="AD8" s="5"/>
      <c r="AE8">
        <v>7.4649288377770593E-5</v>
      </c>
      <c r="AF8">
        <v>0.28341772457042447</v>
      </c>
      <c r="AG8">
        <v>2.2899548541380627E-2</v>
      </c>
      <c r="AH8">
        <v>3.2180876660519375E-4</v>
      </c>
      <c r="AI8">
        <v>0.16188360105197663</v>
      </c>
      <c r="AJ8">
        <f>3600*AH8/ (L8*100)</f>
        <v>1.0324023402558396E-2</v>
      </c>
      <c r="AK8">
        <v>5.2292980664150033</v>
      </c>
      <c r="AN8" s="2"/>
      <c r="AO8" s="4">
        <f t="shared" si="2"/>
        <v>3796.6567495748809</v>
      </c>
      <c r="AP8" s="4">
        <f t="shared" si="3"/>
        <v>13395.974988259695</v>
      </c>
      <c r="AQ8">
        <f>((Y8*H8)*1440)</f>
        <v>0.92998859009903234</v>
      </c>
      <c r="AR8">
        <f>((AE8*H8)*1440)</f>
        <v>0.26357525008232491</v>
      </c>
      <c r="AS8">
        <f>Y8-AE8</f>
        <v>1.887403372743171E-4</v>
      </c>
      <c r="AT8">
        <f t="shared" si="4"/>
        <v>5298.2844814279943</v>
      </c>
      <c r="AU8">
        <f>Z8-AH8</f>
        <v>9.1970780487974529E-4</v>
      </c>
      <c r="AV8">
        <f>AA8-AI8</f>
        <v>0.45788534144269688</v>
      </c>
      <c r="AW8">
        <v>70.283452468881066</v>
      </c>
      <c r="AX8">
        <v>677.29026441961673</v>
      </c>
      <c r="AY8">
        <v>296.49182720293481</v>
      </c>
      <c r="AZ8" s="2"/>
      <c r="BA8">
        <v>8.3685321341390355E-4</v>
      </c>
      <c r="BC8" s="6">
        <v>38545</v>
      </c>
      <c r="BD8">
        <v>22.766666666666669</v>
      </c>
      <c r="BE8">
        <v>322</v>
      </c>
      <c r="BF8" s="2"/>
      <c r="BG8">
        <v>0.41939300000000002</v>
      </c>
      <c r="BH8">
        <v>0.620062</v>
      </c>
      <c r="BI8">
        <v>5.0573199999999999E-2</v>
      </c>
      <c r="BJ8">
        <v>3.8602800000000002E-5</v>
      </c>
      <c r="BK8" s="2"/>
      <c r="BL8">
        <f t="shared" si="1"/>
        <v>8.1561521267228113E-2</v>
      </c>
      <c r="BM8">
        <v>2.0229279999999998</v>
      </c>
      <c r="BN8">
        <v>1.3141956106748441E-2</v>
      </c>
      <c r="BO8">
        <v>2112.8395159736629</v>
      </c>
      <c r="BP8" t="s">
        <v>13</v>
      </c>
      <c r="BQ8" t="s">
        <v>15</v>
      </c>
      <c r="BR8" s="10"/>
    </row>
    <row r="9" spans="1:70" x14ac:dyDescent="0.15">
      <c r="A9" t="s">
        <v>1</v>
      </c>
      <c r="B9" t="s">
        <v>16</v>
      </c>
      <c r="C9" t="s">
        <v>6</v>
      </c>
      <c r="D9">
        <v>402.1200032250041</v>
      </c>
      <c r="E9">
        <v>1.2E-2</v>
      </c>
      <c r="F9" s="6">
        <v>38559</v>
      </c>
      <c r="G9">
        <v>425</v>
      </c>
      <c r="H9">
        <v>0.75231481481481477</v>
      </c>
      <c r="I9">
        <v>4.9337556561085973</v>
      </c>
      <c r="J9">
        <v>21.2</v>
      </c>
      <c r="K9">
        <v>2.66</v>
      </c>
      <c r="L9">
        <v>0.14792706374359149</v>
      </c>
      <c r="M9">
        <f t="shared" si="0"/>
        <v>1.8547953594393223E-3</v>
      </c>
      <c r="N9">
        <v>1024.7399203557807</v>
      </c>
      <c r="O9">
        <v>39.153846153846153</v>
      </c>
      <c r="P9">
        <v>188.65240534743546</v>
      </c>
      <c r="Q9">
        <v>11.45</v>
      </c>
      <c r="R9">
        <v>10.028258178567237</v>
      </c>
      <c r="T9">
        <v>6.7720928133702163</v>
      </c>
      <c r="U9">
        <v>0.23760610347282271</v>
      </c>
      <c r="V9">
        <v>0.05</v>
      </c>
      <c r="W9">
        <v>-1.2</v>
      </c>
      <c r="X9">
        <v>0.2</v>
      </c>
      <c r="Y9">
        <v>2.4699999999999999E-4</v>
      </c>
      <c r="Z9">
        <v>4.5884595341618637E-5</v>
      </c>
      <c r="AA9">
        <v>0.47019776575927508</v>
      </c>
      <c r="AB9">
        <v>1.5804608603662293E-4</v>
      </c>
      <c r="AC9" s="5">
        <v>1.5111870439108287E-6</v>
      </c>
      <c r="AD9" s="5"/>
      <c r="AE9">
        <v>1.5955727308053375E-4</v>
      </c>
      <c r="AF9">
        <v>0.64497918630685869</v>
      </c>
      <c r="AG9">
        <v>9.4711260397893817E-3</v>
      </c>
      <c r="AH9">
        <v>2.9594608967456673E-5</v>
      </c>
      <c r="AI9">
        <v>0.30326777236272018</v>
      </c>
      <c r="AJ9">
        <f>3600*AH9/ (L9*100)</f>
        <v>7.2022380209963164E-3</v>
      </c>
      <c r="AK9">
        <v>0.55972782935914966</v>
      </c>
      <c r="AN9" s="2"/>
      <c r="AO9" s="4">
        <f t="shared" si="2"/>
        <v>4048.5829959514172</v>
      </c>
      <c r="AP9" s="4">
        <f t="shared" si="3"/>
        <v>6267.3420063732692</v>
      </c>
      <c r="AQ9">
        <f>((Y9*H9)*1440)</f>
        <v>0.26758333333333334</v>
      </c>
      <c r="AR9">
        <f>((AE9*H9)*1440)</f>
        <v>0.17285371250391154</v>
      </c>
      <c r="AS9">
        <f>Y9-AE9</f>
        <v>8.7442726919466238E-5</v>
      </c>
      <c r="AT9">
        <f t="shared" si="4"/>
        <v>11436.056893799627</v>
      </c>
      <c r="AU9">
        <f>Z9-AH9</f>
        <v>1.6289986374161964E-5</v>
      </c>
      <c r="AV9">
        <f>AA9-AI9</f>
        <v>0.1669299933965549</v>
      </c>
      <c r="AW9">
        <v>9.1570170168342084</v>
      </c>
      <c r="AX9">
        <v>87.830658458810021</v>
      </c>
      <c r="AY9">
        <v>24.311432952692464</v>
      </c>
      <c r="AZ9" s="2"/>
      <c r="BA9">
        <v>5.4752572156464103E-3</v>
      </c>
      <c r="BC9" s="6">
        <v>38559</v>
      </c>
      <c r="BD9">
        <v>21.466666666666665</v>
      </c>
      <c r="BE9">
        <v>225</v>
      </c>
      <c r="BF9" s="2"/>
      <c r="BK9" s="2"/>
      <c r="BP9" t="s">
        <v>17</v>
      </c>
      <c r="BQ9" t="s">
        <v>8</v>
      </c>
      <c r="BR9" s="10"/>
    </row>
    <row r="10" spans="1:70" x14ac:dyDescent="0.15">
      <c r="A10" t="s">
        <v>1</v>
      </c>
      <c r="B10" t="s">
        <v>18</v>
      </c>
      <c r="C10" t="s">
        <v>6</v>
      </c>
      <c r="D10">
        <v>201.50000509862673</v>
      </c>
      <c r="E10">
        <v>6.7873303167420816E-3</v>
      </c>
      <c r="F10" s="6">
        <v>38540</v>
      </c>
      <c r="G10">
        <v>412</v>
      </c>
      <c r="H10">
        <v>4.1217391304347828</v>
      </c>
      <c r="I10">
        <v>11.340208621457352</v>
      </c>
      <c r="J10">
        <v>18.666666666666664</v>
      </c>
      <c r="K10">
        <v>1.746</v>
      </c>
      <c r="L10">
        <v>9.4546956621833295E-2</v>
      </c>
      <c r="M10">
        <f t="shared" si="0"/>
        <v>6.4949648461955049E-3</v>
      </c>
      <c r="N10">
        <v>512.80499999999995</v>
      </c>
      <c r="O10">
        <v>253.84615384615384</v>
      </c>
      <c r="P10">
        <v>385.89890194622149</v>
      </c>
      <c r="Q10">
        <v>11.833333333333334</v>
      </c>
      <c r="R10">
        <v>12.467235927185058</v>
      </c>
      <c r="T10">
        <v>7.420392713587928</v>
      </c>
      <c r="U10">
        <v>9.7358018869950858</v>
      </c>
      <c r="V10">
        <v>0.1</v>
      </c>
      <c r="W10">
        <v>-4</v>
      </c>
      <c r="X10">
        <v>9.6999999999999993</v>
      </c>
      <c r="Y10">
        <v>2.1699999999999999E-4</v>
      </c>
      <c r="Z10">
        <v>1.4094073716244243E-4</v>
      </c>
      <c r="AA10">
        <v>0.72275114720586286</v>
      </c>
      <c r="AB10">
        <v>2.14E-4</v>
      </c>
      <c r="AC10" s="5">
        <v>3.2331977667885538E-6</v>
      </c>
      <c r="AD10" s="5"/>
      <c r="AE10">
        <v>2.1723319776678854E-4</v>
      </c>
      <c r="AF10">
        <v>1.0010746440865832</v>
      </c>
      <c r="AG10">
        <v>1.4883534377004222E-2</v>
      </c>
      <c r="AH10">
        <v>1.4109219829219275E-4</v>
      </c>
      <c r="AI10">
        <v>0.72352784745227894</v>
      </c>
      <c r="AJ10">
        <f>3600*AH10/ (L10*100)</f>
        <v>5.3722714299891006E-2</v>
      </c>
      <c r="AK10">
        <v>3.5884752957497628</v>
      </c>
      <c r="AN10" s="2"/>
      <c r="AO10" s="4">
        <f t="shared" si="2"/>
        <v>4608.294930875576</v>
      </c>
      <c r="AP10" s="4">
        <f t="shared" si="3"/>
        <v>4603.3479702009154</v>
      </c>
      <c r="AQ10">
        <f>((Y10*H10)*1440)</f>
        <v>1.2879610434782609</v>
      </c>
      <c r="AR10">
        <f>((AE10*H10)*1440)</f>
        <v>1.2893451431973844</v>
      </c>
      <c r="AW10">
        <v>0.93403200000000008</v>
      </c>
      <c r="AX10">
        <v>601.57542232394519</v>
      </c>
      <c r="AY10">
        <v>155.50965401368939</v>
      </c>
      <c r="AZ10" s="2"/>
      <c r="BA10">
        <v>5.0499966225990905E-3</v>
      </c>
      <c r="BC10" s="6">
        <v>38905</v>
      </c>
      <c r="BD10">
        <v>18.7</v>
      </c>
      <c r="BE10">
        <v>237</v>
      </c>
      <c r="BF10" s="2"/>
      <c r="BG10">
        <v>0.13314699999999999</v>
      </c>
      <c r="BH10">
        <v>0.22351399999999999</v>
      </c>
      <c r="BI10">
        <v>4.0444899999999999E-2</v>
      </c>
      <c r="BJ10">
        <v>7.0304199999999997E-5</v>
      </c>
      <c r="BK10" s="2"/>
      <c r="BL10">
        <f t="shared" ref="BL10:BL32" si="5">BI10/BH10</f>
        <v>0.18095018656549477</v>
      </c>
      <c r="BM10">
        <v>2.7701986301369863</v>
      </c>
      <c r="BN10">
        <v>2.9674654595707277E-2</v>
      </c>
      <c r="BO10">
        <v>2573.817589354474</v>
      </c>
      <c r="BP10" t="s">
        <v>13</v>
      </c>
      <c r="BQ10" t="s">
        <v>8</v>
      </c>
      <c r="BR10" s="10"/>
    </row>
    <row r="11" spans="1:70" x14ac:dyDescent="0.15">
      <c r="A11" t="s">
        <v>19</v>
      </c>
      <c r="B11" t="s">
        <v>20</v>
      </c>
      <c r="C11" t="s">
        <v>3</v>
      </c>
      <c r="D11">
        <v>19.8</v>
      </c>
      <c r="E11">
        <v>0.13400000000000001</v>
      </c>
      <c r="F11" s="6">
        <v>37764</v>
      </c>
      <c r="G11">
        <v>269</v>
      </c>
      <c r="H11">
        <v>6.666666666666667</v>
      </c>
      <c r="I11">
        <v>19.356218634092425</v>
      </c>
      <c r="J11">
        <v>12.675000000000001</v>
      </c>
      <c r="K11">
        <v>3.74</v>
      </c>
      <c r="L11">
        <v>4.6579135750489789E-2</v>
      </c>
      <c r="M11">
        <f t="shared" si="0"/>
        <v>5.1754595278321993E-3</v>
      </c>
      <c r="N11">
        <v>7.333333333333333</v>
      </c>
      <c r="O11">
        <v>3.1972677595628416</v>
      </c>
      <c r="P11">
        <v>9.3321535833501077</v>
      </c>
      <c r="Q11">
        <v>2.75</v>
      </c>
      <c r="R11">
        <v>0.39926840451955331</v>
      </c>
      <c r="S11">
        <v>11.9</v>
      </c>
      <c r="T11">
        <v>9.3935429886573356</v>
      </c>
      <c r="U11">
        <v>0.12</v>
      </c>
      <c r="V11">
        <v>0.1</v>
      </c>
      <c r="W11">
        <v>-2.2000000000000002</v>
      </c>
      <c r="X11">
        <v>0.2</v>
      </c>
      <c r="Y11">
        <v>2.3570000000000002E-3</v>
      </c>
      <c r="Z11">
        <v>1.1125154146521782E-3</v>
      </c>
      <c r="AA11">
        <v>8.8472184990424085E-2</v>
      </c>
      <c r="AC11">
        <v>2.6060405190452572E-6</v>
      </c>
      <c r="AK11">
        <v>-0.98288311476372869</v>
      </c>
      <c r="AL11">
        <v>0.38109653278613048</v>
      </c>
      <c r="AM11">
        <v>2.7242234065986671E-3</v>
      </c>
      <c r="AN11" s="2"/>
      <c r="AO11" s="4">
        <f t="shared" si="2"/>
        <v>424.2681374628765</v>
      </c>
      <c r="AP11" s="4"/>
      <c r="AQ11">
        <f>((Y11*H11)*1440)</f>
        <v>22.627200000000006</v>
      </c>
      <c r="AW11">
        <v>2.6280599999999996</v>
      </c>
      <c r="AX11">
        <v>182.124505</v>
      </c>
      <c r="AY11">
        <v>26.579949999999997</v>
      </c>
      <c r="AZ11" s="2"/>
      <c r="BB11">
        <v>1.6409501464626022E-2</v>
      </c>
      <c r="BC11" s="6">
        <v>37765</v>
      </c>
      <c r="BD11">
        <v>13.033333333333331</v>
      </c>
      <c r="BE11">
        <v>85</v>
      </c>
      <c r="BF11" s="2"/>
      <c r="BG11">
        <v>2.4615</v>
      </c>
      <c r="BH11">
        <v>0.28349999999999997</v>
      </c>
      <c r="BI11">
        <v>0.19239999999999999</v>
      </c>
      <c r="BJ11">
        <v>9.5029000000000001E-5</v>
      </c>
      <c r="BK11" s="2"/>
      <c r="BL11">
        <f t="shared" si="5"/>
        <v>0.67865961199294533</v>
      </c>
      <c r="BM11">
        <v>7.5018713450292402</v>
      </c>
      <c r="BN11">
        <v>7.6597922147922326E-2</v>
      </c>
      <c r="BO11">
        <v>7143.2641859493997</v>
      </c>
      <c r="BP11" t="s">
        <v>21</v>
      </c>
      <c r="BQ11" t="s">
        <v>21</v>
      </c>
      <c r="BR11" s="10"/>
    </row>
    <row r="12" spans="1:70" x14ac:dyDescent="0.15">
      <c r="A12" t="s">
        <v>19</v>
      </c>
      <c r="B12" t="s">
        <v>22</v>
      </c>
      <c r="C12" t="s">
        <v>10</v>
      </c>
      <c r="D12">
        <v>245.7</v>
      </c>
      <c r="E12">
        <v>1.0999999999999999E-2</v>
      </c>
      <c r="F12" s="6">
        <v>37782</v>
      </c>
      <c r="G12">
        <v>565</v>
      </c>
      <c r="H12">
        <v>11.75925925925926</v>
      </c>
      <c r="I12">
        <v>52.667541640383632</v>
      </c>
      <c r="J12">
        <v>17.633333333333333</v>
      </c>
      <c r="K12">
        <v>1.69</v>
      </c>
      <c r="L12">
        <v>0.15901116797730325</v>
      </c>
      <c r="M12">
        <f t="shared" si="0"/>
        <v>3.1164225822712211E-2</v>
      </c>
      <c r="N12">
        <v>154.44999999999999</v>
      </c>
      <c r="O12">
        <v>17.103921568627449</v>
      </c>
      <c r="P12">
        <v>100.20282559536463</v>
      </c>
      <c r="Q12">
        <v>2.8166666666666669</v>
      </c>
      <c r="R12">
        <v>0.57514159731721037</v>
      </c>
      <c r="S12">
        <v>25.416666666666668</v>
      </c>
      <c r="T12">
        <v>8.3482010638183191</v>
      </c>
      <c r="U12">
        <v>24.02</v>
      </c>
      <c r="V12">
        <v>0.3</v>
      </c>
      <c r="W12">
        <v>-1.6</v>
      </c>
      <c r="X12">
        <v>25.8</v>
      </c>
      <c r="AL12">
        <v>3.3587842470929798E-3</v>
      </c>
      <c r="AM12">
        <v>4.4838339808399392E-6</v>
      </c>
      <c r="AN12" s="2"/>
      <c r="AO12" s="4"/>
      <c r="AP12" s="4"/>
      <c r="AW12">
        <v>56.827113280000006</v>
      </c>
      <c r="AX12">
        <v>100.83864000000001</v>
      </c>
      <c r="AY12">
        <v>23.365200000000002</v>
      </c>
      <c r="AZ12" s="2"/>
      <c r="BB12">
        <v>7.69589194043075E-4</v>
      </c>
      <c r="BC12" s="6">
        <v>37782</v>
      </c>
      <c r="BD12">
        <v>20.149999999999999</v>
      </c>
      <c r="BE12">
        <v>340</v>
      </c>
      <c r="BF12" s="2"/>
      <c r="BG12">
        <v>0.67589999999999995</v>
      </c>
      <c r="BH12">
        <v>0.25540000000000002</v>
      </c>
      <c r="BI12">
        <v>7.7999999999999996E-3</v>
      </c>
      <c r="BJ12">
        <v>2.0883999999999999E-5</v>
      </c>
      <c r="BK12" s="2"/>
      <c r="BL12">
        <f t="shared" si="5"/>
        <v>3.0540328895849643E-2</v>
      </c>
      <c r="BM12">
        <v>0.15541259999999998</v>
      </c>
      <c r="BN12">
        <v>6.232898348722028E-4</v>
      </c>
      <c r="BO12">
        <v>1456.6447247147428</v>
      </c>
      <c r="BP12" t="s">
        <v>4</v>
      </c>
      <c r="BQ12" t="s">
        <v>4</v>
      </c>
      <c r="BR12" s="10"/>
    </row>
    <row r="13" spans="1:70" x14ac:dyDescent="0.15">
      <c r="A13" t="s">
        <v>19</v>
      </c>
      <c r="B13" t="s">
        <v>23</v>
      </c>
      <c r="C13" t="s">
        <v>6</v>
      </c>
      <c r="D13">
        <v>82.2</v>
      </c>
      <c r="E13">
        <v>2.1000000000000001E-2</v>
      </c>
      <c r="F13" s="6">
        <v>37792</v>
      </c>
      <c r="G13">
        <v>1087</v>
      </c>
      <c r="H13">
        <v>8.3333333333333339</v>
      </c>
      <c r="I13">
        <v>45.031576414764537</v>
      </c>
      <c r="J13">
        <v>17.266666666666666</v>
      </c>
      <c r="K13">
        <v>1.54</v>
      </c>
      <c r="L13">
        <v>0.21053724038071731</v>
      </c>
      <c r="M13">
        <f t="shared" si="0"/>
        <v>2.924128338621074E-2</v>
      </c>
      <c r="N13">
        <v>102.5</v>
      </c>
      <c r="O13">
        <v>15.366101694915251</v>
      </c>
      <c r="P13">
        <v>31.845300992803846</v>
      </c>
      <c r="Q13">
        <v>4.3</v>
      </c>
      <c r="R13">
        <v>0.55441303020391841</v>
      </c>
      <c r="S13">
        <v>32.15</v>
      </c>
      <c r="T13">
        <v>7.958937102469493</v>
      </c>
      <c r="U13">
        <v>1.9670000000000001</v>
      </c>
      <c r="V13">
        <v>3</v>
      </c>
      <c r="W13">
        <v>-6.5</v>
      </c>
      <c r="X13">
        <v>2.2999999999999998</v>
      </c>
      <c r="Y13">
        <v>1.4799999999999999E-4</v>
      </c>
      <c r="Z13">
        <v>4.3277099411591894E-4</v>
      </c>
      <c r="AA13">
        <v>0.45073099037172953</v>
      </c>
      <c r="AC13" s="12">
        <v>4.2020000000000002E-7</v>
      </c>
      <c r="AD13" s="12"/>
      <c r="AK13">
        <v>-0.64070971311804015</v>
      </c>
      <c r="AL13">
        <v>0.11397211841551477</v>
      </c>
      <c r="AM13">
        <v>2.8275572169569923E-2</v>
      </c>
      <c r="AN13" s="2"/>
      <c r="AO13" s="4">
        <f t="shared" si="2"/>
        <v>6756.7567567567567</v>
      </c>
      <c r="AP13" s="4"/>
      <c r="AQ13">
        <f>((Y13*H13)*1440)</f>
        <v>1.7760000000000002</v>
      </c>
      <c r="AW13">
        <v>5.0553749999999997</v>
      </c>
      <c r="AX13">
        <v>133.07081099999999</v>
      </c>
      <c r="AY13">
        <v>16.893078000000003</v>
      </c>
      <c r="AZ13" s="2"/>
      <c r="BB13">
        <v>4.6245223656951806E-3</v>
      </c>
      <c r="BC13" s="6">
        <v>37792</v>
      </c>
      <c r="BD13">
        <v>18.649999999999999</v>
      </c>
      <c r="BE13">
        <v>170</v>
      </c>
      <c r="BF13" s="2"/>
      <c r="BG13">
        <v>4.3806000000000003</v>
      </c>
      <c r="BH13">
        <v>0.58599999999999997</v>
      </c>
      <c r="BI13">
        <v>5.3199999999999997E-2</v>
      </c>
      <c r="BJ13">
        <v>2.3768999999999999E-5</v>
      </c>
      <c r="BK13" s="2"/>
      <c r="BL13">
        <f t="shared" si="5"/>
        <v>9.078498293515358E-2</v>
      </c>
      <c r="BM13">
        <v>0.68660090264345586</v>
      </c>
      <c r="BN13">
        <v>2.9390440827084929E-3</v>
      </c>
      <c r="BO13">
        <v>3822.6440492004708</v>
      </c>
      <c r="BP13" t="s">
        <v>21</v>
      </c>
      <c r="BQ13" t="s">
        <v>21</v>
      </c>
      <c r="BR13" s="10"/>
    </row>
    <row r="14" spans="1:70" ht="12" customHeight="1" x14ac:dyDescent="0.15">
      <c r="A14" t="s">
        <v>19</v>
      </c>
      <c r="B14" t="s">
        <v>24</v>
      </c>
      <c r="C14" t="s">
        <v>3</v>
      </c>
      <c r="D14">
        <v>8.5</v>
      </c>
      <c r="E14">
        <v>0.19</v>
      </c>
      <c r="F14" s="6">
        <v>38127</v>
      </c>
      <c r="G14">
        <v>770</v>
      </c>
      <c r="H14">
        <v>2.5612903225806454</v>
      </c>
      <c r="I14">
        <v>12.215546202438219</v>
      </c>
      <c r="J14">
        <v>14.691666666666666</v>
      </c>
      <c r="K14">
        <v>2.37</v>
      </c>
      <c r="L14">
        <v>0.12074161664240818</v>
      </c>
      <c r="M14">
        <f t="shared" si="0"/>
        <v>5.154238903982371E-3</v>
      </c>
      <c r="N14">
        <v>240.66666666666669</v>
      </c>
      <c r="O14">
        <v>5.556849999999999</v>
      </c>
      <c r="P14">
        <v>86.076388644925956</v>
      </c>
      <c r="Q14">
        <v>2.5</v>
      </c>
      <c r="R14">
        <v>0.49346000000000007</v>
      </c>
      <c r="S14">
        <v>18.95</v>
      </c>
      <c r="T14">
        <v>9.1246732055527584</v>
      </c>
      <c r="U14">
        <v>1.39</v>
      </c>
      <c r="V14">
        <v>0.1</v>
      </c>
      <c r="W14">
        <v>-3.4</v>
      </c>
      <c r="X14">
        <v>1.7</v>
      </c>
      <c r="Y14">
        <v>7.9243740156939482E-5</v>
      </c>
      <c r="Z14">
        <v>4.0922182439487927E-5</v>
      </c>
      <c r="AA14">
        <v>9.8538580481928206E-2</v>
      </c>
      <c r="AB14">
        <v>4.9924402474421871E-5</v>
      </c>
      <c r="AC14">
        <v>4.9999999999999998E-8</v>
      </c>
      <c r="AE14">
        <v>3.4460233691192677E-5</v>
      </c>
      <c r="AF14">
        <v>0.43486379647080486</v>
      </c>
      <c r="AG14">
        <v>1.4509477924051037E-3</v>
      </c>
      <c r="AH14">
        <v>1.7761627713146932E-5</v>
      </c>
      <c r="AI14">
        <v>4.2763544022923018E-2</v>
      </c>
      <c r="AJ14">
        <f>3600*AH14/ (L14*100)</f>
        <v>5.2957597840271589E-3</v>
      </c>
      <c r="AK14">
        <v>-0.39117577159636974</v>
      </c>
      <c r="AL14">
        <v>0</v>
      </c>
      <c r="AM14">
        <v>1.7364431613978958E-2</v>
      </c>
      <c r="AN14" s="2"/>
      <c r="AO14" s="4">
        <f t="shared" si="2"/>
        <v>12619.293309724335</v>
      </c>
      <c r="AP14" s="4">
        <f t="shared" si="3"/>
        <v>29018.955848102079</v>
      </c>
      <c r="AQ14">
        <f>((Y14*H14)*1440)</f>
        <v>0.29227136369625273</v>
      </c>
      <c r="AR14">
        <f>((AE14*H14)*1440)</f>
        <v>0.12709823481665183</v>
      </c>
      <c r="AS14">
        <f>Y14-AE14</f>
        <v>4.4783506465746804E-5</v>
      </c>
      <c r="AT14">
        <f t="shared" si="4"/>
        <v>22329.649438345383</v>
      </c>
      <c r="AU14">
        <f>Z14-AH14</f>
        <v>2.3160554726340995E-5</v>
      </c>
      <c r="AV14">
        <f>AA14-AI14</f>
        <v>5.5775036459005188E-2</v>
      </c>
      <c r="AW14">
        <v>4.3809857186399768</v>
      </c>
      <c r="AX14">
        <v>299.66737162116851</v>
      </c>
      <c r="AY14">
        <v>39.704105418846957</v>
      </c>
      <c r="AZ14" s="2"/>
      <c r="BB14">
        <v>1.2034386625165013E-2</v>
      </c>
      <c r="BC14" s="6">
        <v>38127</v>
      </c>
      <c r="BD14">
        <v>14.676470588235288</v>
      </c>
      <c r="BE14">
        <v>225</v>
      </c>
      <c r="BF14" s="2"/>
      <c r="BG14">
        <v>0.99029999999999996</v>
      </c>
      <c r="BH14">
        <v>0.30480000000000002</v>
      </c>
      <c r="BI14">
        <v>0.1764</v>
      </c>
      <c r="BJ14">
        <v>6.2150000000000006E-5</v>
      </c>
      <c r="BK14" s="2"/>
      <c r="BL14">
        <f t="shared" si="5"/>
        <v>0.57874015748031493</v>
      </c>
      <c r="BM14">
        <v>12.647455197132617</v>
      </c>
      <c r="BN14">
        <v>8.7195682466599422E-2</v>
      </c>
      <c r="BO14">
        <v>9313.541116260938</v>
      </c>
      <c r="BP14" t="s">
        <v>21</v>
      </c>
      <c r="BQ14" t="s">
        <v>8</v>
      </c>
      <c r="BR14" s="10"/>
    </row>
    <row r="15" spans="1:70" x14ac:dyDescent="0.15">
      <c r="A15" t="s">
        <v>19</v>
      </c>
      <c r="B15" t="s">
        <v>25</v>
      </c>
      <c r="C15" t="s">
        <v>10</v>
      </c>
      <c r="D15">
        <v>106.7</v>
      </c>
      <c r="E15">
        <v>8.0000000000000002E-3</v>
      </c>
      <c r="F15" s="6">
        <v>38160</v>
      </c>
      <c r="G15">
        <v>1832</v>
      </c>
      <c r="H15">
        <v>9.13170731707317</v>
      </c>
      <c r="I15">
        <v>26.460166343747904</v>
      </c>
      <c r="J15">
        <v>17.95</v>
      </c>
      <c r="K15">
        <v>1.84</v>
      </c>
      <c r="L15">
        <v>9.4487425105705139E-2</v>
      </c>
      <c r="M15">
        <f t="shared" si="0"/>
        <v>1.4380525186819513E-2</v>
      </c>
      <c r="N15">
        <v>405.69953707300004</v>
      </c>
      <c r="O15">
        <v>108.18122222222222</v>
      </c>
      <c r="P15">
        <v>450.21059508717582</v>
      </c>
      <c r="Q15">
        <v>18.233333333333334</v>
      </c>
      <c r="R15">
        <v>1.6292833333333334</v>
      </c>
      <c r="S15">
        <v>35.6</v>
      </c>
      <c r="T15">
        <v>7.9135995894035869</v>
      </c>
      <c r="U15">
        <v>6.27</v>
      </c>
      <c r="V15">
        <v>0.5</v>
      </c>
      <c r="W15">
        <v>-4.5</v>
      </c>
      <c r="X15">
        <v>6.9</v>
      </c>
      <c r="Y15">
        <v>5.4549957953830094E-5</v>
      </c>
      <c r="Z15">
        <v>7.8445704429499905E-5</v>
      </c>
      <c r="AA15">
        <v>0.31825385972413495</v>
      </c>
      <c r="AB15">
        <v>3.0738422561160809E-5</v>
      </c>
      <c r="AC15" s="5">
        <v>2.7443736098450371E-7</v>
      </c>
      <c r="AD15" s="5"/>
      <c r="AE15">
        <v>3.1012859922145312E-5</v>
      </c>
      <c r="AF15">
        <v>0.56852215996928768</v>
      </c>
      <c r="AG15">
        <v>8.849147149713096E-3</v>
      </c>
      <c r="AH15">
        <v>4.4598121322571613E-5</v>
      </c>
      <c r="AI15">
        <v>0.18093437174892793</v>
      </c>
      <c r="AJ15">
        <f>3600*AH15/ (L15*100)</f>
        <v>1.6992021592465177E-2</v>
      </c>
      <c r="AK15">
        <v>3.572311328639489</v>
      </c>
      <c r="AL15">
        <v>1.5519030826063578E-3</v>
      </c>
      <c r="AM15">
        <v>1.7680792104606768E-3</v>
      </c>
      <c r="AN15" s="2"/>
      <c r="AO15" s="4">
        <f t="shared" si="2"/>
        <v>18331.819812700469</v>
      </c>
      <c r="AP15" s="4">
        <f t="shared" si="3"/>
        <v>32244.688252241172</v>
      </c>
      <c r="AQ15">
        <f>((Y15*H15)*1440)</f>
        <v>0.71731332027795469</v>
      </c>
      <c r="AR15">
        <f>((AE15*H15)*1440)</f>
        <v>0.4078085182191642</v>
      </c>
      <c r="AS15">
        <f>Y15-AE15</f>
        <v>2.3537098031684782E-5</v>
      </c>
      <c r="AT15">
        <f t="shared" si="4"/>
        <v>42486.12121400168</v>
      </c>
      <c r="AU15">
        <f>Z15-AH15</f>
        <v>3.3847583106928292E-5</v>
      </c>
      <c r="AV15">
        <f>AA15-AI15</f>
        <v>0.13731948797520702</v>
      </c>
      <c r="AW15">
        <v>12.895854229623724</v>
      </c>
      <c r="AX15">
        <v>91.753727595094801</v>
      </c>
      <c r="AY15">
        <v>13.914495173810396</v>
      </c>
      <c r="AZ15" s="2"/>
      <c r="BB15">
        <v>3.1889556695079003E-3</v>
      </c>
      <c r="BC15" s="6">
        <v>38160</v>
      </c>
      <c r="BD15">
        <v>18.966666666666665</v>
      </c>
      <c r="BE15">
        <v>365</v>
      </c>
      <c r="BF15" s="2"/>
      <c r="BG15">
        <v>2.3498999999999999</v>
      </c>
      <c r="BH15">
        <v>0.1862</v>
      </c>
      <c r="BI15">
        <v>7.3000000000000001E-3</v>
      </c>
      <c r="BJ15">
        <v>1.4744E-5</v>
      </c>
      <c r="BK15" s="2"/>
      <c r="BL15">
        <f t="shared" si="5"/>
        <v>3.9205155746509131E-2</v>
      </c>
      <c r="BM15">
        <v>0.19925192307692308</v>
      </c>
      <c r="BN15">
        <v>2.1494581226235293E-3</v>
      </c>
      <c r="BO15">
        <v>628.13804724403724</v>
      </c>
      <c r="BP15" t="s">
        <v>21</v>
      </c>
      <c r="BQ15" t="s">
        <v>8</v>
      </c>
      <c r="BR15" s="10"/>
    </row>
    <row r="16" spans="1:70" ht="12" customHeight="1" x14ac:dyDescent="0.15">
      <c r="A16" t="s">
        <v>19</v>
      </c>
      <c r="B16" t="s">
        <v>26</v>
      </c>
      <c r="C16" t="s">
        <v>6</v>
      </c>
      <c r="D16">
        <v>130.80000000000001</v>
      </c>
      <c r="E16">
        <v>1.2999999999999999E-2</v>
      </c>
      <c r="F16" s="6">
        <v>38154</v>
      </c>
      <c r="G16">
        <v>510</v>
      </c>
      <c r="H16">
        <v>13.555555555555555</v>
      </c>
      <c r="I16">
        <v>51.778107911352045</v>
      </c>
      <c r="J16">
        <v>16.649999999999999</v>
      </c>
      <c r="K16">
        <v>1.93</v>
      </c>
      <c r="L16">
        <v>0.11874704099265314</v>
      </c>
      <c r="M16">
        <f t="shared" si="0"/>
        <v>2.6828035187229041E-2</v>
      </c>
      <c r="N16">
        <v>139.51746859333332</v>
      </c>
      <c r="O16">
        <v>6.0206060606060596</v>
      </c>
      <c r="P16">
        <v>88.456869610245107</v>
      </c>
      <c r="Q16">
        <v>2.1</v>
      </c>
      <c r="R16">
        <v>1.3651733333333336</v>
      </c>
      <c r="S16">
        <v>21.25</v>
      </c>
      <c r="T16">
        <v>8.2754816206823811</v>
      </c>
      <c r="U16">
        <v>39.6</v>
      </c>
      <c r="V16">
        <v>0.1</v>
      </c>
      <c r="W16">
        <v>-7.8</v>
      </c>
      <c r="X16">
        <v>39.4</v>
      </c>
      <c r="Y16">
        <v>1.5620408033589488E-4</v>
      </c>
      <c r="Z16">
        <v>3.5019412637544707E-4</v>
      </c>
      <c r="AA16">
        <v>0.48695399713958665</v>
      </c>
      <c r="AB16" s="12">
        <v>5.4149999999999998E-6</v>
      </c>
      <c r="AC16">
        <v>3.3500000000000002E-8</v>
      </c>
      <c r="AE16">
        <v>5.4485789811241629E-6</v>
      </c>
      <c r="AF16">
        <v>3.4881156557548053E-2</v>
      </c>
      <c r="AG16">
        <v>6.1483921066494678E-3</v>
      </c>
      <c r="AH16">
        <v>1.381826275547068E-5</v>
      </c>
      <c r="AI16">
        <v>1.9272684150593945E-2</v>
      </c>
      <c r="AJ16">
        <f>3600*AH16/ (L16*100)</f>
        <v>4.1892198326670058E-3</v>
      </c>
      <c r="AK16">
        <v>6.0546812827539291</v>
      </c>
      <c r="AL16">
        <v>1.689242869081419E-4</v>
      </c>
      <c r="AM16">
        <v>1.2836517686028954E-4</v>
      </c>
      <c r="AN16" s="2"/>
      <c r="AO16" s="4">
        <f t="shared" si="2"/>
        <v>6401.8814223651571</v>
      </c>
      <c r="AP16" s="4">
        <f t="shared" si="3"/>
        <v>183534.092735805</v>
      </c>
      <c r="AQ16">
        <f>((Y16*H16)*1440)</f>
        <v>3.049103648156668</v>
      </c>
      <c r="AR16">
        <f>((AE16*H16)*1440)</f>
        <v>0.10635626171154366</v>
      </c>
      <c r="AS16">
        <f t="shared" ref="AS16:AS25" si="6">Y16-AE16</f>
        <v>1.5075550135477072E-4</v>
      </c>
      <c r="AT16">
        <f t="shared" si="4"/>
        <v>6633.2571018202152</v>
      </c>
      <c r="AU16">
        <f>Z16-AH16</f>
        <v>3.363758636199764E-4</v>
      </c>
      <c r="AV16">
        <f>AA16-AI16</f>
        <v>0.46768131298899268</v>
      </c>
      <c r="AW16">
        <v>24.533478243947489</v>
      </c>
      <c r="AX16">
        <v>88.746957600000002</v>
      </c>
      <c r="AY16">
        <v>50.275340799999995</v>
      </c>
      <c r="AZ16" s="2"/>
      <c r="BB16">
        <v>3.2530679425669894E-3</v>
      </c>
      <c r="BC16" s="6">
        <v>38154</v>
      </c>
      <c r="BD16">
        <v>16.100000000000001</v>
      </c>
      <c r="BE16">
        <v>100</v>
      </c>
      <c r="BF16" s="2"/>
      <c r="BG16">
        <v>0.86819999999999997</v>
      </c>
      <c r="BH16">
        <v>0.28599999999999998</v>
      </c>
      <c r="BI16">
        <v>1.04E-2</v>
      </c>
      <c r="BJ16">
        <v>5.7683999999999999E-5</v>
      </c>
      <c r="BK16" s="2"/>
      <c r="BL16">
        <f t="shared" si="5"/>
        <v>3.6363636363636362E-2</v>
      </c>
      <c r="BM16">
        <v>0.26577373590396508</v>
      </c>
      <c r="BN16">
        <v>7.4667242172954677E-4</v>
      </c>
      <c r="BO16">
        <v>2660.5114566245384</v>
      </c>
      <c r="BP16" t="s">
        <v>8</v>
      </c>
      <c r="BQ16" t="s">
        <v>8</v>
      </c>
      <c r="BR16" s="10"/>
    </row>
    <row r="17" spans="1:70" x14ac:dyDescent="0.15">
      <c r="A17" t="s">
        <v>19</v>
      </c>
      <c r="B17" t="s">
        <v>27</v>
      </c>
      <c r="C17" t="s">
        <v>3</v>
      </c>
      <c r="D17">
        <v>41</v>
      </c>
      <c r="E17">
        <v>3.5999999999999997E-2</v>
      </c>
      <c r="F17" s="6">
        <v>38506</v>
      </c>
      <c r="G17">
        <v>565</v>
      </c>
      <c r="H17">
        <v>7.0588235294117645</v>
      </c>
      <c r="I17">
        <v>49.296931760506297</v>
      </c>
      <c r="J17">
        <v>12.666666666666668</v>
      </c>
      <c r="K17">
        <v>2.258</v>
      </c>
      <c r="L17">
        <v>0.1855730380709936</v>
      </c>
      <c r="M17">
        <f t="shared" si="0"/>
        <v>2.1832122125999248E-2</v>
      </c>
      <c r="N17">
        <v>10.058333333333334</v>
      </c>
      <c r="O17">
        <v>2.7176281920000003</v>
      </c>
      <c r="P17">
        <v>2.1752547652086465</v>
      </c>
      <c r="Q17">
        <v>1.9</v>
      </c>
      <c r="R17">
        <v>0.87150000000000016</v>
      </c>
      <c r="S17">
        <v>11.033333333333331</v>
      </c>
      <c r="T17">
        <v>9.4299166089965247</v>
      </c>
      <c r="U17">
        <v>3.6</v>
      </c>
      <c r="V17">
        <v>0.05</v>
      </c>
      <c r="W17">
        <v>-5.2</v>
      </c>
      <c r="X17">
        <v>2.9</v>
      </c>
      <c r="Y17">
        <v>9.9799999999999997E-4</v>
      </c>
      <c r="Z17">
        <v>2.1736752767891662E-3</v>
      </c>
      <c r="AA17">
        <v>0.21782789468893074</v>
      </c>
      <c r="AB17">
        <v>7.3343300000000002E-4</v>
      </c>
      <c r="AC17">
        <v>7.4796999999999999E-7</v>
      </c>
      <c r="AE17">
        <v>7.3418144724530241E-4</v>
      </c>
      <c r="AF17">
        <v>0.735652752750804</v>
      </c>
      <c r="AG17">
        <v>1.0187780464178935E-3</v>
      </c>
      <c r="AH17">
        <v>1.6028739018902314E-3</v>
      </c>
      <c r="AI17">
        <v>0.16135168720860857</v>
      </c>
      <c r="AJ17">
        <f>3600*AH17/ (L17*100)</f>
        <v>0.31094743648036333</v>
      </c>
      <c r="AK17">
        <v>-0.42172748696394008</v>
      </c>
      <c r="AN17" s="2"/>
      <c r="AO17" s="4">
        <f t="shared" si="2"/>
        <v>1002.0040080160321</v>
      </c>
      <c r="AP17" s="4">
        <f t="shared" si="3"/>
        <v>1362.0611141184056</v>
      </c>
      <c r="AQ17">
        <f>((Y17*H17)*1440)</f>
        <v>10.144376470588234</v>
      </c>
      <c r="AR17">
        <f>((AE17*H17)*1440)</f>
        <v>7.4627384755287203</v>
      </c>
      <c r="AS17">
        <f t="shared" si="6"/>
        <v>2.6381855275469756E-4</v>
      </c>
      <c r="AT17">
        <f t="shared" si="4"/>
        <v>3790.4839881743078</v>
      </c>
      <c r="AU17">
        <f>Z17-AH17</f>
        <v>5.7080137489893472E-4</v>
      </c>
      <c r="AV17">
        <f>AA17-AI17</f>
        <v>5.6476207480322171E-2</v>
      </c>
      <c r="AW17">
        <v>4.0280310000000004</v>
      </c>
      <c r="AX17">
        <v>250.81374842458831</v>
      </c>
      <c r="AY17">
        <v>67.525116233942356</v>
      </c>
      <c r="AZ17" s="2"/>
      <c r="BB17">
        <v>5.9126705498156176E-3</v>
      </c>
      <c r="BC17" s="6">
        <v>38505</v>
      </c>
      <c r="BD17">
        <v>12.966666666666663</v>
      </c>
      <c r="BE17">
        <v>230</v>
      </c>
      <c r="BF17" s="2"/>
      <c r="BG17">
        <v>0.80464199999999997</v>
      </c>
      <c r="BH17">
        <v>0.127138</v>
      </c>
      <c r="BI17">
        <v>0.35367100000000001</v>
      </c>
      <c r="BJ17">
        <v>1.1983000000000001E-2</v>
      </c>
      <c r="BK17" s="2"/>
      <c r="BL17">
        <f t="shared" si="5"/>
        <v>2.7817882930359139</v>
      </c>
      <c r="BM17">
        <v>8.5324728588661038</v>
      </c>
      <c r="BN17">
        <v>0.73510265966774679</v>
      </c>
      <c r="BO17">
        <v>232.14262528360055</v>
      </c>
      <c r="BP17" t="s">
        <v>21</v>
      </c>
      <c r="BQ17" t="s">
        <v>8</v>
      </c>
      <c r="BR17" s="10"/>
    </row>
    <row r="18" spans="1:70" x14ac:dyDescent="0.15">
      <c r="A18" t="s">
        <v>19</v>
      </c>
      <c r="B18" t="s">
        <v>28</v>
      </c>
      <c r="C18" t="s">
        <v>10</v>
      </c>
      <c r="D18">
        <v>350</v>
      </c>
      <c r="E18">
        <v>1.4999999999999999E-2</v>
      </c>
      <c r="F18" s="6">
        <v>38519</v>
      </c>
      <c r="G18">
        <v>490</v>
      </c>
      <c r="H18">
        <v>29.5</v>
      </c>
      <c r="I18">
        <v>189.40326039770201</v>
      </c>
      <c r="J18">
        <v>16.100000000000001</v>
      </c>
      <c r="K18">
        <v>1.89</v>
      </c>
      <c r="L18">
        <v>0.20382379380974122</v>
      </c>
      <c r="M18">
        <f t="shared" si="0"/>
        <v>0.10021336528978943</v>
      </c>
      <c r="N18">
        <v>172.6119803186042</v>
      </c>
      <c r="O18">
        <v>8.4637263680000032</v>
      </c>
      <c r="P18">
        <v>56.342338745307686</v>
      </c>
      <c r="Q18">
        <v>6.7</v>
      </c>
      <c r="R18">
        <v>0.81282222222222222</v>
      </c>
      <c r="S18">
        <v>23.45</v>
      </c>
      <c r="T18">
        <v>8.888541666666665</v>
      </c>
      <c r="U18">
        <v>29.6</v>
      </c>
      <c r="V18">
        <v>0.5</v>
      </c>
      <c r="W18">
        <v>-8.6999999999999993</v>
      </c>
      <c r="X18">
        <v>29.6</v>
      </c>
      <c r="Y18">
        <v>1.2059999999999999E-4</v>
      </c>
      <c r="Z18">
        <v>1.1859411448396941E-3</v>
      </c>
      <c r="AA18">
        <v>2.0479125675196928</v>
      </c>
      <c r="AB18">
        <v>1.0827E-5</v>
      </c>
      <c r="AC18" s="12">
        <v>5.3260799999999999E-8</v>
      </c>
      <c r="AD18" s="12"/>
      <c r="AE18">
        <v>1.2231958100325275E-5</v>
      </c>
      <c r="AF18">
        <v>0.10142585489490279</v>
      </c>
      <c r="AG18">
        <v>4.3161176408843382E-3</v>
      </c>
      <c r="AH18">
        <v>1.2258056853172954E-4</v>
      </c>
      <c r="AI18">
        <v>0.21154973314413666</v>
      </c>
      <c r="AJ18">
        <f>3600*AH18/ (L18*100)</f>
        <v>2.1650565837575735E-2</v>
      </c>
      <c r="AK18">
        <v>9.2897516741889348</v>
      </c>
      <c r="AN18" s="2"/>
      <c r="AO18" s="4">
        <f t="shared" si="2"/>
        <v>8291.8739635157544</v>
      </c>
      <c r="AP18" s="4">
        <f t="shared" si="3"/>
        <v>81753.059632652585</v>
      </c>
      <c r="AQ18">
        <f>((Y18*H18)*1440)</f>
        <v>5.1230879999999992</v>
      </c>
      <c r="AR18">
        <f>((AE18*H18)*1440)</f>
        <v>0.51961358010181768</v>
      </c>
      <c r="AS18">
        <f t="shared" si="6"/>
        <v>1.0836804189967472E-4</v>
      </c>
      <c r="AT18">
        <f t="shared" si="4"/>
        <v>9227.8127616791571</v>
      </c>
      <c r="AU18">
        <f>Z18-AH18</f>
        <v>1.0633605763079646E-3</v>
      </c>
      <c r="AV18">
        <f>AA18-AI18</f>
        <v>1.836362834375556</v>
      </c>
      <c r="AW18">
        <v>1.5726200000000001</v>
      </c>
      <c r="AX18">
        <v>122.70592751579855</v>
      </c>
      <c r="AY18">
        <v>17.066693931337248</v>
      </c>
      <c r="AZ18" s="2"/>
      <c r="BB18">
        <v>2.3203127258745984E-3</v>
      </c>
      <c r="BC18" s="6">
        <v>38518</v>
      </c>
      <c r="BD18">
        <v>18.2</v>
      </c>
      <c r="BE18">
        <v>290</v>
      </c>
      <c r="BF18" s="2"/>
      <c r="BG18">
        <v>5.2148399999999997</v>
      </c>
      <c r="BH18">
        <v>0.39794600000000002</v>
      </c>
      <c r="BI18">
        <v>0.12603600000000001</v>
      </c>
      <c r="BJ18">
        <v>1.83E-4</v>
      </c>
      <c r="BK18" s="2"/>
      <c r="BL18">
        <f t="shared" si="5"/>
        <v>0.31671633839767205</v>
      </c>
      <c r="BM18">
        <v>0.67326923076923084</v>
      </c>
      <c r="BN18">
        <v>1.7969391117217293E-2</v>
      </c>
      <c r="BO18">
        <v>1734.2536490147629</v>
      </c>
      <c r="BP18" t="s">
        <v>21</v>
      </c>
      <c r="BQ18" t="s">
        <v>8</v>
      </c>
      <c r="BR18" s="10"/>
    </row>
    <row r="19" spans="1:70" x14ac:dyDescent="0.15">
      <c r="A19" t="s">
        <v>19</v>
      </c>
      <c r="B19" t="s">
        <v>29</v>
      </c>
      <c r="C19" t="s">
        <v>6</v>
      </c>
      <c r="D19">
        <v>199</v>
      </c>
      <c r="E19">
        <v>0.06</v>
      </c>
      <c r="F19" s="6">
        <v>38512</v>
      </c>
      <c r="G19">
        <v>867</v>
      </c>
      <c r="H19">
        <v>13.814285714285715</v>
      </c>
      <c r="I19">
        <v>79.835974574325974</v>
      </c>
      <c r="J19">
        <v>13.775</v>
      </c>
      <c r="K19">
        <v>2.3340000000000001</v>
      </c>
      <c r="L19">
        <v>0.14856639861450538</v>
      </c>
      <c r="M19">
        <f t="shared" si="0"/>
        <v>3.4205644633387308E-2</v>
      </c>
      <c r="N19">
        <v>54.206248737500005</v>
      </c>
      <c r="O19">
        <v>2.6334987520000008</v>
      </c>
      <c r="P19">
        <v>17.287056077230773</v>
      </c>
      <c r="Q19">
        <v>2.8666666666666667</v>
      </c>
      <c r="R19">
        <v>0.92653888888888891</v>
      </c>
      <c r="S19">
        <v>21.8</v>
      </c>
      <c r="T19">
        <v>8.8628472222222321</v>
      </c>
      <c r="V19">
        <v>0.1</v>
      </c>
      <c r="W19">
        <v>-17.899999999999999</v>
      </c>
      <c r="Y19">
        <v>2.0350000000000001E-4</v>
      </c>
      <c r="Z19">
        <v>7.0637410807259792E-4</v>
      </c>
      <c r="AA19">
        <v>0.37415893188856442</v>
      </c>
      <c r="AB19">
        <v>1.1049090487771565E-4</v>
      </c>
      <c r="AE19">
        <v>1.1049090487771565E-4</v>
      </c>
      <c r="AF19">
        <v>0.54295284952194423</v>
      </c>
      <c r="AH19">
        <v>3.7794126274685419E-4</v>
      </c>
      <c r="AI19">
        <v>0.20388786909162429</v>
      </c>
      <c r="AJ19">
        <f>3600*AH19/ (L19*100)</f>
        <v>9.1581175728643729E-2</v>
      </c>
      <c r="AK19">
        <v>0.36634578008702134</v>
      </c>
      <c r="AN19" s="2"/>
      <c r="AO19" s="4">
        <f t="shared" si="2"/>
        <v>4914.0049140049141</v>
      </c>
      <c r="AP19" s="4">
        <f t="shared" si="3"/>
        <v>9050.5186929796328</v>
      </c>
      <c r="AQ19">
        <f>((Y19*H19)*1440)</f>
        <v>4.0481382857142867</v>
      </c>
      <c r="AR19">
        <f>((AE19*H19)*1440)</f>
        <v>2.1979482174874501</v>
      </c>
      <c r="AS19">
        <f t="shared" si="6"/>
        <v>9.3009095122284361E-5</v>
      </c>
      <c r="AT19">
        <f t="shared" si="4"/>
        <v>10751.636694080757</v>
      </c>
      <c r="AU19">
        <f>Z19-AH19</f>
        <v>3.2843284532574373E-4</v>
      </c>
      <c r="AV19">
        <f>AA19-AI19</f>
        <v>0.17027106279694013</v>
      </c>
      <c r="AW19">
        <v>1.816449</v>
      </c>
      <c r="AX19">
        <v>116.47354137741669</v>
      </c>
      <c r="AY19">
        <v>19.871116979689386</v>
      </c>
      <c r="AZ19" s="2"/>
      <c r="BB19">
        <v>6.1999999999999998E-3</v>
      </c>
      <c r="BC19" s="6">
        <v>38505</v>
      </c>
      <c r="BD19">
        <v>13.95</v>
      </c>
      <c r="BE19">
        <v>190</v>
      </c>
      <c r="BF19" s="2"/>
      <c r="BG19">
        <v>1.2164200000000001</v>
      </c>
      <c r="BH19">
        <v>0.39568900000000001</v>
      </c>
      <c r="BI19">
        <v>6.5188999999999997E-2</v>
      </c>
      <c r="BJ19">
        <v>1.2300000000000001E-4</v>
      </c>
      <c r="BK19" s="2"/>
      <c r="BL19">
        <f t="shared" si="5"/>
        <v>0.16474807234974942</v>
      </c>
      <c r="BM19">
        <v>0.69944957081545067</v>
      </c>
      <c r="BN19">
        <v>1.3999509115321631E-2</v>
      </c>
      <c r="BO19">
        <v>1342.2244560016898</v>
      </c>
      <c r="BP19" t="s">
        <v>8</v>
      </c>
      <c r="BQ19" t="s">
        <v>8</v>
      </c>
      <c r="BR19" s="10"/>
    </row>
    <row r="20" spans="1:70" x14ac:dyDescent="0.15">
      <c r="A20" t="s">
        <v>30</v>
      </c>
      <c r="B20" t="s">
        <v>31</v>
      </c>
      <c r="C20" t="s">
        <v>3</v>
      </c>
      <c r="D20">
        <v>132.99</v>
      </c>
      <c r="E20">
        <v>8.0000000000000002E-3</v>
      </c>
      <c r="F20" s="6">
        <v>37790</v>
      </c>
      <c r="G20">
        <v>350</v>
      </c>
      <c r="H20">
        <v>6.73</v>
      </c>
      <c r="I20">
        <v>4.8508963975195458</v>
      </c>
      <c r="J20">
        <v>15.14</v>
      </c>
      <c r="K20">
        <v>1.07</v>
      </c>
      <c r="L20">
        <v>4.0417961679628488E-2</v>
      </c>
      <c r="M20">
        <f t="shared" si="0"/>
        <v>4.5335480350649953E-3</v>
      </c>
      <c r="N20">
        <v>282.60275000000001</v>
      </c>
      <c r="O20">
        <v>54.775071428571437</v>
      </c>
      <c r="Q20">
        <v>14.917538333333333</v>
      </c>
      <c r="R20">
        <v>4.3</v>
      </c>
      <c r="T20">
        <v>8.781319444444442</v>
      </c>
      <c r="U20">
        <v>1.48</v>
      </c>
      <c r="V20">
        <v>0.2</v>
      </c>
      <c r="W20">
        <v>-2</v>
      </c>
      <c r="X20">
        <v>1.5</v>
      </c>
      <c r="Y20">
        <v>1.023E-3</v>
      </c>
      <c r="Z20">
        <v>4.6236878065835187E-4</v>
      </c>
      <c r="AA20">
        <v>1.3171422393151024</v>
      </c>
      <c r="AB20">
        <v>1.5360680776447622E-4</v>
      </c>
      <c r="AC20" s="5">
        <v>6.596437417310832E-7</v>
      </c>
      <c r="AD20" s="5"/>
      <c r="AE20">
        <v>1.5426645150620728E-4</v>
      </c>
      <c r="AF20">
        <v>0.15079809531398561</v>
      </c>
      <c r="AG20">
        <v>4.2760025610917799E-3</v>
      </c>
      <c r="AH20">
        <v>6.9930977778830168E-5</v>
      </c>
      <c r="AI20">
        <v>0.19767006271836107</v>
      </c>
      <c r="AJ20">
        <f>3600*AH20/ (L20*100)</f>
        <v>6.2287040103429239E-2</v>
      </c>
      <c r="AK20">
        <v>-0.22760051771361622</v>
      </c>
      <c r="AL20">
        <v>1.5122288208309802</v>
      </c>
      <c r="AM20">
        <v>0.12857621611723116</v>
      </c>
      <c r="AN20" s="2"/>
      <c r="AO20" s="4">
        <f t="shared" si="2"/>
        <v>977.5171065493646</v>
      </c>
      <c r="AP20" s="4">
        <f t="shared" si="3"/>
        <v>6482.2908042307736</v>
      </c>
      <c r="AQ20">
        <f>((Y20*H20)*1440)</f>
        <v>9.9140976000000016</v>
      </c>
      <c r="AR20">
        <f>((AE20*H20)*1440)</f>
        <v>1.4950270348369559</v>
      </c>
      <c r="AS20">
        <f t="shared" si="6"/>
        <v>8.6873354849379271E-4</v>
      </c>
      <c r="AT20">
        <f t="shared" si="4"/>
        <v>1151.1009350724357</v>
      </c>
      <c r="AU20">
        <f>Z20-AH20</f>
        <v>3.9243780287952169E-4</v>
      </c>
      <c r="AV20">
        <f>AA20-AI20</f>
        <v>1.1194721765967413</v>
      </c>
      <c r="AW20">
        <v>0</v>
      </c>
      <c r="AX20">
        <v>341.2092018285154</v>
      </c>
      <c r="AY20">
        <v>133.60302982851542</v>
      </c>
      <c r="AZ20" s="2"/>
      <c r="BA20">
        <v>6.3E-3</v>
      </c>
      <c r="BC20" s="6">
        <v>38155</v>
      </c>
      <c r="BD20">
        <v>12.37</v>
      </c>
      <c r="BE20">
        <v>300</v>
      </c>
      <c r="BF20" s="2"/>
      <c r="BG20">
        <v>7.3074E-2</v>
      </c>
      <c r="BH20">
        <v>4.4695499999999999E-2</v>
      </c>
      <c r="BI20">
        <v>5.4139599999999998E-3</v>
      </c>
      <c r="BJ20">
        <v>8.0913999999999997E-4</v>
      </c>
      <c r="BK20" s="2"/>
      <c r="BL20">
        <f t="shared" si="5"/>
        <v>0.12112986766005526</v>
      </c>
      <c r="BM20">
        <v>0.83937364341085263</v>
      </c>
      <c r="BN20">
        <v>7.2839595820005737E-2</v>
      </c>
      <c r="BO20">
        <v>149.70198934678211</v>
      </c>
      <c r="BP20" t="s">
        <v>4</v>
      </c>
      <c r="BQ20" t="s">
        <v>4</v>
      </c>
      <c r="BR20" s="9"/>
    </row>
    <row r="21" spans="1:70" x14ac:dyDescent="0.15">
      <c r="A21" t="s">
        <v>30</v>
      </c>
      <c r="B21" t="s">
        <v>32</v>
      </c>
      <c r="C21" t="s">
        <v>10</v>
      </c>
      <c r="D21">
        <v>123.83</v>
      </c>
      <c r="E21">
        <v>4.0000000000000001E-3</v>
      </c>
      <c r="F21" s="6">
        <v>37777</v>
      </c>
      <c r="G21">
        <v>500</v>
      </c>
      <c r="H21">
        <v>4.2699999999999996</v>
      </c>
      <c r="I21">
        <v>1.6623718278308197</v>
      </c>
      <c r="J21">
        <v>12.275</v>
      </c>
      <c r="K21">
        <v>1.17090909090909</v>
      </c>
      <c r="L21">
        <v>1.9949332450294961E-2</v>
      </c>
      <c r="M21">
        <f t="shared" si="0"/>
        <v>1.4197274927126578E-3</v>
      </c>
      <c r="N21">
        <v>4158.3469159713923</v>
      </c>
      <c r="O21">
        <v>29.448444327783811</v>
      </c>
      <c r="Q21">
        <v>68.087298581462605</v>
      </c>
      <c r="R21">
        <v>18.72</v>
      </c>
      <c r="S21">
        <v>408.83333333333331</v>
      </c>
      <c r="T21">
        <v>8.2494444444444426</v>
      </c>
      <c r="U21">
        <v>21.5</v>
      </c>
      <c r="V21">
        <v>0.8</v>
      </c>
      <c r="W21">
        <v>-1.3</v>
      </c>
      <c r="X21">
        <v>21.5</v>
      </c>
      <c r="Y21">
        <v>2.4607612777001299E-3</v>
      </c>
      <c r="Z21">
        <v>3.4683190621679499E-4</v>
      </c>
      <c r="AA21">
        <v>14.445641206843096</v>
      </c>
      <c r="AB21">
        <v>1.3229037445608598E-5</v>
      </c>
      <c r="AC21" s="5">
        <v>8.6003313265548366E-8</v>
      </c>
      <c r="AD21" s="5"/>
      <c r="AE21">
        <v>1.3315040758874148E-5</v>
      </c>
      <c r="AF21">
        <v>5.4109437106059366E-3</v>
      </c>
      <c r="AG21">
        <v>6.4591100262482689E-3</v>
      </c>
      <c r="AH21">
        <v>1.8894729271836402E-6</v>
      </c>
      <c r="AI21">
        <v>7.8509026747199645E-2</v>
      </c>
      <c r="AJ21">
        <f>3600*AH21/ (L21*100)</f>
        <v>3.4096892990324256E-3</v>
      </c>
      <c r="AK21">
        <v>13.668281163341137</v>
      </c>
      <c r="AL21">
        <v>-1.7361070488862112E-4</v>
      </c>
      <c r="AM21">
        <v>-8.6462068272608338E-5</v>
      </c>
      <c r="AN21" s="2"/>
      <c r="AO21" s="4">
        <f t="shared" si="2"/>
        <v>406.37830620230551</v>
      </c>
      <c r="AP21" s="4">
        <f t="shared" si="3"/>
        <v>75103.037092359227</v>
      </c>
      <c r="AQ21">
        <f>((Y21*H21)*1440)</f>
        <v>15.130728944322557</v>
      </c>
      <c r="AR21">
        <f>((AE21*H21)*1440)</f>
        <v>8.1871522618165354E-2</v>
      </c>
      <c r="AS21">
        <f t="shared" si="6"/>
        <v>2.4474462369412559E-3</v>
      </c>
      <c r="AT21">
        <f t="shared" si="4"/>
        <v>408.58915914319311</v>
      </c>
      <c r="AU21">
        <f>Z21-AH21</f>
        <v>3.4494243328961138E-4</v>
      </c>
      <c r="AV21">
        <f>AA21-AI21</f>
        <v>14.367132180095895</v>
      </c>
      <c r="AW21">
        <v>50.567089412084393</v>
      </c>
      <c r="AX21">
        <v>330.40967598172529</v>
      </c>
      <c r="AY21">
        <v>69.6264753290464</v>
      </c>
      <c r="AZ21" s="2"/>
      <c r="BA21">
        <v>3.8999999999999998E-3</v>
      </c>
      <c r="BC21" s="6">
        <v>37780</v>
      </c>
      <c r="BD21">
        <v>15.5</v>
      </c>
      <c r="BE21">
        <v>200</v>
      </c>
      <c r="BF21" s="2"/>
      <c r="BG21">
        <v>0.103076</v>
      </c>
      <c r="BH21">
        <v>0.173342</v>
      </c>
      <c r="BI21">
        <v>2.5600000000000001E-2</v>
      </c>
      <c r="BJ21">
        <v>1.08829E-4</v>
      </c>
      <c r="BK21" s="2"/>
      <c r="BL21">
        <f t="shared" si="5"/>
        <v>0.1476849234461354</v>
      </c>
      <c r="BM21">
        <v>1.9692307692307693</v>
      </c>
      <c r="BN21">
        <v>3.2415304847134313E-2</v>
      </c>
      <c r="BO21">
        <v>1357.0364833466761</v>
      </c>
      <c r="BP21" t="s">
        <v>4</v>
      </c>
      <c r="BQ21" t="s">
        <v>4</v>
      </c>
      <c r="BR21" s="9"/>
    </row>
    <row r="22" spans="1:70" x14ac:dyDescent="0.15">
      <c r="A22" t="s">
        <v>30</v>
      </c>
      <c r="B22" t="s">
        <v>33</v>
      </c>
      <c r="C22" t="s">
        <v>6</v>
      </c>
      <c r="D22">
        <v>202.72</v>
      </c>
      <c r="E22">
        <v>5.0000000000000001E-3</v>
      </c>
      <c r="F22" s="6">
        <v>37784</v>
      </c>
      <c r="G22">
        <v>750</v>
      </c>
      <c r="H22">
        <v>8.6300000000000008</v>
      </c>
      <c r="I22">
        <v>35</v>
      </c>
      <c r="J22">
        <v>12.43</v>
      </c>
      <c r="K22">
        <v>1.4142859999999999</v>
      </c>
      <c r="L22">
        <v>0.17205656835216163</v>
      </c>
      <c r="M22">
        <f t="shared" si="0"/>
        <v>2.4747469747985914E-2</v>
      </c>
      <c r="N22">
        <v>1100.1918170708248</v>
      </c>
      <c r="O22">
        <v>127.67711322097668</v>
      </c>
      <c r="Q22">
        <v>9.1999999999999993</v>
      </c>
      <c r="R22">
        <v>2.355</v>
      </c>
      <c r="T22">
        <v>7.417604166666667</v>
      </c>
      <c r="U22">
        <v>11.1</v>
      </c>
      <c r="V22">
        <v>0.7</v>
      </c>
      <c r="W22">
        <v>-8.6999999999999993</v>
      </c>
      <c r="X22">
        <v>11.1</v>
      </c>
      <c r="Y22">
        <v>2.0000000000000001E-4</v>
      </c>
      <c r="Z22">
        <v>4.949493949597182E-4</v>
      </c>
      <c r="AA22">
        <v>5.4453927419883774</v>
      </c>
      <c r="AB22">
        <v>3.1553104518710595E-5</v>
      </c>
      <c r="AC22" s="5">
        <v>1.4410650383641105E-7</v>
      </c>
      <c r="AD22" s="5"/>
      <c r="AE22">
        <v>3.169721102254701E-5</v>
      </c>
      <c r="AF22">
        <v>0.15848605511273503</v>
      </c>
      <c r="AG22">
        <v>4.546346482468269E-3</v>
      </c>
      <c r="AH22">
        <v>7.8442577087600775E-5</v>
      </c>
      <c r="AI22">
        <v>0.86301881421725735</v>
      </c>
      <c r="AJ22">
        <f>3600*AH22/ (L22*100)</f>
        <v>1.6412815867474839E-2</v>
      </c>
      <c r="AK22">
        <v>1.8186655820085438</v>
      </c>
      <c r="AL22">
        <v>4.9999743243928099E-2</v>
      </c>
      <c r="AM22">
        <v>0.14634386120798479</v>
      </c>
      <c r="AN22" s="2"/>
      <c r="AO22" s="4">
        <f t="shared" si="2"/>
        <v>5000</v>
      </c>
      <c r="AP22" s="4">
        <f t="shared" si="3"/>
        <v>31548.516974842842</v>
      </c>
      <c r="AQ22">
        <f>((Y22*H22)*1440)</f>
        <v>2.4854400000000005</v>
      </c>
      <c r="AR22">
        <f>((AE22*H22)*1440)</f>
        <v>0.3939075808193962</v>
      </c>
      <c r="AS22">
        <f t="shared" si="6"/>
        <v>1.6830278897745301E-4</v>
      </c>
      <c r="AT22">
        <f t="shared" si="4"/>
        <v>5941.6721854440975</v>
      </c>
      <c r="AU22">
        <f>Z22-AH22</f>
        <v>4.1650681787211744E-4</v>
      </c>
      <c r="AV22">
        <f>AA22-AI22</f>
        <v>4.58237392777112</v>
      </c>
      <c r="AW22">
        <v>15.614081755598832</v>
      </c>
      <c r="AX22">
        <v>301.02618450565001</v>
      </c>
      <c r="AY22">
        <v>41.640580022260693</v>
      </c>
      <c r="AZ22" s="2"/>
      <c r="BA22">
        <v>1.6000000000000001E-3</v>
      </c>
      <c r="BC22" s="6">
        <v>37785</v>
      </c>
      <c r="BD22">
        <v>12.76</v>
      </c>
      <c r="BE22">
        <v>500</v>
      </c>
      <c r="BF22" s="2"/>
      <c r="BG22">
        <v>0.29966300000000001</v>
      </c>
      <c r="BH22">
        <v>0.157249</v>
      </c>
      <c r="BI22">
        <v>1.2775999999999999E-2</v>
      </c>
      <c r="BJ22">
        <v>1.6172300000000001E-4</v>
      </c>
      <c r="BK22" s="2"/>
      <c r="BL22">
        <f t="shared" si="5"/>
        <v>8.1246939567183249E-2</v>
      </c>
      <c r="BM22">
        <v>0.5554782608695652</v>
      </c>
      <c r="BN22">
        <v>1.4907649343332984E-2</v>
      </c>
      <c r="BO22">
        <v>502.3833317906745</v>
      </c>
      <c r="BP22" t="s">
        <v>4</v>
      </c>
      <c r="BQ22" t="s">
        <v>4</v>
      </c>
      <c r="BR22" s="9"/>
    </row>
    <row r="23" spans="1:70" x14ac:dyDescent="0.15">
      <c r="A23" t="s">
        <v>30</v>
      </c>
      <c r="B23" t="s">
        <v>34</v>
      </c>
      <c r="C23" t="s">
        <v>3</v>
      </c>
      <c r="D23">
        <v>358.65519999999998</v>
      </c>
      <c r="E23">
        <v>7.0000000000000001E-3</v>
      </c>
      <c r="F23" s="6">
        <v>38112</v>
      </c>
      <c r="G23">
        <v>500</v>
      </c>
      <c r="H23">
        <v>5.882352941176471</v>
      </c>
      <c r="I23">
        <v>6.4832016623719344</v>
      </c>
      <c r="J23">
        <v>12.55</v>
      </c>
      <c r="K23">
        <v>1.4209999999999998</v>
      </c>
      <c r="L23">
        <v>4.6536704402669764E-2</v>
      </c>
      <c r="M23">
        <f t="shared" si="0"/>
        <v>4.562422000261742E-3</v>
      </c>
      <c r="N23">
        <v>384.48839708687342</v>
      </c>
      <c r="O23">
        <v>11.047435897435898</v>
      </c>
      <c r="P23">
        <v>113.58943814905398</v>
      </c>
      <c r="Q23">
        <v>2.3199999999999998</v>
      </c>
      <c r="R23">
        <v>1.1599999999999999</v>
      </c>
      <c r="T23">
        <v>9.9412500000000001</v>
      </c>
      <c r="U23">
        <v>9.1999999999999993</v>
      </c>
      <c r="V23">
        <v>1.6</v>
      </c>
      <c r="W23">
        <v>-15.6</v>
      </c>
      <c r="X23">
        <v>9.1999999999999993</v>
      </c>
      <c r="Y23">
        <v>4.4999999999999999E-4</v>
      </c>
      <c r="Z23">
        <v>2.0804693592949046E-4</v>
      </c>
      <c r="AA23">
        <v>0.77141186722756383</v>
      </c>
      <c r="AB23">
        <v>3.9440248385911464E-4</v>
      </c>
      <c r="AC23">
        <v>3.4090839186144276E-7</v>
      </c>
      <c r="AE23">
        <v>3.9474339225097608E-4</v>
      </c>
      <c r="AF23">
        <v>0.87720753833550247</v>
      </c>
      <c r="AG23">
        <v>8.6362026205797694E-4</v>
      </c>
      <c r="AH23">
        <v>1.808432482927629E-4</v>
      </c>
      <c r="AI23">
        <v>0.68572008236154003</v>
      </c>
      <c r="AJ23">
        <f>3600*AH23/ (L23*100)</f>
        <v>0.13989724932404046</v>
      </c>
      <c r="AK23">
        <v>0.7699338187332827</v>
      </c>
      <c r="AL23">
        <v>-7.5244301754069584E-3</v>
      </c>
      <c r="AM23">
        <v>5.7983116560302966E-7</v>
      </c>
      <c r="AN23" s="2"/>
      <c r="AO23" s="4">
        <f t="shared" si="2"/>
        <v>2222.2222222222222</v>
      </c>
      <c r="AP23" s="4">
        <f t="shared" si="3"/>
        <v>2533.2912966512799</v>
      </c>
      <c r="AQ23">
        <f>((Y23*H23)*1440)</f>
        <v>3.8117647058823536</v>
      </c>
      <c r="AR23">
        <f>((AE23*H23)*1440)</f>
        <v>3.3437087343612095</v>
      </c>
      <c r="AS23">
        <f t="shared" si="6"/>
        <v>5.5256607749023905E-5</v>
      </c>
      <c r="AT23">
        <f t="shared" si="4"/>
        <v>18097.383113744705</v>
      </c>
      <c r="AU23">
        <f>Z23-AH23</f>
        <v>2.7203687636727565E-5</v>
      </c>
      <c r="AV23">
        <f>AA23-AI23</f>
        <v>8.5691784866023801E-2</v>
      </c>
      <c r="AW23">
        <v>90.080375000000004</v>
      </c>
      <c r="AX23">
        <v>778.38410307727554</v>
      </c>
      <c r="AY23">
        <v>177.72546415165695</v>
      </c>
      <c r="AZ23" s="2"/>
      <c r="BB23">
        <v>2.12E-2</v>
      </c>
      <c r="BC23" s="6">
        <v>38113</v>
      </c>
      <c r="BD23">
        <v>10.45</v>
      </c>
      <c r="BE23">
        <v>250</v>
      </c>
      <c r="BF23" s="2"/>
      <c r="BG23">
        <v>5.5212600000000001E-2</v>
      </c>
      <c r="BH23">
        <v>6.7236900000000002E-2</v>
      </c>
      <c r="BI23">
        <v>1.2514500000000001E-3</v>
      </c>
      <c r="BJ23">
        <v>1.2930400000000001E-4</v>
      </c>
      <c r="BK23" s="2"/>
      <c r="BL23">
        <f t="shared" si="5"/>
        <v>1.861254757432303E-2</v>
      </c>
      <c r="BM23">
        <v>0.18595096582466569</v>
      </c>
      <c r="BN23">
        <v>4.1604017479571339E-3</v>
      </c>
      <c r="BO23">
        <v>143.94409743181205</v>
      </c>
      <c r="BP23" t="s">
        <v>4</v>
      </c>
      <c r="BQ23" t="s">
        <v>8</v>
      </c>
      <c r="BR23" s="9"/>
    </row>
    <row r="24" spans="1:70" x14ac:dyDescent="0.15">
      <c r="A24" t="s">
        <v>30</v>
      </c>
      <c r="B24" t="s">
        <v>35</v>
      </c>
      <c r="C24" t="s">
        <v>10</v>
      </c>
      <c r="D24">
        <v>201.93989999999999</v>
      </c>
      <c r="E24">
        <v>1E-3</v>
      </c>
      <c r="F24" s="6">
        <v>38204</v>
      </c>
      <c r="G24">
        <v>450</v>
      </c>
      <c r="H24">
        <v>10.526315789473685</v>
      </c>
      <c r="I24">
        <v>6</v>
      </c>
      <c r="J24">
        <v>17.891666666666666</v>
      </c>
      <c r="K24">
        <v>0.94</v>
      </c>
      <c r="L24">
        <v>3.638297872340425E-2</v>
      </c>
      <c r="M24">
        <f t="shared" si="0"/>
        <v>6.3829787234042559E-3</v>
      </c>
      <c r="N24">
        <v>81.5</v>
      </c>
      <c r="O24">
        <v>20.680357142857137</v>
      </c>
      <c r="P24">
        <v>467.67069453333335</v>
      </c>
      <c r="Q24">
        <v>11.29</v>
      </c>
      <c r="R24">
        <v>8.2200000000000006</v>
      </c>
      <c r="T24">
        <v>7.8</v>
      </c>
      <c r="U24">
        <v>37.6</v>
      </c>
      <c r="V24">
        <v>0.1</v>
      </c>
      <c r="W24">
        <v>-5.6</v>
      </c>
      <c r="X24">
        <v>37.6</v>
      </c>
      <c r="Y24">
        <v>2.3E-3</v>
      </c>
      <c r="Z24">
        <v>1.4680851063829784E-3</v>
      </c>
      <c r="AA24">
        <v>1.1917021276595743</v>
      </c>
      <c r="AB24">
        <v>9.3974999999999994E-5</v>
      </c>
      <c r="AC24">
        <v>2.0577588823113911E-7</v>
      </c>
      <c r="AE24">
        <v>9.418072960720928E-5</v>
      </c>
      <c r="AF24">
        <v>4.0948143307482296E-2</v>
      </c>
      <c r="AG24">
        <v>2.1849043757608301E-3</v>
      </c>
      <c r="AH24">
        <v>6.01153593237506E-5</v>
      </c>
      <c r="AI24">
        <v>4.9014986470078264E-2</v>
      </c>
      <c r="AJ24">
        <f>3600*AH24/ (L24*100)</f>
        <v>5.9482566067711129E-2</v>
      </c>
      <c r="AK24">
        <v>1.1917021276595743</v>
      </c>
      <c r="AL24">
        <v>-4.7720792308907174E-3</v>
      </c>
      <c r="AM24">
        <v>1.1529192386333734E-4</v>
      </c>
      <c r="AN24" s="2"/>
      <c r="AO24" s="4">
        <f t="shared" si="2"/>
        <v>434.78260869565219</v>
      </c>
      <c r="AP24" s="4">
        <f t="shared" si="3"/>
        <v>10617.883341641184</v>
      </c>
      <c r="AQ24">
        <f>((Y24*H24)*1440)</f>
        <v>34.863157894736844</v>
      </c>
      <c r="AR24">
        <f>((AE24*H24)*1440)</f>
        <v>1.4275815856250669</v>
      </c>
      <c r="AS24">
        <f t="shared" si="6"/>
        <v>2.2058192703927905E-3</v>
      </c>
      <c r="AT24">
        <f t="shared" si="4"/>
        <v>453.34629786869613</v>
      </c>
      <c r="AU24">
        <f>Z24-AH24</f>
        <v>1.4079697470592279E-3</v>
      </c>
      <c r="AV24">
        <f>AA24-AI24</f>
        <v>1.1426871411894961</v>
      </c>
      <c r="AW24">
        <v>0</v>
      </c>
      <c r="AX24">
        <v>1834.6877267202558</v>
      </c>
      <c r="AY24">
        <v>281.29821662275367</v>
      </c>
      <c r="AZ24" s="2"/>
      <c r="BB24">
        <v>9.7999999999999997E-3</v>
      </c>
      <c r="BC24" s="6">
        <v>38204</v>
      </c>
      <c r="BD24">
        <v>16</v>
      </c>
      <c r="BE24">
        <v>300</v>
      </c>
      <c r="BF24" s="2"/>
      <c r="BG24">
        <v>0.14959700000000001</v>
      </c>
      <c r="BH24">
        <v>3.2704799999999999E-2</v>
      </c>
      <c r="BI24">
        <v>1.86382E-3</v>
      </c>
      <c r="BJ24">
        <v>2.01349E-4</v>
      </c>
      <c r="BK24" s="2"/>
      <c r="BL24">
        <f t="shared" si="5"/>
        <v>5.6989188131405785E-2</v>
      </c>
      <c r="BM24">
        <v>0.31063666666666667</v>
      </c>
      <c r="BN24">
        <v>1.0625974691770368E-2</v>
      </c>
      <c r="BO24">
        <v>283.03685705618494</v>
      </c>
      <c r="BP24" t="s">
        <v>8</v>
      </c>
      <c r="BQ24" t="s">
        <v>8</v>
      </c>
      <c r="BR24" s="9"/>
    </row>
    <row r="25" spans="1:70" x14ac:dyDescent="0.15">
      <c r="A25" t="s">
        <v>30</v>
      </c>
      <c r="B25" t="s">
        <v>36</v>
      </c>
      <c r="C25" t="s">
        <v>6</v>
      </c>
      <c r="D25">
        <v>163.7859</v>
      </c>
      <c r="E25">
        <v>4.0000000000000001E-3</v>
      </c>
      <c r="F25" s="6">
        <v>38154</v>
      </c>
      <c r="G25">
        <v>500</v>
      </c>
      <c r="H25">
        <v>6.99</v>
      </c>
      <c r="I25">
        <v>11.688602566556316</v>
      </c>
      <c r="J25">
        <v>17.8</v>
      </c>
      <c r="K25">
        <v>1.165</v>
      </c>
      <c r="L25">
        <v>8.6121332620282667E-2</v>
      </c>
      <c r="M25">
        <f t="shared" si="0"/>
        <v>1.0033135250262932E-2</v>
      </c>
      <c r="N25">
        <v>694.58333333333326</v>
      </c>
      <c r="O25">
        <v>74.308333333333337</v>
      </c>
      <c r="P25">
        <v>561.61043246666668</v>
      </c>
      <c r="Q25">
        <v>5.4450000000000003</v>
      </c>
      <c r="R25">
        <v>7.3550000000000004</v>
      </c>
      <c r="T25">
        <v>8.4174482758620695</v>
      </c>
      <c r="V25">
        <v>1.8</v>
      </c>
      <c r="W25">
        <v>-4.0999999999999996</v>
      </c>
      <c r="Y25">
        <v>4.0999999999999999E-4</v>
      </c>
      <c r="Z25">
        <v>4.0049633343723114E-4</v>
      </c>
      <c r="AA25">
        <v>2.8144021912134676</v>
      </c>
      <c r="AB25">
        <v>7.5532999999999997E-5</v>
      </c>
      <c r="AC25" s="13">
        <v>3.7650000000000002E-7</v>
      </c>
      <c r="AD25" s="13"/>
      <c r="AE25">
        <v>7.5929786824874173E-5</v>
      </c>
      <c r="AF25">
        <f>AE25/Y25</f>
        <v>0.18519460201188823</v>
      </c>
      <c r="AG25">
        <v>4.9587585719160767E-3</v>
      </c>
      <c r="AH25">
        <v>7.6408936294877788E-5</v>
      </c>
      <c r="AI25">
        <v>0.52614414326730663</v>
      </c>
      <c r="AJ25">
        <f>3600*AH25/ (L25*100)</f>
        <v>3.1940073648695146E-2</v>
      </c>
      <c r="AK25">
        <v>5.4591754303615305</v>
      </c>
      <c r="AL25">
        <v>4.9118879799690957E-3</v>
      </c>
      <c r="AM25">
        <v>1.7818247789952084E-3</v>
      </c>
      <c r="AN25" s="2"/>
      <c r="AO25" s="4">
        <f t="shared" si="2"/>
        <v>2439.0243902439024</v>
      </c>
      <c r="AP25" s="4">
        <f t="shared" si="3"/>
        <v>13170.061998282939</v>
      </c>
      <c r="AQ25">
        <f>((Y25*H25)*1440)</f>
        <v>4.1268960000000003</v>
      </c>
      <c r="AR25">
        <f>((AE25*H25)*1440)</f>
        <v>0.76427886226445352</v>
      </c>
      <c r="AS25">
        <f t="shared" si="6"/>
        <v>3.3407021317512583E-4</v>
      </c>
      <c r="AT25">
        <f t="shared" si="4"/>
        <v>2993.3827098669863</v>
      </c>
      <c r="AU25">
        <f>Z25-AH25</f>
        <v>3.2408739714235332E-4</v>
      </c>
      <c r="AV25">
        <f>AA25-AI25</f>
        <v>2.2882580479461607</v>
      </c>
      <c r="AW25">
        <v>1.2780320187633476</v>
      </c>
      <c r="AX25">
        <v>112.33174264141022</v>
      </c>
      <c r="AY25">
        <v>36.762853936719544</v>
      </c>
      <c r="AZ25" s="2"/>
      <c r="BB25">
        <v>5.5999999999999999E-3</v>
      </c>
      <c r="BC25" s="6">
        <v>38154</v>
      </c>
      <c r="BD25">
        <v>18</v>
      </c>
      <c r="BE25">
        <v>500</v>
      </c>
      <c r="BF25" s="2"/>
      <c r="BG25">
        <v>0.14654</v>
      </c>
      <c r="BH25">
        <v>0.114257</v>
      </c>
      <c r="BI25">
        <v>1.03438E-2</v>
      </c>
      <c r="BJ25">
        <v>1.7603000000000001E-4</v>
      </c>
      <c r="BK25" s="2"/>
      <c r="BL25">
        <f t="shared" si="5"/>
        <v>9.0530995912723081E-2</v>
      </c>
      <c r="BM25">
        <v>0.74308908045977018</v>
      </c>
      <c r="BN25">
        <v>2.083432710095641E-2</v>
      </c>
      <c r="BO25">
        <v>514.29299501632147</v>
      </c>
      <c r="BP25" t="s">
        <v>8</v>
      </c>
      <c r="BQ25" t="s">
        <v>8</v>
      </c>
      <c r="BR25" s="9"/>
    </row>
    <row r="26" spans="1:70" x14ac:dyDescent="0.15">
      <c r="A26" t="s">
        <v>30</v>
      </c>
      <c r="B26" t="s">
        <v>37</v>
      </c>
      <c r="C26" t="s">
        <v>3</v>
      </c>
      <c r="D26">
        <v>548.46</v>
      </c>
      <c r="E26">
        <v>5.4000000000000003E-3</v>
      </c>
      <c r="F26" s="6">
        <v>38504</v>
      </c>
      <c r="G26">
        <v>553</v>
      </c>
      <c r="H26">
        <v>11.591778835211482</v>
      </c>
      <c r="I26">
        <v>99.383737692269335</v>
      </c>
      <c r="J26">
        <v>22.166666666666664</v>
      </c>
      <c r="K26">
        <v>3.2040000000000002</v>
      </c>
      <c r="L26">
        <v>0.16055505456353678</v>
      </c>
      <c r="M26">
        <f t="shared" si="0"/>
        <v>3.1018644722930505E-2</v>
      </c>
      <c r="N26">
        <v>4.166666666666667</v>
      </c>
      <c r="O26">
        <v>21.091851097429789</v>
      </c>
      <c r="P26">
        <v>324.85343911146288</v>
      </c>
      <c r="Q26">
        <v>3.7</v>
      </c>
      <c r="R26">
        <v>4.2442785704858412</v>
      </c>
      <c r="T26">
        <v>9.1</v>
      </c>
      <c r="U26">
        <v>30.3</v>
      </c>
      <c r="V26">
        <v>0.1</v>
      </c>
      <c r="W26">
        <v>-7.9</v>
      </c>
      <c r="X26">
        <v>30.3</v>
      </c>
      <c r="AK26">
        <v>0.26781673619577351</v>
      </c>
      <c r="AN26" s="2"/>
      <c r="AO26" s="4"/>
      <c r="AP26" s="4"/>
      <c r="AW26">
        <v>15.044276617144687</v>
      </c>
      <c r="AX26">
        <v>140.30335681144524</v>
      </c>
      <c r="AY26">
        <v>27.093756811445559</v>
      </c>
      <c r="AZ26" s="2"/>
      <c r="BB26">
        <v>6.9999999999999999E-4</v>
      </c>
      <c r="BC26" s="6">
        <v>38505</v>
      </c>
      <c r="BD26">
        <v>22.8</v>
      </c>
      <c r="BE26">
        <v>437</v>
      </c>
      <c r="BF26" s="2"/>
      <c r="BG26">
        <v>0.250782</v>
      </c>
      <c r="BH26">
        <v>0.37785400000000002</v>
      </c>
      <c r="BI26">
        <v>1.8652100000000001E-2</v>
      </c>
      <c r="BJ26">
        <v>1.2644199999999999E-4</v>
      </c>
      <c r="BK26" s="2"/>
      <c r="BL26">
        <f t="shared" si="5"/>
        <v>4.9363246121517837E-2</v>
      </c>
      <c r="BM26">
        <v>0.25550821917808225</v>
      </c>
      <c r="BN26">
        <v>5.7714763682366436E-3</v>
      </c>
      <c r="BO26">
        <v>390.40228817574729</v>
      </c>
      <c r="BP26" t="s">
        <v>4</v>
      </c>
      <c r="BQ26" t="s">
        <v>8</v>
      </c>
      <c r="BR26" s="9"/>
    </row>
    <row r="27" spans="1:70" x14ac:dyDescent="0.15">
      <c r="A27" t="s">
        <v>30</v>
      </c>
      <c r="B27" t="s">
        <v>38</v>
      </c>
      <c r="C27" t="s">
        <v>10</v>
      </c>
      <c r="D27">
        <v>198.56</v>
      </c>
      <c r="E27">
        <v>1.7100000000000001E-2</v>
      </c>
      <c r="F27" s="6">
        <v>38483</v>
      </c>
      <c r="G27">
        <v>1224</v>
      </c>
      <c r="H27">
        <v>15.874704491725769</v>
      </c>
      <c r="I27">
        <v>22.9461353914485</v>
      </c>
      <c r="J27">
        <v>11.833333333333332</v>
      </c>
      <c r="K27">
        <v>1.1995959595959595</v>
      </c>
      <c r="L27">
        <v>7.2296980322179183E-2</v>
      </c>
      <c r="M27">
        <f t="shared" si="0"/>
        <v>1.9128219970978459E-2</v>
      </c>
      <c r="N27">
        <v>1452.9166666666665</v>
      </c>
      <c r="O27">
        <v>27.870969143850495</v>
      </c>
      <c r="P27">
        <v>310.11474318529548</v>
      </c>
      <c r="Q27">
        <v>1.7</v>
      </c>
      <c r="R27">
        <v>3.0206078025936951</v>
      </c>
      <c r="T27">
        <v>9.93</v>
      </c>
      <c r="U27">
        <v>20.9</v>
      </c>
      <c r="V27">
        <v>0.9</v>
      </c>
      <c r="W27">
        <v>-4.0999999999999996</v>
      </c>
      <c r="X27">
        <v>20.9</v>
      </c>
      <c r="Y27">
        <v>1.1349999999999999E-4</v>
      </c>
      <c r="Z27">
        <v>2.1797931913550392E-4</v>
      </c>
      <c r="AA27">
        <v>3.1296456591890047</v>
      </c>
      <c r="AB27" s="12">
        <v>5.9018E-6</v>
      </c>
      <c r="AC27" s="5">
        <v>5.7143321380292988E-8</v>
      </c>
      <c r="AD27" s="5"/>
      <c r="AE27">
        <v>5.9589431003772319E-6</v>
      </c>
      <c r="AF27">
        <v>5.2501701324909535E-2</v>
      </c>
      <c r="AG27">
        <v>9.5895061284736079E-3</v>
      </c>
      <c r="AH27">
        <v>1.1396362681547738E-5</v>
      </c>
      <c r="AI27">
        <v>0.16549065115921102</v>
      </c>
      <c r="AJ27">
        <f>3600*AH27/ (L27*100)</f>
        <v>5.67477444711279E-3</v>
      </c>
      <c r="AK27">
        <v>20.481456645040439</v>
      </c>
      <c r="AL27">
        <v>0</v>
      </c>
      <c r="AM27">
        <v>9.6432460231378264E-5</v>
      </c>
      <c r="AN27" s="2"/>
      <c r="AO27" s="4">
        <f t="shared" si="2"/>
        <v>8810.5726872246705</v>
      </c>
      <c r="AP27" s="4">
        <f t="shared" si="3"/>
        <v>167814.99389324506</v>
      </c>
      <c r="AQ27">
        <f>((Y27*H27)*1440)</f>
        <v>2.5945617021276597</v>
      </c>
      <c r="AR27">
        <f>((AE27*H27)*1440)</f>
        <v>0.13621890355415528</v>
      </c>
      <c r="AS27">
        <f t="shared" ref="AS27:AS73" si="7">Y27-AE27</f>
        <v>1.0754105689962277E-4</v>
      </c>
      <c r="AT27">
        <f t="shared" si="4"/>
        <v>9298.7741503543639</v>
      </c>
      <c r="AU27">
        <f>Z27-AH27</f>
        <v>2.0658295645395618E-4</v>
      </c>
      <c r="AV27">
        <f>AA27-AI27</f>
        <v>2.9641550080297936</v>
      </c>
      <c r="AW27">
        <v>0</v>
      </c>
      <c r="AX27">
        <v>420.56229254255612</v>
      </c>
      <c r="AY27">
        <v>225.53523608483007</v>
      </c>
      <c r="AZ27" s="2"/>
      <c r="BB27">
        <v>8.9999999999999998E-4</v>
      </c>
      <c r="BC27" s="6">
        <v>38484</v>
      </c>
      <c r="BD27">
        <v>17.862500000000001</v>
      </c>
      <c r="BE27">
        <v>1224</v>
      </c>
      <c r="BF27" s="2"/>
      <c r="BG27">
        <v>0.97562800000000005</v>
      </c>
      <c r="BH27">
        <v>9.20657E-2</v>
      </c>
      <c r="BI27">
        <v>4.0376300000000004E-3</v>
      </c>
      <c r="BJ27">
        <v>3.1683300000000002E-5</v>
      </c>
      <c r="BK27" s="2"/>
      <c r="BL27">
        <f t="shared" si="5"/>
        <v>4.3855963730249165E-2</v>
      </c>
      <c r="BM27">
        <v>0.14583816614420061</v>
      </c>
      <c r="BN27">
        <v>7.1150201813926042E-4</v>
      </c>
      <c r="BO27">
        <v>1574.3660366161082</v>
      </c>
      <c r="BP27" t="s">
        <v>8</v>
      </c>
      <c r="BQ27" t="s">
        <v>21</v>
      </c>
      <c r="BR27" s="9"/>
    </row>
    <row r="28" spans="1:70" x14ac:dyDescent="0.15">
      <c r="A28" t="s">
        <v>30</v>
      </c>
      <c r="B28" t="s">
        <v>39</v>
      </c>
      <c r="C28" t="s">
        <v>6</v>
      </c>
      <c r="D28">
        <v>3712.52</v>
      </c>
      <c r="E28">
        <v>5.1999999999999995E-4</v>
      </c>
      <c r="F28" s="6">
        <v>38523</v>
      </c>
      <c r="G28">
        <v>365</v>
      </c>
      <c r="H28">
        <v>10.057971014492754</v>
      </c>
      <c r="I28">
        <v>110.10198661975315</v>
      </c>
      <c r="J28">
        <v>19.95</v>
      </c>
      <c r="K28">
        <v>2.48</v>
      </c>
      <c r="L28">
        <v>0.26484046702483155</v>
      </c>
      <c r="M28">
        <f t="shared" si="0"/>
        <v>4.4395962346674658E-2</v>
      </c>
      <c r="N28">
        <v>273.5</v>
      </c>
      <c r="O28">
        <v>31.993395680212156</v>
      </c>
      <c r="P28">
        <v>193.56341981009007</v>
      </c>
      <c r="Q28">
        <v>10.7</v>
      </c>
      <c r="R28">
        <v>2.7983399568858061</v>
      </c>
      <c r="T28">
        <v>6.5698611111111118</v>
      </c>
      <c r="U28">
        <v>51</v>
      </c>
      <c r="V28">
        <v>0.8</v>
      </c>
      <c r="W28">
        <v>-14.1</v>
      </c>
      <c r="X28">
        <v>51</v>
      </c>
      <c r="Y28">
        <v>6.9999999999999999E-4</v>
      </c>
      <c r="Z28">
        <v>3.1212703768539419E-3</v>
      </c>
      <c r="AA28">
        <v>8.5986400125265128</v>
      </c>
      <c r="AB28">
        <v>4.3282426412565654E-5</v>
      </c>
      <c r="AC28">
        <v>1.0191091495851156E-7</v>
      </c>
      <c r="AE28">
        <v>4.3384337327524166E-5</v>
      </c>
      <c r="AF28">
        <v>6.197762475360595E-2</v>
      </c>
      <c r="AG28">
        <v>2.3490255063514961E-3</v>
      </c>
      <c r="AH28">
        <v>1.9215791186460326E-4</v>
      </c>
      <c r="AI28">
        <v>0.52452901173611011</v>
      </c>
      <c r="AJ28">
        <f>3600*AH28/ (L28*100)</f>
        <v>2.6120195696819674E-2</v>
      </c>
      <c r="AK28">
        <v>8.5986400125265128</v>
      </c>
      <c r="AL28">
        <v>0</v>
      </c>
      <c r="AM28">
        <v>2.0159532186068884E-4</v>
      </c>
      <c r="AN28" s="2"/>
      <c r="AO28" s="4">
        <f t="shared" si="2"/>
        <v>1428.5714285714287</v>
      </c>
      <c r="AP28" s="4">
        <f t="shared" si="3"/>
        <v>23049.793118899932</v>
      </c>
      <c r="AQ28">
        <f>((Y28*H28)*1440)</f>
        <v>10.138434782608696</v>
      </c>
      <c r="AR28">
        <f>((AE28*H28)*1440)</f>
        <v>0.62835610654542828</v>
      </c>
      <c r="AS28">
        <f t="shared" si="7"/>
        <v>6.5661566267247585E-4</v>
      </c>
      <c r="AT28">
        <f t="shared" si="4"/>
        <v>1522.960929579297</v>
      </c>
      <c r="AU28">
        <f>Z28-AH28</f>
        <v>2.9291124649893385E-3</v>
      </c>
      <c r="AV28">
        <f>AA28-AI28</f>
        <v>8.0741110007904027</v>
      </c>
      <c r="AW28">
        <v>0.74752441280464421</v>
      </c>
      <c r="AX28">
        <v>246.20279891339834</v>
      </c>
      <c r="AY28">
        <v>64.8541651233583</v>
      </c>
      <c r="AZ28" s="2"/>
      <c r="BB28">
        <v>8.7656413202628219E-4</v>
      </c>
      <c r="BC28" s="6">
        <v>38524</v>
      </c>
      <c r="BD28">
        <v>20</v>
      </c>
      <c r="BE28">
        <v>250</v>
      </c>
      <c r="BF28" s="2"/>
      <c r="BG28">
        <v>0.401308</v>
      </c>
      <c r="BH28">
        <v>0.38230500000000001</v>
      </c>
      <c r="BI28">
        <v>4.96406E-2</v>
      </c>
      <c r="BJ28">
        <v>2.4840099999999998E-4</v>
      </c>
      <c r="BK28" s="2"/>
      <c r="BL28">
        <f t="shared" si="5"/>
        <v>0.12984554217182614</v>
      </c>
      <c r="BM28">
        <v>0.78112667191188045</v>
      </c>
      <c r="BN28">
        <v>2.9689489888158959E-2</v>
      </c>
      <c r="BO28">
        <v>522.72552112039068</v>
      </c>
      <c r="BP28" t="s">
        <v>8</v>
      </c>
      <c r="BQ28" t="s">
        <v>40</v>
      </c>
      <c r="BR28" s="9"/>
    </row>
    <row r="29" spans="1:70" x14ac:dyDescent="0.15">
      <c r="A29" t="s">
        <v>41</v>
      </c>
      <c r="B29" t="s">
        <v>42</v>
      </c>
      <c r="C29" t="s">
        <v>3</v>
      </c>
      <c r="D29">
        <v>134.5</v>
      </c>
      <c r="E29">
        <v>3.4700000000000002E-2</v>
      </c>
      <c r="F29" s="6">
        <v>37762</v>
      </c>
      <c r="G29">
        <v>160</v>
      </c>
      <c r="H29">
        <v>5</v>
      </c>
      <c r="I29">
        <v>13.407114877632591</v>
      </c>
      <c r="J29">
        <v>13.5</v>
      </c>
      <c r="K29">
        <v>2.4089999999999998</v>
      </c>
      <c r="L29">
        <v>6.6785130150100083E-2</v>
      </c>
      <c r="M29">
        <f t="shared" si="0"/>
        <v>5.5654275125083408E-3</v>
      </c>
      <c r="N29">
        <v>8.5833333333333339</v>
      </c>
      <c r="O29">
        <v>0.34210526315789475</v>
      </c>
      <c r="P29">
        <v>160.38333333333333</v>
      </c>
      <c r="Q29">
        <v>0.54261828343227891</v>
      </c>
      <c r="R29">
        <v>0.73</v>
      </c>
      <c r="T29">
        <v>9.8231649305555528</v>
      </c>
      <c r="U29">
        <v>57.41</v>
      </c>
      <c r="V29">
        <v>1.8</v>
      </c>
      <c r="W29">
        <v>-3.1</v>
      </c>
      <c r="X29">
        <v>32.1</v>
      </c>
      <c r="Y29">
        <v>6.2247391135215133E-3</v>
      </c>
      <c r="Z29">
        <v>3.4623999227940423E-3</v>
      </c>
      <c r="AA29">
        <v>0.29720414208582402</v>
      </c>
      <c r="AB29">
        <v>3.332804385866694E-4</v>
      </c>
      <c r="AE29">
        <v>3.332804385866694E-4</v>
      </c>
      <c r="AF29">
        <v>5.3541270165477363E-2</v>
      </c>
      <c r="AH29">
        <v>1.8101700612377944E-4</v>
      </c>
      <c r="AI29">
        <v>1.469254699704676E-2</v>
      </c>
      <c r="AJ29">
        <f>3600*AH29/ (L29*100)</f>
        <v>9.7575795776843208E-2</v>
      </c>
      <c r="AK29">
        <v>0.21694593138685064</v>
      </c>
      <c r="AL29">
        <v>6.6966034946438879E-2</v>
      </c>
      <c r="AM29">
        <v>6.3543114377526152E-5</v>
      </c>
      <c r="AN29" s="2"/>
      <c r="AO29" s="4">
        <f t="shared" si="2"/>
        <v>160.64930300898527</v>
      </c>
      <c r="AP29" s="4">
        <f t="shared" si="3"/>
        <v>3000.4761282740287</v>
      </c>
      <c r="AQ29">
        <f>((Y29*H29)*1440)</f>
        <v>44.81812161735489</v>
      </c>
      <c r="AR29">
        <f>((AE29*H29)*1440)</f>
        <v>2.3996191578240196</v>
      </c>
      <c r="AS29">
        <f t="shared" si="7"/>
        <v>5.8914586749348437E-3</v>
      </c>
      <c r="AT29">
        <f t="shared" si="4"/>
        <v>169.73725102316183</v>
      </c>
      <c r="AU29">
        <f>Z29-AH29</f>
        <v>3.2813829166702629E-3</v>
      </c>
      <c r="AV29">
        <f>AA29-AI29</f>
        <v>0.28251159508877727</v>
      </c>
      <c r="AW29">
        <v>2.3974447300393464</v>
      </c>
      <c r="AX29">
        <v>86.04250320779812</v>
      </c>
      <c r="AY29">
        <v>30.223032447611455</v>
      </c>
      <c r="AZ29" s="2"/>
      <c r="BA29">
        <v>1.2E-2</v>
      </c>
      <c r="BC29" s="6" t="s">
        <v>43</v>
      </c>
      <c r="BD29">
        <v>14</v>
      </c>
      <c r="BE29">
        <v>170</v>
      </c>
      <c r="BF29" s="2"/>
      <c r="BG29">
        <v>3.1791600000000003E-2</v>
      </c>
      <c r="BH29">
        <v>0.15066499999999999</v>
      </c>
      <c r="BI29">
        <v>1.3538700000000001E-2</v>
      </c>
      <c r="BJ29">
        <v>2.1301199999999999E-5</v>
      </c>
      <c r="BK29" s="2"/>
      <c r="BL29">
        <f t="shared" si="5"/>
        <v>8.9859622340955111E-2</v>
      </c>
      <c r="BM29">
        <v>1.0805027932960896</v>
      </c>
      <c r="BN29">
        <v>4.117306242951888E-3</v>
      </c>
      <c r="BO29">
        <v>4218.5239489303476</v>
      </c>
      <c r="BP29" t="s">
        <v>21</v>
      </c>
      <c r="BQ29" t="s">
        <v>21</v>
      </c>
      <c r="BR29" s="10"/>
    </row>
    <row r="30" spans="1:70" x14ac:dyDescent="0.15">
      <c r="A30" t="s">
        <v>41</v>
      </c>
      <c r="B30" t="s">
        <v>44</v>
      </c>
      <c r="C30" t="s">
        <v>10</v>
      </c>
      <c r="D30">
        <v>504</v>
      </c>
      <c r="E30">
        <v>1.7500000000000002E-2</v>
      </c>
      <c r="F30" s="6">
        <v>37783</v>
      </c>
      <c r="G30">
        <v>160</v>
      </c>
      <c r="H30">
        <v>1.1111111111111112</v>
      </c>
      <c r="I30">
        <v>0.23955840501611977</v>
      </c>
      <c r="J30">
        <v>21.5</v>
      </c>
      <c r="K30">
        <v>0.77600000000000002</v>
      </c>
      <c r="L30">
        <v>1.6670301379987713E-2</v>
      </c>
      <c r="M30">
        <f t="shared" si="0"/>
        <v>3.0870928481458734E-4</v>
      </c>
      <c r="N30">
        <v>34.833333333333329</v>
      </c>
      <c r="O30">
        <v>31.692982456140356</v>
      </c>
      <c r="P30">
        <v>110.95</v>
      </c>
      <c r="Q30">
        <v>0.18049831955499621</v>
      </c>
      <c r="R30">
        <v>4.1900000000000004</v>
      </c>
      <c r="T30">
        <v>8.6650190311418651</v>
      </c>
      <c r="U30">
        <v>43.22</v>
      </c>
      <c r="V30">
        <v>8</v>
      </c>
      <c r="W30">
        <v>-7.6</v>
      </c>
      <c r="X30">
        <v>56</v>
      </c>
      <c r="Y30">
        <v>6.0941253792294635E-3</v>
      </c>
      <c r="Z30">
        <v>1.8813130873923537E-4</v>
      </c>
      <c r="AA30">
        <v>6.5940712922962802E-2</v>
      </c>
      <c r="AC30" s="5">
        <v>3.2499999999999998E-6</v>
      </c>
      <c r="AD30" s="5"/>
      <c r="AK30">
        <v>3.3174379026447452E-2</v>
      </c>
      <c r="AL30">
        <v>0.05</v>
      </c>
      <c r="AM30">
        <v>4.9999999999999998E-7</v>
      </c>
      <c r="AN30" s="2"/>
      <c r="AO30" s="4">
        <f t="shared" si="2"/>
        <v>164.09245589339011</v>
      </c>
      <c r="AP30" s="4"/>
      <c r="AQ30">
        <f>((Y30*H30)*1440)</f>
        <v>9.7506006067671418</v>
      </c>
      <c r="AW30">
        <v>64.349999999999994</v>
      </c>
      <c r="AX30">
        <v>57.359185548362809</v>
      </c>
      <c r="AY30">
        <v>39.886323430086648</v>
      </c>
      <c r="AZ30" s="2"/>
      <c r="BA30">
        <v>3.7424460431654677E-3</v>
      </c>
      <c r="BC30" s="6">
        <v>37788</v>
      </c>
      <c r="BD30">
        <v>26.62857142857143</v>
      </c>
      <c r="BE30">
        <v>190</v>
      </c>
      <c r="BF30" s="2"/>
      <c r="BG30">
        <v>0.155332</v>
      </c>
      <c r="BH30">
        <v>4.5323200000000001E-2</v>
      </c>
      <c r="BI30">
        <v>2.7391300000000002E-3</v>
      </c>
      <c r="BJ30">
        <v>1.9289399999999999E-4</v>
      </c>
      <c r="BK30" s="2"/>
      <c r="BL30">
        <f t="shared" si="5"/>
        <v>6.0435494404631626E-2</v>
      </c>
      <c r="BM30">
        <v>10.956520000000001</v>
      </c>
      <c r="BN30">
        <v>5.6938923946267116E-2</v>
      </c>
      <c r="BO30">
        <v>313.30935334759835</v>
      </c>
      <c r="BP30" t="s">
        <v>8</v>
      </c>
      <c r="BQ30" t="s">
        <v>8</v>
      </c>
      <c r="BR30" s="10"/>
    </row>
    <row r="31" spans="1:70" x14ac:dyDescent="0.15">
      <c r="A31" t="s">
        <v>41</v>
      </c>
      <c r="B31" t="s">
        <v>45</v>
      </c>
      <c r="C31" t="s">
        <v>6</v>
      </c>
      <c r="D31">
        <v>165</v>
      </c>
      <c r="E31">
        <v>1.5069999999999998E-2</v>
      </c>
      <c r="F31" s="6">
        <v>37803</v>
      </c>
      <c r="G31">
        <v>105</v>
      </c>
      <c r="H31">
        <v>0.8571428571428571</v>
      </c>
      <c r="I31">
        <v>2.8990019288091817</v>
      </c>
      <c r="J31">
        <v>25.5</v>
      </c>
      <c r="K31">
        <v>2.56</v>
      </c>
      <c r="L31">
        <v>7.9269583990876066E-2</v>
      </c>
      <c r="M31">
        <f t="shared" si="0"/>
        <v>1.1324226284410866E-3</v>
      </c>
      <c r="N31">
        <v>2942.0250000000005</v>
      </c>
      <c r="O31">
        <v>7.8016666666666667</v>
      </c>
      <c r="Q31">
        <v>4.0081134728817061</v>
      </c>
      <c r="R31">
        <v>4.16</v>
      </c>
      <c r="T31">
        <v>8.2094791666666644</v>
      </c>
      <c r="U31">
        <v>44.36</v>
      </c>
      <c r="V31">
        <v>0.3</v>
      </c>
      <c r="W31">
        <v>-0.5</v>
      </c>
      <c r="X31">
        <v>49.8</v>
      </c>
      <c r="Y31">
        <v>1.3661425281492367E-3</v>
      </c>
      <c r="Z31">
        <v>1.5060760174808715E-4</v>
      </c>
      <c r="AA31">
        <v>4.2793392540997868</v>
      </c>
      <c r="AB31">
        <v>2.6107481961423735E-5</v>
      </c>
      <c r="AC31" s="5">
        <v>1.6034990724068877E-6</v>
      </c>
      <c r="AD31" s="5"/>
      <c r="AE31">
        <v>2.7710981033830622E-5</v>
      </c>
      <c r="AF31">
        <v>2.028410686502213E-2</v>
      </c>
      <c r="AG31">
        <v>5.7865113849606221E-2</v>
      </c>
      <c r="AH31">
        <v>3.1877583553687346E-6</v>
      </c>
      <c r="AI31">
        <v>9.6024115620904904E-2</v>
      </c>
      <c r="AJ31">
        <f>3600*AH31/ (L31*100)</f>
        <v>1.4477091340164374E-3</v>
      </c>
      <c r="AK31">
        <v>7.0046910466351449</v>
      </c>
      <c r="AL31">
        <v>0.42944273994039861</v>
      </c>
      <c r="AM31">
        <v>5.6496340690370293E-3</v>
      </c>
      <c r="AN31" s="2"/>
      <c r="AO31" s="4">
        <f t="shared" si="2"/>
        <v>731.98804619217628</v>
      </c>
      <c r="AP31" s="4">
        <f t="shared" si="3"/>
        <v>36086.777251919084</v>
      </c>
      <c r="AQ31">
        <f>((Y31*H31)*1440)</f>
        <v>1.6862102061727722</v>
      </c>
      <c r="AR31">
        <f>((AE31*H31)*1440)</f>
        <v>3.4203268018899509E-2</v>
      </c>
      <c r="AS31">
        <f t="shared" si="7"/>
        <v>1.3384315471154061E-3</v>
      </c>
      <c r="AT31">
        <f t="shared" si="4"/>
        <v>747.14317826354636</v>
      </c>
      <c r="AU31">
        <f>Z31-AH31</f>
        <v>1.4741984339271841E-4</v>
      </c>
      <c r="AV31">
        <f>AA31-AI31</f>
        <v>4.183315138478882</v>
      </c>
      <c r="AW31">
        <v>2.2450551972031922</v>
      </c>
      <c r="AX31">
        <v>38.421386457340887</v>
      </c>
      <c r="AY31">
        <v>7.2054018001803755</v>
      </c>
      <c r="AZ31" s="2"/>
      <c r="BA31">
        <v>1.2692135526118052E-3</v>
      </c>
      <c r="BC31" s="6">
        <v>37792</v>
      </c>
      <c r="BD31">
        <v>18.899999999999999</v>
      </c>
      <c r="BE31">
        <v>60</v>
      </c>
      <c r="BF31" s="2"/>
      <c r="BG31">
        <v>3.8589499999999999E-2</v>
      </c>
      <c r="BH31">
        <v>0.20524999999999999</v>
      </c>
      <c r="BI31">
        <v>1.3656099999999999E-2</v>
      </c>
      <c r="BJ31">
        <v>1.6789999999999999E-4</v>
      </c>
      <c r="BK31" s="2"/>
      <c r="BL31">
        <f t="shared" si="5"/>
        <v>6.6533982947624845E-2</v>
      </c>
      <c r="BM31">
        <v>4.6449319727891156</v>
      </c>
      <c r="BN31">
        <v>5.6400018478491888E-2</v>
      </c>
      <c r="BO31">
        <v>396.27148866959413</v>
      </c>
      <c r="BP31" t="s">
        <v>8</v>
      </c>
      <c r="BQ31" t="s">
        <v>8</v>
      </c>
      <c r="BR31" s="10"/>
    </row>
    <row r="32" spans="1:70" x14ac:dyDescent="0.15">
      <c r="A32" t="s">
        <v>41</v>
      </c>
      <c r="B32" t="s">
        <v>46</v>
      </c>
      <c r="C32" t="s">
        <v>3</v>
      </c>
      <c r="D32">
        <v>302</v>
      </c>
      <c r="E32">
        <v>3.2140000000000002E-2</v>
      </c>
      <c r="F32" s="6">
        <v>38168</v>
      </c>
      <c r="G32">
        <v>157</v>
      </c>
      <c r="H32">
        <v>6.666666666666667</v>
      </c>
      <c r="I32">
        <v>26.322152896746324</v>
      </c>
      <c r="J32">
        <v>17.358333333333334</v>
      </c>
      <c r="K32">
        <v>2.5</v>
      </c>
      <c r="L32">
        <v>9.4759750428286757E-2</v>
      </c>
      <c r="M32">
        <f t="shared" si="0"/>
        <v>1.052886115869853E-2</v>
      </c>
      <c r="N32">
        <v>0.93333333333333335</v>
      </c>
      <c r="O32">
        <v>6.6578947368421053</v>
      </c>
      <c r="P32">
        <v>84.9</v>
      </c>
      <c r="Q32">
        <v>1.9</v>
      </c>
      <c r="R32">
        <v>0.77</v>
      </c>
      <c r="T32">
        <v>10.083469642857144</v>
      </c>
      <c r="U32">
        <v>22.655648204081636</v>
      </c>
      <c r="V32">
        <v>1.9</v>
      </c>
      <c r="W32">
        <v>-2.6</v>
      </c>
      <c r="X32">
        <v>22.7</v>
      </c>
      <c r="Y32">
        <v>7.7327753188637955E-3</v>
      </c>
      <c r="Z32">
        <v>8.186857989209104E-3</v>
      </c>
      <c r="AA32">
        <v>7.8490961982043223E-2</v>
      </c>
      <c r="AK32">
        <v>9.239066572217676E-2</v>
      </c>
      <c r="AL32">
        <v>0</v>
      </c>
      <c r="AM32">
        <v>5.6631499868881833E-4</v>
      </c>
      <c r="AN32" s="2"/>
      <c r="AO32" s="4">
        <f t="shared" si="2"/>
        <v>129.31967615308051</v>
      </c>
      <c r="AP32" s="4"/>
      <c r="AQ32">
        <f>((Y32*H32)*1440)</f>
        <v>74.234643061092441</v>
      </c>
      <c r="AW32">
        <v>3.0053732529410651</v>
      </c>
      <c r="AX32">
        <v>37.714217594474476</v>
      </c>
      <c r="AY32">
        <v>9.4899859546888212</v>
      </c>
      <c r="AZ32" s="2"/>
      <c r="BA32">
        <v>3.9140084849014593E-3</v>
      </c>
      <c r="BC32" s="6">
        <v>38168</v>
      </c>
      <c r="BD32">
        <v>18.5</v>
      </c>
      <c r="BE32">
        <v>87</v>
      </c>
      <c r="BF32" s="2"/>
      <c r="BG32">
        <v>4.7039299999999997</v>
      </c>
      <c r="BH32">
        <v>0.100213</v>
      </c>
      <c r="BI32">
        <v>0.13461000000000001</v>
      </c>
      <c r="BJ32">
        <v>5.4614399999999997E-3</v>
      </c>
      <c r="BK32" s="2"/>
      <c r="BL32">
        <f t="shared" si="5"/>
        <v>1.3432389011405708</v>
      </c>
      <c r="BM32">
        <v>4.8420863309352526</v>
      </c>
      <c r="BN32">
        <v>0.5620634451495552</v>
      </c>
      <c r="BO32">
        <v>245.94958493374838</v>
      </c>
      <c r="BP32" t="s">
        <v>40</v>
      </c>
      <c r="BQ32" t="s">
        <v>15</v>
      </c>
      <c r="BR32" s="10"/>
    </row>
    <row r="33" spans="1:70" x14ac:dyDescent="0.15">
      <c r="A33" t="s">
        <v>41</v>
      </c>
      <c r="B33" s="6" t="s">
        <v>47</v>
      </c>
      <c r="C33" t="s">
        <v>10</v>
      </c>
      <c r="D33">
        <v>69</v>
      </c>
      <c r="E33">
        <v>2.7400000000000001E-2</v>
      </c>
      <c r="F33" s="6">
        <v>38160</v>
      </c>
      <c r="G33">
        <v>180</v>
      </c>
      <c r="H33">
        <v>1.5517241379310345</v>
      </c>
      <c r="I33">
        <v>1.3000074164667819</v>
      </c>
      <c r="J33">
        <v>20.375</v>
      </c>
      <c r="K33">
        <v>1.2</v>
      </c>
      <c r="L33">
        <v>4.1889127863929634E-2</v>
      </c>
      <c r="M33">
        <f t="shared" si="0"/>
        <v>1.0833395137223182E-3</v>
      </c>
      <c r="N33">
        <v>6.0250000000000004</v>
      </c>
      <c r="O33">
        <v>3.1315789473684199</v>
      </c>
      <c r="P33">
        <v>155.86153846153846</v>
      </c>
      <c r="Q33">
        <v>2.35</v>
      </c>
      <c r="R33">
        <v>1.56</v>
      </c>
      <c r="T33">
        <v>7.9909166666666778</v>
      </c>
      <c r="U33">
        <v>29.50299</v>
      </c>
      <c r="V33">
        <v>0.2</v>
      </c>
      <c r="W33">
        <v>-1.1000000000000001</v>
      </c>
      <c r="X33">
        <v>29.5</v>
      </c>
      <c r="Y33">
        <v>1.46918202182369E-2</v>
      </c>
      <c r="Z33">
        <v>1.5571726140297974E-3</v>
      </c>
      <c r="AA33">
        <v>9.3565704485575218E-2</v>
      </c>
      <c r="AC33">
        <v>8.0223122210465038E-7</v>
      </c>
      <c r="AK33">
        <v>7.8177465606312335E-2</v>
      </c>
      <c r="AL33">
        <v>8.7544968769425486E-3</v>
      </c>
      <c r="AM33">
        <v>7.77674206183755E-6</v>
      </c>
      <c r="AN33" s="2"/>
      <c r="AO33" s="4">
        <f t="shared" si="2"/>
        <v>68.06508554731046</v>
      </c>
      <c r="AP33" s="4"/>
      <c r="AQ33">
        <f>((Y33*H33)*1440)</f>
        <v>32.828618970405209</v>
      </c>
      <c r="AW33">
        <v>7.0183659236510891</v>
      </c>
      <c r="AX33">
        <v>68.087636429200046</v>
      </c>
      <c r="AY33">
        <v>15.323272731340346</v>
      </c>
      <c r="AZ33" s="2"/>
      <c r="BA33">
        <v>1.1340983741007194E-2</v>
      </c>
      <c r="BC33" s="6">
        <v>38160</v>
      </c>
      <c r="BD33">
        <v>21.1</v>
      </c>
      <c r="BE33">
        <v>25</v>
      </c>
      <c r="BF33" s="2"/>
      <c r="BK33" s="2"/>
      <c r="BP33" t="s">
        <v>40</v>
      </c>
      <c r="BQ33" t="s">
        <v>8</v>
      </c>
      <c r="BR33" s="10"/>
    </row>
    <row r="34" spans="1:70" x14ac:dyDescent="0.15">
      <c r="A34" t="s">
        <v>41</v>
      </c>
      <c r="B34" s="6" t="s">
        <v>48</v>
      </c>
      <c r="C34" t="s">
        <v>6</v>
      </c>
      <c r="D34">
        <v>742</v>
      </c>
      <c r="E34">
        <v>1.41E-2</v>
      </c>
      <c r="F34" s="6">
        <v>38134</v>
      </c>
      <c r="G34">
        <v>280</v>
      </c>
      <c r="H34">
        <v>0.90909090909090906</v>
      </c>
      <c r="I34">
        <v>1.5524805543863189</v>
      </c>
      <c r="J34">
        <v>27.083333333333332</v>
      </c>
      <c r="K34">
        <v>2.1</v>
      </c>
      <c r="L34">
        <v>4.8792245994998602E-2</v>
      </c>
      <c r="M34">
        <f t="shared" si="0"/>
        <v>7.3927645446967563E-4</v>
      </c>
      <c r="N34">
        <v>277.43333333333328</v>
      </c>
      <c r="O34">
        <v>28.285897435897432</v>
      </c>
      <c r="P34">
        <v>442.43869756734034</v>
      </c>
      <c r="Q34">
        <v>35.4</v>
      </c>
      <c r="R34">
        <v>3.81</v>
      </c>
      <c r="T34">
        <v>10.741666101694921</v>
      </c>
      <c r="U34">
        <v>56.13</v>
      </c>
      <c r="V34">
        <v>11.9</v>
      </c>
      <c r="W34">
        <v>-6.7</v>
      </c>
      <c r="X34">
        <v>56.1</v>
      </c>
      <c r="Y34">
        <v>7.8695183610810321E-3</v>
      </c>
      <c r="Z34">
        <v>5.9357668634798871E-4</v>
      </c>
      <c r="AA34">
        <v>1.4506679663201634</v>
      </c>
      <c r="AB34">
        <v>2.748356012298391E-3</v>
      </c>
      <c r="AC34">
        <v>3.0893105992106556E-6</v>
      </c>
      <c r="AE34">
        <v>2.7514453228976018E-3</v>
      </c>
      <c r="AF34">
        <v>0.34963325538510304</v>
      </c>
      <c r="AG34">
        <v>1.1227955625726341E-3</v>
      </c>
      <c r="AH34">
        <v>2.0340787429789107E-4</v>
      </c>
      <c r="AI34">
        <v>0.55499055213655624</v>
      </c>
      <c r="AJ34">
        <f>3600*AH34/ (L34*100)</f>
        <v>0.15007883579441461</v>
      </c>
      <c r="AK34">
        <v>0.46466674070789293</v>
      </c>
      <c r="AL34">
        <v>1.8558724524511763E-2</v>
      </c>
      <c r="AM34">
        <v>3.6290651475101437E-7</v>
      </c>
      <c r="AN34" s="2"/>
      <c r="AO34" s="4">
        <f t="shared" si="2"/>
        <v>127.07257980939896</v>
      </c>
      <c r="AP34" s="4">
        <f t="shared" si="3"/>
        <v>363.44534695200849</v>
      </c>
      <c r="AQ34">
        <f>((Y34*H34)*1440)</f>
        <v>10.30191494541517</v>
      </c>
      <c r="AR34">
        <f>((AE34*H34)*1440)</f>
        <v>3.6018920590659516</v>
      </c>
      <c r="AS34">
        <f t="shared" si="7"/>
        <v>5.1180730381834303E-3</v>
      </c>
      <c r="AT34">
        <f t="shared" si="4"/>
        <v>195.38603543550295</v>
      </c>
      <c r="AU34">
        <f>Z34-AH34</f>
        <v>3.9016881205009761E-4</v>
      </c>
      <c r="AV34">
        <f>AA34-AI34</f>
        <v>0.89567741418360713</v>
      </c>
      <c r="AW34">
        <v>65.771411799960234</v>
      </c>
      <c r="AX34">
        <v>0</v>
      </c>
      <c r="AY34">
        <v>0</v>
      </c>
      <c r="AZ34" s="2"/>
      <c r="BA34">
        <v>1.46134409352518E-2</v>
      </c>
      <c r="BC34" s="6">
        <v>38133</v>
      </c>
      <c r="BE34">
        <v>80</v>
      </c>
      <c r="BF34" s="2"/>
      <c r="BK34" s="2"/>
      <c r="BP34" t="s">
        <v>49</v>
      </c>
      <c r="BQ34" t="s">
        <v>4</v>
      </c>
      <c r="BR34" s="10"/>
    </row>
    <row r="35" spans="1:70" x14ac:dyDescent="0.15">
      <c r="A35" t="s">
        <v>41</v>
      </c>
      <c r="B35" s="6" t="s">
        <v>50</v>
      </c>
      <c r="C35" t="s">
        <v>3</v>
      </c>
      <c r="D35">
        <v>342</v>
      </c>
      <c r="E35">
        <v>3.7810000000000003E-2</v>
      </c>
      <c r="F35" s="6">
        <v>38489</v>
      </c>
      <c r="G35">
        <v>260</v>
      </c>
      <c r="H35">
        <v>1.1499999999999999</v>
      </c>
      <c r="I35">
        <v>4.3568976285441625</v>
      </c>
      <c r="J35">
        <v>14.916666666666668</v>
      </c>
      <c r="K35">
        <v>2.4</v>
      </c>
      <c r="L35">
        <v>9.4715165837916587E-2</v>
      </c>
      <c r="M35">
        <f t="shared" si="0"/>
        <v>1.815374011893401E-3</v>
      </c>
      <c r="N35">
        <v>1.2432651510881771</v>
      </c>
      <c r="O35">
        <v>4.6769230769230763</v>
      </c>
      <c r="P35">
        <v>97.606288208521349</v>
      </c>
      <c r="Q35">
        <v>1.0333333333333334</v>
      </c>
      <c r="R35">
        <v>0.54</v>
      </c>
      <c r="T35">
        <v>10.00690689655173</v>
      </c>
      <c r="U35">
        <v>22.325760000000002</v>
      </c>
      <c r="V35">
        <v>1.5</v>
      </c>
      <c r="W35">
        <v>-1.9</v>
      </c>
      <c r="X35">
        <v>51.7</v>
      </c>
      <c r="Y35">
        <v>5.0656221912982288E-2</v>
      </c>
      <c r="Z35">
        <v>8.8541896872631962E-3</v>
      </c>
      <c r="AA35">
        <v>0.10815136916541704</v>
      </c>
      <c r="AK35">
        <v>7.5147839779045378E-2</v>
      </c>
      <c r="AN35" s="2"/>
      <c r="AO35" s="4">
        <f t="shared" si="2"/>
        <v>19.740911624199075</v>
      </c>
      <c r="AP35" s="4"/>
      <c r="AQ35">
        <f>((Y35*H35)*1440)</f>
        <v>83.886703487898657</v>
      </c>
      <c r="AW35">
        <v>24.823818310697149</v>
      </c>
      <c r="AX35">
        <v>269.18225022503225</v>
      </c>
      <c r="AY35">
        <v>175.6047179813965</v>
      </c>
      <c r="AZ35" s="2"/>
      <c r="BA35">
        <v>1.2566055649747322E-3</v>
      </c>
      <c r="BC35" s="6">
        <v>38487</v>
      </c>
      <c r="BD35">
        <v>17</v>
      </c>
      <c r="BE35">
        <v>95</v>
      </c>
      <c r="BF35" s="2"/>
      <c r="BG35">
        <v>4.9912699999999997E-2</v>
      </c>
      <c r="BH35">
        <v>0.163547</v>
      </c>
      <c r="BI35">
        <v>8.1636600000000004E-2</v>
      </c>
      <c r="BJ35">
        <v>1.9820800000000001E-4</v>
      </c>
      <c r="BK35" s="2"/>
      <c r="BL35">
        <f t="shared" ref="BL35:BL51" si="8">BI35/BH35</f>
        <v>0.49916293175662046</v>
      </c>
      <c r="BM35">
        <v>25.998917197452229</v>
      </c>
      <c r="BN35">
        <v>0.29072430479177652</v>
      </c>
      <c r="BO35">
        <v>2518.3793376484323</v>
      </c>
      <c r="BP35" t="s">
        <v>40</v>
      </c>
      <c r="BQ35" t="s">
        <v>15</v>
      </c>
      <c r="BR35" s="10"/>
    </row>
    <row r="36" spans="1:70" ht="14.25" customHeight="1" x14ac:dyDescent="0.15">
      <c r="A36" t="s">
        <v>41</v>
      </c>
      <c r="B36" s="6" t="s">
        <v>51</v>
      </c>
      <c r="C36" t="s">
        <v>10</v>
      </c>
      <c r="D36">
        <v>730</v>
      </c>
      <c r="E36">
        <v>1.8700000000000001E-2</v>
      </c>
      <c r="F36" s="6">
        <v>38530</v>
      </c>
      <c r="G36">
        <v>290</v>
      </c>
      <c r="H36">
        <v>2.8</v>
      </c>
      <c r="I36">
        <v>5.4336935273301066</v>
      </c>
      <c r="J36">
        <v>20.75416666666667</v>
      </c>
      <c r="K36">
        <v>1.59</v>
      </c>
      <c r="L36">
        <v>7.3230370988276366E-2</v>
      </c>
      <c r="M36">
        <f t="shared" si="0"/>
        <v>3.4174173127862304E-3</v>
      </c>
      <c r="N36">
        <v>21162.314973120505</v>
      </c>
      <c r="O36">
        <v>3.361179692307692</v>
      </c>
      <c r="Q36">
        <v>16.222222222222221</v>
      </c>
      <c r="R36">
        <v>2.42</v>
      </c>
      <c r="T36">
        <v>7.3111076388888883</v>
      </c>
      <c r="U36">
        <v>48.264699999999998</v>
      </c>
      <c r="V36">
        <v>3.9</v>
      </c>
      <c r="W36">
        <v>-2.8</v>
      </c>
      <c r="X36">
        <v>58.8</v>
      </c>
      <c r="Y36">
        <v>1.8944647669046309E-3</v>
      </c>
      <c r="Z36">
        <v>5.920874426706247E-4</v>
      </c>
      <c r="AA36">
        <v>126.56563612654156</v>
      </c>
      <c r="AB36">
        <v>3.5457499999999997E-5</v>
      </c>
      <c r="AC36" s="13">
        <v>3.5854999999999999E-7</v>
      </c>
      <c r="AD36" s="13"/>
      <c r="AE36">
        <v>3.5816009996254811E-5</v>
      </c>
      <c r="AF36">
        <v>1.8905608920230618E-2</v>
      </c>
      <c r="AG36">
        <v>1.0011022271511677E-2</v>
      </c>
      <c r="AH36">
        <v>1.2041607553461579E-5</v>
      </c>
      <c r="AI36">
        <v>2.5468165256637629</v>
      </c>
      <c r="AJ36">
        <f>3600*AH36/ (L36*100)</f>
        <v>5.9196459894217471E-3</v>
      </c>
      <c r="AK36">
        <v>59.173188273225243</v>
      </c>
      <c r="AL36">
        <v>1.355073226101234E-2</v>
      </c>
      <c r="AM36">
        <v>9.0064223252497164E-7</v>
      </c>
      <c r="AN36" s="2"/>
      <c r="AO36" s="4">
        <f t="shared" si="2"/>
        <v>527.85357504109277</v>
      </c>
      <c r="AP36" s="4">
        <f t="shared" si="3"/>
        <v>27920.474673325349</v>
      </c>
      <c r="AQ36">
        <f>((Y36*H36)*1440)</f>
        <v>7.6384819401594717</v>
      </c>
      <c r="AR36">
        <f>((AE36*H36)*1440)</f>
        <v>0.1444101523048994</v>
      </c>
      <c r="AS36">
        <f t="shared" si="7"/>
        <v>1.8586487569083761E-3</v>
      </c>
      <c r="AT36">
        <f t="shared" si="4"/>
        <v>538.02527039233155</v>
      </c>
      <c r="AU36">
        <f>Z36-AH36</f>
        <v>5.8004583511716309E-4</v>
      </c>
      <c r="AV36">
        <f>AA36-AI36</f>
        <v>124.0188196008778</v>
      </c>
      <c r="AW36">
        <v>90.344931193999997</v>
      </c>
      <c r="AX36">
        <v>269.77306578928909</v>
      </c>
      <c r="AY36">
        <v>36.033737675254024</v>
      </c>
      <c r="AZ36" s="2"/>
      <c r="BA36">
        <v>3.735E-3</v>
      </c>
      <c r="BC36" s="6">
        <v>38524</v>
      </c>
      <c r="BD36">
        <v>22</v>
      </c>
      <c r="BE36">
        <v>130</v>
      </c>
      <c r="BF36" s="2"/>
      <c r="BG36">
        <v>0.108991</v>
      </c>
      <c r="BH36">
        <v>0.113387</v>
      </c>
      <c r="BI36">
        <v>2.63187E-2</v>
      </c>
      <c r="BJ36">
        <v>3.6403999999999999E-4</v>
      </c>
      <c r="BK36" s="2"/>
      <c r="BL36">
        <f t="shared" si="8"/>
        <v>0.23211391076578444</v>
      </c>
      <c r="BM36">
        <v>4.460796610169492</v>
      </c>
      <c r="BN36">
        <v>0.14189553655169526</v>
      </c>
      <c r="BO36">
        <v>637.60551248704655</v>
      </c>
      <c r="BP36" t="s">
        <v>8</v>
      </c>
      <c r="BQ36" t="s">
        <v>8</v>
      </c>
      <c r="BR36" s="10"/>
    </row>
    <row r="37" spans="1:70" x14ac:dyDescent="0.15">
      <c r="A37" t="s">
        <v>41</v>
      </c>
      <c r="B37" s="6" t="s">
        <v>52</v>
      </c>
      <c r="C37" t="s">
        <v>6</v>
      </c>
      <c r="D37">
        <v>440</v>
      </c>
      <c r="E37">
        <v>2.606E-2</v>
      </c>
      <c r="F37" s="6">
        <v>38511</v>
      </c>
      <c r="G37">
        <v>300</v>
      </c>
      <c r="H37">
        <v>2.7027027027027026</v>
      </c>
      <c r="I37">
        <v>20.098513612381247</v>
      </c>
      <c r="J37">
        <v>19.716666666666669</v>
      </c>
      <c r="K37">
        <v>3.25</v>
      </c>
      <c r="L37">
        <v>0.13728830836765038</v>
      </c>
      <c r="M37">
        <f t="shared" si="0"/>
        <v>6.1841580345788454E-3</v>
      </c>
      <c r="N37">
        <v>167.63333333333333</v>
      </c>
      <c r="O37">
        <v>24.171428571428571</v>
      </c>
      <c r="P37">
        <v>158.97292018499527</v>
      </c>
      <c r="Q37">
        <v>7.1857142857142851</v>
      </c>
      <c r="R37">
        <v>1.66</v>
      </c>
      <c r="T37">
        <v>8.3495172413793064</v>
      </c>
      <c r="U37">
        <v>12.454879999999999</v>
      </c>
      <c r="V37">
        <v>1</v>
      </c>
      <c r="W37">
        <v>-0.9</v>
      </c>
      <c r="X37">
        <v>52.4</v>
      </c>
      <c r="Y37">
        <v>1.2867934894924254E-3</v>
      </c>
      <c r="Z37">
        <v>7.4890743754816463E-4</v>
      </c>
      <c r="AA37">
        <v>1.219221308328412</v>
      </c>
      <c r="AB37">
        <v>1.5124334555243119E-4</v>
      </c>
      <c r="AC37" s="13">
        <v>7.5311999999999996E-7</v>
      </c>
      <c r="AD37" s="13"/>
      <c r="AE37">
        <v>1.5199646446972196E-4</v>
      </c>
      <c r="AF37">
        <v>0.11812032444279527</v>
      </c>
      <c r="AG37">
        <v>4.9548449690472651E-3</v>
      </c>
      <c r="AH37">
        <v>9.4496670270702722E-5</v>
      </c>
      <c r="AI37">
        <v>0.1590855439761229</v>
      </c>
      <c r="AJ37">
        <f>3600*AH37/ (L37*100)</f>
        <v>2.4779095686977611E-2</v>
      </c>
      <c r="AK37">
        <v>1.0443723959299644</v>
      </c>
      <c r="AL37">
        <v>2.4210615183865797E-3</v>
      </c>
      <c r="AM37">
        <v>2.0120288633163641E-4</v>
      </c>
      <c r="AN37" s="2"/>
      <c r="AO37" s="4">
        <f t="shared" si="2"/>
        <v>777.12547364103398</v>
      </c>
      <c r="AP37" s="4">
        <f t="shared" si="3"/>
        <v>6579.1003987411978</v>
      </c>
      <c r="AQ37">
        <f>((Y37*H37)*1440)</f>
        <v>5.0080611482948445</v>
      </c>
      <c r="AR37">
        <f>((AE37*H37)*1440)</f>
        <v>0.5915538076659449</v>
      </c>
      <c r="AS37">
        <f t="shared" si="7"/>
        <v>1.1347970250227034E-3</v>
      </c>
      <c r="AT37">
        <f t="shared" si="4"/>
        <v>881.21485864839428</v>
      </c>
      <c r="AU37">
        <f>Z37-AH37</f>
        <v>6.5441076727746185E-4</v>
      </c>
      <c r="AV37">
        <f>AA37-AI37</f>
        <v>1.0601357643522891</v>
      </c>
      <c r="AW37">
        <v>4.9470466116313965</v>
      </c>
      <c r="AX37">
        <v>95.729398694455909</v>
      </c>
      <c r="AY37">
        <v>20.193717538356349</v>
      </c>
      <c r="AZ37" s="2"/>
      <c r="BA37">
        <v>4.727764365518485E-3</v>
      </c>
      <c r="BC37" s="6">
        <v>38534</v>
      </c>
      <c r="BD37">
        <v>21</v>
      </c>
      <c r="BE37">
        <v>80</v>
      </c>
      <c r="BF37" s="2"/>
      <c r="BG37">
        <v>0.15105499999999999</v>
      </c>
      <c r="BH37">
        <v>0.46010299999999998</v>
      </c>
      <c r="BI37">
        <v>5.8009699999999997E-2</v>
      </c>
      <c r="BJ37">
        <v>3.52789E-4</v>
      </c>
      <c r="BK37" s="2"/>
      <c r="BL37">
        <f t="shared" si="8"/>
        <v>0.12607981256370857</v>
      </c>
      <c r="BM37">
        <v>3.1021229946524063</v>
      </c>
      <c r="BN37">
        <v>9.2233530308418979E-2</v>
      </c>
      <c r="BO37">
        <v>357.38022603796765</v>
      </c>
      <c r="BP37" t="s">
        <v>8</v>
      </c>
      <c r="BQ37" t="s">
        <v>8</v>
      </c>
      <c r="BR37" s="10"/>
    </row>
    <row r="38" spans="1:70" x14ac:dyDescent="0.15">
      <c r="A38" t="s">
        <v>53</v>
      </c>
      <c r="B38" t="s">
        <v>54</v>
      </c>
      <c r="C38" t="s">
        <v>3</v>
      </c>
      <c r="D38">
        <v>7577</v>
      </c>
      <c r="E38">
        <v>1.9E-2</v>
      </c>
      <c r="F38" s="6">
        <v>37810</v>
      </c>
      <c r="G38">
        <v>300</v>
      </c>
      <c r="H38">
        <v>11.666700000000001</v>
      </c>
      <c r="I38">
        <v>55.692463162694608</v>
      </c>
      <c r="J38">
        <v>16.829999999999998</v>
      </c>
      <c r="K38">
        <v>4.7249999999999996</v>
      </c>
      <c r="L38">
        <v>6.0617473787021404E-2</v>
      </c>
      <c r="M38">
        <f t="shared" si="0"/>
        <v>1.1786764690517378E-2</v>
      </c>
      <c r="N38">
        <v>0.13333333333333336</v>
      </c>
      <c r="O38">
        <v>1.6857575757575758</v>
      </c>
      <c r="P38">
        <v>109.82080020000001</v>
      </c>
      <c r="Q38">
        <v>2.4</v>
      </c>
      <c r="R38">
        <v>2.1749999999999998</v>
      </c>
      <c r="T38">
        <v>7.3293749999999998</v>
      </c>
      <c r="V38">
        <v>2.8</v>
      </c>
      <c r="W38">
        <v>-4</v>
      </c>
      <c r="Y38">
        <v>3.8500000000000001E-3</v>
      </c>
      <c r="Z38">
        <v>4.5503285411700126E-3</v>
      </c>
      <c r="AA38">
        <v>5.1394512575057057E-3</v>
      </c>
      <c r="AC38" s="12">
        <v>8.0630000000000001E-7</v>
      </c>
      <c r="AD38" s="12"/>
      <c r="AK38">
        <v>3.9269700018787698E-3</v>
      </c>
      <c r="AL38">
        <v>-5.9570982860459049E-3</v>
      </c>
      <c r="AM38">
        <v>3.2362720273677134E-5</v>
      </c>
      <c r="AN38" s="2"/>
      <c r="AO38" s="4">
        <f t="shared" si="2"/>
        <v>259.74025974025972</v>
      </c>
      <c r="AP38" s="4"/>
      <c r="AQ38">
        <f>((Y38*H38)*1440)</f>
        <v>64.680184800000006</v>
      </c>
      <c r="AW38">
        <v>3.59</v>
      </c>
      <c r="AX38">
        <v>69.933999999999997</v>
      </c>
      <c r="AY38">
        <v>34.9</v>
      </c>
      <c r="AZ38" s="2"/>
      <c r="BB38">
        <v>3.2000000000000002E-3</v>
      </c>
      <c r="BC38" s="6">
        <v>37811</v>
      </c>
      <c r="BD38">
        <v>16.04</v>
      </c>
      <c r="BE38">
        <v>250</v>
      </c>
      <c r="BF38" s="2"/>
      <c r="BG38">
        <v>0.26909499999999997</v>
      </c>
      <c r="BH38">
        <v>0.33310800000000002</v>
      </c>
      <c r="BI38">
        <v>5.6749000000000001E-2</v>
      </c>
      <c r="BJ38">
        <v>8.8785700000000003E-4</v>
      </c>
      <c r="BK38" s="2"/>
      <c r="BL38">
        <f t="shared" si="8"/>
        <v>0.17036216482342062</v>
      </c>
      <c r="BM38">
        <v>0.96021996615905247</v>
      </c>
      <c r="BN38">
        <v>9.2059459208596456E-2</v>
      </c>
      <c r="BO38">
        <v>191.8801843353385</v>
      </c>
      <c r="BP38" t="s">
        <v>4</v>
      </c>
      <c r="BQ38" t="s">
        <v>4</v>
      </c>
      <c r="BR38" s="14"/>
    </row>
    <row r="39" spans="1:70" x14ac:dyDescent="0.15">
      <c r="A39" t="s">
        <v>53</v>
      </c>
      <c r="B39" t="s">
        <v>55</v>
      </c>
      <c r="C39" t="s">
        <v>10</v>
      </c>
      <c r="D39">
        <v>165</v>
      </c>
      <c r="E39">
        <v>4.0000000000000001E-3</v>
      </c>
      <c r="F39" s="6">
        <v>37806</v>
      </c>
      <c r="G39">
        <v>500</v>
      </c>
      <c r="H39">
        <v>10.199999999999999</v>
      </c>
      <c r="I39">
        <v>158.46458333333334</v>
      </c>
      <c r="J39">
        <v>12.022874999999999</v>
      </c>
      <c r="K39">
        <v>5.7172727272727268</v>
      </c>
      <c r="L39">
        <v>0.16304008087572763</v>
      </c>
      <c r="M39">
        <f t="shared" si="0"/>
        <v>2.7716813748873696E-2</v>
      </c>
      <c r="N39">
        <v>49.668333333333329</v>
      </c>
      <c r="O39">
        <v>3.0036756410256413</v>
      </c>
      <c r="P39">
        <v>92.227973916666684</v>
      </c>
      <c r="Q39">
        <v>2.8</v>
      </c>
      <c r="R39">
        <v>1.9650000000000001</v>
      </c>
      <c r="V39">
        <v>16.2</v>
      </c>
      <c r="W39">
        <v>-11.4</v>
      </c>
      <c r="Y39">
        <v>5.6500000000000005E-3</v>
      </c>
      <c r="Z39">
        <v>1.5659999768113636E-2</v>
      </c>
      <c r="AA39">
        <v>7.6418119576398826</v>
      </c>
      <c r="AC39">
        <v>3.1075715483508447E-8</v>
      </c>
      <c r="AK39">
        <v>11.091817351979206</v>
      </c>
      <c r="AL39">
        <v>4.8334114957796569E-2</v>
      </c>
      <c r="AM39">
        <v>6.5475007495985365E-5</v>
      </c>
      <c r="AN39" s="2"/>
      <c r="AO39" s="4">
        <f t="shared" si="2"/>
        <v>176.99115044247787</v>
      </c>
      <c r="AP39" s="4"/>
      <c r="AQ39">
        <f>((Y39*H39)*1440)</f>
        <v>82.987200000000001</v>
      </c>
      <c r="AW39">
        <v>258.37885499999999</v>
      </c>
      <c r="AX39">
        <v>2121.1999999999998</v>
      </c>
      <c r="AY39">
        <v>817.9</v>
      </c>
      <c r="AZ39" s="2"/>
      <c r="BB39">
        <v>1.6999999999999999E-3</v>
      </c>
      <c r="BC39" s="6">
        <v>38155</v>
      </c>
      <c r="BD39">
        <v>13.7</v>
      </c>
      <c r="BE39">
        <v>550</v>
      </c>
      <c r="BF39" s="2"/>
      <c r="BG39">
        <v>1.0541</v>
      </c>
      <c r="BH39">
        <v>1.22603</v>
      </c>
      <c r="BI39">
        <v>0.36944100000000002</v>
      </c>
      <c r="BJ39">
        <v>6.1454599999999999E-4</v>
      </c>
      <c r="BK39" s="2"/>
      <c r="BL39">
        <f t="shared" si="8"/>
        <v>0.30133112566576675</v>
      </c>
      <c r="BM39">
        <v>1.4996590217170691</v>
      </c>
      <c r="BN39">
        <v>0.10595260224207617</v>
      </c>
      <c r="BO39">
        <v>490.33127815617837</v>
      </c>
      <c r="BP39" t="s">
        <v>21</v>
      </c>
      <c r="BQ39" t="s">
        <v>21</v>
      </c>
      <c r="BR39" s="14"/>
    </row>
    <row r="40" spans="1:70" x14ac:dyDescent="0.15">
      <c r="A40" t="s">
        <v>53</v>
      </c>
      <c r="B40" t="s">
        <v>56</v>
      </c>
      <c r="C40" t="s">
        <v>6</v>
      </c>
      <c r="D40">
        <v>160565</v>
      </c>
      <c r="E40">
        <v>6.0000000000000001E-3</v>
      </c>
      <c r="F40" s="6">
        <v>37822</v>
      </c>
      <c r="G40">
        <v>436</v>
      </c>
      <c r="H40">
        <v>14.35</v>
      </c>
      <c r="I40">
        <v>110.04856054701426</v>
      </c>
      <c r="J40">
        <v>18.566499999999998</v>
      </c>
      <c r="K40">
        <v>2.5666666666666669</v>
      </c>
      <c r="L40">
        <v>0.17927273540397815</v>
      </c>
      <c r="M40">
        <f t="shared" si="0"/>
        <v>4.2876062550784771E-2</v>
      </c>
      <c r="N40">
        <v>0.77500000000000002</v>
      </c>
      <c r="O40">
        <v>1</v>
      </c>
      <c r="P40">
        <v>103.41370466666666</v>
      </c>
      <c r="Q40">
        <v>2.0699999999999998</v>
      </c>
      <c r="R40">
        <v>0.28999999999999998</v>
      </c>
      <c r="S40">
        <v>318.91666666666674</v>
      </c>
      <c r="T40">
        <v>7.1</v>
      </c>
      <c r="V40">
        <v>4.2</v>
      </c>
      <c r="W40">
        <v>-10</v>
      </c>
      <c r="Y40">
        <v>3.8999999999999998E-3</v>
      </c>
      <c r="Z40">
        <v>1.709592046409213E-2</v>
      </c>
      <c r="AA40">
        <v>0.17182919099679464</v>
      </c>
      <c r="AC40" s="12">
        <v>2.9280000000000002E-6</v>
      </c>
      <c r="AD40" s="12"/>
      <c r="AK40">
        <v>3.7107007067923872E-2</v>
      </c>
      <c r="AL40">
        <v>0.05</v>
      </c>
      <c r="AM40">
        <v>7.705132700160636E-3</v>
      </c>
      <c r="AN40" s="2"/>
      <c r="AO40" s="4">
        <f t="shared" si="2"/>
        <v>256.41025641025641</v>
      </c>
      <c r="AP40" s="4"/>
      <c r="AQ40">
        <f>((Y40*H40)*1440)</f>
        <v>80.58959999999999</v>
      </c>
      <c r="AW40">
        <v>87.743279999999999</v>
      </c>
      <c r="AX40">
        <v>106.75125</v>
      </c>
      <c r="AY40">
        <v>32.231250000000003</v>
      </c>
      <c r="AZ40" s="2"/>
      <c r="BB40">
        <v>1.1999999999999999E-3</v>
      </c>
      <c r="BC40" s="6">
        <v>37823</v>
      </c>
      <c r="BD40">
        <v>16.91</v>
      </c>
      <c r="BE40">
        <v>350</v>
      </c>
      <c r="BF40" s="2"/>
      <c r="BG40">
        <v>0.429562</v>
      </c>
      <c r="BH40">
        <v>0.456262</v>
      </c>
      <c r="BI40">
        <v>5.7419600000000001E-2</v>
      </c>
      <c r="BJ40">
        <v>5.6293499999999998E-4</v>
      </c>
      <c r="BK40" s="2"/>
      <c r="BL40">
        <f t="shared" si="8"/>
        <v>0.12584786811086612</v>
      </c>
      <c r="BM40">
        <v>0.57609712049764228</v>
      </c>
      <c r="BN40">
        <v>4.5017804738971337E-2</v>
      </c>
      <c r="BO40">
        <v>223.556659491533</v>
      </c>
      <c r="BP40" t="s">
        <v>21</v>
      </c>
      <c r="BQ40" t="s">
        <v>21</v>
      </c>
      <c r="BR40" s="3"/>
    </row>
    <row r="41" spans="1:70" x14ac:dyDescent="0.15">
      <c r="A41" t="s">
        <v>53</v>
      </c>
      <c r="B41" t="s">
        <v>57</v>
      </c>
      <c r="C41" t="s">
        <v>3</v>
      </c>
      <c r="D41">
        <v>2935</v>
      </c>
      <c r="E41">
        <v>0.01</v>
      </c>
      <c r="F41" s="6">
        <v>38185</v>
      </c>
      <c r="G41">
        <v>400</v>
      </c>
      <c r="H41">
        <v>15.6</v>
      </c>
      <c r="I41">
        <v>64.501527351133291</v>
      </c>
      <c r="J41">
        <v>12.84</v>
      </c>
      <c r="K41">
        <v>2.8552631578947372</v>
      </c>
      <c r="L41">
        <v>8.6886141061434413E-2</v>
      </c>
      <c r="M41">
        <f t="shared" si="0"/>
        <v>2.2590396675972946E-2</v>
      </c>
      <c r="N41">
        <v>18.855290000000004</v>
      </c>
      <c r="O41">
        <v>3.8</v>
      </c>
      <c r="P41">
        <v>84.915873433333331</v>
      </c>
      <c r="Q41">
        <v>10.01</v>
      </c>
      <c r="R41">
        <v>1.2849999999999999</v>
      </c>
      <c r="T41">
        <v>7.04</v>
      </c>
      <c r="V41">
        <v>2.9</v>
      </c>
      <c r="W41">
        <v>-12.6</v>
      </c>
      <c r="Y41">
        <v>2.15E-3</v>
      </c>
      <c r="Z41">
        <v>4.7350763385268909E-3</v>
      </c>
      <c r="AA41">
        <v>0.84596979178259257</v>
      </c>
      <c r="AB41">
        <v>1.833844201935974E-4</v>
      </c>
      <c r="AE41">
        <v>1.833844201935974E-4</v>
      </c>
      <c r="AF41">
        <v>8.5295079159812742E-2</v>
      </c>
      <c r="AH41">
        <v>4.1427267963666691E-4</v>
      </c>
      <c r="AI41">
        <v>7.9624043739672662E-2</v>
      </c>
      <c r="AJ41">
        <f>3600*AH41/ (L41*100)</f>
        <v>0.17164781730120718</v>
      </c>
      <c r="AK41">
        <v>0.53078502779278458</v>
      </c>
      <c r="AN41" s="2"/>
      <c r="AO41" s="4">
        <f t="shared" si="2"/>
        <v>465.11627906976742</v>
      </c>
      <c r="AP41" s="4">
        <f t="shared" si="3"/>
        <v>5453.0259383229413</v>
      </c>
      <c r="AQ41">
        <f>((Y41*H41)*1440)</f>
        <v>48.297600000000003</v>
      </c>
      <c r="AR41">
        <f>((AE41*H41)*1440)</f>
        <v>4.1195476152289725</v>
      </c>
      <c r="AS41">
        <f t="shared" si="7"/>
        <v>1.9666155798064027E-3</v>
      </c>
      <c r="AT41">
        <f t="shared" si="4"/>
        <v>508.48778493783817</v>
      </c>
      <c r="AU41">
        <f>Z41-AH41</f>
        <v>4.3208036588902243E-3</v>
      </c>
      <c r="AV41">
        <f>AA41-AI41</f>
        <v>0.76634574804291988</v>
      </c>
      <c r="AW41">
        <v>6.9700000000000006</v>
      </c>
      <c r="AX41">
        <v>48.13</v>
      </c>
      <c r="AY41">
        <v>19.559999999999999</v>
      </c>
      <c r="AZ41" s="2"/>
      <c r="BB41">
        <v>2.3700000000000001E-3</v>
      </c>
      <c r="BC41" s="6">
        <v>38185</v>
      </c>
      <c r="BD41">
        <v>16</v>
      </c>
      <c r="BE41">
        <v>350</v>
      </c>
      <c r="BF41" s="2"/>
      <c r="BG41">
        <v>0.71149499999999999</v>
      </c>
      <c r="BH41">
        <v>0.25738699999999998</v>
      </c>
      <c r="BI41">
        <v>3.1114200000000002E-2</v>
      </c>
      <c r="BJ41">
        <v>7.5887999999999997E-4</v>
      </c>
      <c r="BK41" s="2"/>
      <c r="BL41">
        <f t="shared" si="8"/>
        <v>0.12088489317642306</v>
      </c>
      <c r="BM41">
        <v>0.45769638128861434</v>
      </c>
      <c r="BN41">
        <v>4.7140456844297851E-2</v>
      </c>
      <c r="BO41">
        <v>159.29381875451071</v>
      </c>
      <c r="BP41" t="s">
        <v>21</v>
      </c>
      <c r="BQ41" t="s">
        <v>17</v>
      </c>
      <c r="BR41" s="14"/>
    </row>
    <row r="42" spans="1:70" x14ac:dyDescent="0.15">
      <c r="A42" t="s">
        <v>53</v>
      </c>
      <c r="B42" t="s">
        <v>58</v>
      </c>
      <c r="C42" t="s">
        <v>10</v>
      </c>
      <c r="D42">
        <v>78.430000000000007</v>
      </c>
      <c r="E42">
        <v>3.0000000000000001E-3</v>
      </c>
      <c r="F42" s="6">
        <v>38178</v>
      </c>
      <c r="G42">
        <v>500</v>
      </c>
      <c r="H42">
        <v>9.6</v>
      </c>
      <c r="I42">
        <v>131.06174716824648</v>
      </c>
      <c r="J42">
        <v>15.966666666666665</v>
      </c>
      <c r="K42">
        <v>5.16</v>
      </c>
      <c r="L42">
        <v>0.15874727127936833</v>
      </c>
      <c r="M42">
        <f t="shared" si="0"/>
        <v>2.5399563404698931E-2</v>
      </c>
      <c r="N42">
        <v>0.67013600000000029</v>
      </c>
      <c r="O42">
        <v>2.9</v>
      </c>
      <c r="P42">
        <v>140.89060316666672</v>
      </c>
      <c r="Q42">
        <v>15.3</v>
      </c>
      <c r="R42">
        <v>0.78500000000000003</v>
      </c>
      <c r="T42">
        <v>5.7879861111111097</v>
      </c>
      <c r="U42">
        <v>69.900000000000006</v>
      </c>
      <c r="V42">
        <v>3.3</v>
      </c>
      <c r="W42">
        <v>-7.1</v>
      </c>
      <c r="X42">
        <v>69.900000000000006</v>
      </c>
      <c r="Y42">
        <v>1.18E-2</v>
      </c>
      <c r="Z42">
        <v>2.9838788815887245E-2</v>
      </c>
      <c r="AA42">
        <v>0.20377376132224395</v>
      </c>
      <c r="AB42">
        <v>5.8060132732985501E-3</v>
      </c>
      <c r="AE42">
        <v>5.8060132732985501E-3</v>
      </c>
      <c r="AF42">
        <v>0.49203502316089409</v>
      </c>
      <c r="AH42">
        <v>1.4747020226367013E-2</v>
      </c>
      <c r="AI42">
        <v>9.8719396880825303E-2</v>
      </c>
      <c r="AJ42">
        <f>3600*AH42/ (L42*100)</f>
        <v>3.3442636454199652</v>
      </c>
      <c r="AK42">
        <v>0.14430461486094065</v>
      </c>
      <c r="AL42">
        <v>2.7179149837228619E-3</v>
      </c>
      <c r="AM42">
        <v>-1.1133937232144891E-4</v>
      </c>
      <c r="AN42" s="2"/>
      <c r="AO42" s="4">
        <f t="shared" si="2"/>
        <v>84.745762711864415</v>
      </c>
      <c r="AP42" s="4">
        <f t="shared" si="3"/>
        <v>172.23522457293203</v>
      </c>
      <c r="AQ42">
        <f>((Y42*H42)*1440)</f>
        <v>163.1232</v>
      </c>
      <c r="AR42">
        <f>((AE42*H42)*1440)</f>
        <v>80.262327490079159</v>
      </c>
      <c r="AS42">
        <f t="shared" si="7"/>
        <v>5.9939867267014496E-3</v>
      </c>
      <c r="AT42">
        <f t="shared" si="4"/>
        <v>166.83386960890218</v>
      </c>
      <c r="AU42">
        <f>Z42-AH42</f>
        <v>1.5091768589520231E-2</v>
      </c>
      <c r="AV42">
        <f>AA42-AI42</f>
        <v>0.10505436444141865</v>
      </c>
      <c r="AW42">
        <v>35.256250657092536</v>
      </c>
      <c r="AX42">
        <v>224.8</v>
      </c>
      <c r="AY42">
        <v>83.7</v>
      </c>
      <c r="AZ42" s="2"/>
      <c r="BB42">
        <v>2.8999999999999998E-3</v>
      </c>
      <c r="BC42" s="6">
        <v>38179</v>
      </c>
      <c r="BD42">
        <v>20</v>
      </c>
      <c r="BE42">
        <v>500</v>
      </c>
      <c r="BF42" s="2"/>
      <c r="BG42">
        <v>1.34667</v>
      </c>
      <c r="BH42">
        <v>1.0469999999999999</v>
      </c>
      <c r="BI42">
        <v>0.27304200000000001</v>
      </c>
      <c r="BJ42">
        <v>3.0099400000000001E-4</v>
      </c>
      <c r="BK42" s="2"/>
      <c r="BL42">
        <f t="shared" si="8"/>
        <v>0.26078510028653296</v>
      </c>
      <c r="BM42">
        <v>1.6833662145499382</v>
      </c>
      <c r="BN42">
        <v>6.6600059583709001E-2</v>
      </c>
      <c r="BO42">
        <v>866.41295270514684</v>
      </c>
      <c r="BP42" t="s">
        <v>21</v>
      </c>
      <c r="BQ42" t="s">
        <v>21</v>
      </c>
      <c r="BR42" s="14"/>
    </row>
    <row r="43" spans="1:70" x14ac:dyDescent="0.15">
      <c r="A43" t="s">
        <v>53</v>
      </c>
      <c r="B43" t="s">
        <v>59</v>
      </c>
      <c r="C43" t="s">
        <v>6</v>
      </c>
      <c r="D43">
        <v>3.2848329999999999</v>
      </c>
      <c r="E43">
        <v>5.0000000000000001E-3</v>
      </c>
      <c r="F43" s="6">
        <v>38182</v>
      </c>
      <c r="G43">
        <v>260</v>
      </c>
      <c r="H43">
        <v>2.8153846153846156</v>
      </c>
      <c r="I43">
        <v>9.4879994128363982</v>
      </c>
      <c r="J43">
        <v>10.885</v>
      </c>
      <c r="K43">
        <v>2.4312499999999999</v>
      </c>
      <c r="L43">
        <v>8.3168438529646019E-2</v>
      </c>
      <c r="M43">
        <f t="shared" si="0"/>
        <v>3.9025190386987756E-3</v>
      </c>
      <c r="N43">
        <v>152.06295500000002</v>
      </c>
      <c r="O43">
        <v>1</v>
      </c>
      <c r="P43">
        <v>26.051519272211838</v>
      </c>
      <c r="Q43">
        <v>3.2050000000000001</v>
      </c>
      <c r="R43">
        <v>0.39066666666666666</v>
      </c>
      <c r="T43">
        <v>4.292847222222222</v>
      </c>
      <c r="U43">
        <v>25.3</v>
      </c>
      <c r="V43">
        <v>2.7</v>
      </c>
      <c r="W43">
        <v>-1.5</v>
      </c>
      <c r="X43">
        <v>25.3</v>
      </c>
      <c r="Y43">
        <v>1.8E-3</v>
      </c>
      <c r="Z43">
        <v>7.173343722343007E-4</v>
      </c>
      <c r="AA43">
        <v>1.054141646303727</v>
      </c>
      <c r="AB43">
        <v>4.3928499999999998E-5</v>
      </c>
      <c r="AE43">
        <v>4.3928539073421098E-5</v>
      </c>
      <c r="AF43">
        <v>2.4404743929678389E-2</v>
      </c>
      <c r="AH43">
        <v>1.6936899590196384E-5</v>
      </c>
      <c r="AI43">
        <v>2.6038314092356969E-2</v>
      </c>
      <c r="AJ43">
        <f>3600*AH43/ (L43*100)</f>
        <v>7.3312472378536655E-3</v>
      </c>
      <c r="AK43">
        <v>0.26329574578528775</v>
      </c>
      <c r="AL43">
        <v>-9.0790241111695872E-3</v>
      </c>
      <c r="AM43">
        <v>4.761396541940878E-7</v>
      </c>
      <c r="AN43" s="2"/>
      <c r="AO43" s="4">
        <f t="shared" si="2"/>
        <v>555.55555555555554</v>
      </c>
      <c r="AP43" s="4">
        <f t="shared" si="3"/>
        <v>22764.244409053172</v>
      </c>
      <c r="AQ43">
        <f>((Y43*H43)*1440)</f>
        <v>7.297476923076923</v>
      </c>
      <c r="AR43">
        <f>((AE43*H43)*1440)</f>
        <v>0.17809305564042965</v>
      </c>
      <c r="AS43">
        <f t="shared" si="7"/>
        <v>1.7560714609265789E-3</v>
      </c>
      <c r="AT43">
        <f t="shared" si="4"/>
        <v>569.45290795418828</v>
      </c>
      <c r="AU43">
        <f>Z43-AH43</f>
        <v>7.0039747264410437E-4</v>
      </c>
      <c r="AV43">
        <f>AA43-AI43</f>
        <v>1.02810333221137</v>
      </c>
      <c r="AW43">
        <v>13.14</v>
      </c>
      <c r="AX43">
        <v>14.57</v>
      </c>
      <c r="AY43">
        <v>9.65</v>
      </c>
      <c r="AZ43" s="2"/>
      <c r="BB43">
        <v>3.0000000000000001E-3</v>
      </c>
      <c r="BC43" s="6">
        <v>38182</v>
      </c>
      <c r="BD43">
        <v>11</v>
      </c>
      <c r="BE43">
        <v>192</v>
      </c>
      <c r="BF43" s="2"/>
      <c r="BG43">
        <v>0.23985600000000001</v>
      </c>
      <c r="BH43">
        <v>0.228959</v>
      </c>
      <c r="BI43">
        <v>6.4356899999999995E-2</v>
      </c>
      <c r="BJ43">
        <v>2.0926500000000001E-4</v>
      </c>
      <c r="BK43" s="2"/>
      <c r="BL43">
        <f t="shared" si="8"/>
        <v>0.28108482304692106</v>
      </c>
      <c r="BM43">
        <v>5.850627272727273</v>
      </c>
      <c r="BN43">
        <v>0.12759415725337897</v>
      </c>
      <c r="BO43">
        <v>1343.2003586214657</v>
      </c>
      <c r="BP43" t="s">
        <v>8</v>
      </c>
      <c r="BQ43" t="s">
        <v>8</v>
      </c>
      <c r="BR43" s="14"/>
    </row>
    <row r="44" spans="1:70" x14ac:dyDescent="0.15">
      <c r="A44" t="s">
        <v>53</v>
      </c>
      <c r="B44" t="s">
        <v>60</v>
      </c>
      <c r="C44" t="s">
        <v>3</v>
      </c>
      <c r="D44">
        <v>27260.54</v>
      </c>
      <c r="E44">
        <v>1.4E-2</v>
      </c>
      <c r="F44" s="6">
        <v>38552</v>
      </c>
      <c r="G44">
        <v>360</v>
      </c>
      <c r="H44">
        <v>16.010000000000002</v>
      </c>
      <c r="I44">
        <v>267.84954783007061</v>
      </c>
      <c r="J44">
        <v>14.25</v>
      </c>
      <c r="K44">
        <v>6.5831049554643304</v>
      </c>
      <c r="L44">
        <v>0.15248251864258805</v>
      </c>
      <c r="M44">
        <f t="shared" si="0"/>
        <v>4.0687418724463915E-2</v>
      </c>
      <c r="N44">
        <v>2.8</v>
      </c>
      <c r="O44">
        <v>2.1705128205128204</v>
      </c>
      <c r="P44">
        <v>93.347863165195733</v>
      </c>
      <c r="R44">
        <v>1.5591001745098327</v>
      </c>
      <c r="T44">
        <v>7.4102083333333333</v>
      </c>
      <c r="U44">
        <v>56.7</v>
      </c>
      <c r="V44">
        <v>3.2</v>
      </c>
      <c r="W44">
        <v>-9.8000000000000007</v>
      </c>
      <c r="X44">
        <v>56.7</v>
      </c>
      <c r="Y44">
        <v>2.3500000000000001E-3</v>
      </c>
      <c r="Z44">
        <v>9.5938428100213243E-3</v>
      </c>
      <c r="AA44">
        <v>0.27257280199938411</v>
      </c>
      <c r="AK44">
        <v>0.43429047519379149</v>
      </c>
      <c r="AL44">
        <v>3.0222365754425527E-4</v>
      </c>
      <c r="AM44">
        <v>6.9654968649111911E-5</v>
      </c>
      <c r="AN44" s="2"/>
      <c r="AO44" s="4">
        <f t="shared" si="2"/>
        <v>425.531914893617</v>
      </c>
      <c r="AP44" s="4"/>
      <c r="AQ44">
        <f>((Y44*H44)*1440)</f>
        <v>54.177840000000003</v>
      </c>
      <c r="AW44">
        <v>8.7463525916494422</v>
      </c>
      <c r="AX44">
        <v>18.249763821363469</v>
      </c>
      <c r="AY44">
        <v>18.249763821363469</v>
      </c>
      <c r="AZ44" s="2"/>
      <c r="BB44">
        <v>2.5999999999999999E-3</v>
      </c>
      <c r="BC44" s="6">
        <v>38553</v>
      </c>
      <c r="BD44">
        <v>15.5</v>
      </c>
      <c r="BE44">
        <v>435</v>
      </c>
      <c r="BF44" s="2"/>
      <c r="BG44">
        <v>0.86612800000000001</v>
      </c>
      <c r="BH44">
        <v>0.94236600000000004</v>
      </c>
      <c r="BI44">
        <v>0.19313900000000001</v>
      </c>
      <c r="BJ44">
        <v>5.6122599999999996E-4</v>
      </c>
      <c r="BK44" s="2"/>
      <c r="BL44">
        <f t="shared" si="8"/>
        <v>0.20495115485915238</v>
      </c>
      <c r="BM44">
        <v>0.57026408450704225</v>
      </c>
      <c r="BN44">
        <v>3.2339590689002141E-2</v>
      </c>
      <c r="BO44">
        <v>442.59419796890586</v>
      </c>
      <c r="BP44" t="s">
        <v>21</v>
      </c>
      <c r="BQ44" t="s">
        <v>21</v>
      </c>
      <c r="BR44" s="14"/>
    </row>
    <row r="45" spans="1:70" x14ac:dyDescent="0.15">
      <c r="A45" t="s">
        <v>53</v>
      </c>
      <c r="B45" t="s">
        <v>61</v>
      </c>
      <c r="C45" t="s">
        <v>10</v>
      </c>
      <c r="D45">
        <v>4127.55</v>
      </c>
      <c r="E45">
        <v>4.7999999999999996E-3</v>
      </c>
      <c r="F45" s="6">
        <v>38539</v>
      </c>
      <c r="G45">
        <v>450</v>
      </c>
      <c r="H45">
        <v>9.26</v>
      </c>
      <c r="I45">
        <v>153.84581769131324</v>
      </c>
      <c r="J45">
        <v>11.241666666666667</v>
      </c>
      <c r="K45">
        <v>4.5739999999999998</v>
      </c>
      <c r="L45">
        <v>0.21793641262518629</v>
      </c>
      <c r="M45">
        <f t="shared" si="0"/>
        <v>3.3634853015153753E-2</v>
      </c>
      <c r="N45">
        <v>27.850946200000003</v>
      </c>
      <c r="O45">
        <v>1.0947733333333332</v>
      </c>
      <c r="P45">
        <v>69.487270325331977</v>
      </c>
      <c r="Q45">
        <v>4.3567</v>
      </c>
      <c r="R45">
        <v>0.69112150674820239</v>
      </c>
      <c r="T45">
        <v>5.3553472222222247</v>
      </c>
      <c r="U45">
        <v>55.9</v>
      </c>
      <c r="V45">
        <v>13.6</v>
      </c>
      <c r="W45">
        <v>-12</v>
      </c>
      <c r="X45">
        <v>55.9</v>
      </c>
      <c r="Y45">
        <v>3.4499999999999999E-3</v>
      </c>
      <c r="Z45">
        <v>1.1342792619806068E-2</v>
      </c>
      <c r="AA45">
        <v>2.9453706396406591</v>
      </c>
      <c r="AB45">
        <v>1.0571E-4</v>
      </c>
      <c r="AC45" s="12">
        <v>4.3596000000000002E-8</v>
      </c>
      <c r="AD45" s="12"/>
      <c r="AE45">
        <v>1.0574552006733113E-4</v>
      </c>
      <c r="AF45">
        <v>3.0652683953318813E-2</v>
      </c>
      <c r="AG45">
        <v>4.122451357430553E-4</v>
      </c>
      <c r="AH45">
        <v>3.5569448915499487E-4</v>
      </c>
      <c r="AI45">
        <v>7.4863749256308273E-2</v>
      </c>
      <c r="AJ45">
        <f>3600*AH45/ (L45*100)</f>
        <v>5.8755677655400566E-2</v>
      </c>
      <c r="AK45">
        <v>0.84339901446764887</v>
      </c>
      <c r="AL45">
        <v>0</v>
      </c>
      <c r="AM45">
        <v>3.5425548321287538E-5</v>
      </c>
      <c r="AN45" s="2"/>
      <c r="AO45" s="4">
        <f t="shared" si="2"/>
        <v>289.85507246376812</v>
      </c>
      <c r="AP45" s="4">
        <f t="shared" si="3"/>
        <v>9456.6653921912912</v>
      </c>
      <c r="AQ45">
        <f>((Y45*H45)*1440)</f>
        <v>46.003679999999996</v>
      </c>
      <c r="AR45">
        <f>((AE45*H45)*1440)</f>
        <v>1.4100530627858201</v>
      </c>
      <c r="AS45">
        <f t="shared" si="7"/>
        <v>3.3442544799326688E-3</v>
      </c>
      <c r="AT45">
        <f t="shared" si="4"/>
        <v>299.02030661857208</v>
      </c>
      <c r="AU45">
        <f>Z45-AH45</f>
        <v>1.0987098130651074E-2</v>
      </c>
      <c r="AV45">
        <f>AA45-AI45</f>
        <v>2.8705068903843509</v>
      </c>
      <c r="AW45">
        <v>40.949245240696861</v>
      </c>
      <c r="AX45">
        <v>115.32486789151741</v>
      </c>
      <c r="AY45">
        <v>115.32486789151741</v>
      </c>
      <c r="AZ45" s="2"/>
      <c r="BB45">
        <v>1.1000000000000001E-3</v>
      </c>
      <c r="BC45" s="6">
        <v>38540</v>
      </c>
      <c r="BD45">
        <v>12.46</v>
      </c>
      <c r="BE45">
        <v>500</v>
      </c>
      <c r="BF45" s="2"/>
      <c r="BG45">
        <v>2.3848199999999999</v>
      </c>
      <c r="BH45">
        <v>0.95904599999999995</v>
      </c>
      <c r="BI45">
        <v>0.13545699999999999</v>
      </c>
      <c r="BJ45">
        <v>4.1223600000000003E-5</v>
      </c>
      <c r="BK45" s="2"/>
      <c r="BL45">
        <f t="shared" si="8"/>
        <v>0.14124140030822296</v>
      </c>
      <c r="BM45">
        <v>0.86831410256410257</v>
      </c>
      <c r="BN45">
        <v>6.1166741035409405E-3</v>
      </c>
      <c r="BO45">
        <v>3426.2267319744751</v>
      </c>
      <c r="BP45" t="s">
        <v>21</v>
      </c>
      <c r="BQ45" t="s">
        <v>4</v>
      </c>
      <c r="BR45" s="14"/>
    </row>
    <row r="46" spans="1:70" x14ac:dyDescent="0.15">
      <c r="A46" t="s">
        <v>53</v>
      </c>
      <c r="B46" t="s">
        <v>62</v>
      </c>
      <c r="C46" t="s">
        <v>6</v>
      </c>
      <c r="D46">
        <v>773.68</v>
      </c>
      <c r="E46">
        <v>4.3499999999999997E-3</v>
      </c>
      <c r="F46" s="6">
        <v>38545</v>
      </c>
      <c r="G46">
        <v>325</v>
      </c>
      <c r="H46">
        <v>8.84</v>
      </c>
      <c r="I46">
        <v>102.93805301313954</v>
      </c>
      <c r="J46">
        <v>9.9333333333333318</v>
      </c>
      <c r="K46">
        <v>2.2349999999999999</v>
      </c>
      <c r="L46">
        <v>0.3126060706767273</v>
      </c>
      <c r="M46">
        <f t="shared" si="0"/>
        <v>4.6057294413037825E-2</v>
      </c>
      <c r="N46">
        <v>234.69026806666668</v>
      </c>
      <c r="O46">
        <v>4.2716666666666665</v>
      </c>
      <c r="P46">
        <v>201.59105627777777</v>
      </c>
      <c r="Q46">
        <v>5.9334499999999997</v>
      </c>
      <c r="R46">
        <v>0.28642489478083616</v>
      </c>
      <c r="T46">
        <v>7.8854166666666714</v>
      </c>
      <c r="U46">
        <v>60.9</v>
      </c>
      <c r="V46">
        <v>7.3</v>
      </c>
      <c r="X46">
        <v>60.9</v>
      </c>
      <c r="Y46">
        <v>3.9999999999999996E-4</v>
      </c>
      <c r="Z46">
        <v>1.716937100691193E-3</v>
      </c>
      <c r="AA46">
        <v>4.0272652111722564</v>
      </c>
      <c r="AB46">
        <v>2.7581226371365987E-5</v>
      </c>
      <c r="AC46">
        <v>2.8517212805448465E-8</v>
      </c>
      <c r="AE46">
        <v>2.7609743584171436E-5</v>
      </c>
      <c r="AF46">
        <v>6.9024358960428592E-2</v>
      </c>
      <c r="AG46">
        <v>1.0328677163737687E-3</v>
      </c>
      <c r="AH46">
        <v>1.2541486546523115E-4</v>
      </c>
      <c r="AI46">
        <v>0.29435124323164186</v>
      </c>
      <c r="AJ46">
        <f>3600*AH46/ (L46*100)</f>
        <v>1.4442890206752618E-2</v>
      </c>
      <c r="AK46">
        <v>33.176205930411399</v>
      </c>
      <c r="AL46">
        <v>2.8753293568270082E-4</v>
      </c>
      <c r="AM46">
        <v>3.4706629955801429E-4</v>
      </c>
      <c r="AN46" s="2"/>
      <c r="AO46" s="4">
        <f t="shared" si="2"/>
        <v>2500</v>
      </c>
      <c r="AP46" s="4">
        <f t="shared" si="3"/>
        <v>36219.09768743004</v>
      </c>
      <c r="AQ46">
        <f>((Y46*H46)*1440)</f>
        <v>5.0918399999999995</v>
      </c>
      <c r="AR46">
        <f>((AE46*H46)*1440)</f>
        <v>0.35146099192906871</v>
      </c>
      <c r="AS46">
        <f t="shared" si="7"/>
        <v>3.7239025641582852E-4</v>
      </c>
      <c r="AT46">
        <f t="shared" si="4"/>
        <v>2685.3549005948021</v>
      </c>
      <c r="AU46">
        <f>Z46-AH46</f>
        <v>1.5915222352259619E-3</v>
      </c>
      <c r="AV46">
        <f>AA46-AI46</f>
        <v>3.7329139679406147</v>
      </c>
      <c r="AW46">
        <v>20.283000000000001</v>
      </c>
      <c r="AX46">
        <v>225.43299999999999</v>
      </c>
      <c r="AY46">
        <v>225.43299999999999</v>
      </c>
      <c r="AZ46" s="2"/>
      <c r="BB46">
        <v>8.9999999999999998E-4</v>
      </c>
      <c r="BC46" s="6">
        <v>38546</v>
      </c>
      <c r="BD46">
        <v>11.7</v>
      </c>
      <c r="BE46">
        <v>380</v>
      </c>
      <c r="BF46" s="2"/>
      <c r="BG46">
        <v>0.33921200000000001</v>
      </c>
      <c r="BH46">
        <v>0.64345200000000002</v>
      </c>
      <c r="BI46">
        <v>5.5589800000000002E-2</v>
      </c>
      <c r="BJ46">
        <v>2.9861599999999997E-4</v>
      </c>
      <c r="BK46" s="2"/>
      <c r="BL46">
        <f t="shared" si="8"/>
        <v>8.6393079825690181E-2</v>
      </c>
      <c r="BM46">
        <v>0.60953728070175439</v>
      </c>
      <c r="BN46">
        <v>2.7344189166034601E-2</v>
      </c>
      <c r="BO46">
        <v>289.31162370968133</v>
      </c>
      <c r="BP46" t="s">
        <v>21</v>
      </c>
      <c r="BQ46" t="s">
        <v>21</v>
      </c>
      <c r="BR46" s="14"/>
    </row>
    <row r="47" spans="1:70" x14ac:dyDescent="0.15">
      <c r="A47" t="s">
        <v>63</v>
      </c>
      <c r="B47" t="s">
        <v>64</v>
      </c>
      <c r="C47" t="s">
        <v>3</v>
      </c>
      <c r="D47">
        <v>65908</v>
      </c>
      <c r="E47">
        <v>2.5000000000000001E-2</v>
      </c>
      <c r="F47" s="6">
        <v>37756</v>
      </c>
      <c r="G47">
        <v>110</v>
      </c>
      <c r="H47">
        <v>8</v>
      </c>
      <c r="I47">
        <v>11.920148671695227</v>
      </c>
      <c r="J47">
        <v>18</v>
      </c>
      <c r="K47">
        <v>3.07</v>
      </c>
      <c r="L47">
        <v>2.9120884377105603E-2</v>
      </c>
      <c r="M47">
        <f t="shared" si="0"/>
        <v>3.8827845836140809E-3</v>
      </c>
      <c r="N47">
        <v>0.42499999999999999</v>
      </c>
      <c r="O47">
        <v>1.5</v>
      </c>
      <c r="P47">
        <v>57.271153846153844</v>
      </c>
      <c r="Q47">
        <v>55.883333333333333</v>
      </c>
      <c r="R47">
        <v>0.875</v>
      </c>
      <c r="T47">
        <v>7.2183352601156132</v>
      </c>
      <c r="U47">
        <v>69.900000000000006</v>
      </c>
      <c r="V47">
        <v>3.9</v>
      </c>
      <c r="W47">
        <v>-12</v>
      </c>
      <c r="X47">
        <v>69.900000000000006</v>
      </c>
      <c r="Y47">
        <v>2.5049999999999999E-2</v>
      </c>
      <c r="Z47">
        <v>9.6633143641672685E-3</v>
      </c>
      <c r="AA47">
        <v>4.1069086047710882E-2</v>
      </c>
      <c r="AB47">
        <v>1.011320029654348E-2</v>
      </c>
      <c r="AC47" s="12">
        <v>2.1216999999999999E-6</v>
      </c>
      <c r="AD47" s="12"/>
      <c r="AE47">
        <v>1.0115322027235965E-2</v>
      </c>
      <c r="AF47">
        <v>0.40380527054834192</v>
      </c>
      <c r="AG47">
        <v>2.0975414196131291E-4</v>
      </c>
      <c r="AH47">
        <v>3.9275616425643737E-3</v>
      </c>
      <c r="AI47">
        <v>1.6692136980898581E-2</v>
      </c>
      <c r="AJ47">
        <f>3600*AH47/ (L47*100)</f>
        <v>4.8553545730732637</v>
      </c>
      <c r="AK47">
        <v>4.1069086047710882E-2</v>
      </c>
      <c r="AL47">
        <v>0</v>
      </c>
      <c r="AM47">
        <v>1.0764378072818534E-5</v>
      </c>
      <c r="AN47" s="2"/>
      <c r="AO47" s="4">
        <f t="shared" si="2"/>
        <v>39.920159680638726</v>
      </c>
      <c r="AP47" s="4">
        <f t="shared" si="3"/>
        <v>98.859927277397048</v>
      </c>
      <c r="AQ47">
        <f>((Y47*H47)*1440)</f>
        <v>288.57599999999996</v>
      </c>
      <c r="AR47">
        <f>((AE47*H47)*1440)</f>
        <v>116.52850975375831</v>
      </c>
      <c r="AS47">
        <f t="shared" si="7"/>
        <v>1.4934677972764035E-2</v>
      </c>
      <c r="AT47">
        <f t="shared" si="4"/>
        <v>66.958256604104406</v>
      </c>
      <c r="AU47">
        <f>Z47-AH47</f>
        <v>5.7357527216028948E-3</v>
      </c>
      <c r="AV47">
        <f>AA47-AI47</f>
        <v>2.4376949066812301E-2</v>
      </c>
      <c r="AW47">
        <v>18.420266080000001</v>
      </c>
      <c r="AX47">
        <v>80.879832331268517</v>
      </c>
      <c r="AY47">
        <v>4.5618755806512299</v>
      </c>
      <c r="AZ47" s="2"/>
      <c r="BB47">
        <v>5.1999999999999998E-3</v>
      </c>
      <c r="BC47" s="6">
        <v>37755</v>
      </c>
      <c r="BD47">
        <v>19.17625</v>
      </c>
      <c r="BE47">
        <v>110</v>
      </c>
      <c r="BF47" s="2"/>
      <c r="BG47">
        <v>0.14199999999999999</v>
      </c>
      <c r="BH47">
        <v>0.13100000000000001</v>
      </c>
      <c r="BI47">
        <v>5.2900000000000003E-2</v>
      </c>
      <c r="BJ47">
        <v>3.3500000000000001E-4</v>
      </c>
      <c r="BK47" s="2"/>
      <c r="BL47">
        <f t="shared" si="8"/>
        <v>0.4038167938931298</v>
      </c>
      <c r="BM47">
        <v>3.918518518518519</v>
      </c>
      <c r="BN47">
        <v>0.1375088058639807</v>
      </c>
      <c r="BO47">
        <v>1205.4232653526262</v>
      </c>
      <c r="BP47" t="s">
        <v>15</v>
      </c>
      <c r="BQ47" t="s">
        <v>15</v>
      </c>
      <c r="BR47" s="10"/>
    </row>
    <row r="48" spans="1:70" ht="12" customHeight="1" x14ac:dyDescent="0.15">
      <c r="A48" t="s">
        <v>63</v>
      </c>
      <c r="B48" t="s">
        <v>65</v>
      </c>
      <c r="C48" t="s">
        <v>10</v>
      </c>
      <c r="D48">
        <v>94</v>
      </c>
      <c r="E48">
        <v>1.395E-3</v>
      </c>
      <c r="F48" s="6">
        <v>37792</v>
      </c>
      <c r="G48">
        <v>195</v>
      </c>
      <c r="H48">
        <v>2.8215223097112858</v>
      </c>
      <c r="I48">
        <v>23.527072584225834</v>
      </c>
      <c r="J48">
        <v>18.641666666666666</v>
      </c>
      <c r="K48">
        <v>2.91</v>
      </c>
      <c r="L48">
        <v>0.17192643787274117</v>
      </c>
      <c r="M48">
        <f t="shared" si="0"/>
        <v>8.0849046681188436E-3</v>
      </c>
      <c r="N48">
        <v>1.5</v>
      </c>
      <c r="O48">
        <v>1.8153846153846156</v>
      </c>
      <c r="P48">
        <v>88.223076923076931</v>
      </c>
      <c r="Q48">
        <v>36.666666666666664</v>
      </c>
      <c r="R48">
        <v>1.8366666666666667</v>
      </c>
      <c r="T48">
        <v>5.9838381502890181</v>
      </c>
      <c r="U48">
        <v>69.180000000000007</v>
      </c>
      <c r="V48">
        <v>8.8000000000000007</v>
      </c>
      <c r="W48">
        <v>-7.1</v>
      </c>
      <c r="X48">
        <v>69.2</v>
      </c>
      <c r="Y48">
        <v>1.32455E-2</v>
      </c>
      <c r="Z48">
        <v>1.0973829860481316E-2</v>
      </c>
      <c r="AA48">
        <v>0.16460744790721976</v>
      </c>
      <c r="AC48">
        <v>2.7383614259755597E-6</v>
      </c>
      <c r="AK48">
        <v>0.16460744790721976</v>
      </c>
      <c r="AL48">
        <v>4.9999999813553908E-3</v>
      </c>
      <c r="AM48">
        <v>8.8061897221766977E-7</v>
      </c>
      <c r="AN48" s="2"/>
      <c r="AO48" s="4">
        <f t="shared" si="2"/>
        <v>75.497338718810155</v>
      </c>
      <c r="AP48" s="4"/>
      <c r="AQ48">
        <f>((Y48*H48)*1440)</f>
        <v>53.816362204724406</v>
      </c>
      <c r="AW48">
        <v>35.289630809999998</v>
      </c>
      <c r="AX48">
        <v>86.390052154847083</v>
      </c>
      <c r="AY48">
        <v>22.50990539956334</v>
      </c>
      <c r="AZ48" s="2"/>
      <c r="BB48">
        <v>8.5999999999999998E-4</v>
      </c>
      <c r="BC48" s="6">
        <v>37791</v>
      </c>
      <c r="BD48">
        <v>20</v>
      </c>
      <c r="BE48">
        <v>195</v>
      </c>
      <c r="BF48" s="2"/>
      <c r="BG48">
        <v>0.28999999999999998</v>
      </c>
      <c r="BH48">
        <v>0.67400000000000004</v>
      </c>
      <c r="BI48">
        <v>2.64E-3</v>
      </c>
      <c r="BJ48">
        <v>6.3499999999999999E-5</v>
      </c>
      <c r="BK48" s="2"/>
      <c r="BL48">
        <f t="shared" si="8"/>
        <v>3.9169139465875368E-3</v>
      </c>
      <c r="BM48">
        <v>0.1090909090909091</v>
      </c>
      <c r="BN48">
        <v>1.1623818151588969E-3</v>
      </c>
      <c r="BO48">
        <v>61.683684198228931</v>
      </c>
      <c r="BP48" t="s">
        <v>15</v>
      </c>
      <c r="BQ48" t="s">
        <v>15</v>
      </c>
      <c r="BR48" s="10"/>
    </row>
    <row r="49" spans="1:70" x14ac:dyDescent="0.15">
      <c r="A49" t="s">
        <v>63</v>
      </c>
      <c r="B49" t="s">
        <v>66</v>
      </c>
      <c r="C49" t="s">
        <v>6</v>
      </c>
      <c r="D49">
        <v>329</v>
      </c>
      <c r="E49">
        <v>1.25E-3</v>
      </c>
      <c r="F49" s="6">
        <v>37818</v>
      </c>
      <c r="G49">
        <v>215</v>
      </c>
      <c r="H49">
        <v>2</v>
      </c>
      <c r="I49">
        <v>17.821323753723568</v>
      </c>
      <c r="J49">
        <v>23.25</v>
      </c>
      <c r="K49">
        <v>4.42</v>
      </c>
      <c r="L49">
        <v>0.12095921099812379</v>
      </c>
      <c r="M49">
        <f t="shared" si="0"/>
        <v>4.031973699937459E-3</v>
      </c>
      <c r="N49">
        <v>12.5</v>
      </c>
      <c r="O49">
        <v>3.4210526315789473</v>
      </c>
      <c r="P49">
        <v>98.115384615384613</v>
      </c>
      <c r="Q49">
        <v>50.166666666666664</v>
      </c>
      <c r="R49">
        <v>2.39</v>
      </c>
      <c r="T49">
        <v>5.9014797687861194</v>
      </c>
      <c r="U49">
        <v>61.69</v>
      </c>
      <c r="V49">
        <v>6.5</v>
      </c>
      <c r="W49">
        <v>-10</v>
      </c>
      <c r="X49">
        <v>61.7</v>
      </c>
      <c r="Y49">
        <v>1.06915E-2</v>
      </c>
      <c r="Z49">
        <v>4.3069069801540943E-3</v>
      </c>
      <c r="AA49">
        <v>0.53260780129018492</v>
      </c>
      <c r="AK49">
        <v>0.50034818807438564</v>
      </c>
      <c r="AL49">
        <v>0</v>
      </c>
      <c r="AM49">
        <v>5.6368210745382064E-6</v>
      </c>
      <c r="AN49" s="2"/>
      <c r="AO49" s="4">
        <f t="shared" si="2"/>
        <v>93.532245241547031</v>
      </c>
      <c r="AP49" s="4"/>
      <c r="AQ49">
        <f>((Y49*H49)*1440)</f>
        <v>30.791519999999998</v>
      </c>
      <c r="AW49">
        <v>6.6466540000000007</v>
      </c>
      <c r="AX49">
        <v>254.49445266704174</v>
      </c>
      <c r="AY49">
        <v>66.411065137279934</v>
      </c>
      <c r="AZ49" s="2"/>
      <c r="BB49">
        <v>7.0238239722480531E-3</v>
      </c>
      <c r="BC49" s="6">
        <v>37817</v>
      </c>
      <c r="BD49">
        <v>27</v>
      </c>
      <c r="BE49">
        <v>220</v>
      </c>
      <c r="BF49" s="2"/>
      <c r="BG49">
        <v>0.114</v>
      </c>
      <c r="BH49">
        <v>0.56499999999999995</v>
      </c>
      <c r="BI49">
        <v>4.1700000000000001E-2</v>
      </c>
      <c r="BJ49">
        <v>1.0200000000000001E-5</v>
      </c>
      <c r="BK49" s="2"/>
      <c r="BL49">
        <f t="shared" si="8"/>
        <v>7.3805309734513283E-2</v>
      </c>
      <c r="BM49">
        <v>1.9857142857142855</v>
      </c>
      <c r="BN49">
        <v>3.6707736851591681E-3</v>
      </c>
      <c r="BO49">
        <v>7235.814679854243</v>
      </c>
      <c r="BP49" t="s">
        <v>8</v>
      </c>
      <c r="BQ49" t="s">
        <v>8</v>
      </c>
      <c r="BR49" s="10"/>
    </row>
    <row r="50" spans="1:70" x14ac:dyDescent="0.15">
      <c r="A50" t="s">
        <v>63</v>
      </c>
      <c r="B50" t="s">
        <v>67</v>
      </c>
      <c r="C50" t="s">
        <v>3</v>
      </c>
      <c r="D50">
        <v>344744</v>
      </c>
      <c r="E50">
        <v>1.3313E-2</v>
      </c>
      <c r="F50" s="6">
        <v>38129</v>
      </c>
      <c r="G50">
        <v>140</v>
      </c>
      <c r="H50">
        <v>6.4</v>
      </c>
      <c r="I50">
        <v>5.7637145361495996</v>
      </c>
      <c r="J50">
        <v>18</v>
      </c>
      <c r="K50">
        <v>3.7</v>
      </c>
      <c r="L50">
        <v>1.4604006426054725E-2</v>
      </c>
      <c r="M50">
        <f t="shared" si="0"/>
        <v>1.5577606854458375E-3</v>
      </c>
      <c r="N50">
        <v>3.8333333333333335</v>
      </c>
      <c r="O50">
        <v>3.6356161531578941</v>
      </c>
      <c r="P50">
        <v>87.854718868611101</v>
      </c>
      <c r="Q50">
        <v>2.5</v>
      </c>
      <c r="R50">
        <v>0.96</v>
      </c>
      <c r="T50">
        <v>6.948055555555559</v>
      </c>
      <c r="U50">
        <v>55.97</v>
      </c>
      <c r="V50">
        <v>3.5</v>
      </c>
      <c r="W50">
        <v>-23.1</v>
      </c>
      <c r="X50">
        <v>56</v>
      </c>
      <c r="Y50">
        <v>4.3999999999999994E-3</v>
      </c>
      <c r="Z50">
        <v>6.7001503631773022E-4</v>
      </c>
      <c r="AA50">
        <v>2.5351220593810855E-2</v>
      </c>
      <c r="AC50">
        <v>9.1988051333364074E-6</v>
      </c>
      <c r="AK50">
        <v>1.0364250017034208E-2</v>
      </c>
      <c r="AL50">
        <v>0.10905448245489283</v>
      </c>
      <c r="AM50">
        <v>3.1899383701502022</v>
      </c>
      <c r="AN50" s="2"/>
      <c r="AO50" s="4">
        <f t="shared" si="2"/>
        <v>227.27272727272731</v>
      </c>
      <c r="AP50" s="4"/>
      <c r="AQ50">
        <f>((Y50*H50)*1440)</f>
        <v>40.550399999999996</v>
      </c>
      <c r="AW50">
        <v>0</v>
      </c>
      <c r="AX50">
        <v>21.660156971498992</v>
      </c>
      <c r="AY50">
        <v>10.744304277705806</v>
      </c>
      <c r="AZ50" s="2"/>
      <c r="BB50">
        <v>2.1997048669899742E-2</v>
      </c>
      <c r="BC50" s="6">
        <v>38132</v>
      </c>
      <c r="BD50">
        <v>20.666666666666668</v>
      </c>
      <c r="BE50">
        <v>135</v>
      </c>
      <c r="BF50" s="2"/>
      <c r="BG50">
        <v>1.23803</v>
      </c>
      <c r="BH50">
        <v>8.8542200000000001E-2</v>
      </c>
      <c r="BI50">
        <v>1.07292E-2</v>
      </c>
      <c r="BJ50">
        <v>9.5829900000000002E-5</v>
      </c>
      <c r="BK50" s="2"/>
      <c r="BL50">
        <f t="shared" si="8"/>
        <v>0.12117611715091786</v>
      </c>
      <c r="BM50">
        <v>1.6764374999999998</v>
      </c>
      <c r="BN50">
        <v>2.5173186497858425E-2</v>
      </c>
      <c r="BO50">
        <v>1264.491741626756</v>
      </c>
      <c r="BP50" t="s">
        <v>40</v>
      </c>
      <c r="BQ50" t="s">
        <v>8</v>
      </c>
      <c r="BR50" s="10"/>
    </row>
    <row r="51" spans="1:70" x14ac:dyDescent="0.15">
      <c r="A51" t="s">
        <v>63</v>
      </c>
      <c r="B51" t="s">
        <v>68</v>
      </c>
      <c r="C51" t="s">
        <v>10</v>
      </c>
      <c r="D51">
        <v>1584719</v>
      </c>
      <c r="E51">
        <v>9.1699999999999995E-4</v>
      </c>
      <c r="F51" s="6">
        <v>38116</v>
      </c>
      <c r="G51">
        <v>306.8</v>
      </c>
      <c r="H51">
        <v>1.3616666666666668</v>
      </c>
      <c r="I51">
        <v>2.4647110645721542</v>
      </c>
      <c r="J51">
        <v>20.5</v>
      </c>
      <c r="K51">
        <v>1.3</v>
      </c>
      <c r="L51">
        <v>8.354166116617788E-2</v>
      </c>
      <c r="M51">
        <f t="shared" si="0"/>
        <v>1.8959315881324262E-3</v>
      </c>
      <c r="N51">
        <v>3.5833333333333335</v>
      </c>
      <c r="O51">
        <v>3.9441666666666664</v>
      </c>
      <c r="P51">
        <v>181.05833333333337</v>
      </c>
      <c r="Q51">
        <v>13.588899999999999</v>
      </c>
      <c r="R51">
        <v>3.8450000000000002</v>
      </c>
      <c r="T51">
        <v>10.580186170212773</v>
      </c>
      <c r="U51">
        <v>47.63</v>
      </c>
      <c r="V51">
        <v>1.6</v>
      </c>
      <c r="W51">
        <v>-0.9</v>
      </c>
      <c r="X51">
        <v>47.6</v>
      </c>
      <c r="Y51">
        <v>2.035E-2</v>
      </c>
      <c r="Z51">
        <v>3.8639580805806032E-3</v>
      </c>
      <c r="AA51">
        <v>0.14105794299057572</v>
      </c>
      <c r="AB51">
        <v>1.8535900000000001E-4</v>
      </c>
      <c r="AE51">
        <v>1.8535871880941612E-4</v>
      </c>
      <c r="AF51">
        <v>9.1085365508312595E-3</v>
      </c>
      <c r="AH51">
        <v>3.4623984845713001E-5</v>
      </c>
      <c r="AI51">
        <v>1.03871954537139E-3</v>
      </c>
      <c r="AJ51">
        <f>3600*AH51/ (L51*100)</f>
        <v>1.4920261783713524E-2</v>
      </c>
      <c r="AK51">
        <v>0.132337378233162</v>
      </c>
      <c r="AL51">
        <v>0</v>
      </c>
      <c r="AM51">
        <v>7.0834050574546761E-6</v>
      </c>
      <c r="AN51" s="2"/>
      <c r="AO51" s="4">
        <f t="shared" si="2"/>
        <v>49.140049140049143</v>
      </c>
      <c r="AP51" s="4">
        <f t="shared" si="3"/>
        <v>5394.9444969361784</v>
      </c>
      <c r="AQ51">
        <f>((Y51*H51)*1440)</f>
        <v>39.902280000000005</v>
      </c>
      <c r="AR51">
        <f>((AE51*H51)*1440)</f>
        <v>0.36345137584150322</v>
      </c>
      <c r="AS51">
        <f t="shared" si="7"/>
        <v>2.0164641281190585E-2</v>
      </c>
      <c r="AT51">
        <f t="shared" si="4"/>
        <v>49.591757475635923</v>
      </c>
      <c r="AU51">
        <f>Z51-AH51</f>
        <v>3.8293340957348903E-3</v>
      </c>
      <c r="AV51">
        <f>AA51-AI51</f>
        <v>0.14001922344520434</v>
      </c>
      <c r="AW51">
        <v>0</v>
      </c>
      <c r="AX51">
        <v>175.95</v>
      </c>
      <c r="AY51">
        <v>68.849999999999994</v>
      </c>
      <c r="AZ51" s="2"/>
      <c r="BB51">
        <v>5.4586000000000001E-3</v>
      </c>
      <c r="BC51" s="6">
        <v>38115</v>
      </c>
      <c r="BD51">
        <v>25.6</v>
      </c>
      <c r="BE51">
        <v>298</v>
      </c>
      <c r="BF51" s="2"/>
      <c r="BG51">
        <v>7.4928300000000003E-2</v>
      </c>
      <c r="BH51">
        <v>0.11287899999999999</v>
      </c>
      <c r="BI51">
        <v>4.3563500000000002E-3</v>
      </c>
      <c r="BJ51">
        <v>6.5905300000000002E-6</v>
      </c>
      <c r="BK51" s="2"/>
      <c r="BL51">
        <f t="shared" si="8"/>
        <v>3.8593095261297498E-2</v>
      </c>
      <c r="BM51">
        <v>1.7927366255144035</v>
      </c>
      <c r="BN51">
        <v>2.2069552406513487E-3</v>
      </c>
      <c r="BO51">
        <v>5855.8409204263544</v>
      </c>
      <c r="BP51" t="s">
        <v>8</v>
      </c>
      <c r="BQ51" t="s">
        <v>8</v>
      </c>
      <c r="BR51" s="10"/>
    </row>
    <row r="52" spans="1:70" x14ac:dyDescent="0.15">
      <c r="A52" t="s">
        <v>63</v>
      </c>
      <c r="B52" t="s">
        <v>69</v>
      </c>
      <c r="C52" t="s">
        <v>10</v>
      </c>
      <c r="D52">
        <v>9624</v>
      </c>
      <c r="E52" s="4">
        <v>3.2973000000000002E-2</v>
      </c>
      <c r="F52" s="6">
        <v>38170</v>
      </c>
      <c r="G52">
        <v>165</v>
      </c>
      <c r="H52">
        <v>7.4</v>
      </c>
      <c r="I52">
        <v>4.0393393936652391</v>
      </c>
      <c r="J52">
        <v>16.333333333333336</v>
      </c>
      <c r="K52">
        <v>2.0049999999999999</v>
      </c>
      <c r="L52">
        <v>1.6334863086871626E-2</v>
      </c>
      <c r="M52">
        <f t="shared" si="0"/>
        <v>2.0146331140475007E-3</v>
      </c>
      <c r="N52">
        <v>297.20833333333331</v>
      </c>
      <c r="O52">
        <v>4.3593418530769217</v>
      </c>
      <c r="P52">
        <v>164.24607662860069</v>
      </c>
      <c r="Q52">
        <v>18.899999999999999</v>
      </c>
      <c r="R52">
        <v>0.89400000000000013</v>
      </c>
      <c r="T52">
        <v>8.2355440414507797</v>
      </c>
      <c r="U52" s="4">
        <v>65.239999999999995</v>
      </c>
      <c r="V52">
        <v>3.3</v>
      </c>
      <c r="W52">
        <v>-5.3</v>
      </c>
      <c r="X52">
        <v>65.2</v>
      </c>
      <c r="Y52">
        <v>3.5065000000000001E-3</v>
      </c>
      <c r="Z52">
        <v>7.0318874691173341E-4</v>
      </c>
      <c r="AA52">
        <v>2.1626638950461041</v>
      </c>
      <c r="AB52">
        <v>7.5406935801496891E-4</v>
      </c>
      <c r="AC52" s="4">
        <v>1.5415862998633669E-6</v>
      </c>
      <c r="AD52" s="4"/>
      <c r="AE52" s="4">
        <v>7.5618935445206025E-4</v>
      </c>
      <c r="AF52" s="4">
        <v>0.21565360172595471</v>
      </c>
      <c r="AG52" s="4">
        <v>2.0386247052901325E-3</v>
      </c>
      <c r="AH52" s="4">
        <v>1.5544211699163417E-4</v>
      </c>
      <c r="AI52" s="4">
        <v>0.38407156406682952</v>
      </c>
      <c r="AJ52">
        <f>3600*AH52/ (L52*100)</f>
        <v>0.34257502997966871</v>
      </c>
      <c r="AK52">
        <v>2.1818458283894655</v>
      </c>
      <c r="AL52">
        <v>0</v>
      </c>
      <c r="AM52">
        <v>0</v>
      </c>
      <c r="AN52" s="2"/>
      <c r="AO52" s="4">
        <f t="shared" si="2"/>
        <v>285.18465706544987</v>
      </c>
      <c r="AP52" s="4">
        <f t="shared" si="3"/>
        <v>1322.4200977076787</v>
      </c>
      <c r="AQ52">
        <f>((Y52*H52)*1440)</f>
        <v>37.365264000000003</v>
      </c>
      <c r="AR52">
        <f>((AE52*H52)*1440)</f>
        <v>8.0579537610411549</v>
      </c>
      <c r="AS52">
        <f t="shared" si="7"/>
        <v>2.7503106455479399E-3</v>
      </c>
      <c r="AT52">
        <f t="shared" si="4"/>
        <v>363.59529117874308</v>
      </c>
      <c r="AU52">
        <f>Z52-AH52</f>
        <v>5.4774662992009926E-4</v>
      </c>
      <c r="AV52">
        <f>AA52-AI52</f>
        <v>1.7785923309792746</v>
      </c>
      <c r="AW52">
        <v>140.17000000000002</v>
      </c>
      <c r="AX52">
        <v>185.05</v>
      </c>
      <c r="AY52">
        <v>104.95</v>
      </c>
      <c r="AZ52" s="2"/>
      <c r="BB52">
        <v>1.3215184031663786E-2</v>
      </c>
      <c r="BC52" s="6">
        <v>38170</v>
      </c>
      <c r="BD52">
        <v>18</v>
      </c>
      <c r="BE52">
        <v>165</v>
      </c>
      <c r="BF52" s="2"/>
      <c r="BK52" s="2"/>
      <c r="BP52" t="s">
        <v>15</v>
      </c>
      <c r="BQ52" t="s">
        <v>8</v>
      </c>
      <c r="BR52" s="10"/>
    </row>
    <row r="53" spans="1:70" x14ac:dyDescent="0.15">
      <c r="A53" t="s">
        <v>63</v>
      </c>
      <c r="B53" t="s">
        <v>70</v>
      </c>
      <c r="C53" t="s">
        <v>3</v>
      </c>
      <c r="D53">
        <v>27453</v>
      </c>
      <c r="E53">
        <v>2.1739000000000001E-2</v>
      </c>
      <c r="F53" s="6">
        <v>38539</v>
      </c>
      <c r="G53">
        <v>190</v>
      </c>
      <c r="H53">
        <v>13.545347467608954</v>
      </c>
      <c r="I53">
        <v>21.279515523830263</v>
      </c>
      <c r="J53">
        <v>25.416666666666664</v>
      </c>
      <c r="K53">
        <v>3.6761428571428567</v>
      </c>
      <c r="L53">
        <v>2.5640734179888772E-2</v>
      </c>
      <c r="M53">
        <f t="shared" si="0"/>
        <v>5.7885442298531787E-3</v>
      </c>
      <c r="N53">
        <v>57.5</v>
      </c>
      <c r="O53">
        <v>2</v>
      </c>
      <c r="Q53">
        <v>31.8</v>
      </c>
      <c r="R53" s="8">
        <v>2.2000000000000002</v>
      </c>
      <c r="T53">
        <v>7.0359067357512979</v>
      </c>
      <c r="U53">
        <v>57.75</v>
      </c>
      <c r="V53">
        <v>2.8</v>
      </c>
      <c r="W53">
        <v>-3.9</v>
      </c>
      <c r="X53">
        <v>57.8</v>
      </c>
      <c r="Y53">
        <v>5.4000000000000003E-3</v>
      </c>
      <c r="Z53">
        <v>3.1001752096930808E-3</v>
      </c>
      <c r="AA53">
        <v>1.7488110880018035</v>
      </c>
      <c r="AB53">
        <v>1.0582434560547967E-4</v>
      </c>
      <c r="AC53" s="12">
        <v>1.4977000000000001E-6</v>
      </c>
      <c r="AD53" s="12"/>
      <c r="AE53">
        <v>1.0732204575299574E-4</v>
      </c>
      <c r="AF53">
        <v>1.9874452917221432E-2</v>
      </c>
      <c r="AG53">
        <v>1.39551956637414E-2</v>
      </c>
      <c r="AH53">
        <v>6.1770111166021212E-5</v>
      </c>
      <c r="AI53">
        <v>3.5092531400886237E-2</v>
      </c>
      <c r="AJ53">
        <f>3600*AH53/ (L53*100)</f>
        <v>8.6726221892699726E-2</v>
      </c>
      <c r="AK53">
        <v>0.13851300981138737</v>
      </c>
      <c r="AL53">
        <v>1.3059539826748344E-2</v>
      </c>
      <c r="AM53">
        <v>3.0419941976533621E-5</v>
      </c>
      <c r="AN53" s="2"/>
      <c r="AO53" s="4">
        <f t="shared" si="2"/>
        <v>185.18518518518516</v>
      </c>
      <c r="AP53" s="4">
        <f t="shared" si="3"/>
        <v>9317.7500762660075</v>
      </c>
      <c r="AQ53">
        <f>((Y53*H53)*1440)</f>
        <v>105.32862190812723</v>
      </c>
      <c r="AR53">
        <f>((AE53*H53)*1440)</f>
        <v>2.0933487369488923</v>
      </c>
      <c r="AS53">
        <f t="shared" si="7"/>
        <v>5.2926779542470043E-3</v>
      </c>
      <c r="AT53">
        <f t="shared" si="4"/>
        <v>188.94026967908937</v>
      </c>
      <c r="AU53">
        <f>Z53-AH53</f>
        <v>3.0384050985270594E-3</v>
      </c>
      <c r="AV53">
        <f>AA53-AI53</f>
        <v>1.7137185566009172</v>
      </c>
      <c r="AW53">
        <v>111.336</v>
      </c>
      <c r="AX53">
        <v>6.1760000000000002</v>
      </c>
      <c r="AY53">
        <v>3.6320000000000001</v>
      </c>
      <c r="AZ53" s="2"/>
      <c r="BB53">
        <v>4.3E-3</v>
      </c>
      <c r="BC53" s="6">
        <v>38539</v>
      </c>
      <c r="BD53">
        <v>28.507692307692309</v>
      </c>
      <c r="BE53">
        <v>190</v>
      </c>
      <c r="BF53" s="2"/>
      <c r="BG53">
        <v>0.29741099999999998</v>
      </c>
      <c r="BH53">
        <v>7.6522999999999994E-2</v>
      </c>
      <c r="BI53">
        <v>5.9567000000000002E-2</v>
      </c>
      <c r="BJ53">
        <v>1.374E-3</v>
      </c>
      <c r="BK53" s="2"/>
      <c r="BL53">
        <f>BI53/BH53</f>
        <v>0.77841956013224789</v>
      </c>
      <c r="BM53">
        <v>3.0895591286307056</v>
      </c>
      <c r="BN53">
        <v>0.29064903265542502</v>
      </c>
      <c r="BO53">
        <v>566.50699999999995</v>
      </c>
      <c r="BP53" t="s">
        <v>40</v>
      </c>
      <c r="BQ53" t="s">
        <v>21</v>
      </c>
      <c r="BR53" s="10"/>
    </row>
    <row r="54" spans="1:70" x14ac:dyDescent="0.15">
      <c r="A54" t="s">
        <v>63</v>
      </c>
      <c r="B54" t="s">
        <v>71</v>
      </c>
      <c r="C54" t="s">
        <v>6</v>
      </c>
      <c r="D54">
        <v>27900</v>
      </c>
      <c r="E54">
        <v>1.5790000000000001E-3</v>
      </c>
      <c r="F54" s="6">
        <v>37927</v>
      </c>
      <c r="G54">
        <v>165</v>
      </c>
      <c r="H54">
        <v>1.56</v>
      </c>
      <c r="I54">
        <v>28.353081247199015</v>
      </c>
      <c r="J54">
        <v>20</v>
      </c>
      <c r="K54">
        <v>4.8</v>
      </c>
      <c r="L54">
        <v>0.22718815101922288</v>
      </c>
      <c r="M54">
        <f t="shared" si="0"/>
        <v>5.9068919264997945E-3</v>
      </c>
      <c r="N54">
        <v>99.190249999999992</v>
      </c>
      <c r="O54">
        <v>65.230105263157881</v>
      </c>
      <c r="P54">
        <v>229.29430769230765</v>
      </c>
      <c r="Q54">
        <v>20.85</v>
      </c>
      <c r="T54">
        <v>6.6772508591065263</v>
      </c>
      <c r="U54">
        <v>2.92</v>
      </c>
      <c r="X54">
        <v>2.9</v>
      </c>
      <c r="Y54">
        <v>1.94E-4</v>
      </c>
      <c r="Z54">
        <v>1.1459370337409602E-4</v>
      </c>
      <c r="AA54">
        <v>0.11366578086102426</v>
      </c>
      <c r="AK54">
        <v>0.76296152440791742</v>
      </c>
      <c r="AL54">
        <v>2.3437321197662481E-2</v>
      </c>
      <c r="AM54">
        <v>2.2282598646500558E-3</v>
      </c>
      <c r="AN54" s="2"/>
      <c r="AO54" s="4">
        <f t="shared" si="2"/>
        <v>5154.6391752577319</v>
      </c>
      <c r="AP54" s="4"/>
      <c r="AQ54">
        <f>((Y54*H54)*1440)</f>
        <v>0.43580160000000001</v>
      </c>
      <c r="AW54">
        <v>92.196988729103666</v>
      </c>
      <c r="AX54">
        <v>5351.8003343602077</v>
      </c>
      <c r="AY54">
        <v>946.53216421248544</v>
      </c>
      <c r="AZ54" s="2"/>
      <c r="BB54">
        <v>3.7247000000000001E-3</v>
      </c>
      <c r="BC54" s="6">
        <v>37926</v>
      </c>
      <c r="BD54">
        <v>19.25</v>
      </c>
      <c r="BE54">
        <v>165</v>
      </c>
      <c r="BF54" s="2"/>
      <c r="BK54" s="2"/>
      <c r="BP54" s="15" t="s">
        <v>13</v>
      </c>
      <c r="BQ54" s="15" t="s">
        <v>13</v>
      </c>
      <c r="BR54" s="3"/>
    </row>
    <row r="55" spans="1:70" x14ac:dyDescent="0.15">
      <c r="A55" t="s">
        <v>63</v>
      </c>
      <c r="B55" t="s">
        <v>72</v>
      </c>
      <c r="C55" t="s">
        <v>6</v>
      </c>
      <c r="D55">
        <v>247700</v>
      </c>
      <c r="E55">
        <v>6.875E-3</v>
      </c>
      <c r="F55" s="6">
        <v>38094</v>
      </c>
      <c r="G55">
        <v>375</v>
      </c>
      <c r="H55">
        <v>1.0303967027305514</v>
      </c>
      <c r="I55">
        <v>17.971884316586731</v>
      </c>
      <c r="J55">
        <v>22.166666666666668</v>
      </c>
      <c r="K55">
        <v>4.1116666666666672</v>
      </c>
      <c r="L55">
        <v>0.25452034627195252</v>
      </c>
      <c r="M55">
        <f t="shared" si="0"/>
        <v>4.370948759607635E-3</v>
      </c>
      <c r="N55">
        <v>4.3333333333333339</v>
      </c>
      <c r="O55">
        <v>9.8421052631578956</v>
      </c>
      <c r="P55">
        <v>75.420769230769224</v>
      </c>
      <c r="Q55">
        <v>25.189166666666665</v>
      </c>
      <c r="R55">
        <v>1.0383333333333333</v>
      </c>
      <c r="T55">
        <v>6.9473611111111149</v>
      </c>
      <c r="U55">
        <v>52.23</v>
      </c>
      <c r="V55">
        <v>3.3</v>
      </c>
      <c r="W55">
        <v>-5.6</v>
      </c>
      <c r="X55">
        <v>52.2</v>
      </c>
      <c r="Y55">
        <v>6.8999999999999999E-3</v>
      </c>
      <c r="Z55">
        <v>2.9769579509025296E-3</v>
      </c>
      <c r="AA55">
        <v>0.1295615701814305</v>
      </c>
      <c r="AB55">
        <v>1.347105411232302E-4</v>
      </c>
      <c r="AE55">
        <v>1.347105411232302E-4</v>
      </c>
      <c r="AF55">
        <v>1.9523266829453653E-2</v>
      </c>
      <c r="AH55">
        <v>5.8881287262865643E-5</v>
      </c>
      <c r="AI55">
        <v>2.5340115625688757E-3</v>
      </c>
      <c r="AJ55">
        <f>3600*AH55/ (L55*100)</f>
        <v>8.3283178437854859E-3</v>
      </c>
      <c r="AK55">
        <v>9.8377082705837893E-2</v>
      </c>
      <c r="AL55">
        <v>3.9028363814153908E-3</v>
      </c>
      <c r="AM55">
        <v>6.7329434528561067E-3</v>
      </c>
      <c r="AN55" s="2"/>
      <c r="AO55" s="4">
        <f t="shared" si="2"/>
        <v>144.92753623188406</v>
      </c>
      <c r="AP55" s="4">
        <f t="shared" si="3"/>
        <v>7423.3240521632406</v>
      </c>
      <c r="AQ55">
        <f>((Y55*H55)*1440)</f>
        <v>10.238021638330759</v>
      </c>
      <c r="AR55">
        <f>((AE55*H55)*1440)</f>
        <v>0.19987962825085162</v>
      </c>
      <c r="AS55">
        <f t="shared" si="7"/>
        <v>6.7652894588767698E-3</v>
      </c>
      <c r="AT55">
        <f t="shared" si="4"/>
        <v>147.81333542024504</v>
      </c>
      <c r="AU55">
        <f>Z55-AH55</f>
        <v>2.918076663639664E-3</v>
      </c>
      <c r="AV55">
        <f>AA55-AI55</f>
        <v>0.12702755861886161</v>
      </c>
      <c r="AW55">
        <v>0.97746001151404682</v>
      </c>
      <c r="AX55">
        <v>254.4</v>
      </c>
      <c r="AY55">
        <v>66.400000000000006</v>
      </c>
      <c r="AZ55" s="2"/>
      <c r="BB55">
        <v>5.4910000000000002E-3</v>
      </c>
      <c r="BC55" s="6">
        <v>38093</v>
      </c>
      <c r="BD55">
        <v>27.6</v>
      </c>
      <c r="BE55">
        <v>375</v>
      </c>
      <c r="BF55" s="2"/>
      <c r="BG55">
        <v>2.43249E-2</v>
      </c>
      <c r="BH55">
        <v>0.62438400000000005</v>
      </c>
      <c r="BI55">
        <v>0.25584299999999999</v>
      </c>
      <c r="BJ55">
        <v>4.8590500000000002E-4</v>
      </c>
      <c r="BK55" s="2"/>
      <c r="BL55">
        <f t="shared" ref="BL55:BL60" si="9">BI55/BH55</f>
        <v>0.40975265221402207</v>
      </c>
      <c r="BM55" s="11">
        <v>18.539347826086956</v>
      </c>
      <c r="BN55" s="11">
        <v>0.28707641765700609</v>
      </c>
      <c r="BO55">
        <v>843.27700000000004</v>
      </c>
      <c r="BP55" t="s">
        <v>21</v>
      </c>
      <c r="BQ55" t="s">
        <v>40</v>
      </c>
      <c r="BR55" s="10"/>
    </row>
    <row r="56" spans="1:70" x14ac:dyDescent="0.15">
      <c r="A56" t="s">
        <v>73</v>
      </c>
      <c r="B56" t="s">
        <v>74</v>
      </c>
      <c r="C56" t="s">
        <v>3</v>
      </c>
      <c r="D56">
        <v>522.97</v>
      </c>
      <c r="E56">
        <v>2.5219858156028372E-2</v>
      </c>
      <c r="F56" s="6">
        <v>37859</v>
      </c>
      <c r="G56">
        <v>423</v>
      </c>
      <c r="H56">
        <v>2.794285714285714</v>
      </c>
      <c r="I56">
        <v>7.5333363464989418</v>
      </c>
      <c r="J56">
        <v>15.1</v>
      </c>
      <c r="K56">
        <v>2.1</v>
      </c>
      <c r="L56">
        <v>7.7027979003056662E-2</v>
      </c>
      <c r="M56">
        <f t="shared" si="0"/>
        <v>3.5873030221423531E-3</v>
      </c>
      <c r="N56">
        <v>70.5</v>
      </c>
      <c r="O56">
        <v>1.2976190476190474</v>
      </c>
      <c r="P56">
        <v>79.461538461538467</v>
      </c>
      <c r="Q56">
        <v>34.666666666666664</v>
      </c>
      <c r="R56">
        <v>2.0449999999999999</v>
      </c>
      <c r="S56">
        <v>279.2</v>
      </c>
      <c r="T56">
        <v>7.98</v>
      </c>
      <c r="U56">
        <v>1.4450000000000001</v>
      </c>
      <c r="V56">
        <v>0.4</v>
      </c>
      <c r="W56">
        <v>-1</v>
      </c>
      <c r="X56">
        <v>1.4</v>
      </c>
      <c r="Y56">
        <v>1.0531963402907799E-3</v>
      </c>
      <c r="Z56">
        <v>4.3613806522466581E-4</v>
      </c>
      <c r="AA56">
        <v>0.31494204655930935</v>
      </c>
      <c r="AK56">
        <v>0.19766354060259234</v>
      </c>
      <c r="AL56">
        <v>1.204137653305975E-2</v>
      </c>
      <c r="AM56">
        <v>2.270085087129133E-4</v>
      </c>
      <c r="AN56" s="2"/>
      <c r="AO56" s="4">
        <f t="shared" si="2"/>
        <v>949.49057620529447</v>
      </c>
      <c r="AP56" s="4"/>
      <c r="AQ56">
        <f>((Y56*H56)*1440)</f>
        <v>4.2378213427380311</v>
      </c>
      <c r="AW56">
        <v>2.969464039666307</v>
      </c>
      <c r="AX56">
        <v>207.01893949689133</v>
      </c>
      <c r="AY56">
        <v>50.818623166396492</v>
      </c>
      <c r="AZ56" s="2"/>
      <c r="BB56">
        <v>3.7403886746413427E-3</v>
      </c>
      <c r="BC56" s="6">
        <v>37862</v>
      </c>
      <c r="BD56">
        <v>15.166666666666666</v>
      </c>
      <c r="BE56">
        <v>371.4</v>
      </c>
      <c r="BF56" s="2"/>
      <c r="BG56">
        <v>0.31258200000000003</v>
      </c>
      <c r="BH56">
        <v>0.22814000000000001</v>
      </c>
      <c r="BI56">
        <v>4.1894199999999999E-2</v>
      </c>
      <c r="BJ56">
        <v>2.5148999999999999E-5</v>
      </c>
      <c r="BK56" s="2"/>
      <c r="BL56">
        <f t="shared" si="9"/>
        <v>0.18363373367230648</v>
      </c>
      <c r="BM56">
        <v>4.3368737060041402</v>
      </c>
      <c r="BN56">
        <v>1.7376841420301072E-2</v>
      </c>
      <c r="BO56">
        <v>7301.8304374848485</v>
      </c>
      <c r="BP56" s="15" t="s">
        <v>13</v>
      </c>
      <c r="BQ56" t="s">
        <v>21</v>
      </c>
      <c r="BR56" s="10"/>
    </row>
    <row r="57" spans="1:70" x14ac:dyDescent="0.15">
      <c r="A57" t="s">
        <v>73</v>
      </c>
      <c r="B57" s="6" t="s">
        <v>74</v>
      </c>
      <c r="C57" t="s">
        <v>10</v>
      </c>
      <c r="D57">
        <v>3082.06</v>
      </c>
      <c r="E57">
        <v>1.3062857142857143E-2</v>
      </c>
      <c r="F57" s="6">
        <v>37846</v>
      </c>
      <c r="G57">
        <v>350</v>
      </c>
      <c r="H57">
        <v>0.67619047619047623</v>
      </c>
      <c r="I57">
        <v>5.5447884821011613</v>
      </c>
      <c r="J57">
        <v>17.333333333333336</v>
      </c>
      <c r="K57">
        <v>2.65</v>
      </c>
      <c r="L57">
        <v>0.1856612672720559</v>
      </c>
      <c r="M57">
        <f t="shared" si="0"/>
        <v>2.0923730121136458E-3</v>
      </c>
      <c r="N57">
        <v>96</v>
      </c>
      <c r="O57">
        <v>8.3571428571428577</v>
      </c>
      <c r="P57">
        <v>89.15384615384616</v>
      </c>
      <c r="Q57">
        <v>47.833333333333336</v>
      </c>
      <c r="R57">
        <v>10.08</v>
      </c>
      <c r="S57">
        <v>280.68333333333334</v>
      </c>
      <c r="T57">
        <v>6.5698961937716218</v>
      </c>
      <c r="U57">
        <v>2.661</v>
      </c>
      <c r="V57">
        <v>1</v>
      </c>
      <c r="W57">
        <v>-1</v>
      </c>
      <c r="X57">
        <v>2.7</v>
      </c>
      <c r="Y57">
        <v>1.4957313113798938E-3</v>
      </c>
      <c r="Z57">
        <v>3.1296278293046418E-4</v>
      </c>
      <c r="AA57">
        <v>0.30044427161324561</v>
      </c>
      <c r="AB57">
        <v>6.5692100000000001E-5</v>
      </c>
      <c r="AC57" s="13">
        <v>4.4404E-7</v>
      </c>
      <c r="AD57" s="13"/>
      <c r="AE57">
        <v>6.6136169220689712E-5</v>
      </c>
      <c r="AF57">
        <v>4.4216610775952458E-2</v>
      </c>
      <c r="AG57">
        <v>6.7140107410910057E-3</v>
      </c>
      <c r="AH57">
        <v>1.3838153560195233E-5</v>
      </c>
      <c r="AI57">
        <v>1.3284627417787423E-2</v>
      </c>
      <c r="AJ57">
        <f>3600*AH57/ (L57*100)</f>
        <v>2.6832388655251256E-3</v>
      </c>
      <c r="AK57">
        <v>1.0419739375498378</v>
      </c>
      <c r="AL57">
        <v>2.9258893992178105E-2</v>
      </c>
      <c r="AM57">
        <v>1.2701491451991721E-4</v>
      </c>
      <c r="AN57" s="2"/>
      <c r="AO57" s="4">
        <f t="shared" si="2"/>
        <v>668.56927604025714</v>
      </c>
      <c r="AP57" s="4">
        <f t="shared" si="3"/>
        <v>15120.319362058923</v>
      </c>
      <c r="AQ57">
        <f>((Y57*H57)*1440)</f>
        <v>1.4564149454807651</v>
      </c>
      <c r="AR57">
        <f>((AE57*H57)*1440)</f>
        <v>6.4397732772603009E-2</v>
      </c>
      <c r="AS57">
        <f t="shared" si="7"/>
        <v>1.4295951421592042E-3</v>
      </c>
      <c r="AT57">
        <f t="shared" si="4"/>
        <v>699.49873954498707</v>
      </c>
      <c r="AU57">
        <f>Z57-AH57</f>
        <v>2.9912462937026896E-4</v>
      </c>
      <c r="AV57">
        <f>AA57-AI57</f>
        <v>0.2871596441954582</v>
      </c>
      <c r="AW57">
        <v>21.036897945772683</v>
      </c>
      <c r="AX57">
        <v>928.39153574860018</v>
      </c>
      <c r="AY57">
        <v>284.07715595005618</v>
      </c>
      <c r="AZ57" s="2"/>
      <c r="BB57">
        <v>2.9581910950545235E-3</v>
      </c>
      <c r="BC57" s="6">
        <v>37846</v>
      </c>
      <c r="BD57">
        <v>18.13333333333334</v>
      </c>
      <c r="BE57">
        <v>303</v>
      </c>
      <c r="BF57" s="2"/>
      <c r="BG57">
        <v>3.8326600000000002E-2</v>
      </c>
      <c r="BH57">
        <v>0.67069299999999998</v>
      </c>
      <c r="BI57">
        <v>0.20919699999999999</v>
      </c>
      <c r="BJ57">
        <v>6.7966900000000004E-4</v>
      </c>
      <c r="BK57" s="2"/>
      <c r="BL57">
        <f t="shared" si="9"/>
        <v>0.31191170923209277</v>
      </c>
      <c r="BM57">
        <v>26.281030150753768</v>
      </c>
      <c r="BN57">
        <v>0.23775105972604846</v>
      </c>
      <c r="BO57">
        <v>458.91707468207727</v>
      </c>
      <c r="BP57" s="15" t="s">
        <v>13</v>
      </c>
      <c r="BQ57" t="s">
        <v>8</v>
      </c>
      <c r="BR57" s="10"/>
    </row>
    <row r="58" spans="1:70" x14ac:dyDescent="0.15">
      <c r="A58" t="s">
        <v>73</v>
      </c>
      <c r="B58" t="s">
        <v>74</v>
      </c>
      <c r="C58" t="s">
        <v>6</v>
      </c>
      <c r="D58">
        <v>3307.7</v>
      </c>
      <c r="E58">
        <v>1.2860759493670887E-2</v>
      </c>
      <c r="F58" s="6">
        <v>37832</v>
      </c>
      <c r="G58">
        <v>223</v>
      </c>
      <c r="H58">
        <v>0.38181818181818183</v>
      </c>
      <c r="I58">
        <v>5.6148314997189841</v>
      </c>
      <c r="J58">
        <v>20.27</v>
      </c>
      <c r="K58">
        <v>3.9</v>
      </c>
      <c r="L58">
        <v>0.22623863185680887</v>
      </c>
      <c r="M58">
        <f t="shared" si="0"/>
        <v>1.4397003845433292E-3</v>
      </c>
      <c r="N58">
        <v>162.66666666666666</v>
      </c>
      <c r="O58">
        <v>19.261904761904759</v>
      </c>
      <c r="P58">
        <v>114.61538461538461</v>
      </c>
      <c r="Q58">
        <v>45.333333333333336</v>
      </c>
      <c r="R58">
        <v>1.865</v>
      </c>
      <c r="S58">
        <v>273.5333333333333</v>
      </c>
      <c r="T58">
        <v>6.1945674740484433</v>
      </c>
      <c r="U58">
        <v>2.5720000000000001</v>
      </c>
      <c r="V58">
        <v>0.8</v>
      </c>
      <c r="W58">
        <v>-6.9</v>
      </c>
      <c r="X58">
        <v>2.6</v>
      </c>
      <c r="Y58">
        <v>1.1133582534594607E-3</v>
      </c>
      <c r="Z58">
        <v>1.602902305640075E-4</v>
      </c>
      <c r="AA58">
        <v>0.26073877505078558</v>
      </c>
      <c r="AB58">
        <v>1.9354497758217355E-4</v>
      </c>
      <c r="AC58" s="5">
        <v>2.5301518618929973E-6</v>
      </c>
      <c r="AD58" s="5"/>
      <c r="AE58">
        <v>1.9607512944406656E-4</v>
      </c>
      <c r="AF58">
        <v>0.17611144376467855</v>
      </c>
      <c r="AG58">
        <v>1.2903991796750346E-2</v>
      </c>
      <c r="AH58">
        <v>2.822894392600057E-5</v>
      </c>
      <c r="AI58">
        <v>4.5919082119627593E-2</v>
      </c>
      <c r="AJ58">
        <f>3600*AH58/ (L58*100)</f>
        <v>4.4919029654458889E-3</v>
      </c>
      <c r="AK58">
        <v>0.12329462737789329</v>
      </c>
      <c r="AL58">
        <v>0</v>
      </c>
      <c r="AM58">
        <v>2.1876900636310354E-5</v>
      </c>
      <c r="AN58" s="2"/>
      <c r="AO58" s="4">
        <f t="shared" si="2"/>
        <v>898.18348846184006</v>
      </c>
      <c r="AP58" s="4">
        <f t="shared" si="3"/>
        <v>5100.085884606111</v>
      </c>
      <c r="AQ58">
        <f>((Y58*H58)*1440)</f>
        <v>0.61214461062934711</v>
      </c>
      <c r="AR58">
        <f>((AE58*H58)*1440)</f>
        <v>0.10780567117070132</v>
      </c>
      <c r="AS58">
        <f t="shared" si="7"/>
        <v>9.1728312401539417E-4</v>
      </c>
      <c r="AT58">
        <f t="shared" si="4"/>
        <v>1090.1759487545282</v>
      </c>
      <c r="AU58">
        <f>Z58-AH58</f>
        <v>1.3206128663800694E-4</v>
      </c>
      <c r="AV58">
        <f>AA58-AI58</f>
        <v>0.21481969293115799</v>
      </c>
      <c r="AW58">
        <v>31.332613913233565</v>
      </c>
      <c r="AX58">
        <v>3291.5892293695883</v>
      </c>
      <c r="AY58">
        <v>926.90601882856754</v>
      </c>
      <c r="AZ58" s="2"/>
      <c r="BB58">
        <v>5.5967085846097752E-3</v>
      </c>
      <c r="BC58" s="6">
        <v>37831</v>
      </c>
      <c r="BD58">
        <v>21.05</v>
      </c>
      <c r="BE58">
        <v>63</v>
      </c>
      <c r="BF58" s="2"/>
      <c r="BG58">
        <v>3.5095800000000003E-2</v>
      </c>
      <c r="BH58">
        <v>0.482296</v>
      </c>
      <c r="BI58">
        <v>1.0988293496110273</v>
      </c>
      <c r="BJ58">
        <v>3.7014000000000001E-3</v>
      </c>
      <c r="BK58" s="2"/>
      <c r="BL58">
        <f t="shared" si="9"/>
        <v>2.2783298008091033</v>
      </c>
      <c r="BM58">
        <v>61.695110593713622</v>
      </c>
      <c r="BN58">
        <v>0.52354392214625345</v>
      </c>
      <c r="BO58">
        <v>296.86857664965345</v>
      </c>
      <c r="BP58" s="15" t="s">
        <v>13</v>
      </c>
      <c r="BQ58" t="s">
        <v>8</v>
      </c>
      <c r="BR58" s="10"/>
    </row>
    <row r="59" spans="1:70" x14ac:dyDescent="0.15">
      <c r="A59" t="s">
        <v>73</v>
      </c>
      <c r="B59" s="6" t="s">
        <v>75</v>
      </c>
      <c r="C59" t="s">
        <v>3</v>
      </c>
      <c r="D59">
        <v>575.1</v>
      </c>
      <c r="E59">
        <v>0.17123287671232876</v>
      </c>
      <c r="F59" s="6">
        <v>38230</v>
      </c>
      <c r="G59">
        <v>404.4</v>
      </c>
      <c r="H59">
        <v>5.625</v>
      </c>
      <c r="I59">
        <v>30.712041347536882</v>
      </c>
      <c r="J59">
        <v>12.508333333333333</v>
      </c>
      <c r="K59">
        <v>6.7</v>
      </c>
      <c r="L59">
        <v>4.8894792195083595E-2</v>
      </c>
      <c r="M59">
        <f t="shared" si="0"/>
        <v>4.5838867682890874E-3</v>
      </c>
      <c r="N59">
        <v>62.708333333333329</v>
      </c>
      <c r="O59">
        <v>5.9315476190476195</v>
      </c>
      <c r="P59">
        <v>38.416666666666664</v>
      </c>
      <c r="Q59">
        <v>13</v>
      </c>
      <c r="R59">
        <v>0.87583333333333335</v>
      </c>
      <c r="S59">
        <v>38.75</v>
      </c>
      <c r="T59">
        <v>8.1970138888888915</v>
      </c>
      <c r="U59">
        <v>1.4673228000000003</v>
      </c>
      <c r="V59">
        <v>0.2</v>
      </c>
      <c r="W59">
        <v>-4.8</v>
      </c>
      <c r="X59">
        <v>2</v>
      </c>
      <c r="Y59">
        <v>6.4645034907854972E-4</v>
      </c>
      <c r="Z59">
        <v>3.1547036105213371E-4</v>
      </c>
      <c r="AA59">
        <v>0.19202322310443429</v>
      </c>
      <c r="AK59">
        <v>0.24606603281359657</v>
      </c>
      <c r="AL59">
        <v>0</v>
      </c>
      <c r="AM59">
        <v>9.1349141614444166E-6</v>
      </c>
      <c r="AN59" s="2"/>
      <c r="AO59" s="4">
        <f t="shared" si="2"/>
        <v>1546.9092118604312</v>
      </c>
      <c r="AP59" s="4"/>
      <c r="AQ59">
        <f>((Y59*H59)*1440)</f>
        <v>5.2362478275362525</v>
      </c>
      <c r="AW59">
        <v>42.146609350414202</v>
      </c>
      <c r="AX59">
        <v>117.07292697035409</v>
      </c>
      <c r="AY59">
        <v>25.502731255322445</v>
      </c>
      <c r="AZ59" s="2"/>
      <c r="BB59">
        <v>1.5455068525937844E-2</v>
      </c>
      <c r="BC59" s="6">
        <v>38229</v>
      </c>
      <c r="BD59">
        <v>12.533333333333339</v>
      </c>
      <c r="BE59">
        <v>404.4</v>
      </c>
      <c r="BF59" s="2"/>
      <c r="BG59">
        <v>0.78877399999999998</v>
      </c>
      <c r="BH59">
        <v>0.42481000000000002</v>
      </c>
      <c r="BI59">
        <v>0.42553000000000002</v>
      </c>
      <c r="BJ59">
        <v>1.19855E-4</v>
      </c>
      <c r="BK59" s="2"/>
      <c r="BL59">
        <f t="shared" si="9"/>
        <v>1.0016948753560415</v>
      </c>
      <c r="BM59">
        <v>12.664583333333335</v>
      </c>
      <c r="BN59">
        <v>0.13083664409301765</v>
      </c>
      <c r="BO59">
        <v>8357.5560081435196</v>
      </c>
      <c r="BP59" t="s">
        <v>15</v>
      </c>
      <c r="BQ59" t="s">
        <v>8</v>
      </c>
      <c r="BR59" s="10"/>
    </row>
    <row r="60" spans="1:70" x14ac:dyDescent="0.15">
      <c r="A60" t="s">
        <v>73</v>
      </c>
      <c r="B60" t="s">
        <v>76</v>
      </c>
      <c r="C60" t="s">
        <v>10</v>
      </c>
      <c r="D60">
        <v>2652.83</v>
      </c>
      <c r="E60">
        <v>2.3715230499902741E-2</v>
      </c>
      <c r="F60" s="6">
        <v>38196</v>
      </c>
      <c r="G60">
        <v>461.9</v>
      </c>
      <c r="H60">
        <v>4.5999999999999996</v>
      </c>
      <c r="I60">
        <v>113.40151741377349</v>
      </c>
      <c r="J60">
        <v>17.55</v>
      </c>
      <c r="K60">
        <v>5.88</v>
      </c>
      <c r="L60">
        <v>0.25155616107758094</v>
      </c>
      <c r="M60">
        <f t="shared" si="0"/>
        <v>1.9285972349281207E-2</v>
      </c>
      <c r="N60">
        <v>54.166666666666664</v>
      </c>
      <c r="O60">
        <v>6.125</v>
      </c>
      <c r="P60">
        <v>51.375</v>
      </c>
      <c r="Q60">
        <v>5.333333333333333</v>
      </c>
      <c r="R60">
        <v>0.89</v>
      </c>
      <c r="S60">
        <v>42.258333333333333</v>
      </c>
      <c r="T60">
        <v>7.9415570934256134</v>
      </c>
      <c r="U60">
        <v>21.869246220000086</v>
      </c>
      <c r="V60">
        <v>0.3</v>
      </c>
      <c r="W60">
        <v>-4.9000000000000004</v>
      </c>
      <c r="X60">
        <v>21.3</v>
      </c>
      <c r="Y60">
        <v>2.3548196037485357E-4</v>
      </c>
      <c r="Z60">
        <v>4.5414985765439579E-4</v>
      </c>
      <c r="AA60">
        <v>0.24599783956279775</v>
      </c>
      <c r="AB60">
        <v>5.73631E-5</v>
      </c>
      <c r="AC60">
        <v>4.1625764216720692E-7</v>
      </c>
      <c r="AE60">
        <v>5.7779333418561352E-5</v>
      </c>
      <c r="AF60">
        <v>0.24536628337298078</v>
      </c>
      <c r="AG60">
        <v>7.2042652197418051E-3</v>
      </c>
      <c r="AH60">
        <v>1.1143306266702739E-4</v>
      </c>
      <c r="AI60">
        <v>6.0359575611306497E-2</v>
      </c>
      <c r="AJ60">
        <f>3600*AH60/ (L60*100)</f>
        <v>1.5947096023522934E-2</v>
      </c>
      <c r="AK60">
        <v>0.32238405992717811</v>
      </c>
      <c r="AL60">
        <v>2.2064460060414216E-3</v>
      </c>
      <c r="AM60">
        <v>3.5720332983868935E-4</v>
      </c>
      <c r="AN60" s="2"/>
      <c r="AO60" s="4">
        <f t="shared" si="2"/>
        <v>4246.6097972351818</v>
      </c>
      <c r="AP60" s="4">
        <f t="shared" si="3"/>
        <v>17307.226318376917</v>
      </c>
      <c r="AQ60">
        <f>((Y60*H60)*1440)</f>
        <v>1.55983250552303</v>
      </c>
      <c r="AR60">
        <f>((AE60*H60)*1440)</f>
        <v>0.38273030456455037</v>
      </c>
      <c r="AS60">
        <f t="shared" si="7"/>
        <v>1.7770262695629221E-4</v>
      </c>
      <c r="AT60">
        <f t="shared" si="4"/>
        <v>5627.3788245457972</v>
      </c>
      <c r="AU60">
        <f>Z60-AH60</f>
        <v>3.4271679498736843E-4</v>
      </c>
      <c r="AV60">
        <f>AA60-AI60</f>
        <v>0.18563826395149124</v>
      </c>
      <c r="AW60">
        <v>1.7192099290106291</v>
      </c>
      <c r="AX60">
        <v>215.91345686515464</v>
      </c>
      <c r="AY60">
        <v>47.138708978929927</v>
      </c>
      <c r="AZ60" s="2"/>
      <c r="BB60">
        <v>1.9294353284110312E-3</v>
      </c>
      <c r="BC60" s="6">
        <v>38195</v>
      </c>
      <c r="BD60">
        <v>20</v>
      </c>
      <c r="BE60">
        <v>461.9</v>
      </c>
      <c r="BF60" s="2"/>
      <c r="BG60">
        <v>0.374415</v>
      </c>
      <c r="BH60">
        <v>1.7482200000000001</v>
      </c>
      <c r="BI60">
        <v>0.130939</v>
      </c>
      <c r="BJ60">
        <v>7.6544299999999998E-5</v>
      </c>
      <c r="BK60" s="2"/>
      <c r="BL60">
        <f t="shared" si="9"/>
        <v>7.4898468156181716E-2</v>
      </c>
      <c r="BM60">
        <v>1.174340807174888</v>
      </c>
      <c r="BN60">
        <v>1.4869280106886356E-2</v>
      </c>
      <c r="BO60">
        <v>978.49830955644916</v>
      </c>
      <c r="BP60" t="s">
        <v>8</v>
      </c>
      <c r="BQ60" t="s">
        <v>15</v>
      </c>
      <c r="BR60" s="10"/>
    </row>
    <row r="61" spans="1:70" ht="12" customHeight="1" x14ac:dyDescent="0.15">
      <c r="A61" t="s">
        <v>73</v>
      </c>
      <c r="B61" t="s">
        <v>77</v>
      </c>
      <c r="C61" t="s">
        <v>6</v>
      </c>
      <c r="D61">
        <v>1971.21</v>
      </c>
      <c r="E61">
        <v>4.8168568920105362E-3</v>
      </c>
      <c r="F61" s="6">
        <v>38175</v>
      </c>
      <c r="G61">
        <v>545</v>
      </c>
      <c r="H61">
        <v>3.4482758620689653</v>
      </c>
      <c r="I61">
        <v>24.986513867665565</v>
      </c>
      <c r="J61">
        <v>21.066666666666666</v>
      </c>
      <c r="K61">
        <v>6.4480000000000013</v>
      </c>
      <c r="L61">
        <v>6.7426386677633496E-2</v>
      </c>
      <c r="M61">
        <f t="shared" si="0"/>
        <v>3.8750796941168673E-3</v>
      </c>
      <c r="N61">
        <v>2.416666666666667</v>
      </c>
      <c r="O61">
        <v>4.8461538461538458</v>
      </c>
      <c r="P61">
        <v>197.06039999999996</v>
      </c>
      <c r="Q61">
        <v>17.833333333333332</v>
      </c>
      <c r="R61">
        <v>3.4483333333333337</v>
      </c>
      <c r="S61">
        <v>331.74166666666662</v>
      </c>
      <c r="T61">
        <v>8.9589534883720958</v>
      </c>
      <c r="U61">
        <v>39.3713184</v>
      </c>
      <c r="V61">
        <v>2.8</v>
      </c>
      <c r="W61">
        <v>-4.9000000000000004</v>
      </c>
      <c r="X61">
        <v>39.4</v>
      </c>
      <c r="Y61">
        <v>9.9834732351510129E-3</v>
      </c>
      <c r="Z61">
        <v>3.8677297648232424E-3</v>
      </c>
      <c r="AA61">
        <v>9.3407511564199713E-2</v>
      </c>
      <c r="AC61">
        <v>1.3156707946650332E-6</v>
      </c>
      <c r="AK61">
        <v>8.4870515870639651E-2</v>
      </c>
      <c r="AL61">
        <v>7.8388803087818086E-3</v>
      </c>
      <c r="AM61">
        <v>1.2558295449987784E-5</v>
      </c>
      <c r="AN61" s="2"/>
      <c r="AO61" s="4">
        <f t="shared" si="2"/>
        <v>100.16554123459557</v>
      </c>
      <c r="AP61" s="4"/>
      <c r="AQ61">
        <f>((Y61*H61)*1440)</f>
        <v>49.573108477991234</v>
      </c>
      <c r="AW61">
        <v>16.145369145853596</v>
      </c>
      <c r="AX61">
        <v>57.928029753757251</v>
      </c>
      <c r="AY61">
        <v>57.928029753757251</v>
      </c>
      <c r="AZ61" s="2"/>
      <c r="BB61">
        <v>4.1450562928498956E-3</v>
      </c>
      <c r="BC61" s="6">
        <v>38174</v>
      </c>
      <c r="BD61">
        <v>25.772000000000002</v>
      </c>
      <c r="BE61">
        <v>545</v>
      </c>
      <c r="BF61" s="2"/>
      <c r="BK61" s="2"/>
      <c r="BP61" s="15" t="s">
        <v>13</v>
      </c>
      <c r="BQ61" t="s">
        <v>8</v>
      </c>
      <c r="BR61" s="10"/>
    </row>
    <row r="62" spans="1:70" ht="12" customHeight="1" x14ac:dyDescent="0.15">
      <c r="A62" t="s">
        <v>73</v>
      </c>
      <c r="B62" t="s">
        <v>78</v>
      </c>
      <c r="C62" t="s">
        <v>3</v>
      </c>
      <c r="D62">
        <v>21.86</v>
      </c>
      <c r="E62">
        <v>0.11352021062412886</v>
      </c>
      <c r="F62" s="6">
        <v>38561</v>
      </c>
      <c r="G62">
        <v>590.29999999999995</v>
      </c>
      <c r="H62">
        <v>5</v>
      </c>
      <c r="I62">
        <v>19.000126963688864</v>
      </c>
      <c r="J62">
        <v>13.716666666666665</v>
      </c>
      <c r="K62">
        <v>2.9239999999999999</v>
      </c>
      <c r="L62">
        <v>7.7975897251801096E-2</v>
      </c>
      <c r="M62">
        <f t="shared" si="0"/>
        <v>6.4979914376500905E-3</v>
      </c>
      <c r="N62">
        <v>69.302258027694705</v>
      </c>
      <c r="O62">
        <v>4</v>
      </c>
      <c r="P62">
        <v>161.61727563794835</v>
      </c>
      <c r="Q62">
        <v>24.5</v>
      </c>
      <c r="R62">
        <v>1.27</v>
      </c>
      <c r="S62">
        <v>77.866666666666674</v>
      </c>
      <c r="T62">
        <v>8.2290832361968693</v>
      </c>
      <c r="U62">
        <v>3.961106099999991</v>
      </c>
      <c r="V62">
        <v>0.3</v>
      </c>
      <c r="W62">
        <v>-14.3</v>
      </c>
      <c r="X62">
        <v>4</v>
      </c>
      <c r="Y62">
        <v>4.6177897217717647E-4</v>
      </c>
      <c r="Z62">
        <v>2.99788948124212E-4</v>
      </c>
      <c r="AA62">
        <v>0.20739079412469608</v>
      </c>
      <c r="AK62">
        <v>0.12409087629801002</v>
      </c>
      <c r="AL62">
        <v>7.5280346931936399E-3</v>
      </c>
      <c r="AM62">
        <v>8.3931072412482985E-5</v>
      </c>
      <c r="AN62" s="2"/>
      <c r="AO62" s="4">
        <f t="shared" si="2"/>
        <v>2165.5381908908525</v>
      </c>
      <c r="AP62" s="4"/>
      <c r="AQ62">
        <f>((Y62*H62)*1440)</f>
        <v>3.3248085996756704</v>
      </c>
      <c r="AW62">
        <v>10.045281207597693</v>
      </c>
      <c r="AX62">
        <v>377.87763933266058</v>
      </c>
      <c r="AY62">
        <v>64.868223151728643</v>
      </c>
      <c r="AZ62" s="2"/>
      <c r="BB62">
        <v>1.3545122350901167E-2</v>
      </c>
      <c r="BC62" s="6">
        <v>38229</v>
      </c>
      <c r="BD62">
        <v>14.026315789473685</v>
      </c>
      <c r="BE62">
        <v>590.29999999999995</v>
      </c>
      <c r="BF62" s="2"/>
      <c r="BG62">
        <v>0.20535200000000001</v>
      </c>
      <c r="BH62">
        <v>0.211113</v>
      </c>
      <c r="BI62">
        <v>3.3270399999999999E-2</v>
      </c>
      <c r="BJ62">
        <v>1.9639700000000001E-4</v>
      </c>
      <c r="BK62" s="2"/>
      <c r="BL62">
        <f>BI62/BH62</f>
        <v>0.15759522151643907</v>
      </c>
      <c r="BM62">
        <v>1.5843047619047617</v>
      </c>
      <c r="BN62">
        <v>4.4413867158922732E-2</v>
      </c>
      <c r="BO62">
        <v>802.43191859569674</v>
      </c>
      <c r="BP62" t="s">
        <v>40</v>
      </c>
      <c r="BQ62" t="s">
        <v>8</v>
      </c>
      <c r="BR62" s="10"/>
    </row>
    <row r="63" spans="1:70" x14ac:dyDescent="0.15">
      <c r="A63" t="s">
        <v>73</v>
      </c>
      <c r="B63" s="6" t="s">
        <v>79</v>
      </c>
      <c r="C63" t="s">
        <v>10</v>
      </c>
      <c r="D63">
        <v>106.02</v>
      </c>
      <c r="E63">
        <v>3.3205619412515967E-3</v>
      </c>
      <c r="F63" s="6">
        <v>38546</v>
      </c>
      <c r="G63">
        <v>351.5</v>
      </c>
      <c r="H63">
        <v>3.3332999999999999</v>
      </c>
      <c r="I63">
        <v>34.682978404998316</v>
      </c>
      <c r="J63">
        <v>18.866666666666664</v>
      </c>
      <c r="K63">
        <v>3.3159999999999998</v>
      </c>
      <c r="L63">
        <v>0.18826699999999999</v>
      </c>
      <c r="M63">
        <f t="shared" si="0"/>
        <v>1.0459281786790807E-2</v>
      </c>
      <c r="N63">
        <v>96.61220633105323</v>
      </c>
      <c r="O63">
        <v>10.634920634920636</v>
      </c>
      <c r="P63">
        <v>100.33096470716916</v>
      </c>
      <c r="Q63">
        <v>5</v>
      </c>
      <c r="R63">
        <v>2.57</v>
      </c>
      <c r="S63">
        <v>109.61666666666667</v>
      </c>
      <c r="T63">
        <v>9.114115174508358</v>
      </c>
      <c r="U63">
        <v>26.39503710000001</v>
      </c>
      <c r="V63">
        <v>3</v>
      </c>
      <c r="W63">
        <v>-4</v>
      </c>
      <c r="X63">
        <v>26.4</v>
      </c>
      <c r="Y63">
        <v>1.8112954287521318E-3</v>
      </c>
      <c r="Z63">
        <v>1.8944849288444617E-3</v>
      </c>
      <c r="AA63">
        <v>1.8303036883659185</v>
      </c>
      <c r="AB63">
        <v>2.3333800000000001E-4</v>
      </c>
      <c r="AC63" s="12">
        <v>1.28E-6</v>
      </c>
      <c r="AD63" s="12"/>
      <c r="AE63">
        <v>2.3461454453427421E-4</v>
      </c>
      <c r="AF63">
        <v>0.12952859086930332</v>
      </c>
      <c r="AG63">
        <v>5.4412058089878482E-3</v>
      </c>
      <c r="AH63">
        <v>2.4538996325635548E-4</v>
      </c>
      <c r="AI63">
        <v>0.2370766576169259</v>
      </c>
      <c r="AJ63">
        <f>3600*AH63/ (L63*100)</f>
        <v>4.6922926892279566E-2</v>
      </c>
      <c r="AK63">
        <v>1.6955720798554119</v>
      </c>
      <c r="AL63">
        <v>9.9999999999999994E-12</v>
      </c>
      <c r="AM63">
        <v>9.678527778896127E-5</v>
      </c>
      <c r="AN63" s="2"/>
      <c r="AO63" s="4">
        <f t="shared" si="2"/>
        <v>552.09105269422389</v>
      </c>
      <c r="AP63" s="4">
        <f t="shared" si="3"/>
        <v>4262.3103439092738</v>
      </c>
      <c r="AQ63">
        <f>((Y63*H63)*1440)</f>
        <v>8.6941311158296521</v>
      </c>
      <c r="AR63">
        <f>((AE63*H63)*1440)</f>
        <v>1.1261385522663785</v>
      </c>
      <c r="AS63">
        <f t="shared" si="7"/>
        <v>1.5766808842178576E-3</v>
      </c>
      <c r="AT63">
        <f t="shared" si="4"/>
        <v>634.24375218202067</v>
      </c>
      <c r="AU63">
        <f>Z63-AH63</f>
        <v>1.6490949655881063E-3</v>
      </c>
      <c r="AV63">
        <f>AA63-AI63</f>
        <v>1.5932270307489926</v>
      </c>
      <c r="AW63">
        <v>4.060008712615411</v>
      </c>
      <c r="AX63">
        <v>177.07159053226843</v>
      </c>
      <c r="AY63">
        <v>58.085790027382686</v>
      </c>
      <c r="AZ63" s="2"/>
      <c r="BB63">
        <v>1.36107323442336E-3</v>
      </c>
      <c r="BC63" s="6">
        <v>38229</v>
      </c>
      <c r="BD63">
        <v>21</v>
      </c>
      <c r="BE63">
        <v>351.5</v>
      </c>
      <c r="BF63" s="2"/>
      <c r="BG63">
        <v>9.0076699999999996E-2</v>
      </c>
      <c r="BH63">
        <v>0.46703800000000001</v>
      </c>
      <c r="BI63">
        <v>7.5602299999999997E-2</v>
      </c>
      <c r="BJ63">
        <v>1.67644E-4</v>
      </c>
      <c r="BK63" s="2"/>
      <c r="BL63">
        <f>BI63/BH63</f>
        <v>0.16187612142909141</v>
      </c>
      <c r="BM63">
        <v>2.4023609787098823</v>
      </c>
      <c r="BN63">
        <v>5.4615626571657375E-2</v>
      </c>
      <c r="BO63">
        <v>965.59448252899847</v>
      </c>
      <c r="BP63" t="s">
        <v>40</v>
      </c>
      <c r="BQ63" t="s">
        <v>15</v>
      </c>
      <c r="BR63" s="10"/>
    </row>
    <row r="64" spans="1:70" x14ac:dyDescent="0.15">
      <c r="A64" t="s">
        <v>73</v>
      </c>
      <c r="B64" t="s">
        <v>80</v>
      </c>
      <c r="C64" t="s">
        <v>6</v>
      </c>
      <c r="D64">
        <v>247.02</v>
      </c>
      <c r="E64">
        <v>5.035971223021604E-3</v>
      </c>
      <c r="F64" s="6">
        <v>38581</v>
      </c>
      <c r="G64">
        <v>119</v>
      </c>
      <c r="H64">
        <v>0.25</v>
      </c>
      <c r="I64">
        <v>2.7218159643767468</v>
      </c>
      <c r="J64">
        <v>22.625</v>
      </c>
      <c r="K64">
        <v>3.4049999999999998</v>
      </c>
      <c r="L64">
        <v>0.19184605916311873</v>
      </c>
      <c r="M64">
        <f t="shared" si="0"/>
        <v>7.9935857984632798E-4</v>
      </c>
      <c r="N64">
        <v>7.6831605463952011</v>
      </c>
      <c r="O64">
        <v>4.4285714285714288</v>
      </c>
      <c r="P64">
        <v>346.55832943283156</v>
      </c>
      <c r="Q64">
        <v>208.5</v>
      </c>
      <c r="R64">
        <v>7.0350000000000001</v>
      </c>
      <c r="S64">
        <v>234.43333333333337</v>
      </c>
      <c r="T64">
        <v>4.8990655100153342</v>
      </c>
      <c r="U64">
        <v>37.602506700000738</v>
      </c>
      <c r="V64">
        <v>11.8</v>
      </c>
      <c r="W64">
        <v>-9.8000000000000007</v>
      </c>
      <c r="X64">
        <v>37.6</v>
      </c>
      <c r="Y64">
        <v>4.0690247728509064E-2</v>
      </c>
      <c r="Z64">
        <v>3.2507058797239304E-3</v>
      </c>
      <c r="AA64">
        <v>0.24984350804991212</v>
      </c>
      <c r="AK64">
        <v>0.27464899398189502</v>
      </c>
      <c r="AL64">
        <v>5.3197722558982891E-2</v>
      </c>
      <c r="AM64">
        <v>1.1759540434752538E-5</v>
      </c>
      <c r="AN64" s="2"/>
      <c r="AO64" s="4">
        <f t="shared" si="2"/>
        <v>24.575913291856509</v>
      </c>
      <c r="AP64" s="4"/>
      <c r="AQ64">
        <f>((Y64*H64)*1440)</f>
        <v>14.648489182263264</v>
      </c>
      <c r="AW64">
        <v>246.46954832541178</v>
      </c>
      <c r="AX64">
        <v>99.532582084136763</v>
      </c>
      <c r="AY64">
        <v>99.532582084136763</v>
      </c>
      <c r="AZ64" s="2"/>
      <c r="BC64" s="6">
        <v>38229</v>
      </c>
      <c r="BD64">
        <v>25.335294117647067</v>
      </c>
      <c r="BE64">
        <v>59.5</v>
      </c>
      <c r="BF64" s="2"/>
      <c r="BK64" s="2"/>
      <c r="BP64" t="s">
        <v>81</v>
      </c>
      <c r="BQ64" t="s">
        <v>8</v>
      </c>
      <c r="BR64" s="10"/>
    </row>
    <row r="65" spans="1:70" x14ac:dyDescent="0.15">
      <c r="A65" t="s">
        <v>82</v>
      </c>
      <c r="B65" s="6" t="s">
        <v>83</v>
      </c>
      <c r="C65" t="s">
        <v>3</v>
      </c>
      <c r="D65">
        <v>58.162999999999997</v>
      </c>
      <c r="E65">
        <v>0.13750000000000001</v>
      </c>
      <c r="F65" s="6">
        <v>38021</v>
      </c>
      <c r="G65">
        <v>385</v>
      </c>
      <c r="H65">
        <v>2.36111</v>
      </c>
      <c r="I65">
        <v>12.519058636402818</v>
      </c>
      <c r="J65">
        <v>21.333333333333336</v>
      </c>
      <c r="K65">
        <v>3.2046700000000001</v>
      </c>
      <c r="L65">
        <v>9.9271179999005449E-2</v>
      </c>
      <c r="M65">
        <f t="shared" si="0"/>
        <v>3.9065047684793807E-3</v>
      </c>
      <c r="N65">
        <v>170.70833333333331</v>
      </c>
      <c r="O65">
        <v>2.6166666666666667</v>
      </c>
      <c r="P65">
        <v>10.333333333333334</v>
      </c>
      <c r="Q65">
        <v>21.5</v>
      </c>
      <c r="R65">
        <v>0.64</v>
      </c>
      <c r="T65">
        <v>8.2363787878788006</v>
      </c>
      <c r="U65">
        <v>0.15441081199927464</v>
      </c>
      <c r="V65">
        <v>0.05</v>
      </c>
      <c r="W65">
        <v>-2.4</v>
      </c>
      <c r="X65">
        <v>0.2</v>
      </c>
      <c r="Y65">
        <v>1.0320677283898647E-3</v>
      </c>
      <c r="Z65">
        <v>4.0114919680903419E-4</v>
      </c>
      <c r="AA65">
        <v>0.68764356325236231</v>
      </c>
      <c r="AB65">
        <v>4.5110030309255394E-4</v>
      </c>
      <c r="AC65">
        <v>6.1490997381374265E-7</v>
      </c>
      <c r="AE65">
        <v>4.5171521306636771E-4</v>
      </c>
      <c r="AF65">
        <v>0.43767981561742214</v>
      </c>
      <c r="AG65">
        <v>1.361277982292347E-3</v>
      </c>
      <c r="AH65">
        <v>1.5936352683212663E-4</v>
      </c>
      <c r="AI65">
        <v>0.24701346658979625</v>
      </c>
      <c r="AJ65">
        <f>3600*AH65/ (L65*100)</f>
        <v>5.7792069823427453E-2</v>
      </c>
      <c r="AK65">
        <v>1.0598992618011325</v>
      </c>
      <c r="AL65">
        <v>1.0365896821819418E-2</v>
      </c>
      <c r="AM65">
        <v>3.3080891746867247E-4</v>
      </c>
      <c r="AN65" s="2"/>
      <c r="AO65" s="4">
        <f t="shared" si="2"/>
        <v>968.92865893608189</v>
      </c>
      <c r="AP65" s="4">
        <f t="shared" si="3"/>
        <v>2213.7841964890304</v>
      </c>
      <c r="AQ65">
        <f>((Y65*H65)*1440)</f>
        <v>3.5090286252171743</v>
      </c>
      <c r="AR65">
        <f>((AE65*H65)*1440)</f>
        <v>1.5358310016813093</v>
      </c>
      <c r="AS65">
        <f t="shared" si="7"/>
        <v>5.80352515323497E-4</v>
      </c>
      <c r="AT65">
        <f t="shared" si="4"/>
        <v>1723.0906623064868</v>
      </c>
      <c r="AU65">
        <f>Z65-AH65</f>
        <v>2.4178566997690756E-4</v>
      </c>
      <c r="AV65">
        <f>AA65-AI65</f>
        <v>0.44063009666256603</v>
      </c>
      <c r="AW65">
        <v>1.1710563579722459</v>
      </c>
      <c r="AX65">
        <v>63.4320122408255</v>
      </c>
      <c r="AY65">
        <v>40.304029131508379</v>
      </c>
      <c r="AZ65" s="2"/>
      <c r="BB65">
        <v>7.4186673508238279E-2</v>
      </c>
      <c r="BC65" s="6">
        <v>38020</v>
      </c>
      <c r="BD65">
        <v>21.96</v>
      </c>
      <c r="BE65">
        <v>50</v>
      </c>
      <c r="BF65" s="2"/>
      <c r="BG65">
        <v>0.188</v>
      </c>
      <c r="BH65">
        <v>0.23</v>
      </c>
      <c r="BI65">
        <v>8.5999999999999993E-2</v>
      </c>
      <c r="BJ65">
        <v>1.2999999999999999E-4</v>
      </c>
      <c r="BK65" s="2"/>
      <c r="BL65">
        <f>BI65/BH65</f>
        <v>0.37391304347826082</v>
      </c>
      <c r="BM65">
        <v>6.81</v>
      </c>
      <c r="BN65">
        <v>0.13158912623162183</v>
      </c>
      <c r="BP65" t="s">
        <v>15</v>
      </c>
      <c r="BQ65" t="s">
        <v>15</v>
      </c>
      <c r="BR65" s="10"/>
    </row>
    <row r="66" spans="1:70" x14ac:dyDescent="0.15">
      <c r="A66" t="s">
        <v>82</v>
      </c>
      <c r="B66" t="s">
        <v>84</v>
      </c>
      <c r="C66" t="s">
        <v>10</v>
      </c>
      <c r="D66">
        <v>95.168999999999997</v>
      </c>
      <c r="E66">
        <v>1.5384615384615385E-2</v>
      </c>
      <c r="F66" s="6">
        <v>38036</v>
      </c>
      <c r="G66">
        <v>690</v>
      </c>
      <c r="H66">
        <v>10.90513</v>
      </c>
      <c r="I66">
        <v>12.347339243550568</v>
      </c>
      <c r="J66">
        <v>23</v>
      </c>
      <c r="K66">
        <v>1.01667</v>
      </c>
      <c r="L66">
        <v>6.6821151915582466E-2</v>
      </c>
      <c r="M66">
        <f t="shared" ref="M66:M73" si="10">(I66/1000)/K66</f>
        <v>1.2144884026823422E-2</v>
      </c>
      <c r="N66">
        <v>275.75</v>
      </c>
      <c r="O66">
        <v>11.063492063492063</v>
      </c>
      <c r="P66">
        <v>70.428571428571431</v>
      </c>
      <c r="Q66">
        <v>13.166666666666666</v>
      </c>
      <c r="R66">
        <v>1.7583333333333335</v>
      </c>
      <c r="T66">
        <v>6.836303030303025</v>
      </c>
      <c r="U66">
        <v>6.3891811314549063</v>
      </c>
      <c r="V66">
        <v>5.2</v>
      </c>
      <c r="W66">
        <v>-7.6</v>
      </c>
      <c r="X66">
        <v>6.4</v>
      </c>
      <c r="Y66">
        <v>7.0277689318795611E-4</v>
      </c>
      <c r="Z66">
        <v>8.7500330529618477E-4</v>
      </c>
      <c r="AA66">
        <v>2.5172610932416211</v>
      </c>
      <c r="AB66">
        <v>2.51279E-5</v>
      </c>
      <c r="AC66" s="5">
        <v>4.2564102675793075E-7</v>
      </c>
      <c r="AD66" s="5"/>
      <c r="AE66">
        <v>2.5553548067735598E-5</v>
      </c>
      <c r="AF66">
        <v>3.6360825626777345E-2</v>
      </c>
      <c r="AG66">
        <v>1.6656826896588709E-2</v>
      </c>
      <c r="AH66">
        <v>2.964711671226327E-5</v>
      </c>
      <c r="AI66">
        <v>7.6899111535998002E-2</v>
      </c>
      <c r="AJ66">
        <f>3600*AH66/ (L66*100)</f>
        <v>1.5972430451211481E-2</v>
      </c>
      <c r="AK66">
        <v>1.7618459906127497</v>
      </c>
      <c r="AL66">
        <v>4.9999999999999998E-7</v>
      </c>
      <c r="AM66">
        <v>1.8460962686538788E-4</v>
      </c>
      <c r="AN66" s="2"/>
      <c r="AO66" s="4">
        <f t="shared" si="2"/>
        <v>1422.9266922305487</v>
      </c>
      <c r="AP66" s="4">
        <f t="shared" si="3"/>
        <v>39133.508871224782</v>
      </c>
      <c r="AQ66">
        <f>((Y66*H66)*1440)</f>
        <v>11.035977668943517</v>
      </c>
      <c r="AR66">
        <f>((AE66*H66)*1440)</f>
        <v>0.40127725964146393</v>
      </c>
      <c r="AS66">
        <f t="shared" si="7"/>
        <v>6.7722334512022051E-4</v>
      </c>
      <c r="AT66">
        <f t="shared" si="4"/>
        <v>1476.617732105027</v>
      </c>
      <c r="AU66">
        <f>Z66-AH66</f>
        <v>8.453561885839215E-4</v>
      </c>
      <c r="AV66">
        <f>AA66-AI66</f>
        <v>2.4403619817056232</v>
      </c>
      <c r="AW66">
        <v>1.3484929182127969</v>
      </c>
      <c r="AX66">
        <v>1.7787453979042764</v>
      </c>
      <c r="AZ66" s="2"/>
      <c r="BB66">
        <v>5.2946183216191081E-3</v>
      </c>
      <c r="BC66" s="6">
        <v>38033</v>
      </c>
      <c r="BD66">
        <v>27.233333333333338</v>
      </c>
      <c r="BE66">
        <v>550</v>
      </c>
      <c r="BF66" s="2"/>
      <c r="BG66">
        <v>0.45529399999999998</v>
      </c>
      <c r="BH66">
        <v>6.6764100000000007E-2</v>
      </c>
      <c r="BI66">
        <v>2.1209100000000002E-2</v>
      </c>
      <c r="BJ66">
        <v>1.87498E-2</v>
      </c>
      <c r="BK66" s="2"/>
      <c r="BL66">
        <f t="shared" ref="BL66:BL73" si="11">BI66/BH66</f>
        <v>0.31767222204747758</v>
      </c>
      <c r="BM66">
        <v>1.5771037037037039</v>
      </c>
      <c r="BN66">
        <v>0.24179092399128937</v>
      </c>
      <c r="BO66">
        <v>17.008044427354051</v>
      </c>
      <c r="BP66" t="s">
        <v>15</v>
      </c>
      <c r="BQ66" t="s">
        <v>8</v>
      </c>
      <c r="BR66" s="10"/>
    </row>
    <row r="67" spans="1:70" x14ac:dyDescent="0.15">
      <c r="A67" t="s">
        <v>82</v>
      </c>
      <c r="B67" t="s">
        <v>85</v>
      </c>
      <c r="C67" t="s">
        <v>6</v>
      </c>
      <c r="D67">
        <v>110.02500000000001</v>
      </c>
      <c r="E67">
        <v>0.04</v>
      </c>
      <c r="F67" s="6">
        <v>38044</v>
      </c>
      <c r="G67">
        <v>350</v>
      </c>
      <c r="H67">
        <v>1.44242</v>
      </c>
      <c r="I67">
        <v>4.6743649271447492</v>
      </c>
      <c r="J67">
        <v>24.291666666666664</v>
      </c>
      <c r="K67">
        <v>1.80067</v>
      </c>
      <c r="L67">
        <v>0.10798126419691266</v>
      </c>
      <c r="M67">
        <f t="shared" si="10"/>
        <v>2.5959031511297182E-3</v>
      </c>
      <c r="N67">
        <v>997.08333333333326</v>
      </c>
      <c r="O67">
        <v>15.108333333333331</v>
      </c>
      <c r="P67">
        <v>53.297619047619051</v>
      </c>
      <c r="Q67">
        <v>26.25</v>
      </c>
      <c r="R67">
        <v>1.4883333333333333</v>
      </c>
      <c r="T67">
        <v>6.8073333333333235</v>
      </c>
      <c r="U67">
        <v>2.8944813604434627E-2</v>
      </c>
      <c r="V67">
        <v>0.3</v>
      </c>
      <c r="W67">
        <v>-4.5999999999999996</v>
      </c>
      <c r="X67">
        <v>0.03</v>
      </c>
      <c r="Y67">
        <v>8.3372456236390695E-4</v>
      </c>
      <c r="Z67">
        <v>2.1143618361380923E-4</v>
      </c>
      <c r="AA67">
        <v>2.1075928172270624</v>
      </c>
      <c r="AB67">
        <v>2.9725468322876263E-4</v>
      </c>
      <c r="AC67" s="5">
        <v>2.2081199013994033E-6</v>
      </c>
      <c r="AD67" s="5"/>
      <c r="AE67">
        <v>2.99462803130162E-4</v>
      </c>
      <c r="AF67">
        <v>0.3591867346226168</v>
      </c>
      <c r="AG67">
        <v>7.3736032599669493E-3</v>
      </c>
      <c r="AH67">
        <v>7.7789344768759044E-5</v>
      </c>
      <c r="AI67">
        <v>0.77572446616225421</v>
      </c>
      <c r="AJ67">
        <f>3600*AH67/ (L67*100)</f>
        <v>2.5934280659731277E-2</v>
      </c>
      <c r="AK67">
        <v>2.2659848038157433</v>
      </c>
      <c r="AL67">
        <v>1.332909911858394E-2</v>
      </c>
      <c r="AM67">
        <v>1.5893015836553517E-4</v>
      </c>
      <c r="AN67" s="2"/>
      <c r="AO67" s="4">
        <f t="shared" ref="AO67:AO73" si="12">1/Y67</f>
        <v>1199.4368945598085</v>
      </c>
      <c r="AP67" s="4">
        <f t="shared" ref="AP67:AP73" si="13">1/AE67</f>
        <v>3339.3128947816213</v>
      </c>
      <c r="AQ67">
        <f>((Y67*H67)*1440)</f>
        <v>1.7317166158727231</v>
      </c>
      <c r="AR67">
        <f>((AE67*H67)*1440)</f>
        <v>0.62200963654705199</v>
      </c>
      <c r="AS67">
        <f t="shared" si="7"/>
        <v>5.3426175923374495E-4</v>
      </c>
      <c r="AT67">
        <f t="shared" ref="AT67:AT73" si="14">1/AS67</f>
        <v>1871.741674781724</v>
      </c>
      <c r="AU67">
        <f>Z67-AH67</f>
        <v>1.3364683884505019E-4</v>
      </c>
      <c r="AV67">
        <f>AA67-AI67</f>
        <v>1.3318683510648082</v>
      </c>
      <c r="AW67">
        <v>8.7005008443364584</v>
      </c>
      <c r="AX67">
        <v>46.805641352151696</v>
      </c>
      <c r="AY67">
        <v>6.0226327010711804</v>
      </c>
      <c r="AZ67" s="2"/>
      <c r="BB67">
        <v>7.9053673287265806E-3</v>
      </c>
      <c r="BC67" s="6">
        <v>38051</v>
      </c>
      <c r="BD67">
        <v>22.833333333333332</v>
      </c>
      <c r="BE67">
        <v>200</v>
      </c>
      <c r="BF67" s="2"/>
      <c r="BG67">
        <v>5.2297700000000003E-2</v>
      </c>
      <c r="BH67">
        <v>0.30082700000000001</v>
      </c>
      <c r="BI67">
        <v>3.84976E-2</v>
      </c>
      <c r="BJ67">
        <v>3.8536499999999999E-5</v>
      </c>
      <c r="BK67" s="2"/>
      <c r="BL67">
        <f t="shared" si="11"/>
        <v>0.12797255565491128</v>
      </c>
      <c r="BM67">
        <v>5.1330133333333334</v>
      </c>
      <c r="BN67">
        <v>3.0169965908507915E-2</v>
      </c>
      <c r="BO67">
        <v>3320.8141801905022</v>
      </c>
      <c r="BP67" t="s">
        <v>4</v>
      </c>
      <c r="BQ67" t="s">
        <v>8</v>
      </c>
      <c r="BR67" s="10"/>
    </row>
    <row r="68" spans="1:70" x14ac:dyDescent="0.15">
      <c r="A68" t="s">
        <v>82</v>
      </c>
      <c r="B68" s="6" t="s">
        <v>86</v>
      </c>
      <c r="C68" t="s">
        <v>3</v>
      </c>
      <c r="D68">
        <v>30.27</v>
      </c>
      <c r="E68">
        <v>3.1707317073170732E-2</v>
      </c>
      <c r="F68" s="6">
        <v>38407</v>
      </c>
      <c r="G68">
        <v>365</v>
      </c>
      <c r="H68">
        <v>5.8299039780521253</v>
      </c>
      <c r="I68">
        <v>19.959590709335611</v>
      </c>
      <c r="J68">
        <v>19</v>
      </c>
      <c r="K68">
        <v>1.18</v>
      </c>
      <c r="L68">
        <v>0.17408424678491322</v>
      </c>
      <c r="M68">
        <f t="shared" si="10"/>
        <v>1.691490738079289E-2</v>
      </c>
      <c r="N68">
        <v>130.83333333333334</v>
      </c>
      <c r="O68">
        <v>7.2105263157894735</v>
      </c>
      <c r="P68">
        <v>23.384615384615383</v>
      </c>
      <c r="Q68">
        <v>0.16666666666666666</v>
      </c>
      <c r="R68">
        <v>0.25833333333333336</v>
      </c>
      <c r="T68">
        <v>8.1991666666666791</v>
      </c>
      <c r="U68">
        <v>0.49893103508945519</v>
      </c>
      <c r="V68">
        <v>0.5</v>
      </c>
      <c r="W68">
        <v>-4.5</v>
      </c>
      <c r="X68">
        <v>0.5</v>
      </c>
      <c r="Y68">
        <v>2.0207319280210942E-4</v>
      </c>
      <c r="Z68">
        <v>3.4180493403887849E-4</v>
      </c>
      <c r="AA68">
        <v>0.44719478870086615</v>
      </c>
      <c r="AB68">
        <v>1.4602756311819233E-5</v>
      </c>
      <c r="AC68">
        <v>4.4839591150003442E-7</v>
      </c>
      <c r="AE68">
        <v>1.5051152223319267E-5</v>
      </c>
      <c r="AF68">
        <v>7.4483666114282088E-2</v>
      </c>
      <c r="AG68">
        <v>2.9791467446945306E-2</v>
      </c>
      <c r="AH68">
        <v>2.545888458316604E-5</v>
      </c>
      <c r="AI68">
        <v>3.3308707329642244E-2</v>
      </c>
      <c r="AJ68">
        <f>3600*AH68/ (L68*100)</f>
        <v>5.2648063332598255E-3</v>
      </c>
      <c r="AK68">
        <v>0.81239323825327403</v>
      </c>
      <c r="AL68">
        <v>0</v>
      </c>
      <c r="AM68">
        <v>1.4278760648188959E-5</v>
      </c>
      <c r="AN68" s="2"/>
      <c r="AO68" s="4">
        <f t="shared" si="12"/>
        <v>4948.701933854737</v>
      </c>
      <c r="AP68" s="4">
        <f t="shared" si="13"/>
        <v>66440.09609115943</v>
      </c>
      <c r="AQ68">
        <f>((Y68*H68)*1440)</f>
        <v>1.6964169272275851</v>
      </c>
      <c r="AR68">
        <f>((AE68*H68)*1440)</f>
        <v>0.1263553519982358</v>
      </c>
      <c r="AS68">
        <f t="shared" si="7"/>
        <v>1.8702204057879015E-4</v>
      </c>
      <c r="AT68">
        <f t="shared" si="14"/>
        <v>5346.9633680887573</v>
      </c>
      <c r="AU68">
        <f>Z68-AH68</f>
        <v>3.1634604945571243E-4</v>
      </c>
      <c r="AV68">
        <f>AA68-AI68</f>
        <v>0.4138860813712239</v>
      </c>
      <c r="AW68">
        <v>5.9456393710697455</v>
      </c>
      <c r="AX68">
        <v>94.76391734814392</v>
      </c>
      <c r="AY68">
        <v>20.086397493386851</v>
      </c>
      <c r="AZ68" s="2"/>
      <c r="BA68">
        <v>5.3252052311125939E-3</v>
      </c>
      <c r="BC68" s="6">
        <v>38414</v>
      </c>
      <c r="BD68">
        <v>20.157142857142862</v>
      </c>
      <c r="BE68">
        <v>365</v>
      </c>
      <c r="BF68" s="2"/>
      <c r="BG68">
        <v>0.218476</v>
      </c>
      <c r="BH68">
        <v>0.17161399999999999</v>
      </c>
      <c r="BI68">
        <v>2.2463500000000001E-2</v>
      </c>
      <c r="BJ68">
        <v>4.58455E-5</v>
      </c>
      <c r="BK68" s="2"/>
      <c r="BL68">
        <f t="shared" si="11"/>
        <v>0.13089549803629075</v>
      </c>
      <c r="BM68">
        <v>1.3060174418604651</v>
      </c>
      <c r="BN68">
        <v>1.0119030095315971E-2</v>
      </c>
      <c r="BO68">
        <v>2855.1438644205159</v>
      </c>
      <c r="BP68" t="s">
        <v>40</v>
      </c>
      <c r="BQ68" t="s">
        <v>8</v>
      </c>
      <c r="BR68" s="10"/>
    </row>
    <row r="69" spans="1:70" x14ac:dyDescent="0.15">
      <c r="A69" t="s">
        <v>82</v>
      </c>
      <c r="B69" t="s">
        <v>87</v>
      </c>
      <c r="C69" t="s">
        <v>10</v>
      </c>
      <c r="D69">
        <v>265.33699999999999</v>
      </c>
      <c r="E69">
        <v>2.5999999999999999E-2</v>
      </c>
      <c r="F69" s="6">
        <v>38394</v>
      </c>
      <c r="G69">
        <v>450</v>
      </c>
      <c r="H69">
        <v>1.6478342749529189</v>
      </c>
      <c r="I69">
        <v>24.950671547696874</v>
      </c>
      <c r="J69">
        <v>22.958333333333332</v>
      </c>
      <c r="K69">
        <v>3.53</v>
      </c>
      <c r="L69">
        <v>0.25736249146406232</v>
      </c>
      <c r="M69">
        <f t="shared" si="10"/>
        <v>7.0681789086959991E-3</v>
      </c>
      <c r="N69">
        <v>205.58333333333331</v>
      </c>
      <c r="O69">
        <v>7.0526315789473681</v>
      </c>
      <c r="P69">
        <v>78.307692307692307</v>
      </c>
      <c r="Q69">
        <v>11.5</v>
      </c>
      <c r="R69">
        <v>0.89833333333333343</v>
      </c>
      <c r="T69">
        <v>8.7213803680981599</v>
      </c>
      <c r="U69">
        <v>13.95305234060447</v>
      </c>
      <c r="V69">
        <v>7.3</v>
      </c>
      <c r="W69">
        <v>-5.3</v>
      </c>
      <c r="X69">
        <v>12.4</v>
      </c>
      <c r="Y69">
        <v>2.2317395991267343E-3</v>
      </c>
      <c r="Z69">
        <v>1.5723488022059439E-3</v>
      </c>
      <c r="AA69">
        <v>3.2336833554981714</v>
      </c>
      <c r="AB69">
        <v>4.3503510686927337E-5</v>
      </c>
      <c r="AC69" s="5">
        <v>3.3383784986931998E-7</v>
      </c>
      <c r="AD69" s="5"/>
      <c r="AE69">
        <v>4.3837348536796653E-5</v>
      </c>
      <c r="AF69">
        <v>1.9642680783165712E-2</v>
      </c>
      <c r="AG69">
        <v>7.6153750400551638E-3</v>
      </c>
      <c r="AH69">
        <v>3.0966011072079432E-5</v>
      </c>
      <c r="AI69">
        <v>6.362535794711785E-2</v>
      </c>
      <c r="AJ69">
        <f>3600*AH69/ (L69*100)</f>
        <v>4.3315418352270858E-3</v>
      </c>
      <c r="AK69">
        <v>2.2215528046443351</v>
      </c>
      <c r="AL69">
        <v>0.22549683233679502</v>
      </c>
      <c r="AM69">
        <v>1.2914384715964594E-2</v>
      </c>
      <c r="AN69" s="2"/>
      <c r="AO69" s="4">
        <f t="shared" si="12"/>
        <v>448.08095012128376</v>
      </c>
      <c r="AP69" s="4">
        <f t="shared" si="13"/>
        <v>22811.598633996065</v>
      </c>
      <c r="AQ69">
        <f>((Y69*H69)*1440)</f>
        <v>5.2956532860634367</v>
      </c>
      <c r="AR69">
        <f>((AE69*H69)*1440)</f>
        <v>0.10402082703646663</v>
      </c>
      <c r="AS69">
        <f t="shared" si="7"/>
        <v>2.1879022505899375E-3</v>
      </c>
      <c r="AT69">
        <f t="shared" si="14"/>
        <v>457.05881043376769</v>
      </c>
      <c r="AU69">
        <f>Z69-AH69</f>
        <v>1.5413827911338646E-3</v>
      </c>
      <c r="AV69">
        <f>AA69-AI69</f>
        <v>3.1700579975510537</v>
      </c>
      <c r="AW69">
        <v>7.7490580676522791</v>
      </c>
      <c r="AX69">
        <v>29.613052254172874</v>
      </c>
      <c r="AY69">
        <v>13.262510807964768</v>
      </c>
      <c r="AZ69" s="2"/>
      <c r="BB69">
        <v>5.7478163555006708E-3</v>
      </c>
      <c r="BC69" s="6">
        <v>38391</v>
      </c>
      <c r="BD69">
        <v>25.166666666666668</v>
      </c>
      <c r="BE69">
        <v>450</v>
      </c>
      <c r="BF69" s="2"/>
      <c r="BG69">
        <v>2.4347000000000001E-2</v>
      </c>
      <c r="BH69">
        <v>1.2570300000000001</v>
      </c>
      <c r="BI69">
        <v>1.75E-4</v>
      </c>
      <c r="BJ69">
        <v>5.7600000000000004E-3</v>
      </c>
      <c r="BK69" s="2"/>
      <c r="BL69">
        <f t="shared" si="11"/>
        <v>1.3921704334820964E-4</v>
      </c>
      <c r="BM69">
        <v>5.0996498395097754E-3</v>
      </c>
      <c r="BN69">
        <v>1.3901076806688688E-4</v>
      </c>
      <c r="BO69">
        <v>2.4135870247806467E-2</v>
      </c>
      <c r="BP69" t="s">
        <v>21</v>
      </c>
      <c r="BQ69" t="s">
        <v>8</v>
      </c>
      <c r="BR69" s="10"/>
    </row>
    <row r="70" spans="1:70" x14ac:dyDescent="0.15">
      <c r="A70" t="s">
        <v>82</v>
      </c>
      <c r="B70" t="s">
        <v>88</v>
      </c>
      <c r="C70" t="s">
        <v>6</v>
      </c>
      <c r="D70">
        <v>159.85</v>
      </c>
      <c r="E70">
        <v>2.4390243902439025E-2</v>
      </c>
      <c r="F70" s="6">
        <v>38385</v>
      </c>
      <c r="G70">
        <v>375</v>
      </c>
      <c r="H70">
        <v>1.3666666666666667</v>
      </c>
      <c r="I70">
        <v>23.246207791747619</v>
      </c>
      <c r="J70">
        <v>20.833333333333332</v>
      </c>
      <c r="K70">
        <v>2.46</v>
      </c>
      <c r="L70">
        <v>0.41486391062012407</v>
      </c>
      <c r="M70">
        <f t="shared" si="10"/>
        <v>9.449677964125049E-3</v>
      </c>
      <c r="N70">
        <v>174.33333333333334</v>
      </c>
      <c r="O70">
        <v>2204.2777777777778</v>
      </c>
      <c r="P70">
        <v>846.53846153846155</v>
      </c>
      <c r="Q70">
        <v>310.5</v>
      </c>
      <c r="R70">
        <v>2.2316666666666669</v>
      </c>
      <c r="T70">
        <v>5.2860069444444449</v>
      </c>
      <c r="U70">
        <v>0.8221623640027087</v>
      </c>
      <c r="V70">
        <v>7.1</v>
      </c>
      <c r="W70">
        <v>-7.4</v>
      </c>
      <c r="X70">
        <v>0.7</v>
      </c>
      <c r="Y70">
        <v>1.044036998742496E-3</v>
      </c>
      <c r="Z70">
        <v>9.8658134207482164E-4</v>
      </c>
      <c r="AA70">
        <v>1.7199401396837724</v>
      </c>
      <c r="AB70">
        <v>1.0082326571061264E-3</v>
      </c>
      <c r="AC70" s="5">
        <v>5.909060532250357E-6</v>
      </c>
      <c r="AD70" s="5"/>
      <c r="AE70">
        <v>1.0141417176383768E-3</v>
      </c>
      <c r="AF70">
        <v>0.97136568805499524</v>
      </c>
      <c r="AG70">
        <v>5.8266615301170496E-3</v>
      </c>
      <c r="AH70">
        <v>9.5833126416672971E-4</v>
      </c>
      <c r="AI70">
        <v>1.6706908371973321</v>
      </c>
      <c r="AJ70">
        <f>3600*AH70/ (L70*100)</f>
        <v>8.3159620846346899E-2</v>
      </c>
      <c r="AK70">
        <v>2.314041786700705</v>
      </c>
      <c r="AL70">
        <v>0</v>
      </c>
      <c r="AM70">
        <v>3.8445249685784839E-2</v>
      </c>
      <c r="AN70" s="2"/>
      <c r="AO70" s="4">
        <f t="shared" si="12"/>
        <v>957.82046153964188</v>
      </c>
      <c r="AP70" s="4">
        <f t="shared" si="13"/>
        <v>986.05548180060237</v>
      </c>
      <c r="AQ70">
        <f>((Y70*H70)*1440)</f>
        <v>2.0546648135252319</v>
      </c>
      <c r="AR70">
        <f>((AE70*H70)*1440)</f>
        <v>1.9958309003123256</v>
      </c>
      <c r="AS70">
        <f t="shared" si="7"/>
        <v>2.98952811041192E-5</v>
      </c>
      <c r="AT70">
        <f t="shared" si="14"/>
        <v>33450.095234669403</v>
      </c>
      <c r="AU70">
        <f>Z70-AH70</f>
        <v>2.8250077908091933E-5</v>
      </c>
      <c r="AV70">
        <f>AA70-AI70</f>
        <v>4.9249302486440216E-2</v>
      </c>
      <c r="AW70">
        <v>0.46103519870429399</v>
      </c>
      <c r="AX70">
        <v>91.671953591978124</v>
      </c>
      <c r="AY70">
        <v>51.487140005323404</v>
      </c>
      <c r="AZ70" s="2"/>
      <c r="BB70">
        <v>3.4122702617112753E-3</v>
      </c>
      <c r="BC70" s="6">
        <v>38400</v>
      </c>
      <c r="BD70">
        <v>22.707692307692305</v>
      </c>
      <c r="BE70">
        <v>358</v>
      </c>
      <c r="BF70" s="2"/>
      <c r="BG70">
        <v>0.16300400000000001</v>
      </c>
      <c r="BH70">
        <v>0.38986700000000002</v>
      </c>
      <c r="BI70">
        <v>5.8750900000000002E-2</v>
      </c>
      <c r="BJ70">
        <v>4.74743E-5</v>
      </c>
      <c r="BK70" s="2"/>
      <c r="BL70">
        <f t="shared" si="11"/>
        <v>0.1506947240982181</v>
      </c>
      <c r="BM70">
        <v>4.297798098024872</v>
      </c>
      <c r="BN70">
        <v>3.1066958497243856E-2</v>
      </c>
      <c r="BO70">
        <v>3174.2379371200441</v>
      </c>
      <c r="BP70" t="s">
        <v>4</v>
      </c>
      <c r="BQ70" t="s">
        <v>8</v>
      </c>
      <c r="BR70" s="10"/>
    </row>
    <row r="71" spans="1:70" x14ac:dyDescent="0.15">
      <c r="A71" t="s">
        <v>82</v>
      </c>
      <c r="B71" s="6" t="s">
        <v>89</v>
      </c>
      <c r="C71" t="s">
        <v>3</v>
      </c>
      <c r="D71">
        <v>64.006</v>
      </c>
      <c r="E71">
        <v>0.14166666666666666</v>
      </c>
      <c r="F71" s="6">
        <v>38771</v>
      </c>
      <c r="G71">
        <v>525</v>
      </c>
      <c r="H71">
        <v>1.1111111111111112</v>
      </c>
      <c r="I71">
        <v>5.1596149285982795</v>
      </c>
      <c r="J71">
        <v>22.1</v>
      </c>
      <c r="K71">
        <v>2.74</v>
      </c>
      <c r="L71">
        <v>0.10168584165850622</v>
      </c>
      <c r="M71">
        <f t="shared" si="10"/>
        <v>1.8830711418241896E-3</v>
      </c>
      <c r="N71">
        <v>104.66666666666666</v>
      </c>
      <c r="O71">
        <v>2.5</v>
      </c>
      <c r="P71">
        <v>45.03846153846154</v>
      </c>
      <c r="Q71">
        <v>7.333333333333333</v>
      </c>
      <c r="R71">
        <v>1.31</v>
      </c>
      <c r="S71">
        <v>184.66666666666666</v>
      </c>
      <c r="T71">
        <v>8.5568749999999998</v>
      </c>
      <c r="U71">
        <v>1.5495442850095322</v>
      </c>
      <c r="V71">
        <v>0.4</v>
      </c>
      <c r="W71">
        <v>-0.4</v>
      </c>
      <c r="X71">
        <v>1.3</v>
      </c>
      <c r="Y71">
        <v>3.1787060062877749E-3</v>
      </c>
      <c r="Z71">
        <v>5.9571664372445041E-4</v>
      </c>
      <c r="AA71">
        <v>0.62364041274391846</v>
      </c>
      <c r="AB71">
        <v>4.1774178219578591E-5</v>
      </c>
      <c r="AC71">
        <v>3.3491716347249569E-7</v>
      </c>
      <c r="AE71">
        <v>4.2109095383051093E-5</v>
      </c>
      <c r="AF71">
        <v>1.3247244413215757E-2</v>
      </c>
      <c r="AG71">
        <v>7.9535587365597935E-3</v>
      </c>
      <c r="AH71">
        <v>7.8915252349835539E-6</v>
      </c>
      <c r="AI71">
        <v>8.2614496659790156E-3</v>
      </c>
      <c r="AJ71">
        <f>3600*AH71/ (L71*100)</f>
        <v>2.79384921072385E-3</v>
      </c>
      <c r="AK71">
        <v>0.2736316491990014</v>
      </c>
      <c r="AL71">
        <v>4.9750807607030602E-3</v>
      </c>
      <c r="AM71">
        <v>3.1805737056528079E-5</v>
      </c>
      <c r="AN71" s="2"/>
      <c r="AO71" s="4">
        <f t="shared" si="12"/>
        <v>314.59342198426259</v>
      </c>
      <c r="AP71" s="4">
        <f t="shared" si="13"/>
        <v>23747.838582219934</v>
      </c>
      <c r="AQ71">
        <f>((Y71*H71)*1440)</f>
        <v>5.0859296100604405</v>
      </c>
      <c r="AR71">
        <f>((AE71*H71)*1440)</f>
        <v>6.737455261288175E-2</v>
      </c>
      <c r="AS71">
        <f t="shared" si="7"/>
        <v>3.1365969109047238E-3</v>
      </c>
      <c r="AT71">
        <f t="shared" si="14"/>
        <v>318.81686694372178</v>
      </c>
      <c r="AU71">
        <f>Z71-AH71</f>
        <v>5.8782511848946687E-4</v>
      </c>
      <c r="AV71">
        <f>AA71-AI71</f>
        <v>0.61537896307793949</v>
      </c>
      <c r="AW71">
        <v>1.3914731606871091</v>
      </c>
      <c r="AX71">
        <v>102.38117588859477</v>
      </c>
      <c r="AY71">
        <v>22.353198392298964</v>
      </c>
      <c r="AZ71" s="2"/>
      <c r="BA71">
        <v>8.8415091212300234E-3</v>
      </c>
      <c r="BC71" s="6">
        <v>38771</v>
      </c>
      <c r="BD71">
        <v>22.320512820512825</v>
      </c>
      <c r="BE71">
        <v>275</v>
      </c>
      <c r="BF71" s="2"/>
      <c r="BG71">
        <v>0.27155400000000002</v>
      </c>
      <c r="BH71">
        <v>0.46295799999999998</v>
      </c>
      <c r="BI71">
        <v>0.109455</v>
      </c>
      <c r="BJ71">
        <v>2.1399999999999998E-5</v>
      </c>
      <c r="BK71" s="2"/>
      <c r="BL71">
        <f t="shared" si="11"/>
        <v>0.23642533447958564</v>
      </c>
      <c r="BM71">
        <v>12.298314606741572</v>
      </c>
      <c r="BN71">
        <v>3.8203752544825872E-2</v>
      </c>
      <c r="BO71">
        <v>11035.588033905386</v>
      </c>
      <c r="BP71" t="s">
        <v>4</v>
      </c>
      <c r="BQ71" t="s">
        <v>8</v>
      </c>
      <c r="BR71" s="10"/>
    </row>
    <row r="72" spans="1:70" x14ac:dyDescent="0.15">
      <c r="A72" t="s">
        <v>82</v>
      </c>
      <c r="B72" t="s">
        <v>90</v>
      </c>
      <c r="C72" t="s">
        <v>10</v>
      </c>
      <c r="D72">
        <v>172.03899999999999</v>
      </c>
      <c r="E72">
        <v>2.4778761061946902E-2</v>
      </c>
      <c r="F72" s="6">
        <v>38759</v>
      </c>
      <c r="G72">
        <v>490</v>
      </c>
      <c r="H72">
        <v>3.6438529784537392</v>
      </c>
      <c r="I72">
        <v>111.91403704865154</v>
      </c>
      <c r="J72">
        <v>23</v>
      </c>
      <c r="K72">
        <v>1.96</v>
      </c>
      <c r="L72">
        <v>0.940197074335965</v>
      </c>
      <c r="M72">
        <f t="shared" si="10"/>
        <v>5.709899849420997E-2</v>
      </c>
      <c r="N72">
        <v>445.66666666666669</v>
      </c>
      <c r="O72">
        <v>2.6315789473684212</v>
      </c>
      <c r="P72">
        <v>163.30769230769232</v>
      </c>
      <c r="Q72">
        <v>8.6666666666666661</v>
      </c>
      <c r="R72">
        <v>1.0133333333333334</v>
      </c>
      <c r="S72">
        <v>209.73333333333335</v>
      </c>
      <c r="T72">
        <v>8.3582638888889011</v>
      </c>
      <c r="U72">
        <v>1.5239482222200023</v>
      </c>
      <c r="V72">
        <v>3.1</v>
      </c>
      <c r="W72">
        <v>-15.7</v>
      </c>
      <c r="X72">
        <v>1.3</v>
      </c>
      <c r="Y72">
        <v>1.1792728403509327E-4</v>
      </c>
      <c r="Z72">
        <v>6.7335298135460619E-4</v>
      </c>
      <c r="AA72">
        <v>3.0009097869036956</v>
      </c>
      <c r="AB72">
        <v>8.6324339638186616E-5</v>
      </c>
      <c r="AC72">
        <v>3.107756702415118E-7</v>
      </c>
      <c r="AE72">
        <v>8.6635115308428129E-5</v>
      </c>
      <c r="AF72">
        <v>0.73464861009303761</v>
      </c>
      <c r="AG72">
        <v>3.5871790455304976E-3</v>
      </c>
      <c r="AH72">
        <v>4.9467783185416444E-4</v>
      </c>
      <c r="AI72">
        <v>2.2046142039633931</v>
      </c>
      <c r="AJ72">
        <f>3600*AH72/ (L72*100)</f>
        <v>1.8941137377317941E-2</v>
      </c>
      <c r="AK72">
        <v>10.452169705568339</v>
      </c>
      <c r="AL72">
        <v>3.8878749128215491E-4</v>
      </c>
      <c r="AM72">
        <v>1.7958523041519704E-3</v>
      </c>
      <c r="AN72" s="2"/>
      <c r="AO72" s="4">
        <f t="shared" si="12"/>
        <v>8479.8018387535831</v>
      </c>
      <c r="AP72" s="4">
        <f t="shared" si="13"/>
        <v>11542.663692890785</v>
      </c>
      <c r="AQ72">
        <f>((Y72*H72)*1440)</f>
        <v>0.618781946648018</v>
      </c>
      <c r="AR72">
        <f>((AE72*H72)*1440)</f>
        <v>0.4545872970556305</v>
      </c>
      <c r="AS72">
        <f t="shared" si="7"/>
        <v>3.1292168726665138E-5</v>
      </c>
      <c r="AT72">
        <f t="shared" si="14"/>
        <v>31956.877413480946</v>
      </c>
      <c r="AU72">
        <f>Z72-AH72</f>
        <v>1.7867514950044175E-4</v>
      </c>
      <c r="AV72">
        <f>AA72-AI72</f>
        <v>0.79629558294030245</v>
      </c>
      <c r="AW72">
        <v>3.0312442966703057</v>
      </c>
      <c r="AX72">
        <v>83.698553857557314</v>
      </c>
      <c r="AY72">
        <v>53.734848646384336</v>
      </c>
      <c r="AZ72" s="2"/>
      <c r="BA72">
        <v>3.9882443709426188E-3</v>
      </c>
      <c r="BC72" s="6">
        <v>38759</v>
      </c>
      <c r="BD72">
        <v>23</v>
      </c>
      <c r="BE72">
        <v>500</v>
      </c>
      <c r="BF72" s="2"/>
      <c r="BG72">
        <v>0.17129800000000001</v>
      </c>
      <c r="BH72">
        <v>0.81111900000000003</v>
      </c>
      <c r="BI72">
        <v>0.133053</v>
      </c>
      <c r="BJ72">
        <v>4.2200000000000003E-5</v>
      </c>
      <c r="BK72" s="2"/>
      <c r="BL72">
        <f t="shared" si="11"/>
        <v>0.1640363497834473</v>
      </c>
      <c r="BM72">
        <v>3.2060963855421685</v>
      </c>
      <c r="BN72">
        <v>2.143673011860368E-2</v>
      </c>
      <c r="BO72">
        <v>3885.8097460912986</v>
      </c>
      <c r="BP72" t="s">
        <v>4</v>
      </c>
      <c r="BQ72" t="s">
        <v>8</v>
      </c>
      <c r="BR72" s="10"/>
    </row>
    <row r="73" spans="1:70" ht="12" customHeight="1" x14ac:dyDescent="0.15">
      <c r="A73" t="s">
        <v>82</v>
      </c>
      <c r="B73" t="s">
        <v>91</v>
      </c>
      <c r="C73" t="s">
        <v>6</v>
      </c>
      <c r="D73">
        <v>505.30200000000002</v>
      </c>
      <c r="E73">
        <v>1.5714285714285715E-2</v>
      </c>
      <c r="F73" s="6">
        <v>38754</v>
      </c>
      <c r="G73">
        <v>625</v>
      </c>
      <c r="H73">
        <v>4.0532081377151803</v>
      </c>
      <c r="I73">
        <v>49.470721228148861</v>
      </c>
      <c r="J73">
        <v>25.274999999999999</v>
      </c>
      <c r="K73">
        <v>2.73</v>
      </c>
      <c r="L73">
        <v>0.26824889358723003</v>
      </c>
      <c r="M73">
        <f t="shared" si="10"/>
        <v>1.8121143307014236E-2</v>
      </c>
      <c r="N73">
        <v>511.66666666666669</v>
      </c>
      <c r="O73">
        <v>50.315789473684212</v>
      </c>
      <c r="P73">
        <v>483.07692307692309</v>
      </c>
      <c r="Q73">
        <v>21.5</v>
      </c>
      <c r="R73">
        <v>2.2433333333333336</v>
      </c>
      <c r="S73">
        <v>456.13333333333327</v>
      </c>
      <c r="T73">
        <v>8.2685416666666747</v>
      </c>
      <c r="U73">
        <v>1.9809860126594363</v>
      </c>
      <c r="V73">
        <v>9.3000000000000007</v>
      </c>
      <c r="W73">
        <v>-11.7</v>
      </c>
      <c r="X73">
        <v>1.6</v>
      </c>
      <c r="Y73">
        <v>4.3047018667212715E-4</v>
      </c>
      <c r="Z73">
        <v>9.0201437001491533E-4</v>
      </c>
      <c r="AA73">
        <v>4.1853184129021042</v>
      </c>
      <c r="AB73">
        <v>1.7340238197827119E-4</v>
      </c>
      <c r="AC73" s="5">
        <v>2.0427175429399989E-6</v>
      </c>
      <c r="AD73" s="5"/>
      <c r="AE73">
        <v>1.7544509952121119E-4</v>
      </c>
      <c r="AF73">
        <v>0.4075662030802637</v>
      </c>
      <c r="AG73">
        <v>1.1643058418357452E-2</v>
      </c>
      <c r="AH73">
        <v>3.6236226254393974E-4</v>
      </c>
      <c r="AI73">
        <v>1.6908381081663473</v>
      </c>
      <c r="AJ73">
        <f>3600*AH73/ (L73*100)</f>
        <v>4.8630364424372935E-2</v>
      </c>
      <c r="AK73">
        <v>-2.9588984638076798E-2</v>
      </c>
      <c r="AL73">
        <v>3.7735073391577771E-3</v>
      </c>
      <c r="AM73">
        <v>1.3179119271446373E-3</v>
      </c>
      <c r="AN73" s="2"/>
      <c r="AO73" s="4">
        <f t="shared" si="12"/>
        <v>2323.0412487582144</v>
      </c>
      <c r="AP73" s="4">
        <f t="shared" si="13"/>
        <v>5699.7887243872592</v>
      </c>
      <c r="AQ73">
        <f>((Z73/100)*86400)/L73</f>
        <v>2.905288462781519</v>
      </c>
      <c r="AR73">
        <f>((AE73*H73)*1440)</f>
        <v>1.0240063273463369</v>
      </c>
      <c r="AS73">
        <f t="shared" si="7"/>
        <v>2.5502508715091597E-4</v>
      </c>
      <c r="AT73">
        <f t="shared" si="14"/>
        <v>3921.1828576230655</v>
      </c>
      <c r="AU73">
        <f>Z73-AH73</f>
        <v>5.3965210747097554E-4</v>
      </c>
      <c r="AV73">
        <f>AA73-AI73</f>
        <v>2.4944803047357569</v>
      </c>
      <c r="AW73">
        <v>3.9351676326499621</v>
      </c>
      <c r="AX73">
        <v>134.06433921290125</v>
      </c>
      <c r="AY73">
        <v>79.322299474022088</v>
      </c>
      <c r="AZ73" s="2"/>
      <c r="BA73">
        <v>4.7838759601993566E-3</v>
      </c>
      <c r="BC73" s="6">
        <v>38754</v>
      </c>
      <c r="BD73">
        <v>26.72</v>
      </c>
      <c r="BE73">
        <v>500</v>
      </c>
      <c r="BF73" s="2"/>
      <c r="BG73">
        <v>0.30539500000000003</v>
      </c>
      <c r="BH73">
        <v>0.25998599999999999</v>
      </c>
      <c r="BI73">
        <v>1.1604E-2</v>
      </c>
      <c r="BJ73">
        <v>4.9499999999999997E-5</v>
      </c>
      <c r="BK73" s="2"/>
      <c r="BL73">
        <f t="shared" si="11"/>
        <v>4.4633172555445293E-2</v>
      </c>
      <c r="BM73">
        <v>0.64826256983240227</v>
      </c>
      <c r="BN73">
        <v>5.7193177460555132E-3</v>
      </c>
      <c r="BO73">
        <v>902.18280884842943</v>
      </c>
      <c r="BP73" t="s">
        <v>4</v>
      </c>
      <c r="BQ73" t="s">
        <v>8</v>
      </c>
      <c r="BR73" s="10"/>
    </row>
    <row r="74" spans="1:70" x14ac:dyDescent="0.15">
      <c r="AN74" s="2"/>
      <c r="AO74" s="1"/>
      <c r="AP74" s="1"/>
      <c r="AZ74" s="2"/>
      <c r="BF74" s="2"/>
      <c r="BK74" s="2"/>
      <c r="BR74" s="3"/>
    </row>
    <row r="75" spans="1:70" x14ac:dyDescent="0.15">
      <c r="C75" t="s">
        <v>92</v>
      </c>
      <c r="D75">
        <f t="shared" ref="D75:AV75" si="15">AVERAGE(D2:D73)</f>
        <v>35260.125789146587</v>
      </c>
      <c r="E75">
        <f t="shared" si="15"/>
        <v>2.5681770853304104E-2</v>
      </c>
      <c r="F75">
        <f t="shared" si="15"/>
        <v>38191</v>
      </c>
      <c r="G75">
        <f t="shared" si="15"/>
        <v>433.49861111111113</v>
      </c>
      <c r="H75">
        <f t="shared" si="15"/>
        <v>5.8857008239567001</v>
      </c>
      <c r="I75">
        <f t="shared" si="15"/>
        <v>38.273891525182933</v>
      </c>
      <c r="J75">
        <f t="shared" si="15"/>
        <v>18.047769097222222</v>
      </c>
      <c r="K75">
        <f t="shared" si="15"/>
        <v>2.6924051122446264</v>
      </c>
      <c r="L75">
        <f t="shared" si="15"/>
        <v>0.15119122590112713</v>
      </c>
      <c r="M75">
        <f t="shared" si="15"/>
        <v>1.373345627602162E-2</v>
      </c>
      <c r="N75">
        <f t="shared" si="15"/>
        <v>613.66800675683317</v>
      </c>
      <c r="O75">
        <f t="shared" si="15"/>
        <v>62.395374516759894</v>
      </c>
      <c r="P75">
        <f t="shared" si="15"/>
        <v>185.9306108126749</v>
      </c>
      <c r="Q75">
        <f t="shared" si="15"/>
        <v>21.592519532844154</v>
      </c>
      <c r="R75">
        <f t="shared" si="15"/>
        <v>3.2521825389180936</v>
      </c>
      <c r="S75">
        <f t="shared" si="15"/>
        <v>151.11858974358972</v>
      </c>
      <c r="T75">
        <f t="shared" si="15"/>
        <v>7.6061543681102606</v>
      </c>
      <c r="U75">
        <f t="shared" si="15"/>
        <v>24.286691873203395</v>
      </c>
      <c r="V75">
        <f t="shared" si="15"/>
        <v>2.8042253521126774</v>
      </c>
      <c r="W75">
        <f t="shared" si="15"/>
        <v>-6.6228571428571428</v>
      </c>
      <c r="X75">
        <f t="shared" si="15"/>
        <v>25.317121212121215</v>
      </c>
      <c r="Y75">
        <f t="shared" si="15"/>
        <v>4.4707152686636218E-3</v>
      </c>
      <c r="Z75">
        <f t="shared" si="15"/>
        <v>2.7419833564704564E-3</v>
      </c>
      <c r="AA75">
        <f t="shared" si="15"/>
        <v>3.2834057830700307</v>
      </c>
      <c r="AB75">
        <f t="shared" si="15"/>
        <v>5.520084877348062E-4</v>
      </c>
      <c r="AC75">
        <f t="shared" si="15"/>
        <v>1.3915933471564081E-6</v>
      </c>
      <c r="AE75">
        <f t="shared" si="15"/>
        <v>5.5268107894711281E-4</v>
      </c>
      <c r="AF75">
        <f t="shared" si="15"/>
        <v>0.27676483438426436</v>
      </c>
      <c r="AG75">
        <f t="shared" si="15"/>
        <v>8.3068877990513986E-3</v>
      </c>
      <c r="AH75">
        <f t="shared" si="15"/>
        <v>5.4371925873703919E-4</v>
      </c>
      <c r="AI75">
        <f t="shared" si="15"/>
        <v>0.38835984187483885</v>
      </c>
      <c r="AJ75">
        <f>AVERAGE(AJ2:AJ73)</f>
        <v>0.21510373980963826</v>
      </c>
      <c r="AK75">
        <f t="shared" si="15"/>
        <v>3.2906267747558777</v>
      </c>
      <c r="AL75">
        <f t="shared" si="15"/>
        <v>7.6873739816233189E-2</v>
      </c>
      <c r="AM75">
        <f t="shared" si="15"/>
        <v>5.8126556314026315E-2</v>
      </c>
      <c r="AO75">
        <f t="shared" si="15"/>
        <v>2102.2565434301946</v>
      </c>
      <c r="AP75">
        <f t="shared" si="15"/>
        <v>22328.712543045523</v>
      </c>
      <c r="AQ75">
        <f t="shared" si="15"/>
        <v>24.593644740516734</v>
      </c>
      <c r="AR75">
        <f t="shared" si="15"/>
        <v>5.1615222303618449</v>
      </c>
      <c r="AS75">
        <f t="shared" si="15"/>
        <v>2.0789948356017347E-3</v>
      </c>
      <c r="AT75">
        <f t="shared" si="15"/>
        <v>6629.1865324196979</v>
      </c>
      <c r="AU75">
        <f t="shared" si="15"/>
        <v>1.4696676579691078E-3</v>
      </c>
      <c r="AV75">
        <f t="shared" si="15"/>
        <v>4.0952164949361345</v>
      </c>
      <c r="AW75">
        <v>28.64106869902394</v>
      </c>
      <c r="AX75">
        <v>671.44493722410357</v>
      </c>
      <c r="AY75">
        <v>111.15516954353444</v>
      </c>
      <c r="BA75">
        <f t="shared" ref="BA75:BO75" si="16">AVERAGE(BA2:BA73)</f>
        <v>5.8306537729310316E-3</v>
      </c>
      <c r="BB75">
        <f t="shared" si="16"/>
        <v>7.023745269871845E-3</v>
      </c>
      <c r="BC75">
        <f t="shared" si="16"/>
        <v>38199.154929577468</v>
      </c>
      <c r="BD75">
        <f t="shared" si="16"/>
        <v>19.008316087562928</v>
      </c>
      <c r="BE75">
        <f t="shared" si="16"/>
        <v>289.6944444444444</v>
      </c>
      <c r="BG75">
        <f t="shared" si="16"/>
        <v>0.63471008615384605</v>
      </c>
      <c r="BH75">
        <f t="shared" si="16"/>
        <v>0.36908106307692323</v>
      </c>
      <c r="BI75">
        <f t="shared" si="16"/>
        <v>9.2680632147861972E-2</v>
      </c>
      <c r="BJ75">
        <f t="shared" si="16"/>
        <v>8.9494472199999999E-4</v>
      </c>
      <c r="BL75">
        <f t="shared" si="16"/>
        <v>0.307868595851013</v>
      </c>
      <c r="BM75">
        <f t="shared" si="16"/>
        <v>6.4196646902266439</v>
      </c>
      <c r="BN75">
        <f t="shared" si="16"/>
        <v>8.8775093656557433E-2</v>
      </c>
      <c r="BO75">
        <f t="shared" si="16"/>
        <v>2622.6791594621018</v>
      </c>
    </row>
    <row r="76" spans="1:70" x14ac:dyDescent="0.15">
      <c r="C76" t="s">
        <v>93</v>
      </c>
      <c r="D76">
        <f t="shared" ref="D76:AV76" si="17">MEDIAN(D2:D73)</f>
        <v>256.17849999999999</v>
      </c>
      <c r="E76">
        <f t="shared" si="17"/>
        <v>1.3187928571428573E-2</v>
      </c>
      <c r="F76">
        <f t="shared" si="17"/>
        <v>38169</v>
      </c>
      <c r="G76">
        <f t="shared" si="17"/>
        <v>400</v>
      </c>
      <c r="H76">
        <f t="shared" si="17"/>
        <v>4.1958695652173912</v>
      </c>
      <c r="I76">
        <f t="shared" si="17"/>
        <v>18.486005640137797</v>
      </c>
      <c r="J76">
        <f t="shared" si="17"/>
        <v>17.943750000000001</v>
      </c>
      <c r="K76">
        <f t="shared" si="17"/>
        <v>2.4699999999999998</v>
      </c>
      <c r="L76">
        <f t="shared" si="17"/>
        <v>0.10767770852373375</v>
      </c>
      <c r="M76">
        <f t="shared" si="17"/>
        <v>6.0455249805393199E-3</v>
      </c>
      <c r="N76">
        <f t="shared" si="17"/>
        <v>100.845125</v>
      </c>
      <c r="O76">
        <f t="shared" si="17"/>
        <v>7.1315789473684212</v>
      </c>
      <c r="P76">
        <f t="shared" si="17"/>
        <v>106.61725243333333</v>
      </c>
      <c r="Q76">
        <f t="shared" si="17"/>
        <v>9.1999999999999993</v>
      </c>
      <c r="R76">
        <f t="shared" si="17"/>
        <v>1.7583333333333335</v>
      </c>
      <c r="S76">
        <f t="shared" si="17"/>
        <v>93.6</v>
      </c>
      <c r="T76">
        <f t="shared" si="17"/>
        <v>7.98</v>
      </c>
      <c r="U76">
        <f t="shared" si="17"/>
        <v>21.2</v>
      </c>
      <c r="V76">
        <f t="shared" si="17"/>
        <v>1.5</v>
      </c>
      <c r="W76">
        <f t="shared" si="17"/>
        <v>-5.3</v>
      </c>
      <c r="X76">
        <f t="shared" si="17"/>
        <v>21.1</v>
      </c>
      <c r="Y76">
        <f t="shared" si="17"/>
        <v>1.2867934894924254E-3</v>
      </c>
      <c r="Z76">
        <f t="shared" si="17"/>
        <v>7.0318874691173341E-4</v>
      </c>
      <c r="AA76">
        <f t="shared" si="17"/>
        <v>0.53260780129018492</v>
      </c>
      <c r="AB76">
        <f t="shared" si="17"/>
        <v>1.1049090487771565E-4</v>
      </c>
      <c r="AC76">
        <f t="shared" si="17"/>
        <v>7.4796999999999999E-7</v>
      </c>
      <c r="AE76">
        <f t="shared" si="17"/>
        <v>1.1049090487771565E-4</v>
      </c>
      <c r="AF76">
        <f t="shared" si="17"/>
        <v>0.15848605511273503</v>
      </c>
      <c r="AG76">
        <f t="shared" si="17"/>
        <v>5.9875268183832587E-3</v>
      </c>
      <c r="AH76">
        <f t="shared" si="17"/>
        <v>7.8442577087600775E-5</v>
      </c>
      <c r="AI76">
        <f t="shared" si="17"/>
        <v>0.16188360105197663</v>
      </c>
      <c r="AJ76">
        <f>MEDIAN(AJ2:AJ73)</f>
        <v>2.222639552563016E-2</v>
      </c>
      <c r="AK76">
        <f t="shared" si="17"/>
        <v>0.51556660793358511</v>
      </c>
      <c r="AL76">
        <f t="shared" si="17"/>
        <v>3.0383496154079209E-3</v>
      </c>
      <c r="AM76">
        <f t="shared" si="17"/>
        <v>1.1629500800540131E-4</v>
      </c>
      <c r="AO76">
        <f t="shared" si="17"/>
        <v>777.12547364103398</v>
      </c>
      <c r="AP76">
        <f t="shared" si="17"/>
        <v>9050.5186929796328</v>
      </c>
      <c r="AQ76">
        <f t="shared" si="17"/>
        <v>5.2362478275362525</v>
      </c>
      <c r="AR76">
        <f t="shared" si="17"/>
        <v>0.53343366453876728</v>
      </c>
      <c r="AS76">
        <f t="shared" si="17"/>
        <v>6.6691950389634823E-4</v>
      </c>
      <c r="AT76">
        <f t="shared" si="17"/>
        <v>1499.7893308421621</v>
      </c>
      <c r="AU76">
        <f t="shared" si="17"/>
        <v>4.1874369208554465E-4</v>
      </c>
      <c r="AV76">
        <f t="shared" si="17"/>
        <v>0.78132066549161117</v>
      </c>
      <c r="AW76">
        <v>8.2247794559943692</v>
      </c>
      <c r="AX76">
        <v>133.56757510645062</v>
      </c>
      <c r="AY76">
        <v>50.275340799999995</v>
      </c>
      <c r="BA76">
        <f t="shared" ref="BA76:BO76" si="18">MEDIAN(BA2:BA73)</f>
        <v>4.727764365518485E-3</v>
      </c>
      <c r="BB76">
        <f t="shared" si="18"/>
        <v>3.9427224837456191E-3</v>
      </c>
      <c r="BC76">
        <f t="shared" si="18"/>
        <v>38170</v>
      </c>
      <c r="BD76">
        <f t="shared" si="18"/>
        <v>18.966666666666665</v>
      </c>
      <c r="BE76">
        <f t="shared" si="18"/>
        <v>262.5</v>
      </c>
      <c r="BG76">
        <f t="shared" si="18"/>
        <v>0.250782</v>
      </c>
      <c r="BH76">
        <f t="shared" si="18"/>
        <v>0.25738699999999998</v>
      </c>
      <c r="BI76">
        <f t="shared" si="18"/>
        <v>4.96406E-2</v>
      </c>
      <c r="BJ76">
        <f t="shared" si="18"/>
        <v>1.2644199999999999E-4</v>
      </c>
      <c r="BL76">
        <f t="shared" si="18"/>
        <v>0.1476849234461354</v>
      </c>
      <c r="BM76">
        <f t="shared" si="18"/>
        <v>1.9692307692307693</v>
      </c>
      <c r="BN76">
        <f t="shared" si="18"/>
        <v>3.1066958497243856E-2</v>
      </c>
      <c r="BO76">
        <f t="shared" si="18"/>
        <v>1091.9607874545377</v>
      </c>
    </row>
    <row r="77" spans="1:70" x14ac:dyDescent="0.15">
      <c r="C77" t="s">
        <v>94</v>
      </c>
      <c r="D77">
        <f t="shared" ref="D77:AV77" si="19">STDEV(D2:D73)</f>
        <v>192633.66392895777</v>
      </c>
      <c r="E77">
        <f t="shared" si="19"/>
        <v>3.9525841697103166E-2</v>
      </c>
      <c r="F77">
        <f t="shared" si="19"/>
        <v>306.96029013263239</v>
      </c>
      <c r="G77">
        <f t="shared" si="19"/>
        <v>265.59445018651036</v>
      </c>
      <c r="H77">
        <f t="shared" si="19"/>
        <v>5.276793693456292</v>
      </c>
      <c r="I77">
        <f t="shared" si="19"/>
        <v>51.925233010580101</v>
      </c>
      <c r="J77">
        <f t="shared" si="19"/>
        <v>4.0384743231220446</v>
      </c>
      <c r="K77">
        <f t="shared" si="19"/>
        <v>1.4240787447164771</v>
      </c>
      <c r="L77">
        <f t="shared" si="19"/>
        <v>0.17044096715295382</v>
      </c>
      <c r="M77">
        <f t="shared" si="19"/>
        <v>1.7287451696892327E-2</v>
      </c>
      <c r="N77">
        <f t="shared" si="19"/>
        <v>2541.3803089826274</v>
      </c>
      <c r="O77">
        <f t="shared" si="19"/>
        <v>265.31430219778338</v>
      </c>
      <c r="P77">
        <f t="shared" si="19"/>
        <v>186.27608062896522</v>
      </c>
      <c r="Q77">
        <f t="shared" si="19"/>
        <v>44.868554730102879</v>
      </c>
      <c r="R77">
        <f t="shared" si="19"/>
        <v>4.3861850836142473</v>
      </c>
      <c r="S77">
        <f t="shared" si="19"/>
        <v>140.97501753280994</v>
      </c>
      <c r="T77">
        <f t="shared" si="19"/>
        <v>1.8116525578236244</v>
      </c>
      <c r="U77">
        <f t="shared" si="19"/>
        <v>23.218228393004313</v>
      </c>
      <c r="V77">
        <f t="shared" si="19"/>
        <v>3.561738605140484</v>
      </c>
      <c r="W77">
        <f t="shared" si="19"/>
        <v>4.7429939614579428</v>
      </c>
      <c r="X77">
        <f t="shared" si="19"/>
        <v>23.847216755204293</v>
      </c>
      <c r="Y77">
        <f t="shared" si="19"/>
        <v>8.6491895892296094E-3</v>
      </c>
      <c r="Z77">
        <f t="shared" si="19"/>
        <v>4.9458345083395064E-3</v>
      </c>
      <c r="AA77">
        <f t="shared" si="19"/>
        <v>15.23885115707</v>
      </c>
      <c r="AB77">
        <f t="shared" si="19"/>
        <v>1.660006494178864E-3</v>
      </c>
      <c r="AC77">
        <f t="shared" si="19"/>
        <v>1.6752521978199253E-6</v>
      </c>
      <c r="AE77">
        <f t="shared" si="19"/>
        <v>1.6603345780404626E-3</v>
      </c>
      <c r="AF77">
        <f t="shared" si="19"/>
        <v>0.29272428265606482</v>
      </c>
      <c r="AG77">
        <f t="shared" si="19"/>
        <v>9.9915934222758445E-3</v>
      </c>
      <c r="AH77">
        <f t="shared" si="19"/>
        <v>2.1565412874832066E-3</v>
      </c>
      <c r="AI77">
        <f t="shared" si="19"/>
        <v>0.57212734295665757</v>
      </c>
      <c r="AJ77">
        <f>STDEV(AJ2:AJ73)</f>
        <v>0.82720287661420455</v>
      </c>
      <c r="AK77">
        <f t="shared" si="19"/>
        <v>8.5730834795516468</v>
      </c>
      <c r="AL77">
        <f t="shared" si="19"/>
        <v>0.27364794394780406</v>
      </c>
      <c r="AM77">
        <f t="shared" si="19"/>
        <v>0.40503224650538144</v>
      </c>
      <c r="AO77">
        <f t="shared" si="19"/>
        <v>3251.2102865890038</v>
      </c>
      <c r="AP77">
        <f t="shared" si="19"/>
        <v>37052.80245814439</v>
      </c>
      <c r="AQ77">
        <f t="shared" si="19"/>
        <v>44.422200187849143</v>
      </c>
      <c r="AR77">
        <f t="shared" si="19"/>
        <v>19.851927841295495</v>
      </c>
      <c r="AS77">
        <f t="shared" si="19"/>
        <v>3.7464409183783527E-3</v>
      </c>
      <c r="AT77">
        <f t="shared" si="19"/>
        <v>12499.91724698267</v>
      </c>
      <c r="AU77">
        <f t="shared" si="19"/>
        <v>2.7850644237551324E-3</v>
      </c>
      <c r="AV77">
        <f t="shared" si="19"/>
        <v>17.84550355941704</v>
      </c>
      <c r="AW77">
        <v>48.898670356249625</v>
      </c>
      <c r="AX77">
        <v>1668.6481510278029</v>
      </c>
      <c r="AY77">
        <v>184.37462475067204</v>
      </c>
      <c r="BA77">
        <f t="shared" ref="BA77:BO77" si="20">STDEV(BA2:BA73)</f>
        <v>3.9235966970743059E-3</v>
      </c>
      <c r="BB77">
        <f t="shared" si="20"/>
        <v>1.1154793465546996E-2</v>
      </c>
      <c r="BC77">
        <f t="shared" si="20"/>
        <v>296.5874791638729</v>
      </c>
      <c r="BD77">
        <f t="shared" si="20"/>
        <v>4.4609474530550663</v>
      </c>
      <c r="BE77">
        <f t="shared" si="20"/>
        <v>189.11505543994437</v>
      </c>
      <c r="BG77">
        <f t="shared" si="20"/>
        <v>1.0706788166610541</v>
      </c>
      <c r="BH77">
        <f t="shared" si="20"/>
        <v>0.33485983213406018</v>
      </c>
      <c r="BI77">
        <f t="shared" si="20"/>
        <v>0.15730655053181641</v>
      </c>
      <c r="BJ77">
        <f t="shared" si="20"/>
        <v>2.8682830620136083E-3</v>
      </c>
      <c r="BL77">
        <f t="shared" si="20"/>
        <v>0.49847731859454886</v>
      </c>
      <c r="BM77">
        <f t="shared" si="20"/>
        <v>12.664123126992598</v>
      </c>
      <c r="BN77">
        <f t="shared" si="20"/>
        <v>0.1413043831251474</v>
      </c>
      <c r="BO77">
        <f t="shared" si="20"/>
        <v>3638.6341052383332</v>
      </c>
    </row>
    <row r="78" spans="1:70" x14ac:dyDescent="0.15">
      <c r="C78" t="s">
        <v>95</v>
      </c>
      <c r="D78">
        <f t="shared" ref="D78:AV78" si="21">COUNT(D2:D73)</f>
        <v>72</v>
      </c>
      <c r="E78">
        <f t="shared" si="21"/>
        <v>72</v>
      </c>
      <c r="F78">
        <f t="shared" si="21"/>
        <v>72</v>
      </c>
      <c r="G78">
        <f t="shared" si="21"/>
        <v>72</v>
      </c>
      <c r="H78">
        <f t="shared" si="21"/>
        <v>72</v>
      </c>
      <c r="I78">
        <f t="shared" si="21"/>
        <v>72</v>
      </c>
      <c r="J78">
        <f t="shared" si="21"/>
        <v>72</v>
      </c>
      <c r="K78">
        <f t="shared" si="21"/>
        <v>72</v>
      </c>
      <c r="L78">
        <f t="shared" si="21"/>
        <v>72</v>
      </c>
      <c r="M78">
        <f t="shared" si="21"/>
        <v>72</v>
      </c>
      <c r="N78">
        <f t="shared" si="21"/>
        <v>72</v>
      </c>
      <c r="O78">
        <f t="shared" si="21"/>
        <v>72</v>
      </c>
      <c r="P78">
        <f t="shared" si="21"/>
        <v>66</v>
      </c>
      <c r="Q78">
        <f t="shared" si="21"/>
        <v>71</v>
      </c>
      <c r="R78">
        <f t="shared" si="21"/>
        <v>71</v>
      </c>
      <c r="S78">
        <f t="shared" si="21"/>
        <v>26</v>
      </c>
      <c r="T78">
        <f t="shared" si="21"/>
        <v>71</v>
      </c>
      <c r="U78">
        <f t="shared" si="21"/>
        <v>66</v>
      </c>
      <c r="V78">
        <f t="shared" si="21"/>
        <v>71</v>
      </c>
      <c r="W78">
        <f t="shared" si="21"/>
        <v>70</v>
      </c>
      <c r="X78">
        <f t="shared" si="21"/>
        <v>66</v>
      </c>
      <c r="Y78">
        <f t="shared" si="21"/>
        <v>69</v>
      </c>
      <c r="Z78">
        <f t="shared" si="21"/>
        <v>69</v>
      </c>
      <c r="AA78">
        <f t="shared" si="21"/>
        <v>69</v>
      </c>
      <c r="AB78">
        <f t="shared" si="21"/>
        <v>49</v>
      </c>
      <c r="AC78">
        <f t="shared" si="21"/>
        <v>53</v>
      </c>
      <c r="AE78">
        <f t="shared" si="21"/>
        <v>49</v>
      </c>
      <c r="AF78">
        <f t="shared" si="21"/>
        <v>49</v>
      </c>
      <c r="AG78">
        <f t="shared" si="21"/>
        <v>42</v>
      </c>
      <c r="AH78">
        <f t="shared" si="21"/>
        <v>49</v>
      </c>
      <c r="AI78">
        <f t="shared" si="21"/>
        <v>49</v>
      </c>
      <c r="AJ78">
        <f>COUNT(AJ2:AJ73)</f>
        <v>49</v>
      </c>
      <c r="AK78">
        <f t="shared" si="21"/>
        <v>70</v>
      </c>
      <c r="AL78">
        <f t="shared" si="21"/>
        <v>62</v>
      </c>
      <c r="AM78">
        <f t="shared" si="21"/>
        <v>62</v>
      </c>
      <c r="AO78">
        <f t="shared" si="21"/>
        <v>69</v>
      </c>
      <c r="AP78">
        <f t="shared" si="21"/>
        <v>49</v>
      </c>
      <c r="AQ78">
        <f t="shared" si="21"/>
        <v>69</v>
      </c>
      <c r="AR78">
        <f t="shared" si="21"/>
        <v>49</v>
      </c>
      <c r="AS78">
        <f t="shared" si="21"/>
        <v>48</v>
      </c>
      <c r="AT78">
        <f t="shared" si="21"/>
        <v>48</v>
      </c>
      <c r="AU78">
        <f t="shared" si="21"/>
        <v>48</v>
      </c>
      <c r="AV78">
        <f t="shared" si="21"/>
        <v>48</v>
      </c>
      <c r="AW78">
        <v>72</v>
      </c>
      <c r="AX78">
        <v>72</v>
      </c>
      <c r="AY78">
        <v>71</v>
      </c>
      <c r="BA78">
        <f t="shared" ref="BA78:BO78" si="22">COUNT(BA2:BA73)</f>
        <v>23</v>
      </c>
      <c r="BB78">
        <f t="shared" si="22"/>
        <v>48</v>
      </c>
      <c r="BC78">
        <f t="shared" si="22"/>
        <v>71</v>
      </c>
      <c r="BD78">
        <f t="shared" si="22"/>
        <v>71</v>
      </c>
      <c r="BE78">
        <f t="shared" si="22"/>
        <v>72</v>
      </c>
      <c r="BG78">
        <f t="shared" si="22"/>
        <v>65</v>
      </c>
      <c r="BH78">
        <f t="shared" si="22"/>
        <v>65</v>
      </c>
      <c r="BI78">
        <f t="shared" si="22"/>
        <v>65</v>
      </c>
      <c r="BJ78">
        <f t="shared" si="22"/>
        <v>65</v>
      </c>
      <c r="BL78">
        <f t="shared" si="22"/>
        <v>65</v>
      </c>
      <c r="BM78">
        <f t="shared" si="22"/>
        <v>65</v>
      </c>
      <c r="BN78">
        <f t="shared" si="22"/>
        <v>65</v>
      </c>
      <c r="BO78">
        <f t="shared" si="22"/>
        <v>64</v>
      </c>
    </row>
    <row r="79" spans="1:70" x14ac:dyDescent="0.15">
      <c r="C79" t="s">
        <v>96</v>
      </c>
      <c r="D79">
        <f t="shared" ref="D79:AV79" si="23">MAX(D2:D73)</f>
        <v>1584719</v>
      </c>
      <c r="E79">
        <f t="shared" si="23"/>
        <v>0.19</v>
      </c>
      <c r="F79">
        <f t="shared" si="23"/>
        <v>38771</v>
      </c>
      <c r="G79">
        <f t="shared" si="23"/>
        <v>1832</v>
      </c>
      <c r="H79">
        <f t="shared" si="23"/>
        <v>29.5</v>
      </c>
      <c r="I79">
        <f t="shared" si="23"/>
        <v>267.84954783007061</v>
      </c>
      <c r="J79">
        <f t="shared" si="23"/>
        <v>27.083333333333332</v>
      </c>
      <c r="K79">
        <f t="shared" si="23"/>
        <v>6.7</v>
      </c>
      <c r="L79">
        <f t="shared" si="23"/>
        <v>1.1221512336862842</v>
      </c>
      <c r="M79">
        <f t="shared" si="23"/>
        <v>0.10021336528978943</v>
      </c>
      <c r="N79">
        <f t="shared" si="23"/>
        <v>21162.314973120505</v>
      </c>
      <c r="O79">
        <f t="shared" si="23"/>
        <v>2204.2777777777778</v>
      </c>
      <c r="P79">
        <f t="shared" si="23"/>
        <v>846.53846153846155</v>
      </c>
      <c r="Q79">
        <f t="shared" si="23"/>
        <v>310.5</v>
      </c>
      <c r="R79">
        <f t="shared" si="23"/>
        <v>25.559399229673343</v>
      </c>
      <c r="S79">
        <f t="shared" si="23"/>
        <v>456.13333333333327</v>
      </c>
      <c r="T79">
        <f t="shared" si="23"/>
        <v>10.741666101694921</v>
      </c>
      <c r="U79">
        <f t="shared" si="23"/>
        <v>69.900000000000006</v>
      </c>
      <c r="V79">
        <f t="shared" si="23"/>
        <v>16.2</v>
      </c>
      <c r="W79">
        <f t="shared" si="23"/>
        <v>-0.4</v>
      </c>
      <c r="X79">
        <f t="shared" si="23"/>
        <v>69.900000000000006</v>
      </c>
      <c r="Y79">
        <f t="shared" si="23"/>
        <v>5.0656221912982288E-2</v>
      </c>
      <c r="Z79">
        <f t="shared" si="23"/>
        <v>2.9838788815887245E-2</v>
      </c>
      <c r="AA79">
        <f t="shared" si="23"/>
        <v>126.56563612654156</v>
      </c>
      <c r="AB79">
        <f t="shared" si="23"/>
        <v>1.011320029654348E-2</v>
      </c>
      <c r="AC79">
        <f t="shared" si="23"/>
        <v>9.1988051333364074E-6</v>
      </c>
      <c r="AE79">
        <f t="shared" si="23"/>
        <v>1.0115322027235965E-2</v>
      </c>
      <c r="AF79">
        <f t="shared" si="23"/>
        <v>1.0010746440865832</v>
      </c>
      <c r="AG79">
        <f t="shared" si="23"/>
        <v>5.7865113849606221E-2</v>
      </c>
      <c r="AH79">
        <f t="shared" si="23"/>
        <v>1.4747020226367013E-2</v>
      </c>
      <c r="AI79">
        <f t="shared" si="23"/>
        <v>2.5468165256637629</v>
      </c>
      <c r="AJ79">
        <f>MAX(AJ2:AJ73)</f>
        <v>4.8553545730732637</v>
      </c>
      <c r="AK79">
        <f t="shared" si="23"/>
        <v>59.173188273225243</v>
      </c>
      <c r="AL79">
        <f t="shared" si="23"/>
        <v>1.5122288208309802</v>
      </c>
      <c r="AM79">
        <f t="shared" si="23"/>
        <v>3.1899383701502022</v>
      </c>
      <c r="AO79">
        <f t="shared" si="23"/>
        <v>18331.819812700469</v>
      </c>
      <c r="AP79">
        <f t="shared" si="23"/>
        <v>183534.092735805</v>
      </c>
      <c r="AQ79">
        <f t="shared" si="23"/>
        <v>288.57599999999996</v>
      </c>
      <c r="AR79">
        <f t="shared" si="23"/>
        <v>116.52850975375831</v>
      </c>
      <c r="AS79">
        <f t="shared" si="23"/>
        <v>2.0164641281190585E-2</v>
      </c>
      <c r="AT79">
        <f t="shared" si="23"/>
        <v>63353.393303362565</v>
      </c>
      <c r="AU79">
        <f t="shared" si="23"/>
        <v>1.5091768589520231E-2</v>
      </c>
      <c r="AV79">
        <f t="shared" si="23"/>
        <v>124.0188196008778</v>
      </c>
      <c r="AW79">
        <v>258.37885499999999</v>
      </c>
      <c r="AX79">
        <v>9338.9949431320401</v>
      </c>
      <c r="AY79">
        <v>946.53216421248544</v>
      </c>
      <c r="BA79">
        <f t="shared" ref="BA79:BO79" si="24">MAX(BA2:BA73)</f>
        <v>1.46134409352518E-2</v>
      </c>
      <c r="BB79">
        <f t="shared" si="24"/>
        <v>7.4186673508238279E-2</v>
      </c>
      <c r="BC79">
        <f t="shared" si="24"/>
        <v>38905</v>
      </c>
      <c r="BD79">
        <f t="shared" si="24"/>
        <v>28.507692307692309</v>
      </c>
      <c r="BE79">
        <f t="shared" si="24"/>
        <v>1224</v>
      </c>
      <c r="BG79">
        <f t="shared" si="24"/>
        <v>5.2148399999999997</v>
      </c>
      <c r="BH79">
        <f t="shared" si="24"/>
        <v>1.7482200000000001</v>
      </c>
      <c r="BI79">
        <f t="shared" si="24"/>
        <v>1.0988293496110273</v>
      </c>
      <c r="BJ79">
        <f t="shared" si="24"/>
        <v>1.87498E-2</v>
      </c>
      <c r="BL79">
        <f t="shared" si="24"/>
        <v>2.7817882930359139</v>
      </c>
      <c r="BM79">
        <f t="shared" si="24"/>
        <v>72.131160714285713</v>
      </c>
      <c r="BN79">
        <f t="shared" si="24"/>
        <v>0.73510265966774679</v>
      </c>
      <c r="BO79">
        <f t="shared" si="24"/>
        <v>18981</v>
      </c>
    </row>
    <row r="80" spans="1:70" x14ac:dyDescent="0.15">
      <c r="C80" t="s">
        <v>97</v>
      </c>
      <c r="D80">
        <f t="shared" ref="D80:AV80" si="25">MIN(D2:D73)</f>
        <v>3.2848329999999999</v>
      </c>
      <c r="E80">
        <f t="shared" si="25"/>
        <v>5.1999999999999995E-4</v>
      </c>
      <c r="F80">
        <f t="shared" si="25"/>
        <v>37756</v>
      </c>
      <c r="G80">
        <f t="shared" si="25"/>
        <v>105</v>
      </c>
      <c r="H80">
        <f t="shared" si="25"/>
        <v>0.25</v>
      </c>
      <c r="I80">
        <f t="shared" si="25"/>
        <v>0.23955840501611977</v>
      </c>
      <c r="J80">
        <f t="shared" si="25"/>
        <v>9.9333333333333318</v>
      </c>
      <c r="K80">
        <f t="shared" si="25"/>
        <v>0.55000000000000004</v>
      </c>
      <c r="L80">
        <f t="shared" si="25"/>
        <v>1.4604006426054725E-2</v>
      </c>
      <c r="M80">
        <f t="shared" si="25"/>
        <v>3.0870928481458734E-4</v>
      </c>
      <c r="N80">
        <f t="shared" si="25"/>
        <v>0.13333333333333336</v>
      </c>
      <c r="O80">
        <f t="shared" si="25"/>
        <v>0.34210526315789475</v>
      </c>
      <c r="P80">
        <f t="shared" si="25"/>
        <v>2.1752547652086465</v>
      </c>
      <c r="Q80">
        <f t="shared" si="25"/>
        <v>0.16666666666666666</v>
      </c>
      <c r="R80">
        <f t="shared" si="25"/>
        <v>0.25833333333333336</v>
      </c>
      <c r="S80">
        <f t="shared" si="25"/>
        <v>11.033333333333331</v>
      </c>
      <c r="T80">
        <f t="shared" si="25"/>
        <v>0.41357638888888731</v>
      </c>
      <c r="U80">
        <f t="shared" si="25"/>
        <v>2.8944813604434627E-2</v>
      </c>
      <c r="V80">
        <f t="shared" si="25"/>
        <v>0.05</v>
      </c>
      <c r="W80">
        <f t="shared" si="25"/>
        <v>-23.1</v>
      </c>
      <c r="X80">
        <f t="shared" si="25"/>
        <v>0.03</v>
      </c>
      <c r="Y80">
        <f t="shared" si="25"/>
        <v>5.4549957953830094E-5</v>
      </c>
      <c r="Z80">
        <f t="shared" si="25"/>
        <v>4.0922182439487927E-5</v>
      </c>
      <c r="AA80">
        <f t="shared" si="25"/>
        <v>5.1394512575057057E-3</v>
      </c>
      <c r="AB80">
        <f t="shared" si="25"/>
        <v>5.4149999999999998E-6</v>
      </c>
      <c r="AC80">
        <f t="shared" si="25"/>
        <v>2.8517212805448465E-8</v>
      </c>
      <c r="AE80">
        <f t="shared" si="25"/>
        <v>5.4485789811241629E-6</v>
      </c>
      <c r="AF80">
        <f t="shared" si="25"/>
        <v>5.4109437106059366E-3</v>
      </c>
      <c r="AG80">
        <f t="shared" si="25"/>
        <v>2.0975414196131291E-4</v>
      </c>
      <c r="AH80">
        <f t="shared" si="25"/>
        <v>1.8894729271836402E-6</v>
      </c>
      <c r="AI80">
        <f t="shared" si="25"/>
        <v>1.03871954537139E-3</v>
      </c>
      <c r="AJ80">
        <f t="shared" si="25"/>
        <v>1.4477091340164374E-3</v>
      </c>
      <c r="AK80">
        <f t="shared" si="25"/>
        <v>-0.98288311476372869</v>
      </c>
      <c r="AL80">
        <f t="shared" si="25"/>
        <v>-9.0790241111695872E-3</v>
      </c>
      <c r="AM80">
        <f t="shared" si="25"/>
        <v>-1.1133937232144891E-4</v>
      </c>
      <c r="AO80">
        <f t="shared" si="25"/>
        <v>19.740911624199075</v>
      </c>
      <c r="AP80">
        <f t="shared" si="25"/>
        <v>98.859927277397048</v>
      </c>
      <c r="AQ80">
        <f t="shared" si="25"/>
        <v>0.26758333333333334</v>
      </c>
      <c r="AR80">
        <f t="shared" si="25"/>
        <v>3.4203268018899509E-2</v>
      </c>
      <c r="AS80">
        <f t="shared" si="25"/>
        <v>1.5784474167178093E-5</v>
      </c>
      <c r="AT80">
        <f t="shared" si="25"/>
        <v>49.591757475635923</v>
      </c>
      <c r="AU80">
        <f t="shared" si="25"/>
        <v>3.3127933740266838E-6</v>
      </c>
      <c r="AV80">
        <f t="shared" si="25"/>
        <v>2.4376949066812301E-2</v>
      </c>
      <c r="AW80">
        <v>0</v>
      </c>
      <c r="AX80">
        <v>0</v>
      </c>
      <c r="AY80">
        <v>0</v>
      </c>
      <c r="BA80">
        <f t="shared" ref="BA80:BO80" si="26">MIN(BA2:BA73)</f>
        <v>8.3685321341390355E-4</v>
      </c>
      <c r="BB80">
        <f t="shared" si="26"/>
        <v>6.9999999999999999E-4</v>
      </c>
      <c r="BC80">
        <f t="shared" si="26"/>
        <v>37755</v>
      </c>
      <c r="BD80">
        <f t="shared" si="26"/>
        <v>10.45</v>
      </c>
      <c r="BE80">
        <f t="shared" si="26"/>
        <v>25</v>
      </c>
      <c r="BG80">
        <f t="shared" si="26"/>
        <v>2.43249E-2</v>
      </c>
      <c r="BH80">
        <f t="shared" si="26"/>
        <v>3.2704799999999999E-2</v>
      </c>
      <c r="BI80">
        <f t="shared" si="26"/>
        <v>1.75E-4</v>
      </c>
      <c r="BJ80">
        <f t="shared" si="26"/>
        <v>6.5905300000000002E-6</v>
      </c>
      <c r="BL80">
        <f t="shared" si="26"/>
        <v>1.3921704334820964E-4</v>
      </c>
      <c r="BM80">
        <f t="shared" si="26"/>
        <v>5.0996498395097754E-3</v>
      </c>
      <c r="BN80">
        <f t="shared" si="26"/>
        <v>1.3901076806688688E-4</v>
      </c>
      <c r="BO80">
        <f t="shared" si="26"/>
        <v>2.4135870247806467E-2</v>
      </c>
    </row>
    <row r="81" spans="18:64" x14ac:dyDescent="0.15">
      <c r="AN81" s="2"/>
      <c r="AO81" s="1"/>
      <c r="AP81" s="1"/>
      <c r="AZ81" s="2"/>
      <c r="BF81" s="2"/>
      <c r="BK81" s="1"/>
    </row>
    <row r="82" spans="18:64" x14ac:dyDescent="0.15">
      <c r="R82" s="1"/>
      <c r="AB82" t="s">
        <v>98</v>
      </c>
      <c r="AI82" s="1"/>
      <c r="AJ82" s="1"/>
      <c r="AK82" s="1"/>
      <c r="AL82" s="1"/>
      <c r="AS82" s="1"/>
      <c r="BB82" s="1"/>
      <c r="BG82" s="1"/>
      <c r="BL82" s="1"/>
    </row>
    <row r="83" spans="18:64" x14ac:dyDescent="0.15">
      <c r="R83" s="1"/>
      <c r="AB83" t="s">
        <v>99</v>
      </c>
      <c r="AI83" s="1"/>
      <c r="AJ83" s="1"/>
      <c r="AK83" s="1"/>
      <c r="AL83" s="1"/>
      <c r="AS83" s="1"/>
      <c r="BB83" s="1"/>
      <c r="BG83" s="1"/>
      <c r="BL83" s="1"/>
    </row>
    <row r="84" spans="18:64" x14ac:dyDescent="0.15">
      <c r="R84" s="1"/>
      <c r="Y84">
        <f>1/Y76</f>
        <v>777.12547364103398</v>
      </c>
      <c r="Z84">
        <f>Z75*60*10</f>
        <v>1.6451900138822739</v>
      </c>
      <c r="AB84" t="s">
        <v>100</v>
      </c>
      <c r="AI84" s="1"/>
      <c r="AJ84" s="1"/>
      <c r="AK84" s="1"/>
      <c r="AL84" s="1"/>
      <c r="AS84" s="1"/>
      <c r="BB84" s="1"/>
      <c r="BG84" s="1"/>
      <c r="BL84" s="1"/>
    </row>
    <row r="85" spans="18:64" x14ac:dyDescent="0.15">
      <c r="R85" s="1"/>
      <c r="Z85">
        <f>Z76*60*10</f>
        <v>0.42191324814704001</v>
      </c>
      <c r="AB85" t="s">
        <v>101</v>
      </c>
      <c r="AI85" s="1"/>
      <c r="AJ85" s="1"/>
      <c r="AK85" s="1"/>
      <c r="AL85" s="1"/>
      <c r="AS85" s="1"/>
      <c r="BB85" s="1"/>
      <c r="BG85" s="1"/>
      <c r="BL85" s="1"/>
    </row>
    <row r="86" spans="18:64" x14ac:dyDescent="0.15">
      <c r="R86" s="1"/>
      <c r="Z86">
        <f>Z77*60*10</f>
        <v>2.9675007050037037</v>
      </c>
      <c r="AI86" s="1"/>
      <c r="AJ86" s="1"/>
      <c r="AK86" s="1"/>
      <c r="AL86" s="1"/>
      <c r="AS86" s="1"/>
      <c r="BB86" s="1"/>
      <c r="BG86" s="1"/>
      <c r="BL86" s="1"/>
    </row>
    <row r="87" spans="18:64" x14ac:dyDescent="0.15">
      <c r="R87" s="1"/>
      <c r="AI87" s="1"/>
      <c r="AJ87" s="1"/>
      <c r="AK87" s="1"/>
      <c r="AL87" s="1"/>
      <c r="AS87" s="1"/>
      <c r="BB87" s="1"/>
      <c r="BG87" s="1"/>
      <c r="BL87" s="1"/>
    </row>
    <row r="88" spans="18:64" x14ac:dyDescent="0.15">
      <c r="R88" s="1"/>
      <c r="Z88">
        <f>Z79*60*10</f>
        <v>17.903273289532347</v>
      </c>
      <c r="AI88" s="1"/>
      <c r="AJ88" s="1"/>
      <c r="AK88" s="1"/>
      <c r="AL88" s="1"/>
      <c r="AS88" s="1"/>
      <c r="BB88" s="1"/>
      <c r="BG88" s="1"/>
      <c r="BL88" s="1"/>
    </row>
    <row r="89" spans="18:64" x14ac:dyDescent="0.15">
      <c r="R89" s="1"/>
      <c r="Z89">
        <f>Z80*60*10</f>
        <v>2.455330946369276E-2</v>
      </c>
      <c r="AI89" s="1"/>
      <c r="AJ89" s="1"/>
      <c r="AK89" s="1"/>
      <c r="AL89" s="1"/>
      <c r="AS89" s="1"/>
      <c r="BB89" s="1"/>
      <c r="BG89" s="1"/>
      <c r="BL89" s="1"/>
    </row>
    <row r="90" spans="18:64" x14ac:dyDescent="0.15">
      <c r="R90" s="1"/>
      <c r="AI90" s="1"/>
      <c r="AJ90">
        <v>1.4477091340164374E-3</v>
      </c>
      <c r="AK90" s="1">
        <f>0.1/24</f>
        <v>4.1666666666666666E-3</v>
      </c>
      <c r="AL90" s="1"/>
      <c r="AS90" s="1"/>
      <c r="BB90" s="1"/>
      <c r="BG90" s="1"/>
      <c r="BL90" s="1"/>
    </row>
    <row r="91" spans="18:64" x14ac:dyDescent="0.15">
      <c r="R91" s="1"/>
      <c r="AI91" s="1"/>
      <c r="AJ91">
        <v>2.6832388655251256E-3</v>
      </c>
      <c r="AK91" s="1"/>
      <c r="AL91" s="1"/>
      <c r="AS91" s="1"/>
      <c r="BB91" s="1"/>
      <c r="BG91" s="1"/>
      <c r="BL91" s="1"/>
    </row>
    <row r="92" spans="18:64" x14ac:dyDescent="0.15">
      <c r="R92" s="1"/>
      <c r="Z92">
        <v>17.903273289532347</v>
      </c>
      <c r="AB92">
        <f>14/72</f>
        <v>0.19444444444444445</v>
      </c>
      <c r="AI92" s="1"/>
      <c r="AJ92">
        <v>2.79384921072385E-3</v>
      </c>
      <c r="AK92" s="1"/>
      <c r="AL92" s="1"/>
      <c r="AS92" s="1"/>
      <c r="BB92" s="1"/>
      <c r="BG92" s="1"/>
      <c r="BL92" s="1"/>
    </row>
    <row r="93" spans="18:64" x14ac:dyDescent="0.15">
      <c r="R93" s="1"/>
      <c r="Z93">
        <v>10.257552278455277</v>
      </c>
      <c r="AI93" s="1"/>
      <c r="AJ93">
        <v>3.4096892990324256E-3</v>
      </c>
      <c r="AK93" s="1"/>
      <c r="AL93" s="1"/>
      <c r="AS93" s="1"/>
      <c r="BB93" s="1"/>
      <c r="BG93" s="1"/>
      <c r="BL93" s="1"/>
    </row>
    <row r="94" spans="18:64" x14ac:dyDescent="0.15">
      <c r="R94" s="1"/>
      <c r="Z94">
        <v>9.3959998608681818</v>
      </c>
      <c r="AI94" s="1"/>
      <c r="AJ94">
        <v>4.1892198326670058E-3</v>
      </c>
      <c r="AK94" s="1"/>
      <c r="AL94" s="1"/>
      <c r="AS94" s="1"/>
      <c r="BB94" s="1"/>
      <c r="BG94" s="1"/>
      <c r="BL94" s="1"/>
    </row>
    <row r="95" spans="18:64" x14ac:dyDescent="0.15">
      <c r="R95" s="1"/>
      <c r="Z95">
        <v>6.8056755718836417</v>
      </c>
      <c r="AI95" s="1"/>
      <c r="AJ95">
        <v>4.3315418352270858E-3</v>
      </c>
      <c r="AK95" s="1"/>
      <c r="AL95" s="1"/>
      <c r="AS95" s="1"/>
      <c r="BB95" s="1"/>
      <c r="BG95" s="1"/>
      <c r="BL95" s="1"/>
    </row>
    <row r="96" spans="18:64" x14ac:dyDescent="0.15">
      <c r="R96" s="1"/>
      <c r="Z96">
        <v>6.5842979162887891</v>
      </c>
      <c r="AI96" s="1"/>
      <c r="AJ96">
        <v>4.4919029654458889E-3</v>
      </c>
      <c r="AK96" s="1"/>
      <c r="AL96" s="1"/>
      <c r="AS96" s="1"/>
      <c r="BB96" s="1"/>
      <c r="BG96" s="1"/>
      <c r="BL96" s="1"/>
    </row>
    <row r="97" spans="26:63" x14ac:dyDescent="0.15">
      <c r="Z97">
        <v>5.7979886185003613</v>
      </c>
      <c r="AJ97">
        <v>5.2648063332598255E-3</v>
      </c>
      <c r="AN97" s="1"/>
      <c r="AO97" s="1"/>
      <c r="AP97" s="1"/>
      <c r="AZ97" s="1"/>
      <c r="BF97" s="1"/>
      <c r="BK97" s="1"/>
    </row>
    <row r="98" spans="26:63" x14ac:dyDescent="0.15">
      <c r="Z98">
        <v>5.7563056860127944</v>
      </c>
      <c r="AJ98">
        <v>5.2957597840271589E-3</v>
      </c>
      <c r="AN98" s="1"/>
      <c r="AO98" s="1"/>
      <c r="AP98" s="1"/>
      <c r="AZ98" s="1"/>
      <c r="BF98" s="1"/>
      <c r="BK98" s="1"/>
    </row>
    <row r="99" spans="26:63" x14ac:dyDescent="0.15">
      <c r="Z99">
        <v>5.312513812357917</v>
      </c>
      <c r="AJ99">
        <v>5.67477444711279E-3</v>
      </c>
      <c r="AN99" s="1"/>
      <c r="AO99" s="1"/>
      <c r="AP99" s="1"/>
      <c r="AZ99" s="1"/>
      <c r="BF99" s="1"/>
      <c r="BK99" s="1"/>
    </row>
    <row r="100" spans="26:63" x14ac:dyDescent="0.15">
      <c r="Z100">
        <v>4.9121147935254621</v>
      </c>
      <c r="AJ100">
        <v>5.9196459894217471E-3</v>
      </c>
      <c r="AN100" s="1"/>
      <c r="AO100" s="1"/>
      <c r="AP100" s="1"/>
      <c r="AZ100" s="1"/>
      <c r="BF100" s="1"/>
      <c r="BK100" s="1"/>
    </row>
    <row r="101" spans="26:63" x14ac:dyDescent="0.15">
      <c r="Z101">
        <v>2.8410458031161347</v>
      </c>
      <c r="AJ101" s="1">
        <v>7.2022380209963164E-3</v>
      </c>
      <c r="AN101" s="1"/>
      <c r="AO101" s="1"/>
      <c r="AP101" s="1"/>
      <c r="AZ101" s="1"/>
      <c r="BF101" s="1"/>
      <c r="BK101" s="1"/>
    </row>
    <row r="102" spans="26:63" x14ac:dyDescent="0.15">
      <c r="Z102">
        <v>2.7301971247020074</v>
      </c>
      <c r="AJ102">
        <v>7.3312472378536655E-3</v>
      </c>
      <c r="AN102" s="1"/>
      <c r="AO102" s="1"/>
      <c r="AP102" s="1"/>
      <c r="AZ102" s="1"/>
      <c r="BF102" s="1"/>
      <c r="BK102" s="1"/>
    </row>
    <row r="103" spans="26:63" x14ac:dyDescent="0.15">
      <c r="Z103">
        <v>2.5841441880924565</v>
      </c>
      <c r="AJ103">
        <v>8.3283178437854859E-3</v>
      </c>
      <c r="AN103" s="1"/>
      <c r="AO103" s="1"/>
      <c r="AP103" s="1"/>
      <c r="AZ103" s="1"/>
      <c r="BF103" s="1"/>
      <c r="BK103" s="1"/>
    </row>
    <row r="104" spans="26:63" x14ac:dyDescent="0.15">
      <c r="Z104">
        <v>2.3206378588939454</v>
      </c>
      <c r="AJ104" s="1">
        <v>1.0324023402558396E-2</v>
      </c>
      <c r="AN104" s="1"/>
      <c r="AO104" s="1"/>
      <c r="AP104" s="1"/>
      <c r="AZ104" s="1"/>
      <c r="BF104" s="1"/>
      <c r="BK104" s="1"/>
    </row>
    <row r="105" spans="26:63" x14ac:dyDescent="0.15">
      <c r="Z105">
        <v>2.3183748483483617</v>
      </c>
      <c r="AJ105">
        <v>1.4442890206752618E-2</v>
      </c>
      <c r="AN105" s="1"/>
      <c r="AO105" s="1"/>
      <c r="AP105" s="1"/>
      <c r="AZ105" s="1"/>
      <c r="BF105" s="1"/>
      <c r="BK105" s="1"/>
    </row>
    <row r="106" spans="26:63" x14ac:dyDescent="0.15">
      <c r="Z106">
        <v>2.0774399536764254</v>
      </c>
      <c r="AJ106">
        <v>1.4920261783713524E-2</v>
      </c>
      <c r="AN106" s="1"/>
      <c r="AO106" s="1"/>
      <c r="AP106" s="1"/>
      <c r="AZ106" s="1"/>
      <c r="BF106" s="1"/>
      <c r="BK106" s="1"/>
    </row>
    <row r="107" spans="26:63" x14ac:dyDescent="0.15">
      <c r="Z107">
        <v>1.9504235278343582</v>
      </c>
      <c r="AJ107">
        <v>1.5947096023522934E-2</v>
      </c>
      <c r="AN107" s="1"/>
      <c r="AO107" s="1"/>
      <c r="AP107" s="1"/>
      <c r="AZ107" s="1"/>
      <c r="BF107" s="1"/>
      <c r="BK107" s="1"/>
    </row>
    <row r="108" spans="26:63" x14ac:dyDescent="0.15">
      <c r="Z108">
        <v>1.8727622261123653</v>
      </c>
      <c r="AJ108">
        <v>1.5972430451211481E-2</v>
      </c>
      <c r="AN108" s="1"/>
      <c r="AO108" s="1"/>
      <c r="AP108" s="1"/>
      <c r="AZ108" s="1"/>
      <c r="BF108" s="1"/>
      <c r="BK108" s="1"/>
    </row>
    <row r="109" spans="26:63" x14ac:dyDescent="0.15">
      <c r="Z109">
        <v>1.8601051258158485</v>
      </c>
      <c r="AJ109" s="1">
        <v>1.6394409236216535E-2</v>
      </c>
      <c r="AN109" s="1"/>
      <c r="AO109" s="1"/>
      <c r="AP109" s="1"/>
      <c r="AZ109" s="1"/>
      <c r="BF109" s="1"/>
      <c r="BK109" s="1"/>
    </row>
    <row r="110" spans="26:63" x14ac:dyDescent="0.15">
      <c r="Z110">
        <v>1.7861747705415176</v>
      </c>
      <c r="AJ110">
        <v>1.6412815867474839E-2</v>
      </c>
      <c r="AN110" s="1"/>
      <c r="AO110" s="1"/>
      <c r="AP110" s="1"/>
      <c r="AZ110" s="1"/>
      <c r="BF110" s="1"/>
      <c r="BK110" s="1"/>
    </row>
    <row r="111" spans="26:63" x14ac:dyDescent="0.15">
      <c r="Z111">
        <v>1.3042051660734997</v>
      </c>
      <c r="AJ111">
        <v>1.6992021592465177E-2</v>
      </c>
      <c r="AN111" s="1"/>
      <c r="AO111" s="1"/>
      <c r="AP111" s="1"/>
      <c r="AZ111" s="1"/>
      <c r="BF111" s="1"/>
      <c r="BK111" s="1"/>
    </row>
    <row r="112" spans="26:63" x14ac:dyDescent="0.15">
      <c r="Z112">
        <v>1.136690957306677</v>
      </c>
      <c r="AJ112">
        <v>1.8941137377317941E-2</v>
      </c>
      <c r="AN112" s="1"/>
      <c r="AO112" s="1"/>
      <c r="AP112" s="1"/>
      <c r="AZ112" s="1"/>
      <c r="BF112" s="1"/>
      <c r="BK112" s="1"/>
    </row>
    <row r="113" spans="26:63" x14ac:dyDescent="0.15">
      <c r="Z113">
        <v>1.0301622604147158</v>
      </c>
      <c r="AJ113">
        <v>2.1650565837575735E-2</v>
      </c>
      <c r="AN113" s="1"/>
      <c r="AO113" s="1"/>
      <c r="AP113" s="1"/>
      <c r="AZ113" s="1"/>
      <c r="BF113" s="1"/>
      <c r="BK113" s="1"/>
    </row>
    <row r="114" spans="26:63" x14ac:dyDescent="0.15">
      <c r="Z114">
        <v>0.94340928132356627</v>
      </c>
      <c r="AJ114" s="1">
        <v>2.222639552563016E-2</v>
      </c>
      <c r="AN114" s="1"/>
      <c r="AO114" s="1"/>
      <c r="AP114" s="1"/>
      <c r="AZ114" s="1"/>
      <c r="BF114" s="1"/>
      <c r="BK114" s="1"/>
    </row>
    <row r="115" spans="26:63" x14ac:dyDescent="0.15">
      <c r="Z115">
        <v>0.93430356841787843</v>
      </c>
      <c r="AJ115">
        <v>2.4779095686977611E-2</v>
      </c>
      <c r="AN115" s="1"/>
      <c r="AO115" s="1"/>
      <c r="AP115" s="1"/>
      <c r="AZ115" s="1"/>
      <c r="BF115" s="1"/>
      <c r="BK115" s="1"/>
    </row>
    <row r="116" spans="26:63" x14ac:dyDescent="0.15">
      <c r="Z116">
        <v>0.88085106382978706</v>
      </c>
      <c r="AJ116">
        <v>2.5934280659731277E-2</v>
      </c>
      <c r="AN116" s="1"/>
      <c r="AO116" s="1"/>
      <c r="AP116" s="1"/>
      <c r="AZ116" s="1"/>
      <c r="BF116" s="1"/>
      <c r="BK116" s="1"/>
    </row>
    <row r="117" spans="26:63" x14ac:dyDescent="0.15">
      <c r="Z117">
        <v>0.74490994289096335</v>
      </c>
      <c r="AJ117">
        <v>2.6120195696819674E-2</v>
      </c>
      <c r="AN117" s="1"/>
      <c r="AO117" s="1"/>
      <c r="AP117" s="1"/>
      <c r="AZ117" s="1"/>
      <c r="BF117" s="1"/>
      <c r="BK117" s="1"/>
    </row>
    <row r="118" spans="26:63" x14ac:dyDescent="0.15">
      <c r="Z118">
        <v>0.71156468690381636</v>
      </c>
      <c r="AJ118">
        <v>3.1940073648695146E-2</v>
      </c>
      <c r="AN118" s="1"/>
      <c r="AO118" s="1"/>
      <c r="AP118" s="1"/>
      <c r="AZ118" s="1"/>
      <c r="BF118" s="1"/>
      <c r="BK118" s="1"/>
    </row>
    <row r="119" spans="26:63" x14ac:dyDescent="0.15">
      <c r="Z119">
        <v>0.66750924879130691</v>
      </c>
      <c r="AJ119" s="1">
        <v>4.6764675961795725E-2</v>
      </c>
      <c r="AN119" s="1"/>
      <c r="AO119" s="1"/>
      <c r="AP119" s="1"/>
      <c r="AZ119" s="1"/>
      <c r="BF119" s="1"/>
      <c r="BK119" s="1"/>
    </row>
    <row r="120" spans="26:63" x14ac:dyDescent="0.15">
      <c r="Z120">
        <v>0.59194880524489302</v>
      </c>
      <c r="AJ120">
        <v>4.6922926892279566E-2</v>
      </c>
      <c r="AN120" s="1"/>
      <c r="AO120" s="1"/>
      <c r="AP120" s="1"/>
      <c r="AZ120" s="1"/>
      <c r="BF120" s="1"/>
      <c r="BK120" s="1"/>
    </row>
    <row r="121" spans="26:63" x14ac:dyDescent="0.15">
      <c r="Z121">
        <v>0.54120862200894915</v>
      </c>
      <c r="AJ121">
        <v>4.8630364424372935E-2</v>
      </c>
      <c r="AN121" s="1"/>
      <c r="AO121" s="1"/>
      <c r="AP121" s="1"/>
      <c r="AZ121" s="1"/>
      <c r="BF121" s="1"/>
      <c r="BK121" s="1"/>
    </row>
    <row r="122" spans="26:63" x14ac:dyDescent="0.15">
      <c r="Z122">
        <v>0.52500198317771085</v>
      </c>
      <c r="AJ122">
        <v>5.3722714299891006E-2</v>
      </c>
      <c r="AN122" s="1"/>
      <c r="AO122" s="1"/>
      <c r="AP122" s="1"/>
      <c r="AZ122" s="1"/>
      <c r="BF122" s="1"/>
      <c r="BK122" s="1"/>
    </row>
    <row r="123" spans="26:63" x14ac:dyDescent="0.15">
      <c r="Z123">
        <v>0.44934446252889881</v>
      </c>
      <c r="AJ123">
        <v>5.7792069823427453E-2</v>
      </c>
      <c r="AN123" s="1"/>
      <c r="AO123" s="1"/>
      <c r="AP123" s="1"/>
      <c r="AZ123" s="1"/>
      <c r="BF123" s="1"/>
      <c r="BK123" s="1"/>
    </row>
    <row r="124" spans="26:63" x14ac:dyDescent="0.15">
      <c r="Z124">
        <v>0.43040062334058043</v>
      </c>
      <c r="AJ124">
        <v>5.8755677655400566E-2</v>
      </c>
      <c r="AN124" s="1"/>
      <c r="AO124" s="1"/>
      <c r="AP124" s="1"/>
      <c r="AZ124" s="1"/>
      <c r="BF124" s="1"/>
      <c r="BK124" s="1"/>
    </row>
    <row r="125" spans="26:63" x14ac:dyDescent="0.15">
      <c r="Z125">
        <v>0.42382446484355873</v>
      </c>
      <c r="AJ125">
        <v>5.9482566067711129E-2</v>
      </c>
      <c r="AN125" s="1"/>
      <c r="AO125" s="1"/>
      <c r="AP125" s="1"/>
      <c r="AZ125" s="1"/>
      <c r="BF125" s="1"/>
      <c r="BK125" s="1"/>
    </row>
    <row r="126" spans="26:63" x14ac:dyDescent="0.15">
      <c r="Z126">
        <v>0.42191324814704001</v>
      </c>
      <c r="AJ126">
        <v>6.2287040103429239E-2</v>
      </c>
      <c r="AN126" s="1"/>
      <c r="AO126" s="1"/>
      <c r="AP126" s="1"/>
      <c r="AZ126" s="1"/>
      <c r="BF126" s="1"/>
      <c r="BK126" s="1"/>
    </row>
    <row r="127" spans="26:63" x14ac:dyDescent="0.15">
      <c r="Z127">
        <v>0.40401178881276373</v>
      </c>
      <c r="AJ127" s="1">
        <v>7.0556180030751495E-2</v>
      </c>
      <c r="AN127" s="1"/>
      <c r="AO127" s="1"/>
      <c r="AP127" s="1"/>
      <c r="AZ127" s="1"/>
      <c r="BF127" s="1"/>
      <c r="BK127" s="1"/>
    </row>
    <row r="128" spans="26:63" x14ac:dyDescent="0.15">
      <c r="Z128">
        <v>0.40200902179063813</v>
      </c>
      <c r="AJ128">
        <v>8.3159620846346899E-2</v>
      </c>
      <c r="AN128" s="1"/>
      <c r="AO128" s="1"/>
      <c r="AP128" s="1"/>
      <c r="AZ128" s="1"/>
      <c r="BF128" s="1"/>
      <c r="BK128" s="1"/>
    </row>
    <row r="129" spans="26:63" x14ac:dyDescent="0.15">
      <c r="Z129">
        <v>0.35742998623467026</v>
      </c>
      <c r="AJ129">
        <v>8.6726221892699726E-2</v>
      </c>
      <c r="AN129" s="1"/>
      <c r="AO129" s="1"/>
      <c r="AP129" s="1"/>
      <c r="AZ129" s="1"/>
      <c r="BF129" s="1"/>
      <c r="BK129" s="1"/>
    </row>
    <row r="130" spans="26:63" x14ac:dyDescent="0.15">
      <c r="Z130">
        <v>0.35614601180879324</v>
      </c>
      <c r="AJ130">
        <v>9.1581175728643729E-2</v>
      </c>
      <c r="AN130" s="1"/>
      <c r="AO130" s="1"/>
      <c r="AP130" s="1"/>
      <c r="AZ130" s="1"/>
      <c r="BF130" s="1"/>
      <c r="BK130" s="1"/>
    </row>
    <row r="131" spans="26:63" x14ac:dyDescent="0.15">
      <c r="Z131">
        <v>0.35525246560237483</v>
      </c>
      <c r="AJ131">
        <v>9.7575795776843208E-2</v>
      </c>
      <c r="AN131" s="1"/>
      <c r="AO131" s="1"/>
      <c r="AP131" s="1"/>
      <c r="AZ131" s="1"/>
      <c r="BF131" s="1"/>
      <c r="BK131" s="1"/>
    </row>
    <row r="132" spans="26:63" x14ac:dyDescent="0.15">
      <c r="Z132">
        <v>0.34490975157216752</v>
      </c>
      <c r="AJ132">
        <v>0.13989724932404046</v>
      </c>
      <c r="AN132" s="1"/>
      <c r="AO132" s="1"/>
      <c r="AP132" s="1"/>
      <c r="AZ132" s="1"/>
      <c r="BF132" s="1"/>
      <c r="BK132" s="1"/>
    </row>
    <row r="133" spans="26:63" x14ac:dyDescent="0.15">
      <c r="Z133">
        <v>0.32628216376632724</v>
      </c>
      <c r="AJ133">
        <v>0.15007883579441461</v>
      </c>
      <c r="AN133" s="1"/>
      <c r="AO133" s="1"/>
      <c r="AP133" s="1"/>
      <c r="AZ133" s="1"/>
      <c r="BF133" s="1"/>
      <c r="BK133" s="1"/>
    </row>
    <row r="134" spans="26:63" x14ac:dyDescent="0.15">
      <c r="Z134">
        <v>0.2969696369758309</v>
      </c>
      <c r="AJ134">
        <v>0.17164781730120718</v>
      </c>
      <c r="AN134" s="1"/>
      <c r="AO134" s="1"/>
      <c r="AP134" s="1"/>
      <c r="AZ134" s="1"/>
      <c r="BF134" s="1"/>
      <c r="BK134" s="1"/>
    </row>
    <row r="135" spans="26:63" x14ac:dyDescent="0.15">
      <c r="Z135">
        <v>0.27742126839501113</v>
      </c>
      <c r="AJ135">
        <v>0.31094743648036333</v>
      </c>
      <c r="AN135" s="1"/>
      <c r="AO135" s="1"/>
      <c r="AP135" s="1"/>
      <c r="AZ135" s="1"/>
      <c r="BF135" s="1"/>
      <c r="BK135" s="1"/>
    </row>
    <row r="136" spans="26:63" x14ac:dyDescent="0.15">
      <c r="Z136">
        <v>0.27248991459263749</v>
      </c>
      <c r="AJ136">
        <v>0.34257502997966871</v>
      </c>
      <c r="AN136" s="1"/>
      <c r="AO136" s="1"/>
      <c r="AP136" s="1"/>
      <c r="AZ136" s="1"/>
      <c r="BF136" s="1"/>
      <c r="BK136" s="1"/>
    </row>
    <row r="137" spans="26:63" x14ac:dyDescent="0.15">
      <c r="Z137">
        <v>0.26168283913479951</v>
      </c>
      <c r="AJ137">
        <v>3.3442636454199652</v>
      </c>
      <c r="AN137" s="1"/>
      <c r="AO137" s="1"/>
      <c r="AP137" s="1"/>
      <c r="AZ137" s="1"/>
      <c r="BF137" s="1"/>
      <c r="BK137" s="1"/>
    </row>
    <row r="138" spans="26:63" x14ac:dyDescent="0.15">
      <c r="Z138">
        <v>0.25966259646955137</v>
      </c>
      <c r="AJ138">
        <v>4.8553545730732637</v>
      </c>
      <c r="AN138" s="1"/>
      <c r="AO138" s="1"/>
      <c r="AP138" s="1"/>
      <c r="AZ138" s="1"/>
      <c r="BF138" s="1"/>
      <c r="BK138" s="1"/>
    </row>
    <row r="139" spans="26:63" x14ac:dyDescent="0.15">
      <c r="Z139">
        <v>0.2406895180854205</v>
      </c>
      <c r="AJ139" s="1"/>
      <c r="AN139" s="1"/>
      <c r="AO139" s="1"/>
      <c r="AP139" s="1"/>
      <c r="AZ139" s="1"/>
      <c r="BF139" s="1"/>
      <c r="BK139" s="1"/>
    </row>
    <row r="140" spans="26:63" x14ac:dyDescent="0.15">
      <c r="Z140">
        <v>0.2402978000623387</v>
      </c>
      <c r="AN140" s="1"/>
      <c r="AO140" s="1"/>
      <c r="AP140" s="1"/>
      <c r="AZ140" s="1"/>
      <c r="BF140" s="1"/>
      <c r="BK140" s="1"/>
    </row>
    <row r="141" spans="26:63" x14ac:dyDescent="0.15">
      <c r="Z141">
        <v>0.21011647582526824</v>
      </c>
      <c r="AN141" s="1"/>
      <c r="AO141" s="1"/>
      <c r="AP141" s="1"/>
      <c r="AZ141" s="1"/>
      <c r="BF141" s="1"/>
      <c r="BK141" s="1"/>
    </row>
    <row r="142" spans="26:63" x14ac:dyDescent="0.15">
      <c r="Z142">
        <v>0.20809914373007699</v>
      </c>
      <c r="AN142" s="1"/>
      <c r="AO142" s="1"/>
      <c r="AP142" s="1"/>
      <c r="AZ142" s="1"/>
      <c r="BF142" s="1"/>
      <c r="BK142" s="1"/>
    </row>
    <row r="143" spans="26:63" x14ac:dyDescent="0.15">
      <c r="Z143">
        <v>0.20508296042332708</v>
      </c>
      <c r="AN143" s="1"/>
      <c r="AO143" s="1"/>
      <c r="AP143" s="1"/>
      <c r="AZ143" s="1"/>
      <c r="BF143" s="1"/>
      <c r="BK143" s="1"/>
    </row>
    <row r="144" spans="26:63" x14ac:dyDescent="0.15">
      <c r="Z144">
        <v>0.18928221663128023</v>
      </c>
    </row>
    <row r="145" spans="26:26" x14ac:dyDescent="0.15">
      <c r="Z145">
        <v>0.1877776697582785</v>
      </c>
    </row>
    <row r="146" spans="26:26" x14ac:dyDescent="0.15">
      <c r="Z146">
        <v>0.17987336887452721</v>
      </c>
    </row>
    <row r="147" spans="26:26" x14ac:dyDescent="0.15">
      <c r="Z147">
        <v>0.13078759148130237</v>
      </c>
    </row>
    <row r="148" spans="26:26" x14ac:dyDescent="0.15">
      <c r="Z148">
        <v>0.12686171016828554</v>
      </c>
    </row>
    <row r="149" spans="26:26" x14ac:dyDescent="0.15">
      <c r="Z149">
        <v>0.12482816155769427</v>
      </c>
    </row>
    <row r="150" spans="26:26" x14ac:dyDescent="0.15">
      <c r="Z150">
        <v>0.11287878524354122</v>
      </c>
    </row>
    <row r="151" spans="26:26" x14ac:dyDescent="0.15">
      <c r="Z151">
        <v>9.6174138338404491E-2</v>
      </c>
    </row>
    <row r="152" spans="26:26" x14ac:dyDescent="0.15">
      <c r="Z152">
        <v>9.0364561048852293E-2</v>
      </c>
    </row>
    <row r="153" spans="26:26" x14ac:dyDescent="0.15">
      <c r="Z153">
        <v>8.4564442297465459E-2</v>
      </c>
    </row>
    <row r="154" spans="26:26" x14ac:dyDescent="0.15">
      <c r="Z154">
        <v>7.008652856121711E-2</v>
      </c>
    </row>
    <row r="155" spans="26:26" x14ac:dyDescent="0.15">
      <c r="Z155">
        <v>6.9229817574728264E-2</v>
      </c>
    </row>
    <row r="156" spans="26:26" x14ac:dyDescent="0.15">
      <c r="Z156">
        <v>6.8756222024457608E-2</v>
      </c>
    </row>
    <row r="157" spans="26:26" x14ac:dyDescent="0.15">
      <c r="Z157">
        <v>6.4665271906472518E-2</v>
      </c>
    </row>
    <row r="158" spans="26:26" x14ac:dyDescent="0.15">
      <c r="Z158">
        <v>4.7067422657699948E-2</v>
      </c>
    </row>
    <row r="159" spans="26:26" x14ac:dyDescent="0.15">
      <c r="Z159">
        <v>2.7530757204971182E-2</v>
      </c>
    </row>
    <row r="160" spans="26:26" x14ac:dyDescent="0.15">
      <c r="Z160">
        <v>2.455330946369276E-2</v>
      </c>
    </row>
    <row r="161" spans="26:26" x14ac:dyDescent="0.15">
      <c r="Z161">
        <v>0</v>
      </c>
    </row>
    <row r="162" spans="26:26" x14ac:dyDescent="0.15">
      <c r="Z162">
        <v>0</v>
      </c>
    </row>
    <row r="163" spans="26:26" x14ac:dyDescent="0.15">
      <c r="Z163">
        <v>0</v>
      </c>
    </row>
  </sheetData>
  <pageMargins left="0.75" right="0.75" top="1" bottom="1" header="0.5" footer="0.5"/>
  <pageSetup paperSize="0" orientation="portrait" horizontalDpi="4294967292" verticalDpi="4294967292"/>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Torrens, Christa</dc:creator>
  <cp:lastModifiedBy>Torrens, Christa</cp:lastModifiedBy>
  <dcterms:created xsi:type="dcterms:W3CDTF">2025-05-04T17:17:10Z</dcterms:created>
  <dcterms:modified xsi:type="dcterms:W3CDTF">2025-05-04T17:45:29Z</dcterms:modified>
</cp:coreProperties>
</file>