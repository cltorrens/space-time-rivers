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rrensc/Documents/R_working/Modelscape/space-time-rivers_git/N uptake_CT/"/>
    </mc:Choice>
  </mc:AlternateContent>
  <xr:revisionPtr revIDLastSave="0" documentId="13_ncr:1_{0560D3AF-BA9F-C24F-9FC1-1C87F23E2B2C}" xr6:coauthVersionLast="47" xr6:coauthVersionMax="47" xr10:uidLastSave="{00000000-0000-0000-0000-000000000000}"/>
  <bookViews>
    <workbookView xWindow="2740" yWindow="500" windowWidth="25040" windowHeight="13920" xr2:uid="{0CDEF291-025D-1645-92BD-C7DE61EBE34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0" i="1" l="1"/>
  <c r="H5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1"/>
  <c r="C25" i="1" s="1"/>
</calcChain>
</file>

<file path=xl/sharedStrings.xml><?xml version="1.0" encoding="utf-8"?>
<sst xmlns="http://schemas.openxmlformats.org/spreadsheetml/2006/main" count="61" uniqueCount="58">
  <si>
    <t>GHI</t>
  </si>
  <si>
    <t>hours</t>
  </si>
  <si>
    <t>calc</t>
  </si>
  <si>
    <t xml:space="preserve">for 172: </t>
  </si>
  <si>
    <t>2019-06-21 00:00:00</t>
  </si>
  <si>
    <t>2019-06-21 00:30:00</t>
  </si>
  <si>
    <t>2019-06-21 01:00:00</t>
  </si>
  <si>
    <t>2019-06-21 01:30:00</t>
  </si>
  <si>
    <t>2019-06-21 02:00:00</t>
  </si>
  <si>
    <t>2019-06-21 02:30:00</t>
  </si>
  <si>
    <t>2019-06-21 03:00:00</t>
  </si>
  <si>
    <t>2019-06-21 03:30:00</t>
  </si>
  <si>
    <t>2019-06-21 04:00:00</t>
  </si>
  <si>
    <t>2019-06-21 04:30:00</t>
  </si>
  <si>
    <t>2019-06-21 05:00:00</t>
  </si>
  <si>
    <t>2019-06-21 05:30:00</t>
  </si>
  <si>
    <t>2019-06-21 06:00:00</t>
  </si>
  <si>
    <t>2019-06-21 06:30:00</t>
  </si>
  <si>
    <t>2019-06-21 07:00:00</t>
  </si>
  <si>
    <t>2019-06-21 07:30:00</t>
  </si>
  <si>
    <t>2019-06-21 08:00:00</t>
  </si>
  <si>
    <t>2019-06-21 08:30:00</t>
  </si>
  <si>
    <t>2019-06-21 09:00:00</t>
  </si>
  <si>
    <t>2019-06-21 09:30:00</t>
  </si>
  <si>
    <t>2019-06-21 10:00:00</t>
  </si>
  <si>
    <t>2019-06-21 10:30:00</t>
  </si>
  <si>
    <t>2019-06-21 11:00:00</t>
  </si>
  <si>
    <t>2019-06-21 11:30:00</t>
  </si>
  <si>
    <t>2019-06-21 12:00:00</t>
  </si>
  <si>
    <t>2019-06-21 12:30:00</t>
  </si>
  <si>
    <t>2019-06-21 13:00:00</t>
  </si>
  <si>
    <t>2019-06-21 13:30:00</t>
  </si>
  <si>
    <t>2019-06-21 14:00:00</t>
  </si>
  <si>
    <t>2019-06-21 14:30:00</t>
  </si>
  <si>
    <t>2019-06-21 15:00:00</t>
  </si>
  <si>
    <t>2019-06-21 15:30:00</t>
  </si>
  <si>
    <t>2019-06-21 16:00:00</t>
  </si>
  <si>
    <t>2019-06-21 16:30:00</t>
  </si>
  <si>
    <t>2019-06-21 17:00:00</t>
  </si>
  <si>
    <t>2019-06-21 17:30:00</t>
  </si>
  <si>
    <t>2019-06-21 18:00:00</t>
  </si>
  <si>
    <t>2019-06-21 18:30:00</t>
  </si>
  <si>
    <t>2019-06-21 19:00:00</t>
  </si>
  <si>
    <t>2019-06-21 19:30:00</t>
  </si>
  <si>
    <t>2019-06-21 20:00:00</t>
  </si>
  <si>
    <t>2019-06-21 20:30:00</t>
  </si>
  <si>
    <t>2019-06-21 21:00:00</t>
  </si>
  <si>
    <t>2019-06-21 21:30:00</t>
  </si>
  <si>
    <t>2019-06-21 22:00:00</t>
  </si>
  <si>
    <t>2019-06-21 22:30:00</t>
  </si>
  <si>
    <t>2019-06-21 23:00:00</t>
  </si>
  <si>
    <t>2019-06-21 23:30:00</t>
  </si>
  <si>
    <t>Showing 40 to 47 of 48 entries, 13 total columns</t>
  </si>
  <si>
    <t>Year</t>
  </si>
  <si>
    <t>Month</t>
  </si>
  <si>
    <t>Day</t>
  </si>
  <si>
    <t>Hour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</si>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</sst>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Lucida Grande"/>
      <family val="2"/>
    </font>
    <font>
      <sz val="11"/>
      <color rgb="FFFFFFFF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0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6E156-7BC5-7A40-92F0-50DEC1244526}">
  <dimension ref="A1:I50"/>
  <sheetViews>
    <sheetView tabSelected="1" workbookViewId="0">
      <selection activeCell="L32" sqref="L32"/>
    </sheetView>
  </sheetViews>
  <sheetFormatPr baseColWidth="10" defaultRowHeight="16" x14ac:dyDescent="0.2"/>
  <sheetData>
    <row r="1" spans="1:8" x14ac:dyDescent="0.2">
      <c r="A1" t="s">
        <v>1</v>
      </c>
      <c r="B1" t="s">
        <v>0</v>
      </c>
      <c r="C1" t="s">
        <v>2</v>
      </c>
      <c r="E1" t="s">
        <v>3</v>
      </c>
      <c r="F1" s="1" t="s">
        <v>1</v>
      </c>
      <c r="G1" s="1" t="s">
        <v>0</v>
      </c>
      <c r="H1" s="1" t="s">
        <v>2</v>
      </c>
    </row>
    <row r="2" spans="1:8" x14ac:dyDescent="0.2">
      <c r="A2">
        <v>7</v>
      </c>
      <c r="B2">
        <v>0</v>
      </c>
      <c r="F2" s="2">
        <v>0.5</v>
      </c>
      <c r="G2" s="2">
        <v>0</v>
      </c>
    </row>
    <row r="3" spans="1:8" x14ac:dyDescent="0.2">
      <c r="A3">
        <v>7.5</v>
      </c>
      <c r="B3">
        <v>39</v>
      </c>
      <c r="C3">
        <f>(B2+B3)/2 * (A3-A2)</f>
        <v>9.75</v>
      </c>
      <c r="F3" s="2">
        <v>1</v>
      </c>
      <c r="G3" s="2">
        <v>0</v>
      </c>
      <c r="H3">
        <f>(G2+G3)/2 * (F3-F2)</f>
        <v>0</v>
      </c>
    </row>
    <row r="4" spans="1:8" x14ac:dyDescent="0.2">
      <c r="A4">
        <v>8</v>
      </c>
      <c r="B4">
        <v>120</v>
      </c>
      <c r="C4">
        <f t="shared" ref="C4:C22" si="0">(B3+B4)/2 * (A4-A3)</f>
        <v>39.75</v>
      </c>
      <c r="F4" s="2">
        <v>1.5</v>
      </c>
      <c r="G4" s="2">
        <v>0</v>
      </c>
      <c r="H4">
        <f t="shared" ref="H4:H48" si="1">(G3+G4)/2 * (F4-F3)</f>
        <v>0</v>
      </c>
    </row>
    <row r="5" spans="1:8" x14ac:dyDescent="0.2">
      <c r="A5">
        <v>8.5</v>
      </c>
      <c r="B5">
        <v>209</v>
      </c>
      <c r="C5">
        <f t="shared" si="0"/>
        <v>82.25</v>
      </c>
      <c r="F5" s="2">
        <v>2</v>
      </c>
      <c r="G5" s="2">
        <v>0</v>
      </c>
      <c r="H5">
        <f t="shared" si="1"/>
        <v>0</v>
      </c>
    </row>
    <row r="6" spans="1:8" x14ac:dyDescent="0.2">
      <c r="A6">
        <v>9</v>
      </c>
      <c r="B6">
        <v>294</v>
      </c>
      <c r="C6">
        <f t="shared" si="0"/>
        <v>125.75</v>
      </c>
      <c r="F6" s="2">
        <v>2.5</v>
      </c>
      <c r="G6" s="2">
        <v>0</v>
      </c>
      <c r="H6">
        <f t="shared" si="1"/>
        <v>0</v>
      </c>
    </row>
    <row r="7" spans="1:8" x14ac:dyDescent="0.2">
      <c r="A7">
        <v>9.5</v>
      </c>
      <c r="B7">
        <v>371</v>
      </c>
      <c r="C7">
        <f t="shared" si="0"/>
        <v>166.25</v>
      </c>
      <c r="F7" s="2">
        <v>3</v>
      </c>
      <c r="G7" s="2">
        <v>0</v>
      </c>
      <c r="H7">
        <f t="shared" si="1"/>
        <v>0</v>
      </c>
    </row>
    <row r="8" spans="1:8" x14ac:dyDescent="0.2">
      <c r="A8">
        <v>10</v>
      </c>
      <c r="B8">
        <v>436</v>
      </c>
      <c r="C8">
        <f t="shared" si="0"/>
        <v>201.75</v>
      </c>
      <c r="F8" s="2">
        <v>3.5</v>
      </c>
      <c r="G8" s="2">
        <v>0</v>
      </c>
      <c r="H8">
        <f t="shared" si="1"/>
        <v>0</v>
      </c>
    </row>
    <row r="9" spans="1:8" x14ac:dyDescent="0.2">
      <c r="A9">
        <v>10.5</v>
      </c>
      <c r="B9">
        <v>490</v>
      </c>
      <c r="C9">
        <f t="shared" si="0"/>
        <v>231.5</v>
      </c>
      <c r="F9" s="2">
        <v>4</v>
      </c>
      <c r="G9" s="2">
        <v>0</v>
      </c>
      <c r="H9">
        <f t="shared" si="1"/>
        <v>0</v>
      </c>
    </row>
    <row r="10" spans="1:8" x14ac:dyDescent="0.2">
      <c r="A10">
        <v>11</v>
      </c>
      <c r="B10">
        <v>530</v>
      </c>
      <c r="C10">
        <f t="shared" si="0"/>
        <v>255</v>
      </c>
      <c r="F10" s="2">
        <v>4.5</v>
      </c>
      <c r="G10" s="2">
        <v>0</v>
      </c>
      <c r="H10">
        <f t="shared" si="1"/>
        <v>0</v>
      </c>
    </row>
    <row r="11" spans="1:8" x14ac:dyDescent="0.2">
      <c r="A11">
        <v>11.5</v>
      </c>
      <c r="B11">
        <v>555</v>
      </c>
      <c r="C11">
        <f t="shared" si="0"/>
        <v>271.25</v>
      </c>
      <c r="F11" s="2">
        <v>5</v>
      </c>
      <c r="G11" s="2">
        <v>36</v>
      </c>
      <c r="H11">
        <f t="shared" si="1"/>
        <v>9</v>
      </c>
    </row>
    <row r="12" spans="1:8" x14ac:dyDescent="0.2">
      <c r="A12">
        <v>12</v>
      </c>
      <c r="B12">
        <v>562</v>
      </c>
      <c r="C12">
        <f t="shared" si="0"/>
        <v>279.25</v>
      </c>
      <c r="F12" s="2">
        <v>5.5</v>
      </c>
      <c r="G12" s="2">
        <v>113</v>
      </c>
      <c r="H12">
        <f t="shared" si="1"/>
        <v>37.25</v>
      </c>
    </row>
    <row r="13" spans="1:8" x14ac:dyDescent="0.2">
      <c r="A13">
        <v>12.5</v>
      </c>
      <c r="B13">
        <v>548</v>
      </c>
      <c r="C13">
        <f t="shared" si="0"/>
        <v>277.5</v>
      </c>
      <c r="F13" s="2">
        <v>6</v>
      </c>
      <c r="G13" s="2">
        <v>208</v>
      </c>
      <c r="H13">
        <f t="shared" si="1"/>
        <v>80.25</v>
      </c>
    </row>
    <row r="14" spans="1:8" x14ac:dyDescent="0.2">
      <c r="A14">
        <v>13</v>
      </c>
      <c r="B14">
        <v>520</v>
      </c>
      <c r="C14">
        <f t="shared" si="0"/>
        <v>267</v>
      </c>
      <c r="F14" s="2">
        <v>6.5</v>
      </c>
      <c r="G14" s="2">
        <v>311</v>
      </c>
      <c r="H14">
        <f t="shared" si="1"/>
        <v>129.75</v>
      </c>
    </row>
    <row r="15" spans="1:8" x14ac:dyDescent="0.2">
      <c r="A15">
        <v>13.5</v>
      </c>
      <c r="B15">
        <v>481</v>
      </c>
      <c r="C15">
        <f t="shared" si="0"/>
        <v>250.25</v>
      </c>
      <c r="F15" s="2">
        <v>7</v>
      </c>
      <c r="G15" s="2">
        <v>416</v>
      </c>
      <c r="H15">
        <f t="shared" si="1"/>
        <v>181.75</v>
      </c>
    </row>
    <row r="16" spans="1:8" x14ac:dyDescent="0.2">
      <c r="A16">
        <v>14</v>
      </c>
      <c r="B16">
        <v>424</v>
      </c>
      <c r="C16">
        <f t="shared" si="0"/>
        <v>226.25</v>
      </c>
      <c r="F16" s="2">
        <v>7.5</v>
      </c>
      <c r="G16" s="2">
        <v>520</v>
      </c>
      <c r="H16">
        <f t="shared" si="1"/>
        <v>234</v>
      </c>
    </row>
    <row r="17" spans="1:8" x14ac:dyDescent="0.2">
      <c r="A17">
        <v>14.5</v>
      </c>
      <c r="B17">
        <v>358</v>
      </c>
      <c r="C17">
        <f t="shared" si="0"/>
        <v>195.5</v>
      </c>
      <c r="F17" s="2">
        <v>8</v>
      </c>
      <c r="G17" s="2">
        <v>620</v>
      </c>
      <c r="H17">
        <f t="shared" si="1"/>
        <v>285</v>
      </c>
    </row>
    <row r="18" spans="1:8" x14ac:dyDescent="0.2">
      <c r="A18">
        <v>15</v>
      </c>
      <c r="B18">
        <v>236</v>
      </c>
      <c r="C18">
        <f t="shared" si="0"/>
        <v>148.5</v>
      </c>
      <c r="F18" s="2">
        <v>8.5</v>
      </c>
      <c r="G18" s="2">
        <v>714</v>
      </c>
      <c r="H18">
        <f t="shared" si="1"/>
        <v>333.5</v>
      </c>
    </row>
    <row r="19" spans="1:8" x14ac:dyDescent="0.2">
      <c r="A19">
        <v>15.5</v>
      </c>
      <c r="B19">
        <v>185</v>
      </c>
      <c r="C19">
        <f t="shared" si="0"/>
        <v>105.25</v>
      </c>
      <c r="F19" s="2">
        <v>9</v>
      </c>
      <c r="G19" s="2">
        <v>799</v>
      </c>
      <c r="H19">
        <f t="shared" si="1"/>
        <v>378.25</v>
      </c>
    </row>
    <row r="20" spans="1:8" x14ac:dyDescent="0.2">
      <c r="A20">
        <v>16</v>
      </c>
      <c r="B20">
        <v>107</v>
      </c>
      <c r="C20">
        <f t="shared" si="0"/>
        <v>73</v>
      </c>
      <c r="F20" s="2">
        <v>9.5</v>
      </c>
      <c r="G20" s="2">
        <v>873</v>
      </c>
      <c r="H20">
        <f t="shared" si="1"/>
        <v>418</v>
      </c>
    </row>
    <row r="21" spans="1:8" x14ac:dyDescent="0.2">
      <c r="A21">
        <v>16.5</v>
      </c>
      <c r="B21">
        <v>36</v>
      </c>
      <c r="C21">
        <f t="shared" si="0"/>
        <v>35.75</v>
      </c>
      <c r="F21" s="2">
        <v>10</v>
      </c>
      <c r="G21" s="2">
        <v>936</v>
      </c>
      <c r="H21">
        <f t="shared" si="1"/>
        <v>452.25</v>
      </c>
    </row>
    <row r="22" spans="1:8" x14ac:dyDescent="0.2">
      <c r="A22">
        <v>17</v>
      </c>
      <c r="B22">
        <v>0</v>
      </c>
      <c r="C22">
        <f t="shared" si="0"/>
        <v>9</v>
      </c>
      <c r="F22" s="2">
        <v>10.5</v>
      </c>
      <c r="G22" s="2">
        <v>967</v>
      </c>
      <c r="H22">
        <f t="shared" si="1"/>
        <v>475.75</v>
      </c>
    </row>
    <row r="23" spans="1:8" x14ac:dyDescent="0.2">
      <c r="F23" s="2">
        <v>11</v>
      </c>
      <c r="G23" s="2">
        <v>901</v>
      </c>
      <c r="H23">
        <f t="shared" si="1"/>
        <v>467</v>
      </c>
    </row>
    <row r="24" spans="1:8" x14ac:dyDescent="0.2">
      <c r="F24" s="2">
        <v>11.5</v>
      </c>
      <c r="G24" s="2">
        <v>923</v>
      </c>
      <c r="H24">
        <f t="shared" si="1"/>
        <v>456</v>
      </c>
    </row>
    <row r="25" spans="1:8" x14ac:dyDescent="0.2">
      <c r="C25">
        <f>SUM(C3:C22)</f>
        <v>3250.5</v>
      </c>
      <c r="F25" s="2">
        <v>12</v>
      </c>
      <c r="G25" s="2">
        <v>781</v>
      </c>
      <c r="H25">
        <f t="shared" si="1"/>
        <v>426</v>
      </c>
    </row>
    <row r="26" spans="1:8" x14ac:dyDescent="0.2">
      <c r="F26" s="2">
        <v>12.5</v>
      </c>
      <c r="G26" s="2">
        <v>838</v>
      </c>
      <c r="H26">
        <f t="shared" si="1"/>
        <v>404.75</v>
      </c>
    </row>
    <row r="27" spans="1:8" x14ac:dyDescent="0.2">
      <c r="F27" s="2">
        <v>13</v>
      </c>
      <c r="G27" s="2">
        <v>770</v>
      </c>
      <c r="H27">
        <f t="shared" si="1"/>
        <v>402</v>
      </c>
    </row>
    <row r="28" spans="1:8" x14ac:dyDescent="0.2">
      <c r="F28" s="2">
        <v>13.5</v>
      </c>
      <c r="G28" s="2">
        <v>576</v>
      </c>
      <c r="H28">
        <f t="shared" si="1"/>
        <v>336.5</v>
      </c>
    </row>
    <row r="29" spans="1:8" x14ac:dyDescent="0.2">
      <c r="F29" s="2">
        <v>14</v>
      </c>
      <c r="G29" s="2">
        <v>500</v>
      </c>
      <c r="H29">
        <f t="shared" si="1"/>
        <v>269</v>
      </c>
    </row>
    <row r="30" spans="1:8" x14ac:dyDescent="0.2">
      <c r="F30" s="2">
        <v>14.5</v>
      </c>
      <c r="G30" s="2">
        <v>570</v>
      </c>
      <c r="H30">
        <f t="shared" si="1"/>
        <v>267.5</v>
      </c>
    </row>
    <row r="31" spans="1:8" x14ac:dyDescent="0.2">
      <c r="F31" s="2">
        <v>15</v>
      </c>
      <c r="G31" s="2">
        <v>420</v>
      </c>
      <c r="H31">
        <f t="shared" si="1"/>
        <v>247.5</v>
      </c>
    </row>
    <row r="32" spans="1:8" x14ac:dyDescent="0.2">
      <c r="F32" s="2">
        <v>15.5</v>
      </c>
      <c r="G32" s="2">
        <v>369</v>
      </c>
      <c r="H32">
        <f t="shared" si="1"/>
        <v>197.25</v>
      </c>
    </row>
    <row r="33" spans="6:8" x14ac:dyDescent="0.2">
      <c r="F33" s="2">
        <v>16</v>
      </c>
      <c r="G33" s="2">
        <v>357</v>
      </c>
      <c r="H33">
        <f t="shared" si="1"/>
        <v>181.5</v>
      </c>
    </row>
    <row r="34" spans="6:8" x14ac:dyDescent="0.2">
      <c r="F34" s="2">
        <v>16.5</v>
      </c>
      <c r="G34" s="2">
        <v>178</v>
      </c>
      <c r="H34">
        <f t="shared" si="1"/>
        <v>133.75</v>
      </c>
    </row>
    <row r="35" spans="6:8" x14ac:dyDescent="0.2">
      <c r="F35" s="2">
        <v>17</v>
      </c>
      <c r="G35" s="2">
        <v>127</v>
      </c>
      <c r="H35">
        <f t="shared" si="1"/>
        <v>76.25</v>
      </c>
    </row>
    <row r="36" spans="6:8" x14ac:dyDescent="0.2">
      <c r="F36" s="2">
        <v>17.5</v>
      </c>
      <c r="G36" s="2">
        <v>66</v>
      </c>
      <c r="H36">
        <f t="shared" si="1"/>
        <v>48.25</v>
      </c>
    </row>
    <row r="37" spans="6:8" x14ac:dyDescent="0.2">
      <c r="F37" s="2">
        <v>18</v>
      </c>
      <c r="G37" s="2">
        <v>142</v>
      </c>
      <c r="H37">
        <f t="shared" si="1"/>
        <v>52</v>
      </c>
    </row>
    <row r="38" spans="6:8" x14ac:dyDescent="0.2">
      <c r="F38" s="2">
        <v>18.5</v>
      </c>
      <c r="G38" s="2">
        <v>86</v>
      </c>
      <c r="H38">
        <f t="shared" si="1"/>
        <v>57</v>
      </c>
    </row>
    <row r="39" spans="6:8" x14ac:dyDescent="0.2">
      <c r="F39" s="2">
        <v>19</v>
      </c>
      <c r="G39" s="2">
        <v>30</v>
      </c>
      <c r="H39">
        <f t="shared" si="1"/>
        <v>29</v>
      </c>
    </row>
    <row r="40" spans="6:8" x14ac:dyDescent="0.2">
      <c r="F40" s="2">
        <v>19.5</v>
      </c>
      <c r="G40" s="2">
        <v>0</v>
      </c>
      <c r="H40">
        <f t="shared" si="1"/>
        <v>7.5</v>
      </c>
    </row>
    <row r="41" spans="6:8" x14ac:dyDescent="0.2">
      <c r="F41" s="2">
        <v>20</v>
      </c>
      <c r="G41" s="2">
        <v>0</v>
      </c>
      <c r="H41">
        <f t="shared" si="1"/>
        <v>0</v>
      </c>
    </row>
    <row r="42" spans="6:8" x14ac:dyDescent="0.2">
      <c r="F42" s="2">
        <v>20.5</v>
      </c>
      <c r="G42" s="2">
        <v>0</v>
      </c>
      <c r="H42">
        <f t="shared" si="1"/>
        <v>0</v>
      </c>
    </row>
    <row r="43" spans="6:8" x14ac:dyDescent="0.2">
      <c r="F43" s="2">
        <v>21</v>
      </c>
      <c r="G43" s="2">
        <v>0</v>
      </c>
      <c r="H43">
        <f t="shared" si="1"/>
        <v>0</v>
      </c>
    </row>
    <row r="44" spans="6:8" x14ac:dyDescent="0.2">
      <c r="F44" s="2">
        <v>21.5</v>
      </c>
      <c r="G44" s="2">
        <v>0</v>
      </c>
      <c r="H44">
        <f t="shared" si="1"/>
        <v>0</v>
      </c>
    </row>
    <row r="45" spans="6:8" x14ac:dyDescent="0.2">
      <c r="F45" s="2">
        <v>22</v>
      </c>
      <c r="G45" s="2">
        <v>0</v>
      </c>
      <c r="H45">
        <f t="shared" si="1"/>
        <v>0</v>
      </c>
    </row>
    <row r="46" spans="6:8" x14ac:dyDescent="0.2">
      <c r="F46" s="2">
        <v>22.5</v>
      </c>
      <c r="G46" s="2">
        <v>0</v>
      </c>
      <c r="H46">
        <f t="shared" si="1"/>
        <v>0</v>
      </c>
    </row>
    <row r="47" spans="6:8" x14ac:dyDescent="0.2">
      <c r="F47" s="2">
        <v>23</v>
      </c>
      <c r="G47" s="2">
        <v>0</v>
      </c>
      <c r="H47">
        <f t="shared" si="1"/>
        <v>0</v>
      </c>
    </row>
    <row r="48" spans="6:8" x14ac:dyDescent="0.2">
      <c r="F48" s="2">
        <v>23.5</v>
      </c>
      <c r="G48" s="2">
        <v>0</v>
      </c>
      <c r="H48">
        <f t="shared" si="1"/>
        <v>0</v>
      </c>
    </row>
    <row r="50" spans="8:9" x14ac:dyDescent="0.2">
      <c r="H50">
        <f>SUM(H3:H48)</f>
        <v>7073.5</v>
      </c>
      <c r="I50">
        <f>4.6*H50</f>
        <v>32538.1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7C33-DBC3-8F41-9076-836689596CA9}">
  <dimension ref="A1:L49"/>
  <sheetViews>
    <sheetView workbookViewId="0">
      <selection activeCell="F2" sqref="E2:F48"/>
    </sheetView>
  </sheetViews>
  <sheetFormatPr baseColWidth="10" defaultRowHeight="16" x14ac:dyDescent="0.2"/>
  <sheetData>
    <row r="1" spans="1:12" x14ac:dyDescent="0.2">
      <c r="A1" s="2">
        <v>6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>
        <v>0.3</v>
      </c>
      <c r="H1" s="2" t="s">
        <v>4</v>
      </c>
      <c r="I1" s="3">
        <v>0</v>
      </c>
      <c r="J1" s="2">
        <v>172</v>
      </c>
    </row>
    <row r="2" spans="1:12" x14ac:dyDescent="0.2">
      <c r="A2" s="4">
        <v>2</v>
      </c>
      <c r="B2" s="2">
        <v>2019</v>
      </c>
      <c r="C2" s="2">
        <v>6</v>
      </c>
      <c r="D2" s="2">
        <v>21</v>
      </c>
      <c r="E2" s="2">
        <v>0.5</v>
      </c>
      <c r="F2" s="2">
        <v>0</v>
      </c>
      <c r="G2" s="2">
        <v>12.6</v>
      </c>
      <c r="H2" s="2">
        <v>857</v>
      </c>
      <c r="I2" s="2">
        <v>0.3</v>
      </c>
      <c r="J2" s="2" t="s">
        <v>5</v>
      </c>
      <c r="K2" s="3">
        <v>2.0833333333333332E-2</v>
      </c>
      <c r="L2" s="2">
        <v>172</v>
      </c>
    </row>
    <row r="3" spans="1:12" x14ac:dyDescent="0.2">
      <c r="A3" s="4">
        <v>3</v>
      </c>
      <c r="B3" s="2">
        <v>2019</v>
      </c>
      <c r="C3" s="2">
        <v>6</v>
      </c>
      <c r="D3" s="2">
        <v>21</v>
      </c>
      <c r="E3" s="2">
        <v>1</v>
      </c>
      <c r="F3" s="2">
        <v>0</v>
      </c>
      <c r="G3" s="2">
        <v>12.2</v>
      </c>
      <c r="H3" s="2">
        <v>857</v>
      </c>
      <c r="I3" s="2">
        <v>0.3</v>
      </c>
      <c r="J3" s="2" t="s">
        <v>6</v>
      </c>
      <c r="K3" s="3">
        <v>4.1666666666666664E-2</v>
      </c>
      <c r="L3" s="2">
        <v>172</v>
      </c>
    </row>
    <row r="4" spans="1:12" x14ac:dyDescent="0.2">
      <c r="A4" s="4">
        <v>4</v>
      </c>
      <c r="B4" s="2">
        <v>2019</v>
      </c>
      <c r="C4" s="2">
        <v>6</v>
      </c>
      <c r="D4" s="2">
        <v>21</v>
      </c>
      <c r="E4" s="2">
        <v>1.5</v>
      </c>
      <c r="F4" s="2">
        <v>0</v>
      </c>
      <c r="G4" s="2">
        <v>11.8</v>
      </c>
      <c r="H4" s="2">
        <v>857</v>
      </c>
      <c r="I4" s="2">
        <v>0.4</v>
      </c>
      <c r="J4" s="2" t="s">
        <v>7</v>
      </c>
      <c r="K4" s="3">
        <v>6.25E-2</v>
      </c>
      <c r="L4" s="2">
        <v>172</v>
      </c>
    </row>
    <row r="5" spans="1:12" x14ac:dyDescent="0.2">
      <c r="A5" s="4">
        <v>5</v>
      </c>
      <c r="B5" s="2">
        <v>2019</v>
      </c>
      <c r="C5" s="2">
        <v>6</v>
      </c>
      <c r="D5" s="2">
        <v>21</v>
      </c>
      <c r="E5" s="2">
        <v>2</v>
      </c>
      <c r="F5" s="2">
        <v>0</v>
      </c>
      <c r="G5" s="2">
        <v>11.4</v>
      </c>
      <c r="H5" s="2">
        <v>857</v>
      </c>
      <c r="I5" s="2">
        <v>0.5</v>
      </c>
      <c r="J5" s="2" t="s">
        <v>8</v>
      </c>
      <c r="K5" s="3">
        <v>8.3333333333333329E-2</v>
      </c>
      <c r="L5" s="2">
        <v>172</v>
      </c>
    </row>
    <row r="6" spans="1:12" x14ac:dyDescent="0.2">
      <c r="A6" s="4">
        <v>6</v>
      </c>
      <c r="B6" s="2">
        <v>2019</v>
      </c>
      <c r="C6" s="2">
        <v>6</v>
      </c>
      <c r="D6" s="2">
        <v>21</v>
      </c>
      <c r="E6" s="2">
        <v>2.5</v>
      </c>
      <c r="F6" s="2">
        <v>0</v>
      </c>
      <c r="G6" s="2">
        <v>11.1</v>
      </c>
      <c r="H6" s="2">
        <v>857</v>
      </c>
      <c r="I6" s="2">
        <v>0.5</v>
      </c>
      <c r="J6" s="2" t="s">
        <v>9</v>
      </c>
      <c r="K6" s="3">
        <v>0.10416666666666667</v>
      </c>
      <c r="L6" s="2">
        <v>172</v>
      </c>
    </row>
    <row r="7" spans="1:12" x14ac:dyDescent="0.2">
      <c r="A7" s="4">
        <v>7</v>
      </c>
      <c r="B7" s="2">
        <v>2019</v>
      </c>
      <c r="C7" s="2">
        <v>6</v>
      </c>
      <c r="D7" s="2">
        <v>21</v>
      </c>
      <c r="E7" s="2">
        <v>3</v>
      </c>
      <c r="F7" s="2">
        <v>0</v>
      </c>
      <c r="G7" s="2">
        <v>10.8</v>
      </c>
      <c r="H7" s="2">
        <v>857</v>
      </c>
      <c r="I7" s="2">
        <v>0.5</v>
      </c>
      <c r="J7" s="2" t="s">
        <v>10</v>
      </c>
      <c r="K7" s="3">
        <v>0.125</v>
      </c>
      <c r="L7" s="2">
        <v>172</v>
      </c>
    </row>
    <row r="8" spans="1:12" x14ac:dyDescent="0.2">
      <c r="A8" s="4">
        <v>8</v>
      </c>
      <c r="B8" s="2">
        <v>2019</v>
      </c>
      <c r="C8" s="2">
        <v>6</v>
      </c>
      <c r="D8" s="2">
        <v>21</v>
      </c>
      <c r="E8" s="2">
        <v>3.5</v>
      </c>
      <c r="F8" s="2">
        <v>0</v>
      </c>
      <c r="G8" s="2">
        <v>10.6</v>
      </c>
      <c r="H8" s="2">
        <v>857</v>
      </c>
      <c r="I8" s="2">
        <v>0.5</v>
      </c>
      <c r="J8" s="2" t="s">
        <v>11</v>
      </c>
      <c r="K8" s="3">
        <v>0.14583333333333334</v>
      </c>
      <c r="L8" s="2">
        <v>172</v>
      </c>
    </row>
    <row r="9" spans="1:12" x14ac:dyDescent="0.2">
      <c r="A9" s="4">
        <v>9</v>
      </c>
      <c r="B9" s="2">
        <v>2019</v>
      </c>
      <c r="C9" s="2">
        <v>6</v>
      </c>
      <c r="D9" s="2">
        <v>21</v>
      </c>
      <c r="E9" s="2">
        <v>4</v>
      </c>
      <c r="F9" s="2">
        <v>0</v>
      </c>
      <c r="G9" s="2">
        <v>10.5</v>
      </c>
      <c r="H9" s="2">
        <v>857</v>
      </c>
      <c r="I9" s="2">
        <v>0.5</v>
      </c>
      <c r="J9" s="2" t="s">
        <v>12</v>
      </c>
      <c r="K9" s="3">
        <v>0.16666666666666666</v>
      </c>
      <c r="L9" s="2">
        <v>172</v>
      </c>
    </row>
    <row r="10" spans="1:12" x14ac:dyDescent="0.2">
      <c r="A10" s="4">
        <v>10</v>
      </c>
      <c r="B10" s="2">
        <v>2019</v>
      </c>
      <c r="C10" s="2">
        <v>6</v>
      </c>
      <c r="D10" s="2">
        <v>21</v>
      </c>
      <c r="E10" s="2">
        <v>4.5</v>
      </c>
      <c r="F10" s="2">
        <v>0</v>
      </c>
      <c r="G10" s="2">
        <v>11</v>
      </c>
      <c r="H10" s="2">
        <v>857</v>
      </c>
      <c r="I10" s="2">
        <v>0.3</v>
      </c>
      <c r="J10" s="2" t="s">
        <v>13</v>
      </c>
      <c r="K10" s="3">
        <v>0.1875</v>
      </c>
      <c r="L10" s="2">
        <v>172</v>
      </c>
    </row>
    <row r="11" spans="1:12" x14ac:dyDescent="0.2">
      <c r="A11" s="4">
        <v>11</v>
      </c>
      <c r="B11" s="2">
        <v>2019</v>
      </c>
      <c r="C11" s="2">
        <v>6</v>
      </c>
      <c r="D11" s="2">
        <v>21</v>
      </c>
      <c r="E11" s="2">
        <v>5</v>
      </c>
      <c r="F11" s="2">
        <v>36</v>
      </c>
      <c r="G11" s="2">
        <v>11.5</v>
      </c>
      <c r="H11" s="2">
        <v>857</v>
      </c>
      <c r="I11" s="2">
        <v>0.1</v>
      </c>
      <c r="J11" s="2" t="s">
        <v>14</v>
      </c>
      <c r="K11" s="3">
        <v>0.20833333333333334</v>
      </c>
      <c r="L11" s="2">
        <v>172</v>
      </c>
    </row>
    <row r="12" spans="1:12" x14ac:dyDescent="0.2">
      <c r="A12" s="4">
        <v>12</v>
      </c>
      <c r="B12" s="2">
        <v>2019</v>
      </c>
      <c r="C12" s="2">
        <v>6</v>
      </c>
      <c r="D12" s="2">
        <v>21</v>
      </c>
      <c r="E12" s="2">
        <v>5.5</v>
      </c>
      <c r="F12" s="2">
        <v>113</v>
      </c>
      <c r="G12" s="2">
        <v>13</v>
      </c>
      <c r="H12" s="2">
        <v>857</v>
      </c>
      <c r="I12" s="2">
        <v>0.3</v>
      </c>
      <c r="J12" s="2" t="s">
        <v>15</v>
      </c>
      <c r="K12" s="3">
        <v>0.22916666666666666</v>
      </c>
      <c r="L12" s="2">
        <v>172</v>
      </c>
    </row>
    <row r="13" spans="1:12" x14ac:dyDescent="0.2">
      <c r="A13" s="4">
        <v>13</v>
      </c>
      <c r="B13" s="2">
        <v>2019</v>
      </c>
      <c r="C13" s="2">
        <v>6</v>
      </c>
      <c r="D13" s="2">
        <v>21</v>
      </c>
      <c r="E13" s="2">
        <v>6</v>
      </c>
      <c r="F13" s="2">
        <v>208</v>
      </c>
      <c r="G13" s="2">
        <v>14.5</v>
      </c>
      <c r="H13" s="2">
        <v>857</v>
      </c>
      <c r="I13" s="2">
        <v>0.5</v>
      </c>
      <c r="J13" s="2" t="s">
        <v>16</v>
      </c>
      <c r="K13" s="3">
        <v>0.25</v>
      </c>
      <c r="L13" s="2">
        <v>172</v>
      </c>
    </row>
    <row r="14" spans="1:12" x14ac:dyDescent="0.2">
      <c r="A14" s="4">
        <v>14</v>
      </c>
      <c r="B14" s="2">
        <v>2019</v>
      </c>
      <c r="C14" s="2">
        <v>6</v>
      </c>
      <c r="D14" s="2">
        <v>21</v>
      </c>
      <c r="E14" s="2">
        <v>6.5</v>
      </c>
      <c r="F14" s="2">
        <v>311</v>
      </c>
      <c r="G14" s="2">
        <v>15.6</v>
      </c>
      <c r="H14" s="2">
        <v>857</v>
      </c>
      <c r="I14" s="2">
        <v>0.6</v>
      </c>
      <c r="J14" s="2" t="s">
        <v>17</v>
      </c>
      <c r="K14" s="3">
        <v>0.27083333333333331</v>
      </c>
      <c r="L14" s="2">
        <v>172</v>
      </c>
    </row>
    <row r="15" spans="1:12" x14ac:dyDescent="0.2">
      <c r="A15" s="4">
        <v>15</v>
      </c>
      <c r="B15" s="2">
        <v>2019</v>
      </c>
      <c r="C15" s="2">
        <v>6</v>
      </c>
      <c r="D15" s="2">
        <v>21</v>
      </c>
      <c r="E15" s="2">
        <v>7</v>
      </c>
      <c r="F15" s="2">
        <v>416</v>
      </c>
      <c r="G15" s="2">
        <v>16.600000000000001</v>
      </c>
      <c r="H15" s="2">
        <v>858</v>
      </c>
      <c r="I15" s="2">
        <v>0.7</v>
      </c>
      <c r="J15" s="2" t="s">
        <v>18</v>
      </c>
      <c r="K15" s="3">
        <v>0.29166666666666669</v>
      </c>
      <c r="L15" s="2">
        <v>172</v>
      </c>
    </row>
    <row r="16" spans="1:12" x14ac:dyDescent="0.2">
      <c r="A16" s="4">
        <v>16</v>
      </c>
      <c r="B16" s="2">
        <v>2019</v>
      </c>
      <c r="C16" s="2">
        <v>6</v>
      </c>
      <c r="D16" s="2">
        <v>21</v>
      </c>
      <c r="E16" s="2">
        <v>7.5</v>
      </c>
      <c r="F16" s="2">
        <v>520</v>
      </c>
      <c r="G16" s="2">
        <v>17.5</v>
      </c>
      <c r="H16" s="2">
        <v>858</v>
      </c>
      <c r="I16" s="2">
        <v>0.8</v>
      </c>
      <c r="J16" s="2" t="s">
        <v>19</v>
      </c>
      <c r="K16" s="3">
        <v>0.3125</v>
      </c>
      <c r="L16" s="2">
        <v>172</v>
      </c>
    </row>
    <row r="17" spans="1:12" x14ac:dyDescent="0.2">
      <c r="A17" s="4">
        <v>17</v>
      </c>
      <c r="B17" s="2">
        <v>2019</v>
      </c>
      <c r="C17" s="2">
        <v>6</v>
      </c>
      <c r="D17" s="2">
        <v>21</v>
      </c>
      <c r="E17" s="2">
        <v>8</v>
      </c>
      <c r="F17" s="2">
        <v>620</v>
      </c>
      <c r="G17" s="2">
        <v>18.399999999999999</v>
      </c>
      <c r="H17" s="2">
        <v>858</v>
      </c>
      <c r="I17" s="2">
        <v>0.9</v>
      </c>
      <c r="J17" s="2" t="s">
        <v>20</v>
      </c>
      <c r="K17" s="3">
        <v>0.33333333333333331</v>
      </c>
      <c r="L17" s="2">
        <v>172</v>
      </c>
    </row>
    <row r="18" spans="1:12" x14ac:dyDescent="0.2">
      <c r="A18" s="4">
        <v>18</v>
      </c>
      <c r="B18" s="2">
        <v>2019</v>
      </c>
      <c r="C18" s="2">
        <v>6</v>
      </c>
      <c r="D18" s="2">
        <v>21</v>
      </c>
      <c r="E18" s="2">
        <v>8.5</v>
      </c>
      <c r="F18" s="2">
        <v>714</v>
      </c>
      <c r="G18" s="2">
        <v>19.2</v>
      </c>
      <c r="H18" s="2">
        <v>858</v>
      </c>
      <c r="I18" s="2">
        <v>1</v>
      </c>
      <c r="J18" s="2" t="s">
        <v>21</v>
      </c>
      <c r="K18" s="3">
        <v>0.35416666666666669</v>
      </c>
      <c r="L18" s="2">
        <v>172</v>
      </c>
    </row>
    <row r="19" spans="1:12" x14ac:dyDescent="0.2">
      <c r="A19" s="4">
        <v>19</v>
      </c>
      <c r="B19" s="2">
        <v>2019</v>
      </c>
      <c r="C19" s="2">
        <v>6</v>
      </c>
      <c r="D19" s="2">
        <v>21</v>
      </c>
      <c r="E19" s="2">
        <v>9</v>
      </c>
      <c r="F19" s="2">
        <v>799</v>
      </c>
      <c r="G19" s="2">
        <v>19.899999999999999</v>
      </c>
      <c r="H19" s="2">
        <v>858</v>
      </c>
      <c r="I19" s="2">
        <v>1.1000000000000001</v>
      </c>
      <c r="J19" s="2" t="s">
        <v>22</v>
      </c>
      <c r="K19" s="3">
        <v>0.375</v>
      </c>
      <c r="L19" s="2">
        <v>172</v>
      </c>
    </row>
    <row r="20" spans="1:12" x14ac:dyDescent="0.2">
      <c r="A20" s="4">
        <v>20</v>
      </c>
      <c r="B20" s="2">
        <v>2019</v>
      </c>
      <c r="C20" s="2">
        <v>6</v>
      </c>
      <c r="D20" s="2">
        <v>21</v>
      </c>
      <c r="E20" s="2">
        <v>9.5</v>
      </c>
      <c r="F20" s="2">
        <v>873</v>
      </c>
      <c r="G20" s="2">
        <v>20.5</v>
      </c>
      <c r="H20" s="2">
        <v>858</v>
      </c>
      <c r="I20" s="2">
        <v>1.2</v>
      </c>
      <c r="J20" s="2" t="s">
        <v>23</v>
      </c>
      <c r="K20" s="3">
        <v>0.39583333333333331</v>
      </c>
      <c r="L20" s="2">
        <v>172</v>
      </c>
    </row>
    <row r="21" spans="1:12" x14ac:dyDescent="0.2">
      <c r="A21" s="4">
        <v>21</v>
      </c>
      <c r="B21" s="2">
        <v>2019</v>
      </c>
      <c r="C21" s="2">
        <v>6</v>
      </c>
      <c r="D21" s="2">
        <v>21</v>
      </c>
      <c r="E21" s="2">
        <v>10</v>
      </c>
      <c r="F21" s="2">
        <v>936</v>
      </c>
      <c r="G21" s="2">
        <v>21</v>
      </c>
      <c r="H21" s="2">
        <v>858</v>
      </c>
      <c r="I21" s="2">
        <v>1.3</v>
      </c>
      <c r="J21" s="2" t="s">
        <v>24</v>
      </c>
      <c r="K21" s="3">
        <v>0.41666666666666669</v>
      </c>
      <c r="L21" s="2">
        <v>172</v>
      </c>
    </row>
    <row r="22" spans="1:12" x14ac:dyDescent="0.2">
      <c r="A22" s="4">
        <v>22</v>
      </c>
      <c r="B22" s="2">
        <v>2019</v>
      </c>
      <c r="C22" s="2">
        <v>6</v>
      </c>
      <c r="D22" s="2">
        <v>21</v>
      </c>
      <c r="E22" s="2">
        <v>10.5</v>
      </c>
      <c r="F22" s="2">
        <v>967</v>
      </c>
      <c r="G22" s="2">
        <v>21.5</v>
      </c>
      <c r="H22" s="2">
        <v>858</v>
      </c>
      <c r="I22" s="2">
        <v>1.4</v>
      </c>
      <c r="J22" s="2" t="s">
        <v>25</v>
      </c>
      <c r="K22" s="3">
        <v>0.4375</v>
      </c>
      <c r="L22" s="2">
        <v>172</v>
      </c>
    </row>
    <row r="23" spans="1:12" x14ac:dyDescent="0.2">
      <c r="A23" s="4">
        <v>23</v>
      </c>
      <c r="B23" s="2">
        <v>2019</v>
      </c>
      <c r="C23" s="2">
        <v>6</v>
      </c>
      <c r="D23" s="2">
        <v>21</v>
      </c>
      <c r="E23" s="2">
        <v>11</v>
      </c>
      <c r="F23" s="2">
        <v>901</v>
      </c>
      <c r="G23" s="2">
        <v>21.9</v>
      </c>
      <c r="H23" s="2">
        <v>858</v>
      </c>
      <c r="I23" s="2">
        <v>1.5</v>
      </c>
      <c r="J23" s="2" t="s">
        <v>26</v>
      </c>
      <c r="K23" s="3">
        <v>0.45833333333333331</v>
      </c>
      <c r="L23" s="2">
        <v>172</v>
      </c>
    </row>
    <row r="24" spans="1:12" x14ac:dyDescent="0.2">
      <c r="A24" s="4">
        <v>24</v>
      </c>
      <c r="B24" s="2">
        <v>2019</v>
      </c>
      <c r="C24" s="2">
        <v>6</v>
      </c>
      <c r="D24" s="2">
        <v>21</v>
      </c>
      <c r="E24" s="2">
        <v>11.5</v>
      </c>
      <c r="F24" s="2">
        <v>923</v>
      </c>
      <c r="G24" s="2">
        <v>22.3</v>
      </c>
      <c r="H24" s="2">
        <v>857</v>
      </c>
      <c r="I24" s="2">
        <v>1.6</v>
      </c>
      <c r="J24" s="2" t="s">
        <v>27</v>
      </c>
      <c r="K24" s="3">
        <v>0.47916666666666669</v>
      </c>
      <c r="L24" s="2">
        <v>172</v>
      </c>
    </row>
    <row r="25" spans="1:12" x14ac:dyDescent="0.2">
      <c r="A25" s="4">
        <v>25</v>
      </c>
      <c r="B25" s="2">
        <v>2019</v>
      </c>
      <c r="C25" s="2">
        <v>6</v>
      </c>
      <c r="D25" s="2">
        <v>21</v>
      </c>
      <c r="E25" s="2">
        <v>12</v>
      </c>
      <c r="F25" s="2">
        <v>781</v>
      </c>
      <c r="G25" s="2">
        <v>22.7</v>
      </c>
      <c r="H25" s="2">
        <v>857</v>
      </c>
      <c r="I25" s="2">
        <v>1.6</v>
      </c>
      <c r="J25" s="2" t="s">
        <v>28</v>
      </c>
      <c r="K25" s="3">
        <v>0.5</v>
      </c>
      <c r="L25" s="2">
        <v>172</v>
      </c>
    </row>
    <row r="26" spans="1:12" x14ac:dyDescent="0.2">
      <c r="A26" s="4">
        <v>26</v>
      </c>
      <c r="B26" s="2">
        <v>2019</v>
      </c>
      <c r="C26" s="2">
        <v>6</v>
      </c>
      <c r="D26" s="2">
        <v>21</v>
      </c>
      <c r="E26" s="2">
        <v>12.5</v>
      </c>
      <c r="F26" s="2">
        <v>838</v>
      </c>
      <c r="G26" s="2">
        <v>23</v>
      </c>
      <c r="H26" s="2">
        <v>857</v>
      </c>
      <c r="I26" s="2">
        <v>1.7</v>
      </c>
      <c r="J26" s="2" t="s">
        <v>29</v>
      </c>
      <c r="K26" s="3">
        <v>0.52083333333333337</v>
      </c>
      <c r="L26" s="2">
        <v>172</v>
      </c>
    </row>
    <row r="27" spans="1:12" x14ac:dyDescent="0.2">
      <c r="A27" s="4">
        <v>27</v>
      </c>
      <c r="B27" s="2">
        <v>2019</v>
      </c>
      <c r="C27" s="2">
        <v>6</v>
      </c>
      <c r="D27" s="2">
        <v>21</v>
      </c>
      <c r="E27" s="2">
        <v>13</v>
      </c>
      <c r="F27" s="2">
        <v>770</v>
      </c>
      <c r="G27" s="2">
        <v>23.3</v>
      </c>
      <c r="H27" s="2">
        <v>857</v>
      </c>
      <c r="I27" s="2">
        <v>1.7</v>
      </c>
      <c r="J27" s="2" t="s">
        <v>30</v>
      </c>
      <c r="K27" s="3">
        <v>0.54166666666666663</v>
      </c>
      <c r="L27" s="2">
        <v>172</v>
      </c>
    </row>
    <row r="28" spans="1:12" x14ac:dyDescent="0.2">
      <c r="A28" s="4">
        <v>28</v>
      </c>
      <c r="B28" s="2">
        <v>2019</v>
      </c>
      <c r="C28" s="2">
        <v>6</v>
      </c>
      <c r="D28" s="2">
        <v>21</v>
      </c>
      <c r="E28" s="2">
        <v>13.5</v>
      </c>
      <c r="F28" s="2">
        <v>576</v>
      </c>
      <c r="G28" s="2">
        <v>23.5</v>
      </c>
      <c r="H28" s="2">
        <v>857</v>
      </c>
      <c r="I28" s="2">
        <v>1.7</v>
      </c>
      <c r="J28" s="2" t="s">
        <v>31</v>
      </c>
      <c r="K28" s="3">
        <v>0.5625</v>
      </c>
      <c r="L28" s="2">
        <v>172</v>
      </c>
    </row>
    <row r="29" spans="1:12" x14ac:dyDescent="0.2">
      <c r="A29" s="4">
        <v>29</v>
      </c>
      <c r="B29" s="2">
        <v>2019</v>
      </c>
      <c r="C29" s="2">
        <v>6</v>
      </c>
      <c r="D29" s="2">
        <v>21</v>
      </c>
      <c r="E29" s="2">
        <v>14</v>
      </c>
      <c r="F29" s="2">
        <v>500</v>
      </c>
      <c r="G29" s="2">
        <v>23.6</v>
      </c>
      <c r="H29" s="2">
        <v>856</v>
      </c>
      <c r="I29" s="2">
        <v>1.7</v>
      </c>
      <c r="J29" s="2" t="s">
        <v>32</v>
      </c>
      <c r="K29" s="3">
        <v>0.58333333333333337</v>
      </c>
      <c r="L29" s="2">
        <v>172</v>
      </c>
    </row>
    <row r="30" spans="1:12" x14ac:dyDescent="0.2">
      <c r="A30" s="4">
        <v>30</v>
      </c>
      <c r="B30" s="2">
        <v>2019</v>
      </c>
      <c r="C30" s="2">
        <v>6</v>
      </c>
      <c r="D30" s="2">
        <v>21</v>
      </c>
      <c r="E30" s="2">
        <v>14.5</v>
      </c>
      <c r="F30" s="2">
        <v>570</v>
      </c>
      <c r="G30" s="2">
        <v>23.5</v>
      </c>
      <c r="H30" s="2">
        <v>856</v>
      </c>
      <c r="I30" s="2">
        <v>1.7</v>
      </c>
      <c r="J30" s="2" t="s">
        <v>33</v>
      </c>
      <c r="K30" s="3">
        <v>0.60416666666666663</v>
      </c>
      <c r="L30" s="2">
        <v>172</v>
      </c>
    </row>
    <row r="31" spans="1:12" x14ac:dyDescent="0.2">
      <c r="A31" s="4">
        <v>31</v>
      </c>
      <c r="B31" s="2">
        <v>2019</v>
      </c>
      <c r="C31" s="2">
        <v>6</v>
      </c>
      <c r="D31" s="2">
        <v>21</v>
      </c>
      <c r="E31" s="2">
        <v>15</v>
      </c>
      <c r="F31" s="2">
        <v>420</v>
      </c>
      <c r="G31" s="2">
        <v>23.4</v>
      </c>
      <c r="H31" s="2">
        <v>856</v>
      </c>
      <c r="I31" s="2">
        <v>1.6</v>
      </c>
      <c r="J31" s="2" t="s">
        <v>34</v>
      </c>
      <c r="K31" s="3">
        <v>0.625</v>
      </c>
      <c r="L31" s="2">
        <v>172</v>
      </c>
    </row>
    <row r="32" spans="1:12" x14ac:dyDescent="0.2">
      <c r="A32" s="4">
        <v>32</v>
      </c>
      <c r="B32" s="2">
        <v>2019</v>
      </c>
      <c r="C32" s="2">
        <v>6</v>
      </c>
      <c r="D32" s="2">
        <v>21</v>
      </c>
      <c r="E32" s="2">
        <v>15.5</v>
      </c>
      <c r="F32" s="2">
        <v>369</v>
      </c>
      <c r="G32" s="2">
        <v>23.4</v>
      </c>
      <c r="H32" s="2">
        <v>856</v>
      </c>
      <c r="I32" s="2">
        <v>1.6</v>
      </c>
      <c r="J32" s="2" t="s">
        <v>35</v>
      </c>
      <c r="K32" s="3">
        <v>0.64583333333333337</v>
      </c>
      <c r="L32" s="2">
        <v>172</v>
      </c>
    </row>
    <row r="33" spans="1:12" x14ac:dyDescent="0.2">
      <c r="A33" s="4">
        <v>33</v>
      </c>
      <c r="B33" s="2">
        <v>2019</v>
      </c>
      <c r="C33" s="2">
        <v>6</v>
      </c>
      <c r="D33" s="2">
        <v>21</v>
      </c>
      <c r="E33" s="2">
        <v>16</v>
      </c>
      <c r="F33" s="2">
        <v>357</v>
      </c>
      <c r="G33" s="2">
        <v>22.6</v>
      </c>
      <c r="H33" s="2">
        <v>856</v>
      </c>
      <c r="I33" s="2">
        <v>1.6</v>
      </c>
      <c r="J33" s="2" t="s">
        <v>36</v>
      </c>
      <c r="K33" s="3">
        <v>0.66666666666666663</v>
      </c>
      <c r="L33" s="2">
        <v>172</v>
      </c>
    </row>
    <row r="34" spans="1:12" x14ac:dyDescent="0.2">
      <c r="A34" s="4">
        <v>34</v>
      </c>
      <c r="B34" s="2">
        <v>2019</v>
      </c>
      <c r="C34" s="2">
        <v>6</v>
      </c>
      <c r="D34" s="2">
        <v>21</v>
      </c>
      <c r="E34" s="2">
        <v>16.5</v>
      </c>
      <c r="F34" s="2">
        <v>178</v>
      </c>
      <c r="G34" s="2">
        <v>21.8</v>
      </c>
      <c r="H34" s="2">
        <v>856</v>
      </c>
      <c r="I34" s="2">
        <v>1.6</v>
      </c>
      <c r="J34" s="2" t="s">
        <v>37</v>
      </c>
      <c r="K34" s="3">
        <v>0.6875</v>
      </c>
      <c r="L34" s="2">
        <v>172</v>
      </c>
    </row>
    <row r="35" spans="1:12" x14ac:dyDescent="0.2">
      <c r="A35" s="4">
        <v>35</v>
      </c>
      <c r="B35" s="2">
        <v>2019</v>
      </c>
      <c r="C35" s="2">
        <v>6</v>
      </c>
      <c r="D35" s="2">
        <v>21</v>
      </c>
      <c r="E35" s="2">
        <v>17</v>
      </c>
      <c r="F35" s="2">
        <v>127</v>
      </c>
      <c r="G35" s="2">
        <v>21.1</v>
      </c>
      <c r="H35" s="2">
        <v>856</v>
      </c>
      <c r="I35" s="2">
        <v>1.5</v>
      </c>
      <c r="J35" s="2" t="s">
        <v>38</v>
      </c>
      <c r="K35" s="3">
        <v>0.70833333333333337</v>
      </c>
      <c r="L35" s="2">
        <v>172</v>
      </c>
    </row>
    <row r="36" spans="1:12" x14ac:dyDescent="0.2">
      <c r="A36" s="4">
        <v>36</v>
      </c>
      <c r="B36" s="2">
        <v>2019</v>
      </c>
      <c r="C36" s="2">
        <v>6</v>
      </c>
      <c r="D36" s="2">
        <v>21</v>
      </c>
      <c r="E36" s="2">
        <v>17.5</v>
      </c>
      <c r="F36" s="2">
        <v>66</v>
      </c>
      <c r="G36" s="2">
        <v>19.7</v>
      </c>
      <c r="H36" s="2">
        <v>856</v>
      </c>
      <c r="I36" s="2">
        <v>1.2</v>
      </c>
      <c r="J36" s="2" t="s">
        <v>39</v>
      </c>
      <c r="K36" s="3">
        <v>0.72916666666666663</v>
      </c>
      <c r="L36" s="2">
        <v>172</v>
      </c>
    </row>
    <row r="37" spans="1:12" x14ac:dyDescent="0.2">
      <c r="A37" s="4">
        <v>37</v>
      </c>
      <c r="B37" s="2">
        <v>2019</v>
      </c>
      <c r="C37" s="2">
        <v>6</v>
      </c>
      <c r="D37" s="2">
        <v>21</v>
      </c>
      <c r="E37" s="2">
        <v>18</v>
      </c>
      <c r="F37" s="2">
        <v>142</v>
      </c>
      <c r="G37" s="2">
        <v>18.2</v>
      </c>
      <c r="H37" s="2">
        <v>856</v>
      </c>
      <c r="I37" s="2">
        <v>0.9</v>
      </c>
      <c r="J37" s="2" t="s">
        <v>40</v>
      </c>
      <c r="K37" s="3">
        <v>0.75</v>
      </c>
      <c r="L37" s="2">
        <v>172</v>
      </c>
    </row>
    <row r="38" spans="1:12" x14ac:dyDescent="0.2">
      <c r="A38" s="4">
        <v>38</v>
      </c>
      <c r="B38" s="2">
        <v>2019</v>
      </c>
      <c r="C38" s="2">
        <v>6</v>
      </c>
      <c r="D38" s="2">
        <v>21</v>
      </c>
      <c r="E38" s="2">
        <v>18.5</v>
      </c>
      <c r="F38" s="2">
        <v>86</v>
      </c>
      <c r="G38" s="2">
        <v>16.100000000000001</v>
      </c>
      <c r="H38" s="2">
        <v>857</v>
      </c>
      <c r="I38" s="2">
        <v>0.9</v>
      </c>
      <c r="J38" s="2" t="s">
        <v>41</v>
      </c>
      <c r="K38" s="3">
        <v>0.77083333333333337</v>
      </c>
      <c r="L38" s="2">
        <v>172</v>
      </c>
    </row>
    <row r="39" spans="1:12" x14ac:dyDescent="0.2">
      <c r="A39" s="4">
        <v>39</v>
      </c>
      <c r="B39" s="2">
        <v>2019</v>
      </c>
      <c r="C39" s="2">
        <v>6</v>
      </c>
      <c r="D39" s="2">
        <v>21</v>
      </c>
      <c r="E39" s="2">
        <v>19</v>
      </c>
      <c r="F39" s="2">
        <v>30</v>
      </c>
      <c r="G39" s="2">
        <v>14</v>
      </c>
      <c r="H39" s="2">
        <v>857</v>
      </c>
      <c r="I39" s="2">
        <v>0.8</v>
      </c>
      <c r="J39" s="2" t="s">
        <v>42</v>
      </c>
      <c r="K39" s="3">
        <v>0.79166666666666663</v>
      </c>
      <c r="L39" s="2">
        <v>172</v>
      </c>
    </row>
    <row r="40" spans="1:12" x14ac:dyDescent="0.2">
      <c r="A40" s="4">
        <v>40</v>
      </c>
      <c r="B40" s="2">
        <v>2019</v>
      </c>
      <c r="C40" s="2">
        <v>6</v>
      </c>
      <c r="D40" s="2">
        <v>21</v>
      </c>
      <c r="E40" s="2">
        <v>19.5</v>
      </c>
      <c r="F40" s="2">
        <v>0</v>
      </c>
      <c r="G40" s="2">
        <v>13.5</v>
      </c>
      <c r="H40" s="2">
        <v>857</v>
      </c>
      <c r="I40" s="2">
        <v>0.9</v>
      </c>
      <c r="J40" s="2" t="s">
        <v>43</v>
      </c>
      <c r="K40" s="3">
        <v>0.8125</v>
      </c>
      <c r="L40" s="2">
        <v>172</v>
      </c>
    </row>
    <row r="41" spans="1:12" x14ac:dyDescent="0.2">
      <c r="A41" s="4">
        <v>41</v>
      </c>
      <c r="B41" s="2">
        <v>2019</v>
      </c>
      <c r="C41" s="2">
        <v>6</v>
      </c>
      <c r="D41" s="2">
        <v>21</v>
      </c>
      <c r="E41" s="2">
        <v>20</v>
      </c>
      <c r="F41" s="2">
        <v>0</v>
      </c>
      <c r="G41" s="2">
        <v>12.9</v>
      </c>
      <c r="H41" s="2">
        <v>857</v>
      </c>
      <c r="I41" s="2">
        <v>0.9</v>
      </c>
      <c r="J41" s="2" t="s">
        <v>44</v>
      </c>
      <c r="K41" s="3">
        <v>0.83333333333333337</v>
      </c>
      <c r="L41" s="2">
        <v>172</v>
      </c>
    </row>
    <row r="42" spans="1:12" x14ac:dyDescent="0.2">
      <c r="A42" s="4">
        <v>42</v>
      </c>
      <c r="B42" s="2">
        <v>2019</v>
      </c>
      <c r="C42" s="2">
        <v>6</v>
      </c>
      <c r="D42" s="2">
        <v>21</v>
      </c>
      <c r="E42" s="2">
        <v>20.5</v>
      </c>
      <c r="F42" s="2">
        <v>0</v>
      </c>
      <c r="G42" s="2">
        <v>12.6</v>
      </c>
      <c r="H42" s="2">
        <v>857</v>
      </c>
      <c r="I42" s="2">
        <v>0.8</v>
      </c>
      <c r="J42" s="2" t="s">
        <v>45</v>
      </c>
      <c r="K42" s="3">
        <v>0.85416666666666663</v>
      </c>
      <c r="L42" s="2">
        <v>172</v>
      </c>
    </row>
    <row r="43" spans="1:12" x14ac:dyDescent="0.2">
      <c r="A43" s="4">
        <v>43</v>
      </c>
      <c r="B43" s="2">
        <v>2019</v>
      </c>
      <c r="C43" s="2">
        <v>6</v>
      </c>
      <c r="D43" s="2">
        <v>21</v>
      </c>
      <c r="E43" s="2">
        <v>21</v>
      </c>
      <c r="F43" s="2">
        <v>0</v>
      </c>
      <c r="G43" s="2">
        <v>12.2</v>
      </c>
      <c r="H43" s="2">
        <v>857</v>
      </c>
      <c r="I43" s="2">
        <v>0.7</v>
      </c>
      <c r="J43" s="2" t="s">
        <v>46</v>
      </c>
      <c r="K43" s="3">
        <v>0.875</v>
      </c>
      <c r="L43" s="2">
        <v>172</v>
      </c>
    </row>
    <row r="44" spans="1:12" x14ac:dyDescent="0.2">
      <c r="A44" s="4">
        <v>44</v>
      </c>
      <c r="B44" s="2">
        <v>2019</v>
      </c>
      <c r="C44" s="2">
        <v>6</v>
      </c>
      <c r="D44" s="2">
        <v>21</v>
      </c>
      <c r="E44" s="2">
        <v>21.5</v>
      </c>
      <c r="F44" s="2">
        <v>0</v>
      </c>
      <c r="G44" s="2">
        <v>11.9</v>
      </c>
      <c r="H44" s="2">
        <v>857</v>
      </c>
      <c r="I44" s="2">
        <v>0.6</v>
      </c>
      <c r="J44" s="2" t="s">
        <v>47</v>
      </c>
      <c r="K44" s="3">
        <v>0.89583333333333337</v>
      </c>
      <c r="L44" s="2">
        <v>172</v>
      </c>
    </row>
    <row r="45" spans="1:12" x14ac:dyDescent="0.2">
      <c r="A45" s="4">
        <v>45</v>
      </c>
      <c r="B45" s="2">
        <v>2019</v>
      </c>
      <c r="C45" s="2">
        <v>6</v>
      </c>
      <c r="D45" s="2">
        <v>21</v>
      </c>
      <c r="E45" s="2">
        <v>22</v>
      </c>
      <c r="F45" s="2">
        <v>0</v>
      </c>
      <c r="G45" s="2">
        <v>11.7</v>
      </c>
      <c r="H45" s="2">
        <v>857</v>
      </c>
      <c r="I45" s="2">
        <v>0.5</v>
      </c>
      <c r="J45" s="2" t="s">
        <v>48</v>
      </c>
      <c r="K45" s="3">
        <v>0.91666666666666663</v>
      </c>
      <c r="L45" s="2">
        <v>172</v>
      </c>
    </row>
    <row r="46" spans="1:12" x14ac:dyDescent="0.2">
      <c r="A46" s="4">
        <v>46</v>
      </c>
      <c r="B46" s="2">
        <v>2019</v>
      </c>
      <c r="C46" s="2">
        <v>6</v>
      </c>
      <c r="D46" s="2">
        <v>21</v>
      </c>
      <c r="E46" s="2">
        <v>22.5</v>
      </c>
      <c r="F46" s="2">
        <v>0</v>
      </c>
      <c r="G46" s="2">
        <v>11.6</v>
      </c>
      <c r="H46" s="2">
        <v>857</v>
      </c>
      <c r="I46" s="2">
        <v>0.4</v>
      </c>
      <c r="J46" s="2" t="s">
        <v>49</v>
      </c>
      <c r="K46" s="3">
        <v>0.9375</v>
      </c>
      <c r="L46" s="2">
        <v>172</v>
      </c>
    </row>
    <row r="47" spans="1:12" x14ac:dyDescent="0.2">
      <c r="A47" s="4">
        <v>47</v>
      </c>
      <c r="B47" s="2">
        <v>2019</v>
      </c>
      <c r="C47" s="2">
        <v>6</v>
      </c>
      <c r="D47" s="2">
        <v>21</v>
      </c>
      <c r="E47" s="2">
        <v>23</v>
      </c>
      <c r="F47" s="2">
        <v>0</v>
      </c>
      <c r="G47" s="2">
        <v>11.5</v>
      </c>
      <c r="H47" s="2">
        <v>857</v>
      </c>
      <c r="I47" s="2">
        <v>0.3</v>
      </c>
      <c r="J47" s="2" t="s">
        <v>50</v>
      </c>
      <c r="K47" s="3">
        <v>0.95833333333333337</v>
      </c>
      <c r="L47" s="2">
        <v>172</v>
      </c>
    </row>
    <row r="48" spans="1:12" x14ac:dyDescent="0.2">
      <c r="A48" s="4">
        <v>48</v>
      </c>
      <c r="B48" s="2">
        <v>2019</v>
      </c>
      <c r="C48" s="2">
        <v>6</v>
      </c>
      <c r="D48" s="2">
        <v>21</v>
      </c>
      <c r="E48" s="2">
        <v>23.5</v>
      </c>
      <c r="F48" s="2">
        <v>0</v>
      </c>
      <c r="G48" s="2">
        <v>11.4</v>
      </c>
      <c r="H48" s="2">
        <v>858</v>
      </c>
      <c r="I48" s="2">
        <v>0.3</v>
      </c>
      <c r="J48" s="2" t="s">
        <v>51</v>
      </c>
      <c r="K48" s="3">
        <v>0.97916666666666663</v>
      </c>
      <c r="L48" s="2">
        <v>172</v>
      </c>
    </row>
    <row r="49" spans="1:1" x14ac:dyDescent="0.2">
      <c r="A49" s="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Torrens, Christa</dc:creator>
  <cp:lastModifiedBy>Torrens, Christa</cp:lastModifiedBy>
  <dcterms:created xsi:type="dcterms:W3CDTF">2023-11-29T22:28:31Z</dcterms:created>
  <dcterms:modified xsi:type="dcterms:W3CDTF">2023-11-29T23:37:15Z</dcterms:modified>
</cp:coreProperties>
</file>